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pivotTables/pivotTable1.xml" ContentType="application/vnd.openxmlformats-officedocument.spreadsheetml.pivotTable+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pivotTables/pivotTable2.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pivotTables/pivotTable3.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C:\Users\Callonnecg\Github\ThreeME\data\database\"/>
    </mc:Choice>
  </mc:AlternateContent>
  <bookViews>
    <workbookView xWindow="0" yWindow="80" windowWidth="7520" windowHeight="6300" tabRatio="756" firstSheet="3" activeTab="11"/>
  </bookViews>
  <sheets>
    <sheet name="Imports" sheetId="60" r:id="rId1"/>
    <sheet name="TRP_Simple" sheetId="42" r:id="rId2"/>
    <sheet name="Trspt_margin" sheetId="18" r:id="rId3"/>
    <sheet name="TRP" sheetId="40" r:id="rId4"/>
    <sheet name="charges_soc" sheetId="33" r:id="rId5"/>
    <sheet name="CPR_CEB_Simple" sheetId="53" r:id="rId6"/>
    <sheet name="CPR_CEB" sheetId="10" r:id="rId7"/>
    <sheet name="Emploi" sheetId="63" r:id="rId8"/>
    <sheet name="Taxes" sheetId="32" r:id="rId9"/>
    <sheet name="Transferts" sheetId="37" r:id="rId10"/>
    <sheet name="TEI_Simple" sheetId="54" r:id="rId11"/>
    <sheet name="TEI" sheetId="9" r:id="rId12"/>
  </sheets>
  <externalReferences>
    <externalReference r:id="rId13"/>
    <externalReference r:id="rId14"/>
    <externalReference r:id="rId15"/>
    <externalReference r:id="rId16"/>
  </externalReferences>
  <definedNames>
    <definedName name="COMPTE_D_EXPLOITATION_PAR_BRANCHE" localSheetId="6">CPR_CEB!$A$19</definedName>
    <definedName name="COMPTE_D_EXPLOITATION_PAR_BRANCHE">#REF!</definedName>
    <definedName name="K_1_0121">[1]series!$D$904:$D$924</definedName>
    <definedName name="K_2301_2308">[1]series!$E$930:$E$937</definedName>
    <definedName name="K_2401_2406">[1]series!$E$938:$E$943</definedName>
    <definedName name="PI_BUIL">[1]prices!$E$1378</definedName>
    <definedName name="PI_HOUS_eff">[1]prices!$E$1379</definedName>
    <definedName name="solver_adj" localSheetId="5" hidden="1">CPR_CEB_Simple!$M$64</definedName>
    <definedName name="solver_adj" localSheetId="9" hidden="1">Transferts!$C$43</definedName>
    <definedName name="solver_adj" localSheetId="2" hidden="1">Trspt_margin!$I$52</definedName>
    <definedName name="solver_cvg" localSheetId="5" hidden="1">0.0001</definedName>
    <definedName name="solver_cvg" localSheetId="9" hidden="1">0.0001</definedName>
    <definedName name="solver_cvg" localSheetId="2" hidden="1">0.0001</definedName>
    <definedName name="solver_drv" localSheetId="5" hidden="1">1</definedName>
    <definedName name="solver_drv" localSheetId="9" hidden="1">1</definedName>
    <definedName name="solver_drv" localSheetId="2" hidden="1">1</definedName>
    <definedName name="solver_eng" localSheetId="9" hidden="1">1</definedName>
    <definedName name="solver_est" localSheetId="5" hidden="1">1</definedName>
    <definedName name="solver_est" localSheetId="9" hidden="1">1</definedName>
    <definedName name="solver_est" localSheetId="2" hidden="1">1</definedName>
    <definedName name="solver_itr" localSheetId="5" hidden="1">100</definedName>
    <definedName name="solver_itr" localSheetId="9" hidden="1">100</definedName>
    <definedName name="solver_itr" localSheetId="2" hidden="1">100</definedName>
    <definedName name="solver_lin" localSheetId="5" hidden="1">2</definedName>
    <definedName name="solver_lin" localSheetId="9" hidden="1">2</definedName>
    <definedName name="solver_lin" localSheetId="2" hidden="1">2</definedName>
    <definedName name="solver_neg" localSheetId="5" hidden="1">2</definedName>
    <definedName name="solver_neg" localSheetId="9" hidden="1">2</definedName>
    <definedName name="solver_neg" localSheetId="2" hidden="1">2</definedName>
    <definedName name="solver_num" localSheetId="5" hidden="1">0</definedName>
    <definedName name="solver_num" localSheetId="9" hidden="1">0</definedName>
    <definedName name="solver_num" localSheetId="2" hidden="1">0</definedName>
    <definedName name="solver_nwt" localSheetId="5" hidden="1">1</definedName>
    <definedName name="solver_nwt" localSheetId="9" hidden="1">1</definedName>
    <definedName name="solver_nwt" localSheetId="2" hidden="1">1</definedName>
    <definedName name="solver_opt" localSheetId="5" hidden="1">CPR_CEB_Simple!$M$63</definedName>
    <definedName name="solver_opt" localSheetId="9" hidden="1">Transferts!$C$27</definedName>
    <definedName name="solver_opt" localSheetId="2" hidden="1">Trspt_margin!$G$52</definedName>
    <definedName name="solver_pre" localSheetId="5" hidden="1">0.0000000001</definedName>
    <definedName name="solver_pre" localSheetId="9" hidden="1">0.00000000001</definedName>
    <definedName name="solver_pre" localSheetId="2" hidden="1">0.00000000001</definedName>
    <definedName name="solver_scl" localSheetId="5" hidden="1">2</definedName>
    <definedName name="solver_scl" localSheetId="9" hidden="1">0</definedName>
    <definedName name="solver_scl" localSheetId="2" hidden="1">0</definedName>
    <definedName name="solver_sho" localSheetId="5" hidden="1">2</definedName>
    <definedName name="solver_sho" localSheetId="9" hidden="1">2</definedName>
    <definedName name="solver_sho" localSheetId="2" hidden="1">2</definedName>
    <definedName name="solver_tim" localSheetId="5" hidden="1">100</definedName>
    <definedName name="solver_tim" localSheetId="9" hidden="1">100</definedName>
    <definedName name="solver_tim" localSheetId="2" hidden="1">100</definedName>
    <definedName name="solver_tol" localSheetId="5" hidden="1">0.05</definedName>
    <definedName name="solver_tol" localSheetId="9" hidden="1">0.05</definedName>
    <definedName name="solver_tol" localSheetId="2" hidden="1">0.05</definedName>
    <definedName name="solver_typ" localSheetId="5" hidden="1">3</definedName>
    <definedName name="solver_typ" localSheetId="9" hidden="1">3</definedName>
    <definedName name="solver_typ" localSheetId="2" hidden="1">3</definedName>
    <definedName name="solver_val" localSheetId="5" hidden="1">0</definedName>
    <definedName name="solver_val" localSheetId="9" hidden="1">0</definedName>
    <definedName name="solver_val" localSheetId="2" hidden="1">1</definedName>
    <definedName name="solver_ver" localSheetId="9" hidden="1">3</definedName>
    <definedName name="Tdecl_1_0121">[1]parameters!$E$346:$E$366</definedName>
    <definedName name="Tdecl_23">[1]parameters!$E$378:$E$385</definedName>
    <definedName name="Tdecl_24">[1]parameters!$E$370:$E$375</definedName>
  </definedNames>
  <calcPr calcId="162913"/>
  <pivotCaches>
    <pivotCache cacheId="0" r:id="rId17"/>
    <pivotCache cacheId="1" r:id="rId18"/>
    <pivotCache cacheId="2" r:id="rId19"/>
  </pivotCaches>
</workbook>
</file>

<file path=xl/calcChain.xml><?xml version="1.0" encoding="utf-8"?>
<calcChain xmlns="http://schemas.openxmlformats.org/spreadsheetml/2006/main">
  <c r="AC59" i="37" l="1"/>
  <c r="M59" i="37" s="1"/>
  <c r="AC58" i="37" l="1"/>
  <c r="L58" i="37" s="1"/>
  <c r="V59" i="37"/>
  <c r="E59" i="37"/>
  <c r="U59" i="37"/>
  <c r="D59" i="37"/>
  <c r="N59" i="37"/>
  <c r="H58" i="37"/>
  <c r="E58" i="37"/>
  <c r="V58" i="37"/>
  <c r="J58" i="37"/>
  <c r="B59" i="37"/>
  <c r="F59" i="37"/>
  <c r="J59" i="37"/>
  <c r="O59" i="37"/>
  <c r="S59" i="37"/>
  <c r="X59" i="37"/>
  <c r="C59" i="37"/>
  <c r="G59" i="37"/>
  <c r="L59" i="37"/>
  <c r="P59" i="37"/>
  <c r="T59" i="37"/>
  <c r="Y59" i="37"/>
  <c r="R59" i="37"/>
  <c r="I59" i="37"/>
  <c r="G58" i="37"/>
  <c r="Q59" i="37"/>
  <c r="H59" i="37"/>
  <c r="X58" i="37"/>
  <c r="M55" i="37"/>
  <c r="K53" i="37"/>
  <c r="M43" i="37"/>
  <c r="B128" i="40"/>
  <c r="C128" i="40"/>
  <c r="B129" i="40"/>
  <c r="C129" i="40"/>
  <c r="B130" i="40"/>
  <c r="C130" i="40"/>
  <c r="B131" i="40"/>
  <c r="C131" i="40"/>
  <c r="B132" i="40"/>
  <c r="C132" i="40"/>
  <c r="B133" i="40"/>
  <c r="C133" i="40"/>
  <c r="B134" i="40"/>
  <c r="C134" i="40"/>
  <c r="B135" i="40"/>
  <c r="C135" i="40"/>
  <c r="B136" i="40"/>
  <c r="C136" i="40"/>
  <c r="B137" i="40"/>
  <c r="C137" i="40"/>
  <c r="B138" i="40"/>
  <c r="C138" i="40"/>
  <c r="B139" i="40"/>
  <c r="C139" i="40"/>
  <c r="B140" i="40"/>
  <c r="C140" i="40"/>
  <c r="B141" i="40"/>
  <c r="C141" i="40"/>
  <c r="B142" i="40"/>
  <c r="C142" i="40"/>
  <c r="B143" i="40"/>
  <c r="C143" i="40"/>
  <c r="B144" i="40"/>
  <c r="C144" i="40"/>
  <c r="B145" i="40"/>
  <c r="C145" i="40"/>
  <c r="B146" i="40"/>
  <c r="C146" i="40"/>
  <c r="B147" i="40"/>
  <c r="C147" i="40"/>
  <c r="B148" i="40"/>
  <c r="C148" i="40"/>
  <c r="B149" i="40"/>
  <c r="C149" i="40"/>
  <c r="B150" i="40"/>
  <c r="C150" i="40"/>
  <c r="B151" i="40"/>
  <c r="C151" i="40"/>
  <c r="B152" i="40"/>
  <c r="C152" i="40"/>
  <c r="B153" i="40"/>
  <c r="C153" i="40"/>
  <c r="B154" i="40"/>
  <c r="C154" i="40"/>
  <c r="B155" i="40"/>
  <c r="C155" i="40"/>
  <c r="B156" i="40"/>
  <c r="C156" i="40"/>
  <c r="B157" i="40"/>
  <c r="C157" i="40"/>
  <c r="B158" i="40"/>
  <c r="C158" i="40"/>
  <c r="B159" i="40"/>
  <c r="C159" i="40"/>
  <c r="B160" i="40"/>
  <c r="C160" i="40"/>
  <c r="B161" i="40"/>
  <c r="C161" i="40"/>
  <c r="B162" i="40"/>
  <c r="C162" i="40"/>
  <c r="B163" i="40"/>
  <c r="C163" i="40"/>
  <c r="B164" i="40"/>
  <c r="C164" i="40"/>
  <c r="B165" i="40"/>
  <c r="C165" i="40"/>
  <c r="B166" i="40"/>
  <c r="C166" i="40"/>
  <c r="B167" i="40"/>
  <c r="C167" i="40"/>
  <c r="B168" i="40"/>
  <c r="C168" i="40"/>
  <c r="B169" i="40"/>
  <c r="C169" i="40"/>
  <c r="B170" i="40"/>
  <c r="C170" i="40"/>
  <c r="B171" i="40"/>
  <c r="C171" i="40"/>
  <c r="B172" i="40"/>
  <c r="C172" i="40"/>
  <c r="B173" i="40"/>
  <c r="C173" i="40"/>
  <c r="B174" i="40"/>
  <c r="C174" i="40"/>
  <c r="B175" i="40"/>
  <c r="C175" i="40"/>
  <c r="B176" i="40"/>
  <c r="C176" i="40"/>
  <c r="B177" i="40"/>
  <c r="C177" i="40"/>
  <c r="B178" i="40"/>
  <c r="C178" i="40"/>
  <c r="B179" i="40"/>
  <c r="C179" i="40"/>
  <c r="B180" i="40"/>
  <c r="C180" i="40"/>
  <c r="B181" i="40"/>
  <c r="C181" i="40"/>
  <c r="B182" i="40"/>
  <c r="C182" i="40"/>
  <c r="B183" i="40"/>
  <c r="C183" i="40"/>
  <c r="B184" i="40"/>
  <c r="C184" i="40"/>
  <c r="B185" i="40"/>
  <c r="C185" i="40"/>
  <c r="B186" i="40"/>
  <c r="C186" i="40"/>
  <c r="B187" i="40"/>
  <c r="C187" i="40"/>
  <c r="B188" i="40"/>
  <c r="C188" i="40"/>
  <c r="B189" i="40"/>
  <c r="C189" i="40"/>
  <c r="B190" i="40"/>
  <c r="C190" i="40"/>
  <c r="B191" i="40"/>
  <c r="C191" i="40"/>
  <c r="B192" i="40"/>
  <c r="C192" i="40"/>
  <c r="B193" i="40"/>
  <c r="C193" i="40"/>
  <c r="B194" i="40"/>
  <c r="C194" i="40"/>
  <c r="B195" i="40"/>
  <c r="C195" i="40"/>
  <c r="B196" i="40"/>
  <c r="C196" i="40"/>
  <c r="B197" i="40"/>
  <c r="C197" i="40"/>
  <c r="B198" i="40"/>
  <c r="C198" i="40"/>
  <c r="B199" i="40"/>
  <c r="C199" i="40"/>
  <c r="B200" i="40"/>
  <c r="C200" i="40"/>
  <c r="B201" i="40"/>
  <c r="C201" i="40"/>
  <c r="B202" i="40"/>
  <c r="C202" i="40"/>
  <c r="B203" i="40"/>
  <c r="C203" i="40"/>
  <c r="B204" i="40"/>
  <c r="C204" i="40"/>
  <c r="B205" i="40"/>
  <c r="C205" i="40"/>
  <c r="B206" i="40"/>
  <c r="C206" i="40"/>
  <c r="B207" i="40"/>
  <c r="C207" i="40"/>
  <c r="B208" i="40"/>
  <c r="C208" i="40"/>
  <c r="B209" i="40"/>
  <c r="C209" i="40"/>
  <c r="B210" i="40"/>
  <c r="C210" i="40"/>
  <c r="B211" i="40"/>
  <c r="C211" i="40"/>
  <c r="B212" i="40"/>
  <c r="C212" i="40"/>
  <c r="B213" i="40"/>
  <c r="C213" i="40"/>
  <c r="B214" i="40"/>
  <c r="C214" i="40"/>
  <c r="B215" i="40"/>
  <c r="C215" i="40"/>
  <c r="B216" i="40"/>
  <c r="C216" i="40"/>
  <c r="B217" i="40"/>
  <c r="C217" i="40"/>
  <c r="B218" i="40"/>
  <c r="C218" i="40"/>
  <c r="B219" i="40"/>
  <c r="C219" i="40"/>
  <c r="B220" i="40"/>
  <c r="C220" i="40"/>
  <c r="B221" i="40"/>
  <c r="C221" i="40"/>
  <c r="B222" i="40"/>
  <c r="C222" i="40"/>
  <c r="B223" i="40"/>
  <c r="C223" i="40"/>
  <c r="B224" i="40"/>
  <c r="C224" i="40"/>
  <c r="B225" i="40"/>
  <c r="C225" i="40"/>
  <c r="B226" i="40"/>
  <c r="C226" i="40"/>
  <c r="B227" i="40"/>
  <c r="C227" i="40"/>
  <c r="B228" i="40"/>
  <c r="C228" i="40"/>
  <c r="B229" i="40"/>
  <c r="C229" i="40"/>
  <c r="B230" i="40"/>
  <c r="C230" i="40"/>
  <c r="B231" i="40"/>
  <c r="C231" i="40"/>
  <c r="B232" i="40"/>
  <c r="C232" i="40"/>
  <c r="B233" i="40"/>
  <c r="C233" i="40"/>
  <c r="B234" i="40"/>
  <c r="C234" i="40"/>
  <c r="B235" i="40"/>
  <c r="C235" i="40"/>
  <c r="B236" i="40"/>
  <c r="C236" i="40"/>
  <c r="B237" i="40"/>
  <c r="C237" i="40"/>
  <c r="B238" i="40"/>
  <c r="C238" i="40"/>
  <c r="B239" i="40"/>
  <c r="C239" i="40"/>
  <c r="B240" i="40"/>
  <c r="C240" i="40"/>
  <c r="B241" i="40"/>
  <c r="C241" i="40"/>
  <c r="B242" i="40"/>
  <c r="C242" i="40"/>
  <c r="B243" i="40"/>
  <c r="C243" i="40"/>
  <c r="B244" i="40"/>
  <c r="C244" i="40"/>
  <c r="B245" i="40"/>
  <c r="C245" i="40"/>
  <c r="C127" i="40"/>
  <c r="B127" i="40"/>
  <c r="A57" i="53"/>
  <c r="A56" i="53"/>
  <c r="A55" i="53"/>
  <c r="A45" i="53"/>
  <c r="A34" i="53"/>
  <c r="D30" i="33"/>
  <c r="E30" i="33" s="1"/>
  <c r="L34" i="53" s="1"/>
  <c r="C30" i="33"/>
  <c r="M34" i="53"/>
  <c r="A35" i="53"/>
  <c r="D31" i="33"/>
  <c r="C3" i="33"/>
  <c r="C31" i="33"/>
  <c r="E31" i="33"/>
  <c r="L35" i="53" s="1"/>
  <c r="M35" i="53" s="1"/>
  <c r="A36" i="53"/>
  <c r="D32" i="33"/>
  <c r="C32" i="33"/>
  <c r="E32" i="33" s="1"/>
  <c r="L36" i="53" s="1"/>
  <c r="M36" i="53" s="1"/>
  <c r="A37" i="53"/>
  <c r="D33" i="33"/>
  <c r="E33" i="33" s="1"/>
  <c r="L37" i="53" s="1"/>
  <c r="C33" i="33"/>
  <c r="M37" i="53"/>
  <c r="A38" i="53"/>
  <c r="D34" i="33"/>
  <c r="E34" i="33" s="1"/>
  <c r="C34" i="33"/>
  <c r="L38" i="53"/>
  <c r="M38" i="53" s="1"/>
  <c r="A39" i="53"/>
  <c r="D7" i="33"/>
  <c r="D35" i="33"/>
  <c r="C7" i="33"/>
  <c r="C35" i="33" s="1"/>
  <c r="A40" i="53"/>
  <c r="D8" i="33"/>
  <c r="D36" i="33" s="1"/>
  <c r="E36" i="33" s="1"/>
  <c r="L40" i="53" s="1"/>
  <c r="M40" i="53" s="1"/>
  <c r="C36" i="33"/>
  <c r="A41" i="53"/>
  <c r="D37" i="33"/>
  <c r="C37" i="33"/>
  <c r="E37" i="33" s="1"/>
  <c r="L41" i="53" s="1"/>
  <c r="M41" i="53" s="1"/>
  <c r="A42" i="53"/>
  <c r="D38" i="33"/>
  <c r="E38" i="33" s="1"/>
  <c r="L42" i="53" s="1"/>
  <c r="C38" i="33"/>
  <c r="M42" i="53"/>
  <c r="A43" i="53"/>
  <c r="D39" i="33"/>
  <c r="E39" i="33" s="1"/>
  <c r="C39" i="33"/>
  <c r="L43" i="53"/>
  <c r="M43" i="53" s="1"/>
  <c r="A44" i="53"/>
  <c r="D40" i="33"/>
  <c r="C40" i="33"/>
  <c r="E40" i="33"/>
  <c r="L44" i="53" s="1"/>
  <c r="M44" i="53" s="1"/>
  <c r="D13" i="33"/>
  <c r="D41" i="33" s="1"/>
  <c r="C13" i="33"/>
  <c r="C41" i="33" s="1"/>
  <c r="A46" i="53"/>
  <c r="D42" i="33"/>
  <c r="E42" i="33" s="1"/>
  <c r="L46" i="53" s="1"/>
  <c r="M46" i="53" s="1"/>
  <c r="C42" i="33"/>
  <c r="A47" i="53"/>
  <c r="D44" i="33"/>
  <c r="D45" i="33"/>
  <c r="D46" i="33"/>
  <c r="D47" i="33"/>
  <c r="C44" i="33"/>
  <c r="C45" i="33"/>
  <c r="C46" i="33"/>
  <c r="C47" i="33"/>
  <c r="A48" i="53"/>
  <c r="E44" i="33"/>
  <c r="L48" i="53"/>
  <c r="M48" i="53" s="1"/>
  <c r="A49" i="53"/>
  <c r="A50" i="53"/>
  <c r="A51" i="53"/>
  <c r="E47" i="33"/>
  <c r="L51" i="53" s="1"/>
  <c r="M51" i="53" s="1"/>
  <c r="A52" i="53"/>
  <c r="D20" i="33"/>
  <c r="D48" i="33"/>
  <c r="C20" i="33"/>
  <c r="C48" i="33" s="1"/>
  <c r="A53" i="53"/>
  <c r="D49" i="33"/>
  <c r="C49" i="33"/>
  <c r="E49" i="33"/>
  <c r="L53" i="53" s="1"/>
  <c r="M53" i="53" s="1"/>
  <c r="A54" i="53"/>
  <c r="D50" i="33"/>
  <c r="C50" i="33"/>
  <c r="E50" i="33" s="1"/>
  <c r="L54" i="53" s="1"/>
  <c r="M54" i="53" s="1"/>
  <c r="D51" i="33"/>
  <c r="C51" i="33"/>
  <c r="E51" i="33" s="1"/>
  <c r="L55" i="53" s="1"/>
  <c r="M55" i="53" s="1"/>
  <c r="D52" i="33"/>
  <c r="C52" i="33"/>
  <c r="E52" i="33" s="1"/>
  <c r="B68" i="42"/>
  <c r="B86" i="42"/>
  <c r="B81" i="42"/>
  <c r="C46" i="18"/>
  <c r="C15" i="18" s="1"/>
  <c r="C47" i="18"/>
  <c r="C16" i="18" s="1"/>
  <c r="B69" i="42"/>
  <c r="C49" i="18"/>
  <c r="C17" i="18"/>
  <c r="B70" i="42"/>
  <c r="C51" i="18"/>
  <c r="B71" i="42"/>
  <c r="B72" i="42"/>
  <c r="B73" i="42"/>
  <c r="C21" i="18"/>
  <c r="B74" i="42"/>
  <c r="B75" i="42"/>
  <c r="C23" i="18"/>
  <c r="B76" i="42"/>
  <c r="B77" i="42"/>
  <c r="B78" i="42"/>
  <c r="B79" i="42"/>
  <c r="B80" i="42"/>
  <c r="B82" i="42"/>
  <c r="B83" i="42"/>
  <c r="B84" i="42"/>
  <c r="B85" i="42"/>
  <c r="B87" i="42"/>
  <c r="C52" i="18"/>
  <c r="C35" i="18" s="1"/>
  <c r="B88" i="42"/>
  <c r="C36" i="18"/>
  <c r="B89" i="42"/>
  <c r="B90" i="42"/>
  <c r="C38" i="18"/>
  <c r="B91" i="42"/>
  <c r="AJ72" i="60"/>
  <c r="AN72" i="60" s="1"/>
  <c r="AL72" i="60"/>
  <c r="AJ74" i="60"/>
  <c r="AL74" i="60"/>
  <c r="AN74" i="60"/>
  <c r="B92" i="42"/>
  <c r="AJ79" i="60"/>
  <c r="AN79" i="60" s="1"/>
  <c r="AL79" i="60"/>
  <c r="B93" i="42"/>
  <c r="D27" i="10"/>
  <c r="G29" i="10" a="1"/>
  <c r="K70" i="10" s="1"/>
  <c r="K69" i="10"/>
  <c r="K72" i="10"/>
  <c r="K78" i="10"/>
  <c r="K79" i="10"/>
  <c r="K81" i="10"/>
  <c r="K83" i="10"/>
  <c r="K85" i="10"/>
  <c r="K87" i="10"/>
  <c r="K89" i="10"/>
  <c r="K95" i="10"/>
  <c r="K93" i="10"/>
  <c r="K97" i="10"/>
  <c r="K98" i="10"/>
  <c r="K106" i="10"/>
  <c r="K108" i="10"/>
  <c r="K110" i="10"/>
  <c r="K112" i="10"/>
  <c r="K129" i="10"/>
  <c r="K137" i="10"/>
  <c r="K139" i="10"/>
  <c r="K140" i="10"/>
  <c r="K143" i="10"/>
  <c r="P146" i="10"/>
  <c r="P30" i="10"/>
  <c r="P31" i="10"/>
  <c r="P32" i="10"/>
  <c r="P33" i="10"/>
  <c r="P34" i="10"/>
  <c r="P35" i="10"/>
  <c r="P36" i="10"/>
  <c r="P37" i="10"/>
  <c r="P38" i="10"/>
  <c r="P39" i="10"/>
  <c r="P40" i="10"/>
  <c r="P41" i="10"/>
  <c r="P42" i="10"/>
  <c r="P43" i="10"/>
  <c r="P44" i="10"/>
  <c r="P45" i="10"/>
  <c r="P46" i="10"/>
  <c r="P47" i="10"/>
  <c r="P48" i="10"/>
  <c r="P49" i="10"/>
  <c r="P50" i="10"/>
  <c r="P153" i="10" s="1"/>
  <c r="P51" i="10"/>
  <c r="P52" i="10"/>
  <c r="P53" i="10"/>
  <c r="P54" i="10"/>
  <c r="P55" i="10"/>
  <c r="P56" i="10"/>
  <c r="P57" i="10"/>
  <c r="P58" i="10"/>
  <c r="P59" i="10"/>
  <c r="P60" i="10"/>
  <c r="P61" i="10"/>
  <c r="P62" i="10"/>
  <c r="P63" i="10"/>
  <c r="P64" i="10"/>
  <c r="P65" i="10"/>
  <c r="P66" i="10"/>
  <c r="P67" i="10"/>
  <c r="P68" i="10"/>
  <c r="P69" i="10"/>
  <c r="P70" i="10"/>
  <c r="P71" i="10"/>
  <c r="P72" i="10"/>
  <c r="P73" i="10"/>
  <c r="P74" i="10"/>
  <c r="P75" i="10"/>
  <c r="P76" i="10"/>
  <c r="P77" i="10"/>
  <c r="P78" i="10"/>
  <c r="P79" i="10"/>
  <c r="P80" i="10"/>
  <c r="P81" i="10"/>
  <c r="P82" i="10"/>
  <c r="P83" i="10"/>
  <c r="P84" i="10"/>
  <c r="P85" i="10"/>
  <c r="P86" i="10"/>
  <c r="P87" i="10"/>
  <c r="P88" i="10"/>
  <c r="P89" i="10"/>
  <c r="P90" i="10"/>
  <c r="P91" i="10"/>
  <c r="P92" i="10"/>
  <c r="P93" i="10"/>
  <c r="P94" i="10"/>
  <c r="P95" i="10"/>
  <c r="P96" i="10"/>
  <c r="P97" i="10"/>
  <c r="P98" i="10"/>
  <c r="P99" i="10"/>
  <c r="P100" i="10"/>
  <c r="P101" i="10"/>
  <c r="P102" i="10"/>
  <c r="P103" i="10"/>
  <c r="P104" i="10"/>
  <c r="P105" i="10"/>
  <c r="P106" i="10"/>
  <c r="P107" i="10"/>
  <c r="P108" i="10"/>
  <c r="P109" i="10"/>
  <c r="P110" i="10"/>
  <c r="P111" i="10"/>
  <c r="P112" i="10"/>
  <c r="P113" i="10"/>
  <c r="P114" i="10"/>
  <c r="P115" i="10"/>
  <c r="P116" i="10"/>
  <c r="P117" i="10"/>
  <c r="P118" i="10"/>
  <c r="P119" i="10"/>
  <c r="P120" i="10"/>
  <c r="P121" i="10"/>
  <c r="P122" i="10"/>
  <c r="P123" i="10"/>
  <c r="P124" i="10"/>
  <c r="P125" i="10"/>
  <c r="P126" i="10"/>
  <c r="P127" i="10"/>
  <c r="P128" i="10"/>
  <c r="P129" i="10"/>
  <c r="P130" i="10"/>
  <c r="P131" i="10"/>
  <c r="P132" i="10"/>
  <c r="P133" i="10"/>
  <c r="P134" i="10"/>
  <c r="P135" i="10"/>
  <c r="P136" i="10"/>
  <c r="P137" i="10"/>
  <c r="P138" i="10"/>
  <c r="P139" i="10"/>
  <c r="P140" i="10"/>
  <c r="P141" i="10"/>
  <c r="P142" i="10"/>
  <c r="P143" i="10"/>
  <c r="P144" i="10"/>
  <c r="P145" i="10"/>
  <c r="A53" i="10"/>
  <c r="A56" i="10"/>
  <c r="A59" i="10"/>
  <c r="A62" i="10"/>
  <c r="A65" i="10"/>
  <c r="A68" i="10"/>
  <c r="R146" i="10"/>
  <c r="R147" i="10"/>
  <c r="R148" i="10"/>
  <c r="R149" i="10"/>
  <c r="R150" i="10"/>
  <c r="R151" i="10"/>
  <c r="H194" i="40"/>
  <c r="AL246" i="40"/>
  <c r="AM246" i="40" s="1"/>
  <c r="AN246" i="40" s="1"/>
  <c r="H196" i="40"/>
  <c r="AL247" i="40"/>
  <c r="D203" i="40"/>
  <c r="E203" i="40"/>
  <c r="F203" i="40"/>
  <c r="AR248" i="40"/>
  <c r="AU248" i="40" s="1"/>
  <c r="D205" i="40"/>
  <c r="E205" i="40"/>
  <c r="F205" i="40"/>
  <c r="D206" i="40"/>
  <c r="E206" i="40"/>
  <c r="F206" i="40"/>
  <c r="AR250" i="40"/>
  <c r="AU250" i="40" s="1"/>
  <c r="D207" i="40"/>
  <c r="E207" i="40"/>
  <c r="F207" i="40"/>
  <c r="P154" i="10"/>
  <c r="Q147" i="10"/>
  <c r="Q148" i="10"/>
  <c r="Q149" i="10"/>
  <c r="Q150" i="10"/>
  <c r="Q151" i="10"/>
  <c r="U1" i="32"/>
  <c r="V1" i="32"/>
  <c r="T1" i="32"/>
  <c r="C24" i="32"/>
  <c r="L1" i="32"/>
  <c r="M1" i="32"/>
  <c r="N1" i="32"/>
  <c r="O1" i="32"/>
  <c r="K1" i="32"/>
  <c r="AR69" i="42"/>
  <c r="AR70" i="42"/>
  <c r="AR71" i="42"/>
  <c r="AR72" i="42"/>
  <c r="AR73" i="42"/>
  <c r="AR74" i="42"/>
  <c r="AR75" i="42"/>
  <c r="AR76" i="42"/>
  <c r="AR77" i="42"/>
  <c r="AR78" i="42"/>
  <c r="AR79" i="42"/>
  <c r="AR80" i="42"/>
  <c r="AR81" i="42"/>
  <c r="AR82" i="42"/>
  <c r="AR83" i="42"/>
  <c r="AR84" i="42"/>
  <c r="AR85" i="42"/>
  <c r="AR86" i="42"/>
  <c r="AR87" i="42"/>
  <c r="AR88" i="42"/>
  <c r="AR89" i="42"/>
  <c r="AR90" i="42"/>
  <c r="AR91" i="42"/>
  <c r="AP92" i="42"/>
  <c r="AQ92" i="42"/>
  <c r="AR92" i="42"/>
  <c r="AP93" i="42"/>
  <c r="AQ93" i="42"/>
  <c r="AR93" i="42"/>
  <c r="AR68" i="42"/>
  <c r="D46" i="18"/>
  <c r="D15" i="18"/>
  <c r="D47" i="18"/>
  <c r="D16" i="18" s="1"/>
  <c r="D49" i="18"/>
  <c r="D17" i="18"/>
  <c r="D51" i="18"/>
  <c r="D52" i="18"/>
  <c r="D35" i="18"/>
  <c r="D36" i="18"/>
  <c r="D38" i="18"/>
  <c r="E46" i="18"/>
  <c r="E15" i="18"/>
  <c r="E47" i="18"/>
  <c r="E16" i="18" s="1"/>
  <c r="E49" i="18"/>
  <c r="E17" i="18"/>
  <c r="E51" i="18"/>
  <c r="E52" i="18"/>
  <c r="E35" i="18"/>
  <c r="E36" i="18"/>
  <c r="E38" i="18"/>
  <c r="F46" i="18"/>
  <c r="F15" i="18"/>
  <c r="F47" i="18"/>
  <c r="F16" i="18" s="1"/>
  <c r="F49" i="18"/>
  <c r="F17" i="18"/>
  <c r="F51" i="18"/>
  <c r="F52" i="18"/>
  <c r="F38" i="18" s="1"/>
  <c r="F35" i="18"/>
  <c r="F36" i="18"/>
  <c r="AK79" i="60"/>
  <c r="AK74" i="60"/>
  <c r="AK72" i="60"/>
  <c r="AM72" i="60" s="1"/>
  <c r="E26" i="32"/>
  <c r="D26" i="32"/>
  <c r="AM74" i="60"/>
  <c r="AM79" i="60"/>
  <c r="AF74" i="60"/>
  <c r="K136" i="10"/>
  <c r="K135" i="10"/>
  <c r="D210" i="40"/>
  <c r="D194" i="40"/>
  <c r="D246" i="40" s="1"/>
  <c r="D191" i="40"/>
  <c r="D196" i="40"/>
  <c r="A149" i="60"/>
  <c r="B149" i="60"/>
  <c r="A150" i="60"/>
  <c r="B150" i="60"/>
  <c r="A151" i="60"/>
  <c r="B151" i="60"/>
  <c r="A152" i="60"/>
  <c r="B152" i="60"/>
  <c r="A153" i="60"/>
  <c r="B153" i="60"/>
  <c r="A154" i="60"/>
  <c r="B154" i="60"/>
  <c r="A155" i="60"/>
  <c r="B155" i="60"/>
  <c r="A156" i="60"/>
  <c r="B156" i="60"/>
  <c r="A157" i="60"/>
  <c r="B157" i="60"/>
  <c r="A158" i="60"/>
  <c r="B158" i="60"/>
  <c r="A159" i="60"/>
  <c r="B159" i="60"/>
  <c r="A160" i="60"/>
  <c r="B160" i="60"/>
  <c r="A161" i="60"/>
  <c r="B161" i="60"/>
  <c r="A162" i="60"/>
  <c r="B162" i="60"/>
  <c r="A163" i="60"/>
  <c r="B163" i="60"/>
  <c r="A164" i="60"/>
  <c r="B164" i="60"/>
  <c r="A165" i="60"/>
  <c r="B165" i="60"/>
  <c r="A166" i="60"/>
  <c r="B166" i="60"/>
  <c r="A167" i="60"/>
  <c r="B167" i="60"/>
  <c r="A168" i="60"/>
  <c r="B168" i="60"/>
  <c r="A169" i="60"/>
  <c r="B169" i="60"/>
  <c r="A170" i="60"/>
  <c r="B170" i="60"/>
  <c r="A171" i="60"/>
  <c r="B171" i="60"/>
  <c r="A172" i="60"/>
  <c r="B148" i="60"/>
  <c r="A148" i="60"/>
  <c r="AF72" i="60"/>
  <c r="AF79" i="60"/>
  <c r="AU42" i="18"/>
  <c r="AU43" i="18"/>
  <c r="C26" i="32"/>
  <c r="Z34" i="54"/>
  <c r="C1" i="54"/>
  <c r="B34" i="54"/>
  <c r="A58" i="54"/>
  <c r="A57" i="54"/>
  <c r="A56" i="54"/>
  <c r="A55" i="54"/>
  <c r="A54" i="54"/>
  <c r="A53" i="54"/>
  <c r="A52" i="54"/>
  <c r="A51" i="54"/>
  <c r="A50" i="54"/>
  <c r="A49" i="54"/>
  <c r="A48" i="54"/>
  <c r="A47" i="54"/>
  <c r="A46" i="54"/>
  <c r="A45" i="54"/>
  <c r="A44" i="54"/>
  <c r="A43" i="54"/>
  <c r="A42" i="54"/>
  <c r="A41" i="54"/>
  <c r="A40" i="54"/>
  <c r="A39" i="54"/>
  <c r="A38" i="54"/>
  <c r="A37" i="54"/>
  <c r="A36" i="54"/>
  <c r="A35" i="54"/>
  <c r="BO130" i="9"/>
  <c r="EK130" i="9" s="1"/>
  <c r="BS130" i="9"/>
  <c r="BP130" i="9"/>
  <c r="EL130" i="9" s="1"/>
  <c r="BT130" i="9"/>
  <c r="EM130" i="9" s="1"/>
  <c r="BU130" i="9"/>
  <c r="BO131" i="9"/>
  <c r="EK131" i="9" s="1"/>
  <c r="BS131" i="9"/>
  <c r="EL131" i="9" s="1"/>
  <c r="BP131" i="9"/>
  <c r="BT131" i="9"/>
  <c r="EM131" i="9"/>
  <c r="BU131" i="9"/>
  <c r="BO132" i="9"/>
  <c r="EK132" i="9"/>
  <c r="BS132" i="9"/>
  <c r="EL132" i="9" s="1"/>
  <c r="BP132" i="9"/>
  <c r="BT132" i="9"/>
  <c r="EM132" i="9" s="1"/>
  <c r="BU132" i="9"/>
  <c r="BO133" i="9"/>
  <c r="EK133" i="9" s="1"/>
  <c r="BS133" i="9"/>
  <c r="BP133" i="9"/>
  <c r="EL133" i="9"/>
  <c r="BT133" i="9"/>
  <c r="EM133" i="9" s="1"/>
  <c r="BU133" i="9"/>
  <c r="BO134" i="9"/>
  <c r="EK134" i="9" s="1"/>
  <c r="BS134" i="9"/>
  <c r="BP134" i="9"/>
  <c r="EL134" i="9" s="1"/>
  <c r="BT134" i="9"/>
  <c r="EM134" i="9"/>
  <c r="BU134" i="9"/>
  <c r="BO135" i="9"/>
  <c r="EK135" i="9" s="1"/>
  <c r="BS135" i="9"/>
  <c r="EL135" i="9" s="1"/>
  <c r="BP135" i="9"/>
  <c r="BT135" i="9"/>
  <c r="EM135" i="9"/>
  <c r="BU135" i="9"/>
  <c r="BO136" i="9"/>
  <c r="EK136" i="9"/>
  <c r="BS136" i="9"/>
  <c r="EL136" i="9" s="1"/>
  <c r="BP136" i="9"/>
  <c r="BT136" i="9"/>
  <c r="EM136" i="9" s="1"/>
  <c r="BU136" i="9"/>
  <c r="BO137" i="9"/>
  <c r="EK137" i="9" s="1"/>
  <c r="BS137" i="9"/>
  <c r="BP137" i="9"/>
  <c r="EL137" i="9"/>
  <c r="BT137" i="9"/>
  <c r="EM137" i="9" s="1"/>
  <c r="BU137" i="9"/>
  <c r="BO138" i="9"/>
  <c r="EK138" i="9" s="1"/>
  <c r="BS138" i="9"/>
  <c r="BP138" i="9"/>
  <c r="EL138" i="9" s="1"/>
  <c r="BT138" i="9"/>
  <c r="EM138" i="9"/>
  <c r="BU138" i="9"/>
  <c r="BO139" i="9"/>
  <c r="EK139" i="9"/>
  <c r="BS139" i="9"/>
  <c r="EL139" i="9" s="1"/>
  <c r="BP139" i="9"/>
  <c r="BT139" i="9"/>
  <c r="EM139" i="9"/>
  <c r="BU139" i="9"/>
  <c r="BO140" i="9"/>
  <c r="EK140" i="9"/>
  <c r="BS140" i="9"/>
  <c r="EL140" i="9" s="1"/>
  <c r="BP140" i="9"/>
  <c r="BT140" i="9"/>
  <c r="EM140" i="9" s="1"/>
  <c r="BU140" i="9"/>
  <c r="BO141" i="9"/>
  <c r="EK141" i="9" s="1"/>
  <c r="BS141" i="9"/>
  <c r="BP141" i="9"/>
  <c r="EL141" i="9"/>
  <c r="BT141" i="9"/>
  <c r="EM141" i="9" s="1"/>
  <c r="BU141" i="9"/>
  <c r="BO142" i="9"/>
  <c r="EK142" i="9" s="1"/>
  <c r="BS142" i="9"/>
  <c r="BP142" i="9"/>
  <c r="EL142" i="9" s="1"/>
  <c r="BT142" i="9"/>
  <c r="EM142" i="9"/>
  <c r="BU142" i="9"/>
  <c r="BO143" i="9"/>
  <c r="EK143" i="9"/>
  <c r="BS143" i="9"/>
  <c r="EL143" i="9" s="1"/>
  <c r="BP143" i="9"/>
  <c r="BT143" i="9"/>
  <c r="EM143" i="9"/>
  <c r="BU143" i="9"/>
  <c r="BO144" i="9"/>
  <c r="EK144" i="9"/>
  <c r="BS144" i="9"/>
  <c r="EL144" i="9" s="1"/>
  <c r="BP144" i="9"/>
  <c r="BT144" i="9"/>
  <c r="EM144" i="9" s="1"/>
  <c r="BU144" i="9"/>
  <c r="BO145" i="9"/>
  <c r="EK145" i="9" s="1"/>
  <c r="BS145" i="9"/>
  <c r="BP145" i="9"/>
  <c r="EL145" i="9"/>
  <c r="BT145" i="9"/>
  <c r="EM145" i="9" s="1"/>
  <c r="BU145" i="9"/>
  <c r="BO146" i="9"/>
  <c r="EK146" i="9" s="1"/>
  <c r="BS146" i="9"/>
  <c r="BP146" i="9"/>
  <c r="EL146" i="9" s="1"/>
  <c r="BT146" i="9"/>
  <c r="EM146" i="9"/>
  <c r="BU146" i="9"/>
  <c r="BO147" i="9"/>
  <c r="EK147" i="9"/>
  <c r="BS147" i="9"/>
  <c r="EL147" i="9" s="1"/>
  <c r="BP147" i="9"/>
  <c r="BT147" i="9"/>
  <c r="EM147" i="9"/>
  <c r="BU147" i="9"/>
  <c r="BO148" i="9"/>
  <c r="EK148" i="9"/>
  <c r="BS148" i="9"/>
  <c r="EL148" i="9" s="1"/>
  <c r="BP148" i="9"/>
  <c r="BT148" i="9"/>
  <c r="EM148" i="9" s="1"/>
  <c r="BU148" i="9"/>
  <c r="BO149" i="9"/>
  <c r="EK149" i="9" s="1"/>
  <c r="BS149" i="9"/>
  <c r="BP149" i="9"/>
  <c r="EL149" i="9"/>
  <c r="BT149" i="9"/>
  <c r="EM149" i="9" s="1"/>
  <c r="BU149" i="9"/>
  <c r="BO150" i="9"/>
  <c r="EK150" i="9" s="1"/>
  <c r="BS150" i="9"/>
  <c r="BP150" i="9"/>
  <c r="EL150" i="9" s="1"/>
  <c r="BT150" i="9"/>
  <c r="EM150" i="9"/>
  <c r="BU150" i="9"/>
  <c r="BO151" i="9"/>
  <c r="EK151" i="9"/>
  <c r="BS151" i="9"/>
  <c r="EL151" i="9" s="1"/>
  <c r="BP151" i="9"/>
  <c r="BT151" i="9"/>
  <c r="EM151" i="9"/>
  <c r="BU151" i="9"/>
  <c r="BO152" i="9"/>
  <c r="EK152" i="9"/>
  <c r="BS152" i="9"/>
  <c r="EL152" i="9" s="1"/>
  <c r="BP152" i="9"/>
  <c r="BT152" i="9"/>
  <c r="EM152" i="9" s="1"/>
  <c r="BU152" i="9"/>
  <c r="BO153" i="9"/>
  <c r="EK153" i="9" s="1"/>
  <c r="BS153" i="9"/>
  <c r="BP153" i="9"/>
  <c r="EL153" i="9"/>
  <c r="BT153" i="9"/>
  <c r="EM153" i="9" s="1"/>
  <c r="BU153" i="9"/>
  <c r="BO154" i="9"/>
  <c r="EK154" i="9" s="1"/>
  <c r="BS154" i="9"/>
  <c r="BP154" i="9"/>
  <c r="EL154" i="9" s="1"/>
  <c r="BT154" i="9"/>
  <c r="EM154" i="9" s="1"/>
  <c r="BU154" i="9"/>
  <c r="BO155" i="9"/>
  <c r="EK155" i="9"/>
  <c r="BS155" i="9"/>
  <c r="EL155" i="9" s="1"/>
  <c r="BP155" i="9"/>
  <c r="BT155" i="9"/>
  <c r="EM155" i="9"/>
  <c r="BU155" i="9"/>
  <c r="BO156" i="9"/>
  <c r="EK156" i="9"/>
  <c r="BS156" i="9"/>
  <c r="EL156" i="9" s="1"/>
  <c r="BP156" i="9"/>
  <c r="BT156" i="9"/>
  <c r="EM156" i="9" s="1"/>
  <c r="BU156" i="9"/>
  <c r="BO157" i="9"/>
  <c r="EK157" i="9" s="1"/>
  <c r="BS157" i="9"/>
  <c r="BP157" i="9"/>
  <c r="EL157" i="9"/>
  <c r="BT157" i="9"/>
  <c r="EM157" i="9" s="1"/>
  <c r="BU157" i="9"/>
  <c r="BO158" i="9"/>
  <c r="EK158" i="9" s="1"/>
  <c r="BS158" i="9"/>
  <c r="BP158" i="9"/>
  <c r="EL158" i="9" s="1"/>
  <c r="BT158" i="9"/>
  <c r="EM158" i="9" s="1"/>
  <c r="BU158" i="9"/>
  <c r="BO159" i="9"/>
  <c r="EK159" i="9" s="1"/>
  <c r="BS159" i="9"/>
  <c r="EL159" i="9" s="1"/>
  <c r="BP159" i="9"/>
  <c r="BT159" i="9"/>
  <c r="EM159" i="9"/>
  <c r="BU159" i="9"/>
  <c r="BO160" i="9"/>
  <c r="EK160" i="9"/>
  <c r="BS160" i="9"/>
  <c r="EL160" i="9" s="1"/>
  <c r="BP160" i="9"/>
  <c r="BT160" i="9"/>
  <c r="EM160" i="9" s="1"/>
  <c r="BU160" i="9"/>
  <c r="BO161" i="9"/>
  <c r="EK161" i="9" s="1"/>
  <c r="BS161" i="9"/>
  <c r="BP161" i="9"/>
  <c r="EL161" i="9"/>
  <c r="BT161" i="9"/>
  <c r="EM161" i="9" s="1"/>
  <c r="BU161" i="9"/>
  <c r="BO162" i="9"/>
  <c r="EK162" i="9" s="1"/>
  <c r="BS162" i="9"/>
  <c r="BP162" i="9"/>
  <c r="EL162" i="9" s="1"/>
  <c r="BT162" i="9"/>
  <c r="EM162" i="9"/>
  <c r="BU162" i="9"/>
  <c r="BO163" i="9"/>
  <c r="EK163" i="9"/>
  <c r="BS163" i="9"/>
  <c r="EL163" i="9" s="1"/>
  <c r="BP163" i="9"/>
  <c r="BT163" i="9"/>
  <c r="EM163" i="9"/>
  <c r="BU163" i="9"/>
  <c r="BO164" i="9"/>
  <c r="EK164" i="9"/>
  <c r="BS164" i="9"/>
  <c r="EL164" i="9" s="1"/>
  <c r="BP164" i="9"/>
  <c r="BT164" i="9"/>
  <c r="EM164" i="9" s="1"/>
  <c r="BU164" i="9"/>
  <c r="BO165" i="9"/>
  <c r="EK165" i="9" s="1"/>
  <c r="BS165" i="9"/>
  <c r="BP165" i="9"/>
  <c r="EL165" i="9"/>
  <c r="BT165" i="9"/>
  <c r="EM165" i="9" s="1"/>
  <c r="BU165" i="9"/>
  <c r="BO166" i="9"/>
  <c r="EK166" i="9" s="1"/>
  <c r="BS166" i="9"/>
  <c r="BP166" i="9"/>
  <c r="EL166" i="9" s="1"/>
  <c r="BT166" i="9"/>
  <c r="EM166" i="9"/>
  <c r="BU166" i="9"/>
  <c r="BO167" i="9"/>
  <c r="EK167" i="9"/>
  <c r="BS167" i="9"/>
  <c r="EL167" i="9" s="1"/>
  <c r="BP167" i="9"/>
  <c r="BT167" i="9"/>
  <c r="EM167" i="9"/>
  <c r="BU167" i="9"/>
  <c r="BO168" i="9"/>
  <c r="EK168" i="9"/>
  <c r="BS168" i="9"/>
  <c r="EL168" i="9" s="1"/>
  <c r="BP168" i="9"/>
  <c r="BT168" i="9"/>
  <c r="EM168" i="9" s="1"/>
  <c r="BU168" i="9"/>
  <c r="BO169" i="9"/>
  <c r="EK169" i="9" s="1"/>
  <c r="BS169" i="9"/>
  <c r="BP169" i="9"/>
  <c r="EL169" i="9"/>
  <c r="BT169" i="9"/>
  <c r="EM169" i="9" s="1"/>
  <c r="BU169" i="9"/>
  <c r="BO170" i="9"/>
  <c r="EK170" i="9" s="1"/>
  <c r="BS170" i="9"/>
  <c r="BP170" i="9"/>
  <c r="EL170" i="9" s="1"/>
  <c r="BT170" i="9"/>
  <c r="EM170" i="9"/>
  <c r="BU170" i="9"/>
  <c r="BO171" i="9"/>
  <c r="EK171" i="9"/>
  <c r="BS171" i="9"/>
  <c r="EL171" i="9" s="1"/>
  <c r="BP171" i="9"/>
  <c r="BT171" i="9"/>
  <c r="EM171" i="9"/>
  <c r="BU171" i="9"/>
  <c r="BO172" i="9"/>
  <c r="EK172" i="9"/>
  <c r="BS172" i="9"/>
  <c r="EL172" i="9" s="1"/>
  <c r="BP172" i="9"/>
  <c r="BT172" i="9"/>
  <c r="EM172" i="9" s="1"/>
  <c r="BU172" i="9"/>
  <c r="BO173" i="9"/>
  <c r="EK173" i="9" s="1"/>
  <c r="BS173" i="9"/>
  <c r="BP173" i="9"/>
  <c r="EL173" i="9"/>
  <c r="BT173" i="9"/>
  <c r="EM173" i="9" s="1"/>
  <c r="BU173" i="9"/>
  <c r="BO174" i="9"/>
  <c r="EK174" i="9" s="1"/>
  <c r="BS174" i="9"/>
  <c r="BP174" i="9"/>
  <c r="EL174" i="9" s="1"/>
  <c r="BT174" i="9"/>
  <c r="EM174" i="9"/>
  <c r="BU174" i="9"/>
  <c r="BO175" i="9"/>
  <c r="EK175" i="9"/>
  <c r="BS175" i="9"/>
  <c r="EL175" i="9" s="1"/>
  <c r="BP175" i="9"/>
  <c r="BT175" i="9"/>
  <c r="EM175" i="9"/>
  <c r="BU175" i="9"/>
  <c r="BO176" i="9"/>
  <c r="EK176" i="9"/>
  <c r="BS176" i="9"/>
  <c r="EL176" i="9" s="1"/>
  <c r="BP176" i="9"/>
  <c r="BT176" i="9"/>
  <c r="EM176" i="9" s="1"/>
  <c r="BU176" i="9"/>
  <c r="BO177" i="9"/>
  <c r="EK177" i="9" s="1"/>
  <c r="BS177" i="9"/>
  <c r="BP177" i="9"/>
  <c r="EL177" i="9"/>
  <c r="BT177" i="9"/>
  <c r="EM177" i="9" s="1"/>
  <c r="BU177" i="9"/>
  <c r="BO178" i="9"/>
  <c r="EK178" i="9" s="1"/>
  <c r="BS178" i="9"/>
  <c r="BP178" i="9"/>
  <c r="EL178" i="9" s="1"/>
  <c r="BT178" i="9"/>
  <c r="EM178" i="9"/>
  <c r="BU178" i="9"/>
  <c r="BO179" i="9"/>
  <c r="EK179" i="9"/>
  <c r="BS179" i="9"/>
  <c r="EL179" i="9" s="1"/>
  <c r="BP179" i="9"/>
  <c r="BT179" i="9"/>
  <c r="EM179" i="9"/>
  <c r="BU179" i="9"/>
  <c r="BO180" i="9"/>
  <c r="EK180" i="9"/>
  <c r="BS180" i="9"/>
  <c r="EL180" i="9" s="1"/>
  <c r="BP180" i="9"/>
  <c r="BT180" i="9"/>
  <c r="EM180" i="9" s="1"/>
  <c r="BU180" i="9"/>
  <c r="BO181" i="9"/>
  <c r="EK181" i="9" s="1"/>
  <c r="BS181" i="9"/>
  <c r="BP181" i="9"/>
  <c r="EL181" i="9"/>
  <c r="BT181" i="9"/>
  <c r="EM181" i="9" s="1"/>
  <c r="BU181" i="9"/>
  <c r="BO182" i="9"/>
  <c r="EK182" i="9" s="1"/>
  <c r="BS182" i="9"/>
  <c r="BP182" i="9"/>
  <c r="EL182" i="9" s="1"/>
  <c r="BT182" i="9"/>
  <c r="EM182" i="9"/>
  <c r="BU182" i="9"/>
  <c r="BO183" i="9"/>
  <c r="EK183" i="9"/>
  <c r="BS183" i="9"/>
  <c r="EL183" i="9" s="1"/>
  <c r="BP183" i="9"/>
  <c r="BT183" i="9"/>
  <c r="EM183" i="9"/>
  <c r="BU183" i="9"/>
  <c r="BO184" i="9"/>
  <c r="EK184" i="9"/>
  <c r="BS184" i="9"/>
  <c r="EL184" i="9" s="1"/>
  <c r="BP184" i="9"/>
  <c r="BT184" i="9"/>
  <c r="EM184" i="9" s="1"/>
  <c r="BU184" i="9"/>
  <c r="BO185" i="9"/>
  <c r="EK185" i="9" s="1"/>
  <c r="BS185" i="9"/>
  <c r="BP185" i="9"/>
  <c r="EL185" i="9"/>
  <c r="BT185" i="9"/>
  <c r="EM185" i="9" s="1"/>
  <c r="BU185" i="9"/>
  <c r="BO186" i="9"/>
  <c r="EK186" i="9" s="1"/>
  <c r="BS186" i="9"/>
  <c r="BP186" i="9"/>
  <c r="EL186" i="9" s="1"/>
  <c r="BT186" i="9"/>
  <c r="EM186" i="9"/>
  <c r="BU186" i="9"/>
  <c r="BO187" i="9"/>
  <c r="EK187" i="9"/>
  <c r="BS187" i="9"/>
  <c r="EL187" i="9" s="1"/>
  <c r="BP187" i="9"/>
  <c r="BT187" i="9"/>
  <c r="EM187" i="9"/>
  <c r="BU187" i="9"/>
  <c r="BO188" i="9"/>
  <c r="EK188" i="9"/>
  <c r="BS188" i="9"/>
  <c r="EL188" i="9" s="1"/>
  <c r="BP188" i="9"/>
  <c r="BT188" i="9"/>
  <c r="EM188" i="9" s="1"/>
  <c r="BU188" i="9"/>
  <c r="BO189" i="9"/>
  <c r="EK189" i="9" s="1"/>
  <c r="BS189" i="9"/>
  <c r="BP189" i="9"/>
  <c r="EL189" i="9"/>
  <c r="BT189" i="9"/>
  <c r="EM189" i="9" s="1"/>
  <c r="BU189" i="9"/>
  <c r="BO190" i="9"/>
  <c r="EK190" i="9" s="1"/>
  <c r="BS190" i="9"/>
  <c r="BP190" i="9"/>
  <c r="EL190" i="9" s="1"/>
  <c r="BT190" i="9"/>
  <c r="EM190" i="9"/>
  <c r="BU190" i="9"/>
  <c r="BO191" i="9"/>
  <c r="EK191" i="9"/>
  <c r="BS191" i="9"/>
  <c r="EL191" i="9" s="1"/>
  <c r="BP191" i="9"/>
  <c r="BT191" i="9"/>
  <c r="EM191" i="9"/>
  <c r="BU191" i="9"/>
  <c r="BO192" i="9"/>
  <c r="EK192" i="9"/>
  <c r="BS192" i="9"/>
  <c r="EL192" i="9" s="1"/>
  <c r="BP192" i="9"/>
  <c r="BT192" i="9"/>
  <c r="EM192" i="9" s="1"/>
  <c r="BU192" i="9"/>
  <c r="BO193" i="9"/>
  <c r="BS193" i="9"/>
  <c r="BP193" i="9"/>
  <c r="EL193" i="9"/>
  <c r="BT193" i="9"/>
  <c r="EM193" i="9" s="1"/>
  <c r="BU193" i="9"/>
  <c r="BO194" i="9"/>
  <c r="EK194" i="9" s="1"/>
  <c r="BS194" i="9"/>
  <c r="BP194" i="9"/>
  <c r="EL194" i="9" s="1"/>
  <c r="BT194" i="9"/>
  <c r="EM194" i="9"/>
  <c r="BU194" i="9"/>
  <c r="BO195" i="9"/>
  <c r="EK195" i="9"/>
  <c r="BS195" i="9"/>
  <c r="EL195" i="9" s="1"/>
  <c r="BP195" i="9"/>
  <c r="BT195" i="9"/>
  <c r="EM195" i="9"/>
  <c r="BU195" i="9"/>
  <c r="BO196" i="9"/>
  <c r="EK196" i="9"/>
  <c r="BS196" i="9"/>
  <c r="EL196" i="9" s="1"/>
  <c r="BP196" i="9"/>
  <c r="BT196" i="9"/>
  <c r="BU196" i="9"/>
  <c r="BO197" i="9"/>
  <c r="EK197" i="9" s="1"/>
  <c r="BS197" i="9"/>
  <c r="BP197" i="9"/>
  <c r="EL197" i="9"/>
  <c r="BT197" i="9"/>
  <c r="EM197" i="9" s="1"/>
  <c r="BU197" i="9"/>
  <c r="BO198" i="9"/>
  <c r="EK198" i="9" s="1"/>
  <c r="BS198" i="9"/>
  <c r="BP198" i="9"/>
  <c r="EL198" i="9" s="1"/>
  <c r="BT198" i="9"/>
  <c r="EM198" i="9"/>
  <c r="BU198" i="9"/>
  <c r="BO199" i="9"/>
  <c r="EK199" i="9"/>
  <c r="BS199" i="9"/>
  <c r="EL199" i="9" s="1"/>
  <c r="BP199" i="9"/>
  <c r="BT199" i="9"/>
  <c r="EM199" i="9"/>
  <c r="BU199" i="9"/>
  <c r="BO200" i="9"/>
  <c r="EK200" i="9"/>
  <c r="BS200" i="9"/>
  <c r="EL200" i="9" s="1"/>
  <c r="BP200" i="9"/>
  <c r="BT200" i="9"/>
  <c r="EM200" i="9" s="1"/>
  <c r="BU200" i="9"/>
  <c r="BO201" i="9"/>
  <c r="EK201" i="9" s="1"/>
  <c r="BS201" i="9"/>
  <c r="BP201" i="9"/>
  <c r="EL201" i="9"/>
  <c r="BT201" i="9"/>
  <c r="EM201" i="9" s="1"/>
  <c r="BU201" i="9"/>
  <c r="BO202" i="9"/>
  <c r="EK202" i="9" s="1"/>
  <c r="BS202" i="9"/>
  <c r="BP202" i="9"/>
  <c r="EL202" i="9" s="1"/>
  <c r="BT202" i="9"/>
  <c r="EM202" i="9"/>
  <c r="BU202" i="9"/>
  <c r="BO203" i="9"/>
  <c r="EK203" i="9"/>
  <c r="BS203" i="9"/>
  <c r="EL203" i="9" s="1"/>
  <c r="BP203" i="9"/>
  <c r="BT203" i="9"/>
  <c r="EM203" i="9"/>
  <c r="BU203" i="9"/>
  <c r="BO204" i="9"/>
  <c r="EK204" i="9"/>
  <c r="BS204" i="9"/>
  <c r="EL204" i="9" s="1"/>
  <c r="BP204" i="9"/>
  <c r="BT204" i="9"/>
  <c r="EM204" i="9" s="1"/>
  <c r="BU204" i="9"/>
  <c r="BO205" i="9"/>
  <c r="EK205" i="9" s="1"/>
  <c r="BS205" i="9"/>
  <c r="BP205" i="9"/>
  <c r="EL205" i="9"/>
  <c r="BT205" i="9"/>
  <c r="EM205" i="9" s="1"/>
  <c r="BU205" i="9"/>
  <c r="BO206" i="9"/>
  <c r="EK206" i="9" s="1"/>
  <c r="BS206" i="9"/>
  <c r="BP206" i="9"/>
  <c r="EL206" i="9"/>
  <c r="BT206" i="9"/>
  <c r="EM206" i="9" s="1"/>
  <c r="BU206" i="9"/>
  <c r="BO207" i="9"/>
  <c r="EK207" i="9" s="1"/>
  <c r="BS207" i="9"/>
  <c r="BP207" i="9"/>
  <c r="BT207" i="9"/>
  <c r="EM207" i="9"/>
  <c r="BU207" i="9"/>
  <c r="BO208" i="9"/>
  <c r="EK208" i="9"/>
  <c r="BS208" i="9"/>
  <c r="BP208" i="9"/>
  <c r="BT208" i="9"/>
  <c r="BU208" i="9"/>
  <c r="BO209" i="9"/>
  <c r="BS209" i="9"/>
  <c r="BP209" i="9"/>
  <c r="EL209" i="9"/>
  <c r="BT209" i="9"/>
  <c r="BU209" i="9"/>
  <c r="BO210" i="9"/>
  <c r="EK210" i="9" s="1"/>
  <c r="BS210" i="9"/>
  <c r="BP210" i="9"/>
  <c r="EL210" i="9"/>
  <c r="BT210" i="9"/>
  <c r="EM210" i="9"/>
  <c r="BU210" i="9"/>
  <c r="BO211" i="9"/>
  <c r="EK211" i="9"/>
  <c r="BS211" i="9"/>
  <c r="BP211" i="9"/>
  <c r="BT211" i="9"/>
  <c r="EM211" i="9"/>
  <c r="BU211" i="9"/>
  <c r="BO212" i="9"/>
  <c r="EK212" i="9"/>
  <c r="BS212" i="9"/>
  <c r="BP212" i="9"/>
  <c r="BT212" i="9"/>
  <c r="EM212" i="9"/>
  <c r="BU212" i="9"/>
  <c r="BO213" i="9"/>
  <c r="EK213" i="9"/>
  <c r="BS213" i="9"/>
  <c r="BP213" i="9"/>
  <c r="EL213" i="9"/>
  <c r="BT213" i="9"/>
  <c r="EM213" i="9" s="1"/>
  <c r="BU213" i="9"/>
  <c r="BO214" i="9"/>
  <c r="EK214" i="9" s="1"/>
  <c r="BS214" i="9"/>
  <c r="BP214" i="9"/>
  <c r="EL214" i="9"/>
  <c r="BT214" i="9"/>
  <c r="EM214" i="9"/>
  <c r="BU214" i="9"/>
  <c r="BO215" i="9"/>
  <c r="EK215" i="9"/>
  <c r="BS215" i="9"/>
  <c r="BP215" i="9"/>
  <c r="BT215" i="9"/>
  <c r="EM215" i="9"/>
  <c r="BU215" i="9"/>
  <c r="BO216" i="9"/>
  <c r="EK216" i="9"/>
  <c r="BS216" i="9"/>
  <c r="EL216" i="9" s="1"/>
  <c r="BP216" i="9"/>
  <c r="BT216" i="9"/>
  <c r="EM216" i="9" s="1"/>
  <c r="BU216" i="9"/>
  <c r="BO217" i="9"/>
  <c r="EK217" i="9"/>
  <c r="BS217" i="9"/>
  <c r="BP217" i="9"/>
  <c r="EL217" i="9"/>
  <c r="BT217" i="9"/>
  <c r="EM217" i="9" s="1"/>
  <c r="BU217" i="9"/>
  <c r="BO218" i="9"/>
  <c r="EK218" i="9" s="1"/>
  <c r="BS218" i="9"/>
  <c r="BP218" i="9"/>
  <c r="EL218" i="9"/>
  <c r="BT218" i="9"/>
  <c r="EM218" i="9"/>
  <c r="BU218" i="9"/>
  <c r="BO219" i="9"/>
  <c r="EK219" i="9"/>
  <c r="BS219" i="9"/>
  <c r="BP219" i="9"/>
  <c r="BT219" i="9"/>
  <c r="EM219" i="9"/>
  <c r="BU219" i="9"/>
  <c r="BO220" i="9"/>
  <c r="EK220" i="9"/>
  <c r="BS220" i="9"/>
  <c r="EL220" i="9" s="1"/>
  <c r="BP220" i="9"/>
  <c r="BT220" i="9"/>
  <c r="EM220" i="9"/>
  <c r="BU220" i="9"/>
  <c r="BO221" i="9"/>
  <c r="EK221" i="9" s="1"/>
  <c r="BS221" i="9"/>
  <c r="BP221" i="9"/>
  <c r="EL221" i="9"/>
  <c r="BT221" i="9"/>
  <c r="EM221" i="9" s="1"/>
  <c r="BU221" i="9"/>
  <c r="BO222" i="9"/>
  <c r="EK222" i="9" s="1"/>
  <c r="BS222" i="9"/>
  <c r="BP222" i="9"/>
  <c r="EL222" i="9"/>
  <c r="BT222" i="9"/>
  <c r="EM222" i="9"/>
  <c r="BU222" i="9"/>
  <c r="BO223" i="9"/>
  <c r="EK223" i="9"/>
  <c r="BS223" i="9"/>
  <c r="BP223" i="9"/>
  <c r="BT223" i="9"/>
  <c r="EM223" i="9"/>
  <c r="BU223" i="9"/>
  <c r="BO224" i="9"/>
  <c r="EK224" i="9"/>
  <c r="BS224" i="9"/>
  <c r="EL224" i="9" s="1"/>
  <c r="BP224" i="9"/>
  <c r="BT224" i="9"/>
  <c r="EM224" i="9" s="1"/>
  <c r="BU224" i="9"/>
  <c r="BO225" i="9"/>
  <c r="EK225" i="9"/>
  <c r="BS225" i="9"/>
  <c r="BP225" i="9"/>
  <c r="EL225" i="9"/>
  <c r="BT225" i="9"/>
  <c r="EM225" i="9" s="1"/>
  <c r="BU225" i="9"/>
  <c r="BO226" i="9"/>
  <c r="EK226" i="9" s="1"/>
  <c r="BS226" i="9"/>
  <c r="BP226" i="9"/>
  <c r="EL226" i="9"/>
  <c r="BT226" i="9"/>
  <c r="EM226" i="9"/>
  <c r="BU226" i="9"/>
  <c r="BO227" i="9"/>
  <c r="EK227" i="9"/>
  <c r="BS227" i="9"/>
  <c r="BP227" i="9"/>
  <c r="BT227" i="9"/>
  <c r="EM227" i="9"/>
  <c r="BU227" i="9"/>
  <c r="BO228" i="9"/>
  <c r="EK228" i="9"/>
  <c r="BS228" i="9"/>
  <c r="EL228" i="9" s="1"/>
  <c r="BP228" i="9"/>
  <c r="BT228" i="9"/>
  <c r="EM228" i="9"/>
  <c r="BU228" i="9"/>
  <c r="BO229" i="9"/>
  <c r="EK229" i="9"/>
  <c r="BS229" i="9"/>
  <c r="BP229" i="9"/>
  <c r="EL229" i="9"/>
  <c r="BT229" i="9"/>
  <c r="EM229" i="9" s="1"/>
  <c r="BU229" i="9"/>
  <c r="BO230" i="9"/>
  <c r="EK230" i="9" s="1"/>
  <c r="BS230" i="9"/>
  <c r="BP230" i="9"/>
  <c r="BT230" i="9"/>
  <c r="EM230" i="9" s="1"/>
  <c r="BU230" i="9"/>
  <c r="BO231" i="9"/>
  <c r="EK231" i="9"/>
  <c r="BS231" i="9"/>
  <c r="BP231" i="9"/>
  <c r="BT231" i="9"/>
  <c r="EM231" i="9"/>
  <c r="BU231" i="9"/>
  <c r="BO232" i="9"/>
  <c r="EK232" i="9"/>
  <c r="BS232" i="9"/>
  <c r="EL232" i="9" s="1"/>
  <c r="BP232" i="9"/>
  <c r="BT232" i="9"/>
  <c r="EM232" i="9" s="1"/>
  <c r="BU232" i="9"/>
  <c r="BO233" i="9"/>
  <c r="EK233" i="9"/>
  <c r="BS233" i="9"/>
  <c r="BP233" i="9"/>
  <c r="EL233" i="9"/>
  <c r="BT233" i="9"/>
  <c r="EM233" i="9" s="1"/>
  <c r="BU233" i="9"/>
  <c r="BO234" i="9"/>
  <c r="EK234" i="9" s="1"/>
  <c r="BS234" i="9"/>
  <c r="BP234" i="9"/>
  <c r="EL234" i="9" s="1"/>
  <c r="BT234" i="9"/>
  <c r="EM234" i="9"/>
  <c r="BU234" i="9"/>
  <c r="BO235" i="9"/>
  <c r="EK235" i="9"/>
  <c r="BS235" i="9"/>
  <c r="EL235" i="9" s="1"/>
  <c r="BP235" i="9"/>
  <c r="BT235" i="9"/>
  <c r="EM235" i="9"/>
  <c r="BU235" i="9"/>
  <c r="BO236" i="9"/>
  <c r="EK236" i="9"/>
  <c r="BS236" i="9"/>
  <c r="EL236" i="9" s="1"/>
  <c r="BP236" i="9"/>
  <c r="BT236" i="9"/>
  <c r="EM236" i="9" s="1"/>
  <c r="BU236" i="9"/>
  <c r="BO237" i="9"/>
  <c r="EK237" i="9" s="1"/>
  <c r="BS237" i="9"/>
  <c r="BP237" i="9"/>
  <c r="EL237" i="9"/>
  <c r="BT237" i="9"/>
  <c r="EM237" i="9" s="1"/>
  <c r="BU237" i="9"/>
  <c r="BO238" i="9"/>
  <c r="EK238" i="9" s="1"/>
  <c r="BS238" i="9"/>
  <c r="BP238" i="9"/>
  <c r="EL238" i="9"/>
  <c r="BT238" i="9"/>
  <c r="EM238" i="9"/>
  <c r="BU238" i="9"/>
  <c r="BO239" i="9"/>
  <c r="EK239" i="9" s="1"/>
  <c r="BS239" i="9"/>
  <c r="EL239" i="9" s="1"/>
  <c r="BP239" i="9"/>
  <c r="BT239" i="9"/>
  <c r="EM239" i="9"/>
  <c r="BU239" i="9"/>
  <c r="BO240" i="9"/>
  <c r="EK240" i="9"/>
  <c r="BS240" i="9"/>
  <c r="EL240" i="9" s="1"/>
  <c r="BP240" i="9"/>
  <c r="BT240" i="9"/>
  <c r="EM240" i="9"/>
  <c r="BU240" i="9"/>
  <c r="BO241" i="9"/>
  <c r="EK241" i="9" s="1"/>
  <c r="BS241" i="9"/>
  <c r="BP241" i="9"/>
  <c r="EL241" i="9"/>
  <c r="BT241" i="9"/>
  <c r="EM241" i="9" s="1"/>
  <c r="BU241" i="9"/>
  <c r="BO242" i="9"/>
  <c r="EK242" i="9" s="1"/>
  <c r="BS242" i="9"/>
  <c r="BP242" i="9"/>
  <c r="EL242" i="9"/>
  <c r="BT242" i="9"/>
  <c r="EM242" i="9" s="1"/>
  <c r="BU242" i="9"/>
  <c r="BO243" i="9"/>
  <c r="EK243" i="9" s="1"/>
  <c r="BS243" i="9"/>
  <c r="EL243" i="9" s="1"/>
  <c r="BP243" i="9"/>
  <c r="BT243" i="9"/>
  <c r="EM243" i="9"/>
  <c r="BU243" i="9"/>
  <c r="BO244" i="9"/>
  <c r="EK244" i="9"/>
  <c r="BS244" i="9"/>
  <c r="EL244" i="9" s="1"/>
  <c r="BP244" i="9"/>
  <c r="BT244" i="9"/>
  <c r="EM244" i="9"/>
  <c r="BU244" i="9"/>
  <c r="BO245" i="9"/>
  <c r="EK245" i="9" s="1"/>
  <c r="BS245" i="9"/>
  <c r="BP245" i="9"/>
  <c r="EL245" i="9"/>
  <c r="BT245" i="9"/>
  <c r="EM245" i="9" s="1"/>
  <c r="BU245" i="9"/>
  <c r="BS246" i="9"/>
  <c r="BP246" i="9"/>
  <c r="EL246" i="9" s="1"/>
  <c r="BU246" i="9"/>
  <c r="BU129" i="9"/>
  <c r="BP129" i="9"/>
  <c r="EL129" i="9" s="1"/>
  <c r="BS129" i="9"/>
  <c r="BT129" i="9"/>
  <c r="EM129" i="9" s="1"/>
  <c r="BO129" i="9"/>
  <c r="EK129" i="9"/>
  <c r="BY130" i="9"/>
  <c r="BZ130" i="9"/>
  <c r="CA130" i="9"/>
  <c r="CG130" i="9"/>
  <c r="CH130" i="9"/>
  <c r="CJ130" i="9"/>
  <c r="CK130" i="9"/>
  <c r="CL130" i="9"/>
  <c r="CM130" i="9"/>
  <c r="CN130" i="9"/>
  <c r="CO130" i="9"/>
  <c r="CP130" i="9"/>
  <c r="CQ130" i="9"/>
  <c r="CR130" i="9"/>
  <c r="CS130" i="9"/>
  <c r="CT130" i="9"/>
  <c r="CU130" i="9"/>
  <c r="CV130" i="9"/>
  <c r="CW130" i="9"/>
  <c r="CX130" i="9"/>
  <c r="CY130" i="9"/>
  <c r="DA130" i="9"/>
  <c r="DB130" i="9"/>
  <c r="DC130" i="9"/>
  <c r="DD130" i="9"/>
  <c r="DE130" i="9"/>
  <c r="DF130" i="9"/>
  <c r="DG130" i="9"/>
  <c r="DI130" i="9"/>
  <c r="DK130" i="9"/>
  <c r="DL130" i="9"/>
  <c r="DM130" i="9"/>
  <c r="DN130" i="9"/>
  <c r="DO130" i="9"/>
  <c r="DJ130" i="9"/>
  <c r="DH130" i="9"/>
  <c r="CZ130" i="9"/>
  <c r="BY131" i="9"/>
  <c r="BZ131" i="9"/>
  <c r="CA131" i="9"/>
  <c r="CG131" i="9"/>
  <c r="CH131" i="9"/>
  <c r="CJ131" i="9"/>
  <c r="CK131" i="9"/>
  <c r="CL131" i="9"/>
  <c r="CM131" i="9"/>
  <c r="CN131" i="9"/>
  <c r="CO131" i="9"/>
  <c r="CP131" i="9"/>
  <c r="CQ131" i="9"/>
  <c r="CR131" i="9"/>
  <c r="CS131" i="9"/>
  <c r="CT131" i="9"/>
  <c r="CU131" i="9"/>
  <c r="CV131" i="9"/>
  <c r="CW131" i="9"/>
  <c r="CX131" i="9"/>
  <c r="CY131" i="9"/>
  <c r="DA131" i="9"/>
  <c r="DB131" i="9"/>
  <c r="DC131" i="9"/>
  <c r="DD131" i="9"/>
  <c r="DE131" i="9"/>
  <c r="DF131" i="9"/>
  <c r="DG131" i="9"/>
  <c r="DI131" i="9"/>
  <c r="DK131" i="9"/>
  <c r="DL131" i="9"/>
  <c r="DM131" i="9"/>
  <c r="DN131" i="9"/>
  <c r="DO131" i="9"/>
  <c r="DJ131" i="9"/>
  <c r="DH131" i="9"/>
  <c r="CZ131" i="9"/>
  <c r="EJ131" i="9"/>
  <c r="BY132" i="9"/>
  <c r="BZ132" i="9"/>
  <c r="CA132" i="9"/>
  <c r="CG132" i="9"/>
  <c r="CH132" i="9"/>
  <c r="CJ132" i="9"/>
  <c r="CK132" i="9"/>
  <c r="CL132" i="9"/>
  <c r="CM132" i="9"/>
  <c r="CN132" i="9"/>
  <c r="CO132" i="9"/>
  <c r="CP132" i="9"/>
  <c r="CQ132" i="9"/>
  <c r="CR132" i="9"/>
  <c r="CS132" i="9"/>
  <c r="CT132" i="9"/>
  <c r="CU132" i="9"/>
  <c r="CV132" i="9"/>
  <c r="CW132" i="9"/>
  <c r="CX132" i="9"/>
  <c r="CY132" i="9"/>
  <c r="DA132" i="9"/>
  <c r="DB132" i="9"/>
  <c r="DC132" i="9"/>
  <c r="DD132" i="9"/>
  <c r="DE132" i="9"/>
  <c r="DF132" i="9"/>
  <c r="DG132" i="9"/>
  <c r="DI132" i="9"/>
  <c r="DK132" i="9"/>
  <c r="DL132" i="9"/>
  <c r="EI132" i="9"/>
  <c r="DM132" i="9"/>
  <c r="DN132" i="9"/>
  <c r="DO132" i="9"/>
  <c r="DJ132" i="9"/>
  <c r="EJ132" i="9" s="1"/>
  <c r="DH132" i="9"/>
  <c r="CZ132" i="9"/>
  <c r="BY133" i="9"/>
  <c r="BZ133" i="9"/>
  <c r="CA133" i="9"/>
  <c r="CG133" i="9"/>
  <c r="CH133" i="9"/>
  <c r="CJ133" i="9"/>
  <c r="CK133" i="9"/>
  <c r="CL133" i="9"/>
  <c r="CM133" i="9"/>
  <c r="CN133" i="9"/>
  <c r="CO133" i="9"/>
  <c r="CP133" i="9"/>
  <c r="CQ133" i="9"/>
  <c r="CR133" i="9"/>
  <c r="CS133" i="9"/>
  <c r="CT133" i="9"/>
  <c r="CU133" i="9"/>
  <c r="CV133" i="9"/>
  <c r="CW133" i="9"/>
  <c r="CX133" i="9"/>
  <c r="CY133" i="9"/>
  <c r="DA133" i="9"/>
  <c r="DB133" i="9"/>
  <c r="DC133" i="9"/>
  <c r="DD133" i="9"/>
  <c r="DE133" i="9"/>
  <c r="DF133" i="9"/>
  <c r="DG133" i="9"/>
  <c r="DI133" i="9"/>
  <c r="DK133" i="9"/>
  <c r="DL133" i="9"/>
  <c r="DM133" i="9"/>
  <c r="DN133" i="9"/>
  <c r="DO133" i="9"/>
  <c r="DJ133" i="9"/>
  <c r="DH133" i="9"/>
  <c r="CZ133" i="9"/>
  <c r="BY134" i="9"/>
  <c r="BZ134" i="9"/>
  <c r="CA134" i="9"/>
  <c r="CG134" i="9"/>
  <c r="CH134" i="9"/>
  <c r="CJ134" i="9"/>
  <c r="CK134" i="9"/>
  <c r="CL134" i="9"/>
  <c r="CM134" i="9"/>
  <c r="CN134" i="9"/>
  <c r="CO134" i="9"/>
  <c r="CP134" i="9"/>
  <c r="CQ134" i="9"/>
  <c r="CR134" i="9"/>
  <c r="CS134" i="9"/>
  <c r="CT134" i="9"/>
  <c r="CU134" i="9"/>
  <c r="CV134" i="9"/>
  <c r="CW134" i="9"/>
  <c r="CX134" i="9"/>
  <c r="CY134" i="9"/>
  <c r="DA134" i="9"/>
  <c r="DB134" i="9"/>
  <c r="DC134" i="9"/>
  <c r="DD134" i="9"/>
  <c r="DE134" i="9"/>
  <c r="DF134" i="9"/>
  <c r="DG134" i="9"/>
  <c r="DI134" i="9"/>
  <c r="DK134" i="9"/>
  <c r="DL134" i="9"/>
  <c r="DM134" i="9"/>
  <c r="DN134" i="9"/>
  <c r="DO134" i="9"/>
  <c r="DJ134" i="9"/>
  <c r="DH134" i="9"/>
  <c r="CZ134" i="9"/>
  <c r="BY135" i="9"/>
  <c r="BZ135" i="9"/>
  <c r="CA135" i="9"/>
  <c r="CG135" i="9"/>
  <c r="CH135" i="9"/>
  <c r="CJ135" i="9"/>
  <c r="CK135" i="9"/>
  <c r="CL135" i="9"/>
  <c r="CM135" i="9"/>
  <c r="CN135" i="9"/>
  <c r="CO135" i="9"/>
  <c r="CP135" i="9"/>
  <c r="CQ135" i="9"/>
  <c r="CR135" i="9"/>
  <c r="CS135" i="9"/>
  <c r="CT135" i="9"/>
  <c r="CU135" i="9"/>
  <c r="CV135" i="9"/>
  <c r="CW135" i="9"/>
  <c r="CX135" i="9"/>
  <c r="CY135" i="9"/>
  <c r="DA135" i="9"/>
  <c r="DB135" i="9"/>
  <c r="DC135" i="9"/>
  <c r="DD135" i="9"/>
  <c r="DE135" i="9"/>
  <c r="DF135" i="9"/>
  <c r="DG135" i="9"/>
  <c r="DI135" i="9"/>
  <c r="DK135" i="9"/>
  <c r="DL135" i="9"/>
  <c r="DM135" i="9"/>
  <c r="DN135" i="9"/>
  <c r="DO135" i="9"/>
  <c r="DJ135" i="9"/>
  <c r="DH135" i="9"/>
  <c r="CZ135" i="9"/>
  <c r="EJ135" i="9"/>
  <c r="BY136" i="9"/>
  <c r="BZ136" i="9"/>
  <c r="CA136" i="9"/>
  <c r="CG136" i="9"/>
  <c r="CH136" i="9"/>
  <c r="CJ136" i="9"/>
  <c r="CK136" i="9"/>
  <c r="CL136" i="9"/>
  <c r="CM136" i="9"/>
  <c r="CN136" i="9"/>
  <c r="CO136" i="9"/>
  <c r="CP136" i="9"/>
  <c r="CQ136" i="9"/>
  <c r="CR136" i="9"/>
  <c r="CS136" i="9"/>
  <c r="CT136" i="9"/>
  <c r="CU136" i="9"/>
  <c r="CV136" i="9"/>
  <c r="CW136" i="9"/>
  <c r="CX136" i="9"/>
  <c r="CY136" i="9"/>
  <c r="DA136" i="9"/>
  <c r="DB136" i="9"/>
  <c r="DC136" i="9"/>
  <c r="DD136" i="9"/>
  <c r="DE136" i="9"/>
  <c r="DF136" i="9"/>
  <c r="DG136" i="9"/>
  <c r="DI136" i="9"/>
  <c r="DK136" i="9"/>
  <c r="DL136" i="9"/>
  <c r="EI136" i="9"/>
  <c r="DM136" i="9"/>
  <c r="DN136" i="9"/>
  <c r="DO136" i="9"/>
  <c r="DJ136" i="9"/>
  <c r="EJ136" i="9" s="1"/>
  <c r="DH136" i="9"/>
  <c r="CZ136" i="9"/>
  <c r="BY137" i="9"/>
  <c r="BZ137" i="9"/>
  <c r="CA137" i="9"/>
  <c r="CG137" i="9"/>
  <c r="CH137" i="9"/>
  <c r="CJ137" i="9"/>
  <c r="CK137" i="9"/>
  <c r="CL137" i="9"/>
  <c r="CM137" i="9"/>
  <c r="CN137" i="9"/>
  <c r="CO137" i="9"/>
  <c r="CP137" i="9"/>
  <c r="CQ137" i="9"/>
  <c r="CR137" i="9"/>
  <c r="CS137" i="9"/>
  <c r="CT137" i="9"/>
  <c r="CU137" i="9"/>
  <c r="CV137" i="9"/>
  <c r="CW137" i="9"/>
  <c r="CX137" i="9"/>
  <c r="CY137" i="9"/>
  <c r="DA137" i="9"/>
  <c r="DB137" i="9"/>
  <c r="DC137" i="9"/>
  <c r="DD137" i="9"/>
  <c r="DE137" i="9"/>
  <c r="DF137" i="9"/>
  <c r="DG137" i="9"/>
  <c r="DI137" i="9"/>
  <c r="DK137" i="9"/>
  <c r="DL137" i="9"/>
  <c r="DM137" i="9"/>
  <c r="DN137" i="9"/>
  <c r="DO137" i="9"/>
  <c r="DJ137" i="9"/>
  <c r="DH137" i="9"/>
  <c r="CZ137" i="9"/>
  <c r="BY138" i="9"/>
  <c r="BZ138" i="9"/>
  <c r="CA138" i="9"/>
  <c r="CG138" i="9"/>
  <c r="CH138" i="9"/>
  <c r="CJ138" i="9"/>
  <c r="CK138" i="9"/>
  <c r="CL138" i="9"/>
  <c r="CM138" i="9"/>
  <c r="CN138" i="9"/>
  <c r="CO138" i="9"/>
  <c r="CP138" i="9"/>
  <c r="CQ138" i="9"/>
  <c r="CR138" i="9"/>
  <c r="CS138" i="9"/>
  <c r="CT138" i="9"/>
  <c r="CU138" i="9"/>
  <c r="CV138" i="9"/>
  <c r="CW138" i="9"/>
  <c r="CX138" i="9"/>
  <c r="CY138" i="9"/>
  <c r="DA138" i="9"/>
  <c r="DB138" i="9"/>
  <c r="DC138" i="9"/>
  <c r="DD138" i="9"/>
  <c r="DE138" i="9"/>
  <c r="DF138" i="9"/>
  <c r="DG138" i="9"/>
  <c r="DI138" i="9"/>
  <c r="DK138" i="9"/>
  <c r="DL138" i="9"/>
  <c r="DM138" i="9"/>
  <c r="DN138" i="9"/>
  <c r="DO138" i="9"/>
  <c r="DJ138" i="9"/>
  <c r="DH138" i="9"/>
  <c r="CZ138" i="9"/>
  <c r="BY139" i="9"/>
  <c r="BZ139" i="9"/>
  <c r="CA139" i="9"/>
  <c r="CG139" i="9"/>
  <c r="CH139" i="9"/>
  <c r="CJ139" i="9"/>
  <c r="CK139" i="9"/>
  <c r="CL139" i="9"/>
  <c r="CM139" i="9"/>
  <c r="CN139" i="9"/>
  <c r="CO139" i="9"/>
  <c r="CP139" i="9"/>
  <c r="CQ139" i="9"/>
  <c r="CR139" i="9"/>
  <c r="CS139" i="9"/>
  <c r="CT139" i="9"/>
  <c r="CU139" i="9"/>
  <c r="CV139" i="9"/>
  <c r="CW139" i="9"/>
  <c r="CX139" i="9"/>
  <c r="CY139" i="9"/>
  <c r="DA139" i="9"/>
  <c r="DB139" i="9"/>
  <c r="DC139" i="9"/>
  <c r="DD139" i="9"/>
  <c r="DE139" i="9"/>
  <c r="DF139" i="9"/>
  <c r="DG139" i="9"/>
  <c r="DI139" i="9"/>
  <c r="DK139" i="9"/>
  <c r="DL139" i="9"/>
  <c r="DM139" i="9"/>
  <c r="DN139" i="9"/>
  <c r="DO139" i="9"/>
  <c r="DJ139" i="9"/>
  <c r="DH139" i="9"/>
  <c r="CZ139" i="9"/>
  <c r="EJ139" i="9"/>
  <c r="BY140" i="9"/>
  <c r="BZ140" i="9"/>
  <c r="CA140" i="9"/>
  <c r="CG140" i="9"/>
  <c r="CH140" i="9"/>
  <c r="CJ140" i="9"/>
  <c r="CK140" i="9"/>
  <c r="CL140" i="9"/>
  <c r="CM140" i="9"/>
  <c r="CN140" i="9"/>
  <c r="CO140" i="9"/>
  <c r="CP140" i="9"/>
  <c r="CQ140" i="9"/>
  <c r="CR140" i="9"/>
  <c r="CS140" i="9"/>
  <c r="CT140" i="9"/>
  <c r="CU140" i="9"/>
  <c r="CV140" i="9"/>
  <c r="CW140" i="9"/>
  <c r="CX140" i="9"/>
  <c r="CY140" i="9"/>
  <c r="DA140" i="9"/>
  <c r="DB140" i="9"/>
  <c r="DC140" i="9"/>
  <c r="DD140" i="9"/>
  <c r="DE140" i="9"/>
  <c r="DF140" i="9"/>
  <c r="DG140" i="9"/>
  <c r="DI140" i="9"/>
  <c r="DK140" i="9"/>
  <c r="DL140" i="9"/>
  <c r="EI140" i="9"/>
  <c r="DM140" i="9"/>
  <c r="DN140" i="9"/>
  <c r="DO140" i="9"/>
  <c r="DJ140" i="9"/>
  <c r="EJ140" i="9" s="1"/>
  <c r="DH140" i="9"/>
  <c r="CZ140" i="9"/>
  <c r="BY141" i="9"/>
  <c r="BZ141" i="9"/>
  <c r="CA141" i="9"/>
  <c r="CG141" i="9"/>
  <c r="CH141" i="9"/>
  <c r="CJ141" i="9"/>
  <c r="CK141" i="9"/>
  <c r="CL141" i="9"/>
  <c r="CM141" i="9"/>
  <c r="CN141" i="9"/>
  <c r="CO141" i="9"/>
  <c r="CP141" i="9"/>
  <c r="CQ141" i="9"/>
  <c r="CR141" i="9"/>
  <c r="CS141" i="9"/>
  <c r="CT141" i="9"/>
  <c r="CU141" i="9"/>
  <c r="CV141" i="9"/>
  <c r="CW141" i="9"/>
  <c r="CX141" i="9"/>
  <c r="CY141" i="9"/>
  <c r="DA141" i="9"/>
  <c r="DB141" i="9"/>
  <c r="DC141" i="9"/>
  <c r="DD141" i="9"/>
  <c r="DE141" i="9"/>
  <c r="DF141" i="9"/>
  <c r="DG141" i="9"/>
  <c r="DI141" i="9"/>
  <c r="DK141" i="9"/>
  <c r="DL141" i="9"/>
  <c r="DM141" i="9"/>
  <c r="DN141" i="9"/>
  <c r="DO141" i="9"/>
  <c r="DJ141" i="9"/>
  <c r="DH141" i="9"/>
  <c r="CZ141" i="9"/>
  <c r="BY142" i="9"/>
  <c r="BZ142" i="9"/>
  <c r="CA142" i="9"/>
  <c r="CG142" i="9"/>
  <c r="CH142" i="9"/>
  <c r="CJ142" i="9"/>
  <c r="CK142" i="9"/>
  <c r="CL142" i="9"/>
  <c r="CM142" i="9"/>
  <c r="CN142" i="9"/>
  <c r="CO142" i="9"/>
  <c r="CP142" i="9"/>
  <c r="CQ142" i="9"/>
  <c r="CR142" i="9"/>
  <c r="CS142" i="9"/>
  <c r="CT142" i="9"/>
  <c r="CU142" i="9"/>
  <c r="CV142" i="9"/>
  <c r="CW142" i="9"/>
  <c r="CX142" i="9"/>
  <c r="CY142" i="9"/>
  <c r="DA142" i="9"/>
  <c r="DB142" i="9"/>
  <c r="DC142" i="9"/>
  <c r="DD142" i="9"/>
  <c r="DE142" i="9"/>
  <c r="DF142" i="9"/>
  <c r="DG142" i="9"/>
  <c r="DI142" i="9"/>
  <c r="DK142" i="9"/>
  <c r="DL142" i="9"/>
  <c r="DM142" i="9"/>
  <c r="DN142" i="9"/>
  <c r="DO142" i="9"/>
  <c r="DJ142" i="9"/>
  <c r="DH142" i="9"/>
  <c r="CZ142" i="9"/>
  <c r="BY143" i="9"/>
  <c r="BZ143" i="9"/>
  <c r="CA143" i="9"/>
  <c r="CG143" i="9"/>
  <c r="CH143" i="9"/>
  <c r="CJ143" i="9"/>
  <c r="CK143" i="9"/>
  <c r="CL143" i="9"/>
  <c r="CM143" i="9"/>
  <c r="CN143" i="9"/>
  <c r="CO143" i="9"/>
  <c r="CP143" i="9"/>
  <c r="CQ143" i="9"/>
  <c r="CR143" i="9"/>
  <c r="CS143" i="9"/>
  <c r="CT143" i="9"/>
  <c r="CU143" i="9"/>
  <c r="CV143" i="9"/>
  <c r="CW143" i="9"/>
  <c r="CX143" i="9"/>
  <c r="CY143" i="9"/>
  <c r="DA143" i="9"/>
  <c r="DB143" i="9"/>
  <c r="DC143" i="9"/>
  <c r="DD143" i="9"/>
  <c r="DE143" i="9"/>
  <c r="DF143" i="9"/>
  <c r="DG143" i="9"/>
  <c r="DI143" i="9"/>
  <c r="DK143" i="9"/>
  <c r="DL143" i="9"/>
  <c r="DM143" i="9"/>
  <c r="DN143" i="9"/>
  <c r="DO143" i="9"/>
  <c r="DJ143" i="9"/>
  <c r="DH143" i="9"/>
  <c r="CZ143" i="9"/>
  <c r="EJ143" i="9"/>
  <c r="BY144" i="9"/>
  <c r="BZ144" i="9"/>
  <c r="CA144" i="9"/>
  <c r="CG144" i="9"/>
  <c r="CH144" i="9"/>
  <c r="CJ144" i="9"/>
  <c r="CK144" i="9"/>
  <c r="CL144" i="9"/>
  <c r="CM144" i="9"/>
  <c r="CN144" i="9"/>
  <c r="CO144" i="9"/>
  <c r="CP144" i="9"/>
  <c r="CQ144" i="9"/>
  <c r="CR144" i="9"/>
  <c r="CS144" i="9"/>
  <c r="CT144" i="9"/>
  <c r="CU144" i="9"/>
  <c r="CV144" i="9"/>
  <c r="CW144" i="9"/>
  <c r="CX144" i="9"/>
  <c r="CY144" i="9"/>
  <c r="DA144" i="9"/>
  <c r="DB144" i="9"/>
  <c r="DC144" i="9"/>
  <c r="DD144" i="9"/>
  <c r="DE144" i="9"/>
  <c r="DF144" i="9"/>
  <c r="DG144" i="9"/>
  <c r="DI144" i="9"/>
  <c r="DK144" i="9"/>
  <c r="DL144" i="9"/>
  <c r="EI144" i="9"/>
  <c r="DM144" i="9"/>
  <c r="DN144" i="9"/>
  <c r="DO144" i="9"/>
  <c r="DJ144" i="9"/>
  <c r="EJ144" i="9" s="1"/>
  <c r="DH144" i="9"/>
  <c r="CZ144" i="9"/>
  <c r="BY145" i="9"/>
  <c r="BZ145" i="9"/>
  <c r="CA145" i="9"/>
  <c r="CG145" i="9"/>
  <c r="CH145" i="9"/>
  <c r="CJ145" i="9"/>
  <c r="CK145" i="9"/>
  <c r="CL145" i="9"/>
  <c r="CM145" i="9"/>
  <c r="CN145" i="9"/>
  <c r="CO145" i="9"/>
  <c r="CP145" i="9"/>
  <c r="CQ145" i="9"/>
  <c r="CR145" i="9"/>
  <c r="CS145" i="9"/>
  <c r="CT145" i="9"/>
  <c r="CU145" i="9"/>
  <c r="CV145" i="9"/>
  <c r="CW145" i="9"/>
  <c r="CX145" i="9"/>
  <c r="CY145" i="9"/>
  <c r="DA145" i="9"/>
  <c r="DB145" i="9"/>
  <c r="DC145" i="9"/>
  <c r="DD145" i="9"/>
  <c r="DE145" i="9"/>
  <c r="DF145" i="9"/>
  <c r="DG145" i="9"/>
  <c r="DI145" i="9"/>
  <c r="DK145" i="9"/>
  <c r="DL145" i="9"/>
  <c r="DM145" i="9"/>
  <c r="DN145" i="9"/>
  <c r="DO145" i="9"/>
  <c r="DJ145" i="9"/>
  <c r="DH145" i="9"/>
  <c r="CZ145" i="9"/>
  <c r="BY146" i="9"/>
  <c r="BZ146" i="9"/>
  <c r="CA146" i="9"/>
  <c r="CG146" i="9"/>
  <c r="CH146" i="9"/>
  <c r="CJ146" i="9"/>
  <c r="CK146" i="9"/>
  <c r="CL146" i="9"/>
  <c r="CM146" i="9"/>
  <c r="CN146" i="9"/>
  <c r="CO146" i="9"/>
  <c r="CP146" i="9"/>
  <c r="CQ146" i="9"/>
  <c r="CR146" i="9"/>
  <c r="CS146" i="9"/>
  <c r="CT146" i="9"/>
  <c r="CU146" i="9"/>
  <c r="CV146" i="9"/>
  <c r="CW146" i="9"/>
  <c r="CX146" i="9"/>
  <c r="CY146" i="9"/>
  <c r="DA146" i="9"/>
  <c r="DB146" i="9"/>
  <c r="DC146" i="9"/>
  <c r="DD146" i="9"/>
  <c r="DE146" i="9"/>
  <c r="DF146" i="9"/>
  <c r="DG146" i="9"/>
  <c r="DI146" i="9"/>
  <c r="DK146" i="9"/>
  <c r="DL146" i="9"/>
  <c r="DM146" i="9"/>
  <c r="DN146" i="9"/>
  <c r="DO146" i="9"/>
  <c r="DJ146" i="9"/>
  <c r="DH146" i="9"/>
  <c r="CZ146" i="9"/>
  <c r="BY147" i="9"/>
  <c r="BZ147" i="9"/>
  <c r="CA147" i="9"/>
  <c r="CG147" i="9"/>
  <c r="CH147" i="9"/>
  <c r="CJ147" i="9"/>
  <c r="CK147" i="9"/>
  <c r="CL147" i="9"/>
  <c r="CM147" i="9"/>
  <c r="CN147" i="9"/>
  <c r="CO147" i="9"/>
  <c r="CP147" i="9"/>
  <c r="CQ147" i="9"/>
  <c r="CR147" i="9"/>
  <c r="CS147" i="9"/>
  <c r="CT147" i="9"/>
  <c r="CU147" i="9"/>
  <c r="CV147" i="9"/>
  <c r="CW147" i="9"/>
  <c r="CX147" i="9"/>
  <c r="CY147" i="9"/>
  <c r="DA147" i="9"/>
  <c r="DB147" i="9"/>
  <c r="DC147" i="9"/>
  <c r="DD147" i="9"/>
  <c r="DE147" i="9"/>
  <c r="DF147" i="9"/>
  <c r="DG147" i="9"/>
  <c r="DI147" i="9"/>
  <c r="DK147" i="9"/>
  <c r="DL147" i="9"/>
  <c r="DM147" i="9"/>
  <c r="DN147" i="9"/>
  <c r="DO147" i="9"/>
  <c r="DJ147" i="9"/>
  <c r="DH147" i="9"/>
  <c r="CZ147" i="9"/>
  <c r="EJ147" i="9"/>
  <c r="BY148" i="9"/>
  <c r="BZ148" i="9"/>
  <c r="CA148" i="9"/>
  <c r="CG148" i="9"/>
  <c r="CH148" i="9"/>
  <c r="CJ148" i="9"/>
  <c r="CK148" i="9"/>
  <c r="CL148" i="9"/>
  <c r="CM148" i="9"/>
  <c r="CN148" i="9"/>
  <c r="CO148" i="9"/>
  <c r="CP148" i="9"/>
  <c r="CQ148" i="9"/>
  <c r="CR148" i="9"/>
  <c r="CS148" i="9"/>
  <c r="CT148" i="9"/>
  <c r="CU148" i="9"/>
  <c r="CV148" i="9"/>
  <c r="CW148" i="9"/>
  <c r="CX148" i="9"/>
  <c r="CY148" i="9"/>
  <c r="DA148" i="9"/>
  <c r="DB148" i="9"/>
  <c r="DC148" i="9"/>
  <c r="DD148" i="9"/>
  <c r="DE148" i="9"/>
  <c r="DF148" i="9"/>
  <c r="DG148" i="9"/>
  <c r="DI148" i="9"/>
  <c r="DK148" i="9"/>
  <c r="DL148" i="9"/>
  <c r="EI148" i="9"/>
  <c r="DM148" i="9"/>
  <c r="DN148" i="9"/>
  <c r="DO148" i="9"/>
  <c r="DJ148" i="9"/>
  <c r="EJ148" i="9" s="1"/>
  <c r="DH148" i="9"/>
  <c r="CZ148" i="9"/>
  <c r="BY149" i="9"/>
  <c r="BZ149" i="9"/>
  <c r="CA149" i="9"/>
  <c r="CG149" i="9"/>
  <c r="CH149" i="9"/>
  <c r="CJ149" i="9"/>
  <c r="CK149" i="9"/>
  <c r="CL149" i="9"/>
  <c r="CM149" i="9"/>
  <c r="CN149" i="9"/>
  <c r="CO149" i="9"/>
  <c r="CP149" i="9"/>
  <c r="CQ149" i="9"/>
  <c r="CR149" i="9"/>
  <c r="CS149" i="9"/>
  <c r="CT149" i="9"/>
  <c r="CU149" i="9"/>
  <c r="CV149" i="9"/>
  <c r="CW149" i="9"/>
  <c r="CX149" i="9"/>
  <c r="CY149" i="9"/>
  <c r="DA149" i="9"/>
  <c r="DB149" i="9"/>
  <c r="DC149" i="9"/>
  <c r="DD149" i="9"/>
  <c r="DE149" i="9"/>
  <c r="DF149" i="9"/>
  <c r="DG149" i="9"/>
  <c r="DI149" i="9"/>
  <c r="DK149" i="9"/>
  <c r="DL149" i="9"/>
  <c r="DM149" i="9"/>
  <c r="DN149" i="9"/>
  <c r="DO149" i="9"/>
  <c r="DJ149" i="9"/>
  <c r="DH149" i="9"/>
  <c r="CZ149" i="9"/>
  <c r="BY150" i="9"/>
  <c r="BZ150" i="9"/>
  <c r="CA150" i="9"/>
  <c r="CG150" i="9"/>
  <c r="CH150" i="9"/>
  <c r="CJ150" i="9"/>
  <c r="CK150" i="9"/>
  <c r="CL150" i="9"/>
  <c r="CM150" i="9"/>
  <c r="CN150" i="9"/>
  <c r="CO150" i="9"/>
  <c r="CP150" i="9"/>
  <c r="CQ150" i="9"/>
  <c r="CR150" i="9"/>
  <c r="CS150" i="9"/>
  <c r="CT150" i="9"/>
  <c r="CU150" i="9"/>
  <c r="CV150" i="9"/>
  <c r="CW150" i="9"/>
  <c r="CX150" i="9"/>
  <c r="CY150" i="9"/>
  <c r="DA150" i="9"/>
  <c r="DB150" i="9"/>
  <c r="DC150" i="9"/>
  <c r="DD150" i="9"/>
  <c r="DE150" i="9"/>
  <c r="DF150" i="9"/>
  <c r="DG150" i="9"/>
  <c r="DI150" i="9"/>
  <c r="DK150" i="9"/>
  <c r="DL150" i="9"/>
  <c r="DM150" i="9"/>
  <c r="DN150" i="9"/>
  <c r="DO150" i="9"/>
  <c r="DJ150" i="9"/>
  <c r="DH150" i="9"/>
  <c r="CZ150" i="9"/>
  <c r="BY151" i="9"/>
  <c r="BZ151" i="9"/>
  <c r="CA151" i="9"/>
  <c r="CG151" i="9"/>
  <c r="CH151" i="9"/>
  <c r="CJ151" i="9"/>
  <c r="CK151" i="9"/>
  <c r="CL151" i="9"/>
  <c r="CM151" i="9"/>
  <c r="CN151" i="9"/>
  <c r="CO151" i="9"/>
  <c r="CP151" i="9"/>
  <c r="CQ151" i="9"/>
  <c r="CR151" i="9"/>
  <c r="CS151" i="9"/>
  <c r="CT151" i="9"/>
  <c r="CU151" i="9"/>
  <c r="CV151" i="9"/>
  <c r="CW151" i="9"/>
  <c r="CX151" i="9"/>
  <c r="CY151" i="9"/>
  <c r="DA151" i="9"/>
  <c r="DB151" i="9"/>
  <c r="DC151" i="9"/>
  <c r="DD151" i="9"/>
  <c r="DE151" i="9"/>
  <c r="DF151" i="9"/>
  <c r="DG151" i="9"/>
  <c r="DI151" i="9"/>
  <c r="DK151" i="9"/>
  <c r="DL151" i="9"/>
  <c r="DM151" i="9"/>
  <c r="DN151" i="9"/>
  <c r="DO151" i="9"/>
  <c r="DJ151" i="9"/>
  <c r="DH151" i="9"/>
  <c r="CZ151" i="9"/>
  <c r="EJ151" i="9"/>
  <c r="BY152" i="9"/>
  <c r="BZ152" i="9"/>
  <c r="CA152" i="9"/>
  <c r="CG152" i="9"/>
  <c r="CH152" i="9"/>
  <c r="CJ152" i="9"/>
  <c r="CK152" i="9"/>
  <c r="CL152" i="9"/>
  <c r="CM152" i="9"/>
  <c r="CN152" i="9"/>
  <c r="CO152" i="9"/>
  <c r="CP152" i="9"/>
  <c r="CQ152" i="9"/>
  <c r="CR152" i="9"/>
  <c r="CS152" i="9"/>
  <c r="CT152" i="9"/>
  <c r="CU152" i="9"/>
  <c r="CV152" i="9"/>
  <c r="CW152" i="9"/>
  <c r="CX152" i="9"/>
  <c r="CY152" i="9"/>
  <c r="DA152" i="9"/>
  <c r="DB152" i="9"/>
  <c r="DC152" i="9"/>
  <c r="DD152" i="9"/>
  <c r="DE152" i="9"/>
  <c r="DF152" i="9"/>
  <c r="DG152" i="9"/>
  <c r="DI152" i="9"/>
  <c r="DK152" i="9"/>
  <c r="DL152" i="9"/>
  <c r="EI152" i="9"/>
  <c r="DM152" i="9"/>
  <c r="DN152" i="9"/>
  <c r="DO152" i="9"/>
  <c r="DJ152" i="9"/>
  <c r="EJ152" i="9" s="1"/>
  <c r="DH152" i="9"/>
  <c r="CZ152" i="9"/>
  <c r="BY153" i="9"/>
  <c r="BZ153" i="9"/>
  <c r="CA153" i="9"/>
  <c r="CG153" i="9"/>
  <c r="CH153" i="9"/>
  <c r="CJ153" i="9"/>
  <c r="CK153" i="9"/>
  <c r="CL153" i="9"/>
  <c r="CM153" i="9"/>
  <c r="CN153" i="9"/>
  <c r="CO153" i="9"/>
  <c r="CP153" i="9"/>
  <c r="CQ153" i="9"/>
  <c r="CR153" i="9"/>
  <c r="CS153" i="9"/>
  <c r="CT153" i="9"/>
  <c r="CU153" i="9"/>
  <c r="CV153" i="9"/>
  <c r="CW153" i="9"/>
  <c r="CX153" i="9"/>
  <c r="CY153" i="9"/>
  <c r="DA153" i="9"/>
  <c r="DB153" i="9"/>
  <c r="DC153" i="9"/>
  <c r="DD153" i="9"/>
  <c r="DE153" i="9"/>
  <c r="DF153" i="9"/>
  <c r="DG153" i="9"/>
  <c r="DI153" i="9"/>
  <c r="DK153" i="9"/>
  <c r="DL153" i="9"/>
  <c r="DM153" i="9"/>
  <c r="DN153" i="9"/>
  <c r="DO153" i="9"/>
  <c r="DJ153" i="9"/>
  <c r="DH153" i="9"/>
  <c r="CZ153" i="9"/>
  <c r="BY154" i="9"/>
  <c r="BZ154" i="9"/>
  <c r="CA154" i="9"/>
  <c r="CG154" i="9"/>
  <c r="CH154" i="9"/>
  <c r="CJ154" i="9"/>
  <c r="CK154" i="9"/>
  <c r="CL154" i="9"/>
  <c r="CM154" i="9"/>
  <c r="CN154" i="9"/>
  <c r="CO154" i="9"/>
  <c r="CP154" i="9"/>
  <c r="CQ154" i="9"/>
  <c r="CR154" i="9"/>
  <c r="CS154" i="9"/>
  <c r="CT154" i="9"/>
  <c r="CU154" i="9"/>
  <c r="CV154" i="9"/>
  <c r="CW154" i="9"/>
  <c r="CX154" i="9"/>
  <c r="CY154" i="9"/>
  <c r="DA154" i="9"/>
  <c r="DB154" i="9"/>
  <c r="DC154" i="9"/>
  <c r="DD154" i="9"/>
  <c r="DE154" i="9"/>
  <c r="DF154" i="9"/>
  <c r="DG154" i="9"/>
  <c r="DI154" i="9"/>
  <c r="DK154" i="9"/>
  <c r="DL154" i="9"/>
  <c r="DM154" i="9"/>
  <c r="DN154" i="9"/>
  <c r="DO154" i="9"/>
  <c r="DJ154" i="9"/>
  <c r="DH154" i="9"/>
  <c r="CZ154" i="9"/>
  <c r="BY155" i="9"/>
  <c r="BZ155" i="9"/>
  <c r="CA155" i="9"/>
  <c r="CG155" i="9"/>
  <c r="CH155" i="9"/>
  <c r="CJ155" i="9"/>
  <c r="CK155" i="9"/>
  <c r="CL155" i="9"/>
  <c r="CM155" i="9"/>
  <c r="CN155" i="9"/>
  <c r="CO155" i="9"/>
  <c r="CP155" i="9"/>
  <c r="CQ155" i="9"/>
  <c r="CR155" i="9"/>
  <c r="CS155" i="9"/>
  <c r="CT155" i="9"/>
  <c r="CU155" i="9"/>
  <c r="CV155" i="9"/>
  <c r="CW155" i="9"/>
  <c r="CX155" i="9"/>
  <c r="CY155" i="9"/>
  <c r="DA155" i="9"/>
  <c r="DB155" i="9"/>
  <c r="DC155" i="9"/>
  <c r="DD155" i="9"/>
  <c r="DE155" i="9"/>
  <c r="DF155" i="9"/>
  <c r="DG155" i="9"/>
  <c r="DI155" i="9"/>
  <c r="DK155" i="9"/>
  <c r="DL155" i="9"/>
  <c r="DM155" i="9"/>
  <c r="DN155" i="9"/>
  <c r="DO155" i="9"/>
  <c r="DJ155" i="9"/>
  <c r="DH155" i="9"/>
  <c r="CZ155" i="9"/>
  <c r="EJ155" i="9"/>
  <c r="BY156" i="9"/>
  <c r="BZ156" i="9"/>
  <c r="CA156" i="9"/>
  <c r="CG156" i="9"/>
  <c r="CH156" i="9"/>
  <c r="CJ156" i="9"/>
  <c r="CK156" i="9"/>
  <c r="CL156" i="9"/>
  <c r="CM156" i="9"/>
  <c r="CN156" i="9"/>
  <c r="CO156" i="9"/>
  <c r="CP156" i="9"/>
  <c r="CQ156" i="9"/>
  <c r="CR156" i="9"/>
  <c r="CS156" i="9"/>
  <c r="CT156" i="9"/>
  <c r="CU156" i="9"/>
  <c r="CV156" i="9"/>
  <c r="CW156" i="9"/>
  <c r="CX156" i="9"/>
  <c r="CY156" i="9"/>
  <c r="DA156" i="9"/>
  <c r="DB156" i="9"/>
  <c r="DC156" i="9"/>
  <c r="DD156" i="9"/>
  <c r="DE156" i="9"/>
  <c r="DF156" i="9"/>
  <c r="DG156" i="9"/>
  <c r="DI156" i="9"/>
  <c r="DK156" i="9"/>
  <c r="DL156" i="9"/>
  <c r="EI156" i="9"/>
  <c r="DM156" i="9"/>
  <c r="DN156" i="9"/>
  <c r="DO156" i="9"/>
  <c r="DJ156" i="9"/>
  <c r="EJ156" i="9" s="1"/>
  <c r="DH156" i="9"/>
  <c r="CZ156" i="9"/>
  <c r="BY157" i="9"/>
  <c r="BZ157" i="9"/>
  <c r="CA157" i="9"/>
  <c r="CG157" i="9"/>
  <c r="CH157" i="9"/>
  <c r="CJ157" i="9"/>
  <c r="CK157" i="9"/>
  <c r="CL157" i="9"/>
  <c r="CM157" i="9"/>
  <c r="CN157" i="9"/>
  <c r="CO157" i="9"/>
  <c r="CP157" i="9"/>
  <c r="CQ157" i="9"/>
  <c r="CR157" i="9"/>
  <c r="CS157" i="9"/>
  <c r="CT157" i="9"/>
  <c r="CU157" i="9"/>
  <c r="CV157" i="9"/>
  <c r="CW157" i="9"/>
  <c r="CX157" i="9"/>
  <c r="CY157" i="9"/>
  <c r="DA157" i="9"/>
  <c r="DB157" i="9"/>
  <c r="DC157" i="9"/>
  <c r="DD157" i="9"/>
  <c r="DE157" i="9"/>
  <c r="DF157" i="9"/>
  <c r="DG157" i="9"/>
  <c r="DI157" i="9"/>
  <c r="DK157" i="9"/>
  <c r="DL157" i="9"/>
  <c r="DM157" i="9"/>
  <c r="DN157" i="9"/>
  <c r="DO157" i="9"/>
  <c r="DJ157" i="9"/>
  <c r="DH157" i="9"/>
  <c r="CZ157" i="9"/>
  <c r="BY158" i="9"/>
  <c r="BZ158" i="9"/>
  <c r="CA158" i="9"/>
  <c r="CG158" i="9"/>
  <c r="CH158" i="9"/>
  <c r="CJ158" i="9"/>
  <c r="CK158" i="9"/>
  <c r="CL158" i="9"/>
  <c r="CM158" i="9"/>
  <c r="CN158" i="9"/>
  <c r="CO158" i="9"/>
  <c r="CP158" i="9"/>
  <c r="CQ158" i="9"/>
  <c r="CR158" i="9"/>
  <c r="CS158" i="9"/>
  <c r="CT158" i="9"/>
  <c r="CU158" i="9"/>
  <c r="CV158" i="9"/>
  <c r="CW158" i="9"/>
  <c r="CX158" i="9"/>
  <c r="CY158" i="9"/>
  <c r="DA158" i="9"/>
  <c r="DB158" i="9"/>
  <c r="DC158" i="9"/>
  <c r="DD158" i="9"/>
  <c r="DE158" i="9"/>
  <c r="DF158" i="9"/>
  <c r="DG158" i="9"/>
  <c r="DI158" i="9"/>
  <c r="DK158" i="9"/>
  <c r="DL158" i="9"/>
  <c r="DM158" i="9"/>
  <c r="DN158" i="9"/>
  <c r="DO158" i="9"/>
  <c r="DJ158" i="9"/>
  <c r="DH158" i="9"/>
  <c r="CZ158" i="9"/>
  <c r="BY159" i="9"/>
  <c r="BZ159" i="9"/>
  <c r="CA159" i="9"/>
  <c r="CG159" i="9"/>
  <c r="CH159" i="9"/>
  <c r="CJ159" i="9"/>
  <c r="CK159" i="9"/>
  <c r="CL159" i="9"/>
  <c r="CM159" i="9"/>
  <c r="CN159" i="9"/>
  <c r="CO159" i="9"/>
  <c r="CP159" i="9"/>
  <c r="CQ159" i="9"/>
  <c r="CR159" i="9"/>
  <c r="CS159" i="9"/>
  <c r="CT159" i="9"/>
  <c r="CU159" i="9"/>
  <c r="CV159" i="9"/>
  <c r="CW159" i="9"/>
  <c r="CX159" i="9"/>
  <c r="CY159" i="9"/>
  <c r="DA159" i="9"/>
  <c r="DB159" i="9"/>
  <c r="DC159" i="9"/>
  <c r="DD159" i="9"/>
  <c r="DE159" i="9"/>
  <c r="DF159" i="9"/>
  <c r="DG159" i="9"/>
  <c r="DI159" i="9"/>
  <c r="DK159" i="9"/>
  <c r="DL159" i="9"/>
  <c r="DM159" i="9"/>
  <c r="DN159" i="9"/>
  <c r="DO159" i="9"/>
  <c r="DJ159" i="9"/>
  <c r="DH159" i="9"/>
  <c r="CZ159" i="9"/>
  <c r="EJ159" i="9"/>
  <c r="BY160" i="9"/>
  <c r="BZ160" i="9"/>
  <c r="CA160" i="9"/>
  <c r="CG160" i="9"/>
  <c r="CH160" i="9"/>
  <c r="CJ160" i="9"/>
  <c r="CK160" i="9"/>
  <c r="CL160" i="9"/>
  <c r="CM160" i="9"/>
  <c r="CN160" i="9"/>
  <c r="CO160" i="9"/>
  <c r="CP160" i="9"/>
  <c r="CQ160" i="9"/>
  <c r="CR160" i="9"/>
  <c r="CS160" i="9"/>
  <c r="CT160" i="9"/>
  <c r="CU160" i="9"/>
  <c r="CV160" i="9"/>
  <c r="CW160" i="9"/>
  <c r="CX160" i="9"/>
  <c r="CY160" i="9"/>
  <c r="DA160" i="9"/>
  <c r="DB160" i="9"/>
  <c r="DC160" i="9"/>
  <c r="DD160" i="9"/>
  <c r="DE160" i="9"/>
  <c r="DF160" i="9"/>
  <c r="DG160" i="9"/>
  <c r="DI160" i="9"/>
  <c r="DK160" i="9"/>
  <c r="DL160" i="9"/>
  <c r="EI160" i="9"/>
  <c r="DM160" i="9"/>
  <c r="DN160" i="9"/>
  <c r="DO160" i="9"/>
  <c r="DJ160" i="9"/>
  <c r="EJ160" i="9" s="1"/>
  <c r="DH160" i="9"/>
  <c r="CZ160" i="9"/>
  <c r="BY161" i="9"/>
  <c r="BZ161" i="9"/>
  <c r="CA161" i="9"/>
  <c r="CG161" i="9"/>
  <c r="CH161" i="9"/>
  <c r="CJ161" i="9"/>
  <c r="CK161" i="9"/>
  <c r="CL161" i="9"/>
  <c r="CM161" i="9"/>
  <c r="CN161" i="9"/>
  <c r="CO161" i="9"/>
  <c r="CP161" i="9"/>
  <c r="CQ161" i="9"/>
  <c r="CR161" i="9"/>
  <c r="CS161" i="9"/>
  <c r="CT161" i="9"/>
  <c r="CU161" i="9"/>
  <c r="CV161" i="9"/>
  <c r="CW161" i="9"/>
  <c r="CX161" i="9"/>
  <c r="CY161" i="9"/>
  <c r="DA161" i="9"/>
  <c r="DB161" i="9"/>
  <c r="DC161" i="9"/>
  <c r="DD161" i="9"/>
  <c r="DE161" i="9"/>
  <c r="DF161" i="9"/>
  <c r="DG161" i="9"/>
  <c r="DI161" i="9"/>
  <c r="DK161" i="9"/>
  <c r="DL161" i="9"/>
  <c r="DM161" i="9"/>
  <c r="DN161" i="9"/>
  <c r="DO161" i="9"/>
  <c r="DJ161" i="9"/>
  <c r="DH161" i="9"/>
  <c r="CZ161" i="9"/>
  <c r="BY162" i="9"/>
  <c r="BZ162" i="9"/>
  <c r="CA162" i="9"/>
  <c r="CG162" i="9"/>
  <c r="CH162" i="9"/>
  <c r="CJ162" i="9"/>
  <c r="CK162" i="9"/>
  <c r="CL162" i="9"/>
  <c r="CM162" i="9"/>
  <c r="CN162" i="9"/>
  <c r="CO162" i="9"/>
  <c r="CP162" i="9"/>
  <c r="CQ162" i="9"/>
  <c r="CR162" i="9"/>
  <c r="CS162" i="9"/>
  <c r="CT162" i="9"/>
  <c r="CU162" i="9"/>
  <c r="CV162" i="9"/>
  <c r="CW162" i="9"/>
  <c r="CX162" i="9"/>
  <c r="CY162" i="9"/>
  <c r="DA162" i="9"/>
  <c r="DB162" i="9"/>
  <c r="DC162" i="9"/>
  <c r="DD162" i="9"/>
  <c r="DE162" i="9"/>
  <c r="DF162" i="9"/>
  <c r="DG162" i="9"/>
  <c r="DI162" i="9"/>
  <c r="DK162" i="9"/>
  <c r="DL162" i="9"/>
  <c r="DM162" i="9"/>
  <c r="DN162" i="9"/>
  <c r="DO162" i="9"/>
  <c r="DJ162" i="9"/>
  <c r="DH162" i="9"/>
  <c r="CZ162" i="9"/>
  <c r="BY163" i="9"/>
  <c r="BZ163" i="9"/>
  <c r="CA163" i="9"/>
  <c r="CG163" i="9"/>
  <c r="CH163" i="9"/>
  <c r="CJ163" i="9"/>
  <c r="CK163" i="9"/>
  <c r="CL163" i="9"/>
  <c r="CM163" i="9"/>
  <c r="CN163" i="9"/>
  <c r="CO163" i="9"/>
  <c r="CP163" i="9"/>
  <c r="CQ163" i="9"/>
  <c r="CR163" i="9"/>
  <c r="CS163" i="9"/>
  <c r="CT163" i="9"/>
  <c r="CU163" i="9"/>
  <c r="CV163" i="9"/>
  <c r="CW163" i="9"/>
  <c r="CX163" i="9"/>
  <c r="CY163" i="9"/>
  <c r="DA163" i="9"/>
  <c r="DB163" i="9"/>
  <c r="DC163" i="9"/>
  <c r="DD163" i="9"/>
  <c r="DE163" i="9"/>
  <c r="DF163" i="9"/>
  <c r="DG163" i="9"/>
  <c r="DI163" i="9"/>
  <c r="DK163" i="9"/>
  <c r="DL163" i="9"/>
  <c r="DM163" i="9"/>
  <c r="DN163" i="9"/>
  <c r="DO163" i="9"/>
  <c r="DJ163" i="9"/>
  <c r="DH163" i="9"/>
  <c r="CZ163" i="9"/>
  <c r="EJ163" i="9"/>
  <c r="BY164" i="9"/>
  <c r="BZ164" i="9"/>
  <c r="CA164" i="9"/>
  <c r="CG164" i="9"/>
  <c r="CH164" i="9"/>
  <c r="CJ164" i="9"/>
  <c r="CK164" i="9"/>
  <c r="CL164" i="9"/>
  <c r="CM164" i="9"/>
  <c r="CN164" i="9"/>
  <c r="CO164" i="9"/>
  <c r="CP164" i="9"/>
  <c r="CQ164" i="9"/>
  <c r="CR164" i="9"/>
  <c r="CS164" i="9"/>
  <c r="CT164" i="9"/>
  <c r="CU164" i="9"/>
  <c r="CV164" i="9"/>
  <c r="CW164" i="9"/>
  <c r="CX164" i="9"/>
  <c r="CY164" i="9"/>
  <c r="DA164" i="9"/>
  <c r="DB164" i="9"/>
  <c r="DC164" i="9"/>
  <c r="DD164" i="9"/>
  <c r="DE164" i="9"/>
  <c r="DF164" i="9"/>
  <c r="DG164" i="9"/>
  <c r="DI164" i="9"/>
  <c r="DK164" i="9"/>
  <c r="DL164" i="9"/>
  <c r="EI164" i="9"/>
  <c r="DM164" i="9"/>
  <c r="DN164" i="9"/>
  <c r="DO164" i="9"/>
  <c r="DJ164" i="9"/>
  <c r="EJ164" i="9" s="1"/>
  <c r="DH164" i="9"/>
  <c r="CZ164" i="9"/>
  <c r="BY165" i="9"/>
  <c r="BZ165" i="9"/>
  <c r="CA165" i="9"/>
  <c r="CG165" i="9"/>
  <c r="CH165" i="9"/>
  <c r="CJ165" i="9"/>
  <c r="CK165" i="9"/>
  <c r="CL165" i="9"/>
  <c r="CM165" i="9"/>
  <c r="CN165" i="9"/>
  <c r="CO165" i="9"/>
  <c r="CP165" i="9"/>
  <c r="CQ165" i="9"/>
  <c r="CR165" i="9"/>
  <c r="CS165" i="9"/>
  <c r="CT165" i="9"/>
  <c r="CU165" i="9"/>
  <c r="CV165" i="9"/>
  <c r="CW165" i="9"/>
  <c r="CX165" i="9"/>
  <c r="CY165" i="9"/>
  <c r="DA165" i="9"/>
  <c r="DB165" i="9"/>
  <c r="DC165" i="9"/>
  <c r="DD165" i="9"/>
  <c r="DE165" i="9"/>
  <c r="DF165" i="9"/>
  <c r="DG165" i="9"/>
  <c r="DI165" i="9"/>
  <c r="DK165" i="9"/>
  <c r="DL165" i="9"/>
  <c r="DM165" i="9"/>
  <c r="DN165" i="9"/>
  <c r="DO165" i="9"/>
  <c r="DJ165" i="9"/>
  <c r="DH165" i="9"/>
  <c r="CZ165" i="9"/>
  <c r="BY166" i="9"/>
  <c r="BZ166" i="9"/>
  <c r="CA166" i="9"/>
  <c r="CG166" i="9"/>
  <c r="CH166" i="9"/>
  <c r="CJ166" i="9"/>
  <c r="CK166" i="9"/>
  <c r="CL166" i="9"/>
  <c r="CM166" i="9"/>
  <c r="CN166" i="9"/>
  <c r="CO166" i="9"/>
  <c r="CP166" i="9"/>
  <c r="CQ166" i="9"/>
  <c r="CR166" i="9"/>
  <c r="CS166" i="9"/>
  <c r="CT166" i="9"/>
  <c r="CU166" i="9"/>
  <c r="CV166" i="9"/>
  <c r="CW166" i="9"/>
  <c r="CX166" i="9"/>
  <c r="CY166" i="9"/>
  <c r="DA166" i="9"/>
  <c r="DB166" i="9"/>
  <c r="DC166" i="9"/>
  <c r="DD166" i="9"/>
  <c r="DE166" i="9"/>
  <c r="DF166" i="9"/>
  <c r="DG166" i="9"/>
  <c r="DI166" i="9"/>
  <c r="DK166" i="9"/>
  <c r="DL166" i="9"/>
  <c r="DM166" i="9"/>
  <c r="DN166" i="9"/>
  <c r="DO166" i="9"/>
  <c r="DJ166" i="9"/>
  <c r="DH166" i="9"/>
  <c r="CZ166" i="9"/>
  <c r="BY167" i="9"/>
  <c r="BZ167" i="9"/>
  <c r="CA167" i="9"/>
  <c r="CG167" i="9"/>
  <c r="CH167" i="9"/>
  <c r="CJ167" i="9"/>
  <c r="CK167" i="9"/>
  <c r="CL167" i="9"/>
  <c r="CM167" i="9"/>
  <c r="CN167" i="9"/>
  <c r="CO167" i="9"/>
  <c r="CP167" i="9"/>
  <c r="CQ167" i="9"/>
  <c r="CR167" i="9"/>
  <c r="CS167" i="9"/>
  <c r="CT167" i="9"/>
  <c r="CU167" i="9"/>
  <c r="CV167" i="9"/>
  <c r="CW167" i="9"/>
  <c r="CX167" i="9"/>
  <c r="CY167" i="9"/>
  <c r="DA167" i="9"/>
  <c r="DB167" i="9"/>
  <c r="DC167" i="9"/>
  <c r="DD167" i="9"/>
  <c r="DE167" i="9"/>
  <c r="DF167" i="9"/>
  <c r="DG167" i="9"/>
  <c r="DI167" i="9"/>
  <c r="DK167" i="9"/>
  <c r="DL167" i="9"/>
  <c r="DM167" i="9"/>
  <c r="DN167" i="9"/>
  <c r="DO167" i="9"/>
  <c r="DJ167" i="9"/>
  <c r="DH167" i="9"/>
  <c r="CZ167" i="9"/>
  <c r="EJ167" i="9"/>
  <c r="BY168" i="9"/>
  <c r="BZ168" i="9"/>
  <c r="CA168" i="9"/>
  <c r="CG168" i="9"/>
  <c r="CH168" i="9"/>
  <c r="CJ168" i="9"/>
  <c r="CK168" i="9"/>
  <c r="CL168" i="9"/>
  <c r="CM168" i="9"/>
  <c r="CN168" i="9"/>
  <c r="CO168" i="9"/>
  <c r="CP168" i="9"/>
  <c r="CQ168" i="9"/>
  <c r="CR168" i="9"/>
  <c r="CS168" i="9"/>
  <c r="CT168" i="9"/>
  <c r="CU168" i="9"/>
  <c r="CV168" i="9"/>
  <c r="CW168" i="9"/>
  <c r="CX168" i="9"/>
  <c r="CY168" i="9"/>
  <c r="DA168" i="9"/>
  <c r="DB168" i="9"/>
  <c r="DC168" i="9"/>
  <c r="DD168" i="9"/>
  <c r="DE168" i="9"/>
  <c r="DF168" i="9"/>
  <c r="DG168" i="9"/>
  <c r="DI168" i="9"/>
  <c r="DK168" i="9"/>
  <c r="DL168" i="9"/>
  <c r="EI168" i="9"/>
  <c r="DM168" i="9"/>
  <c r="DN168" i="9"/>
  <c r="DO168" i="9"/>
  <c r="DJ168" i="9"/>
  <c r="EJ168" i="9" s="1"/>
  <c r="DH168" i="9"/>
  <c r="CZ168" i="9"/>
  <c r="BY169" i="9"/>
  <c r="BZ169" i="9"/>
  <c r="CA169" i="9"/>
  <c r="CG169" i="9"/>
  <c r="CH169" i="9"/>
  <c r="CJ169" i="9"/>
  <c r="CK169" i="9"/>
  <c r="CL169" i="9"/>
  <c r="CM169" i="9"/>
  <c r="CN169" i="9"/>
  <c r="CO169" i="9"/>
  <c r="CP169" i="9"/>
  <c r="CQ169" i="9"/>
  <c r="CR169" i="9"/>
  <c r="CS169" i="9"/>
  <c r="CT169" i="9"/>
  <c r="CU169" i="9"/>
  <c r="CV169" i="9"/>
  <c r="CW169" i="9"/>
  <c r="CX169" i="9"/>
  <c r="CY169" i="9"/>
  <c r="DA169" i="9"/>
  <c r="DB169" i="9"/>
  <c r="DC169" i="9"/>
  <c r="DD169" i="9"/>
  <c r="DE169" i="9"/>
  <c r="DF169" i="9"/>
  <c r="DG169" i="9"/>
  <c r="DI169" i="9"/>
  <c r="DK169" i="9"/>
  <c r="DL169" i="9"/>
  <c r="DM169" i="9"/>
  <c r="DN169" i="9"/>
  <c r="DO169" i="9"/>
  <c r="DJ169" i="9"/>
  <c r="DH169" i="9"/>
  <c r="CZ169" i="9"/>
  <c r="BY170" i="9"/>
  <c r="BZ170" i="9"/>
  <c r="CA170" i="9"/>
  <c r="CG170" i="9"/>
  <c r="CH170" i="9"/>
  <c r="CJ170" i="9"/>
  <c r="CK170" i="9"/>
  <c r="CL170" i="9"/>
  <c r="CM170" i="9"/>
  <c r="CN170" i="9"/>
  <c r="CO170" i="9"/>
  <c r="CP170" i="9"/>
  <c r="CQ170" i="9"/>
  <c r="CR170" i="9"/>
  <c r="CS170" i="9"/>
  <c r="CT170" i="9"/>
  <c r="CU170" i="9"/>
  <c r="CV170" i="9"/>
  <c r="CW170" i="9"/>
  <c r="CX170" i="9"/>
  <c r="CY170" i="9"/>
  <c r="DA170" i="9"/>
  <c r="DB170" i="9"/>
  <c r="DC170" i="9"/>
  <c r="DD170" i="9"/>
  <c r="DE170" i="9"/>
  <c r="DF170" i="9"/>
  <c r="DG170" i="9"/>
  <c r="DI170" i="9"/>
  <c r="DK170" i="9"/>
  <c r="DL170" i="9"/>
  <c r="DM170" i="9"/>
  <c r="DN170" i="9"/>
  <c r="DO170" i="9"/>
  <c r="DJ170" i="9"/>
  <c r="DH170" i="9"/>
  <c r="CZ170" i="9"/>
  <c r="BY171" i="9"/>
  <c r="BZ171" i="9"/>
  <c r="CA171" i="9"/>
  <c r="CG171" i="9"/>
  <c r="CH171" i="9"/>
  <c r="CJ171" i="9"/>
  <c r="CK171" i="9"/>
  <c r="CL171" i="9"/>
  <c r="CM171" i="9"/>
  <c r="CN171" i="9"/>
  <c r="CO171" i="9"/>
  <c r="CP171" i="9"/>
  <c r="CQ171" i="9"/>
  <c r="CR171" i="9"/>
  <c r="CS171" i="9"/>
  <c r="CT171" i="9"/>
  <c r="CU171" i="9"/>
  <c r="CV171" i="9"/>
  <c r="CW171" i="9"/>
  <c r="CX171" i="9"/>
  <c r="CY171" i="9"/>
  <c r="DA171" i="9"/>
  <c r="DB171" i="9"/>
  <c r="DC171" i="9"/>
  <c r="DD171" i="9"/>
  <c r="DE171" i="9"/>
  <c r="DF171" i="9"/>
  <c r="DG171" i="9"/>
  <c r="DI171" i="9"/>
  <c r="DK171" i="9"/>
  <c r="DL171" i="9"/>
  <c r="DM171" i="9"/>
  <c r="DN171" i="9"/>
  <c r="DO171" i="9"/>
  <c r="DJ171" i="9"/>
  <c r="DH171" i="9"/>
  <c r="CZ171" i="9"/>
  <c r="EJ171" i="9"/>
  <c r="BY172" i="9"/>
  <c r="BZ172" i="9"/>
  <c r="CA172" i="9"/>
  <c r="CG172" i="9"/>
  <c r="CH172" i="9"/>
  <c r="CJ172" i="9"/>
  <c r="CK172" i="9"/>
  <c r="CL172" i="9"/>
  <c r="CM172" i="9"/>
  <c r="CN172" i="9"/>
  <c r="CO172" i="9"/>
  <c r="CP172" i="9"/>
  <c r="CQ172" i="9"/>
  <c r="CR172" i="9"/>
  <c r="CS172" i="9"/>
  <c r="CT172" i="9"/>
  <c r="CU172" i="9"/>
  <c r="CV172" i="9"/>
  <c r="CW172" i="9"/>
  <c r="CX172" i="9"/>
  <c r="CY172" i="9"/>
  <c r="DA172" i="9"/>
  <c r="DB172" i="9"/>
  <c r="DC172" i="9"/>
  <c r="DD172" i="9"/>
  <c r="DE172" i="9"/>
  <c r="DF172" i="9"/>
  <c r="DG172" i="9"/>
  <c r="DI172" i="9"/>
  <c r="DK172" i="9"/>
  <c r="DL172" i="9"/>
  <c r="EI172" i="9"/>
  <c r="DM172" i="9"/>
  <c r="DN172" i="9"/>
  <c r="DO172" i="9"/>
  <c r="DJ172" i="9"/>
  <c r="EJ172" i="9" s="1"/>
  <c r="DH172" i="9"/>
  <c r="CZ172" i="9"/>
  <c r="BY173" i="9"/>
  <c r="BZ173" i="9"/>
  <c r="CA173" i="9"/>
  <c r="CG173" i="9"/>
  <c r="CH173" i="9"/>
  <c r="CJ173" i="9"/>
  <c r="CK173" i="9"/>
  <c r="CL173" i="9"/>
  <c r="CM173" i="9"/>
  <c r="CN173" i="9"/>
  <c r="CO173" i="9"/>
  <c r="CP173" i="9"/>
  <c r="CQ173" i="9"/>
  <c r="CR173" i="9"/>
  <c r="CS173" i="9"/>
  <c r="CT173" i="9"/>
  <c r="CU173" i="9"/>
  <c r="CV173" i="9"/>
  <c r="CW173" i="9"/>
  <c r="CX173" i="9"/>
  <c r="CY173" i="9"/>
  <c r="DA173" i="9"/>
  <c r="DB173" i="9"/>
  <c r="DC173" i="9"/>
  <c r="DD173" i="9"/>
  <c r="DE173" i="9"/>
  <c r="DF173" i="9"/>
  <c r="DG173" i="9"/>
  <c r="DI173" i="9"/>
  <c r="DK173" i="9"/>
  <c r="DL173" i="9"/>
  <c r="DM173" i="9"/>
  <c r="DN173" i="9"/>
  <c r="DO173" i="9"/>
  <c r="DJ173" i="9"/>
  <c r="DH173" i="9"/>
  <c r="CZ173" i="9"/>
  <c r="BY174" i="9"/>
  <c r="BZ174" i="9"/>
  <c r="CA174" i="9"/>
  <c r="CG174" i="9"/>
  <c r="CH174" i="9"/>
  <c r="CJ174" i="9"/>
  <c r="CK174" i="9"/>
  <c r="CL174" i="9"/>
  <c r="CM174" i="9"/>
  <c r="CN174" i="9"/>
  <c r="CO174" i="9"/>
  <c r="CP174" i="9"/>
  <c r="CQ174" i="9"/>
  <c r="CR174" i="9"/>
  <c r="CS174" i="9"/>
  <c r="CT174" i="9"/>
  <c r="CU174" i="9"/>
  <c r="CV174" i="9"/>
  <c r="CW174" i="9"/>
  <c r="CX174" i="9"/>
  <c r="CY174" i="9"/>
  <c r="DA174" i="9"/>
  <c r="DB174" i="9"/>
  <c r="DC174" i="9"/>
  <c r="DD174" i="9"/>
  <c r="DE174" i="9"/>
  <c r="DF174" i="9"/>
  <c r="DG174" i="9"/>
  <c r="DI174" i="9"/>
  <c r="DK174" i="9"/>
  <c r="DL174" i="9"/>
  <c r="DM174" i="9"/>
  <c r="DN174" i="9"/>
  <c r="DO174" i="9"/>
  <c r="DJ174" i="9"/>
  <c r="DH174" i="9"/>
  <c r="CZ174" i="9"/>
  <c r="BY175" i="9"/>
  <c r="BZ175" i="9"/>
  <c r="CA175" i="9"/>
  <c r="CG175" i="9"/>
  <c r="CH175" i="9"/>
  <c r="CJ175" i="9"/>
  <c r="CK175" i="9"/>
  <c r="CL175" i="9"/>
  <c r="CM175" i="9"/>
  <c r="CN175" i="9"/>
  <c r="CO175" i="9"/>
  <c r="CP175" i="9"/>
  <c r="CQ175" i="9"/>
  <c r="CR175" i="9"/>
  <c r="CS175" i="9"/>
  <c r="CT175" i="9"/>
  <c r="CU175" i="9"/>
  <c r="CV175" i="9"/>
  <c r="CW175" i="9"/>
  <c r="CX175" i="9"/>
  <c r="CY175" i="9"/>
  <c r="DA175" i="9"/>
  <c r="DB175" i="9"/>
  <c r="DC175" i="9"/>
  <c r="DD175" i="9"/>
  <c r="DE175" i="9"/>
  <c r="DF175" i="9"/>
  <c r="DG175" i="9"/>
  <c r="DI175" i="9"/>
  <c r="DK175" i="9"/>
  <c r="DL175" i="9"/>
  <c r="DM175" i="9"/>
  <c r="DN175" i="9"/>
  <c r="DO175" i="9"/>
  <c r="DJ175" i="9"/>
  <c r="DH175" i="9"/>
  <c r="CZ175" i="9"/>
  <c r="EJ175" i="9"/>
  <c r="BY176" i="9"/>
  <c r="BZ176" i="9"/>
  <c r="CA176" i="9"/>
  <c r="CG176" i="9"/>
  <c r="CH176" i="9"/>
  <c r="CJ176" i="9"/>
  <c r="CK176" i="9"/>
  <c r="CL176" i="9"/>
  <c r="CM176" i="9"/>
  <c r="CN176" i="9"/>
  <c r="CO176" i="9"/>
  <c r="CP176" i="9"/>
  <c r="CQ176" i="9"/>
  <c r="CR176" i="9"/>
  <c r="CS176" i="9"/>
  <c r="CT176" i="9"/>
  <c r="CU176" i="9"/>
  <c r="CV176" i="9"/>
  <c r="CW176" i="9"/>
  <c r="CX176" i="9"/>
  <c r="CY176" i="9"/>
  <c r="DA176" i="9"/>
  <c r="DB176" i="9"/>
  <c r="DC176" i="9"/>
  <c r="DD176" i="9"/>
  <c r="DE176" i="9"/>
  <c r="DF176" i="9"/>
  <c r="DG176" i="9"/>
  <c r="DI176" i="9"/>
  <c r="DK176" i="9"/>
  <c r="DL176" i="9"/>
  <c r="EI176" i="9"/>
  <c r="DM176" i="9"/>
  <c r="DN176" i="9"/>
  <c r="DO176" i="9"/>
  <c r="DJ176" i="9"/>
  <c r="EJ176" i="9" s="1"/>
  <c r="DH176" i="9"/>
  <c r="CZ176" i="9"/>
  <c r="BY177" i="9"/>
  <c r="BZ177" i="9"/>
  <c r="CA177" i="9"/>
  <c r="CG177" i="9"/>
  <c r="CH177" i="9"/>
  <c r="CJ177" i="9"/>
  <c r="CK177" i="9"/>
  <c r="CL177" i="9"/>
  <c r="CM177" i="9"/>
  <c r="CN177" i="9"/>
  <c r="CO177" i="9"/>
  <c r="CP177" i="9"/>
  <c r="CQ177" i="9"/>
  <c r="CR177" i="9"/>
  <c r="CS177" i="9"/>
  <c r="CT177" i="9"/>
  <c r="CU177" i="9"/>
  <c r="CV177" i="9"/>
  <c r="CW177" i="9"/>
  <c r="CX177" i="9"/>
  <c r="CY177" i="9"/>
  <c r="DA177" i="9"/>
  <c r="DB177" i="9"/>
  <c r="DC177" i="9"/>
  <c r="DD177" i="9"/>
  <c r="DE177" i="9"/>
  <c r="DF177" i="9"/>
  <c r="DG177" i="9"/>
  <c r="DI177" i="9"/>
  <c r="DK177" i="9"/>
  <c r="DL177" i="9"/>
  <c r="DM177" i="9"/>
  <c r="DN177" i="9"/>
  <c r="DO177" i="9"/>
  <c r="DJ177" i="9"/>
  <c r="DH177" i="9"/>
  <c r="CZ177" i="9"/>
  <c r="BY178" i="9"/>
  <c r="BZ178" i="9"/>
  <c r="CA178" i="9"/>
  <c r="CG178" i="9"/>
  <c r="CH178" i="9"/>
  <c r="CJ178" i="9"/>
  <c r="CK178" i="9"/>
  <c r="CL178" i="9"/>
  <c r="CM178" i="9"/>
  <c r="CN178" i="9"/>
  <c r="CO178" i="9"/>
  <c r="CP178" i="9"/>
  <c r="CQ178" i="9"/>
  <c r="CR178" i="9"/>
  <c r="CS178" i="9"/>
  <c r="CT178" i="9"/>
  <c r="CU178" i="9"/>
  <c r="CV178" i="9"/>
  <c r="CW178" i="9"/>
  <c r="CX178" i="9"/>
  <c r="CY178" i="9"/>
  <c r="DA178" i="9"/>
  <c r="DB178" i="9"/>
  <c r="DC178" i="9"/>
  <c r="DD178" i="9"/>
  <c r="DE178" i="9"/>
  <c r="DF178" i="9"/>
  <c r="DG178" i="9"/>
  <c r="DI178" i="9"/>
  <c r="DK178" i="9"/>
  <c r="DL178" i="9"/>
  <c r="DM178" i="9"/>
  <c r="DN178" i="9"/>
  <c r="DO178" i="9"/>
  <c r="DJ178" i="9"/>
  <c r="DH178" i="9"/>
  <c r="CZ178" i="9"/>
  <c r="BY179" i="9"/>
  <c r="BZ179" i="9"/>
  <c r="CA179" i="9"/>
  <c r="CG179" i="9"/>
  <c r="CH179" i="9"/>
  <c r="CJ179" i="9"/>
  <c r="CK179" i="9"/>
  <c r="CL179" i="9"/>
  <c r="CM179" i="9"/>
  <c r="CN179" i="9"/>
  <c r="CO179" i="9"/>
  <c r="CP179" i="9"/>
  <c r="CQ179" i="9"/>
  <c r="CR179" i="9"/>
  <c r="CS179" i="9"/>
  <c r="CT179" i="9"/>
  <c r="CU179" i="9"/>
  <c r="CV179" i="9"/>
  <c r="CW179" i="9"/>
  <c r="CX179" i="9"/>
  <c r="CY179" i="9"/>
  <c r="DA179" i="9"/>
  <c r="DB179" i="9"/>
  <c r="DC179" i="9"/>
  <c r="DD179" i="9"/>
  <c r="DE179" i="9"/>
  <c r="DF179" i="9"/>
  <c r="DG179" i="9"/>
  <c r="DI179" i="9"/>
  <c r="DK179" i="9"/>
  <c r="DL179" i="9"/>
  <c r="DM179" i="9"/>
  <c r="DN179" i="9"/>
  <c r="DO179" i="9"/>
  <c r="DJ179" i="9"/>
  <c r="DH179" i="9"/>
  <c r="CZ179" i="9"/>
  <c r="EJ179" i="9"/>
  <c r="BY180" i="9"/>
  <c r="BZ180" i="9"/>
  <c r="CA180" i="9"/>
  <c r="CG180" i="9"/>
  <c r="CH180" i="9"/>
  <c r="CJ180" i="9"/>
  <c r="CK180" i="9"/>
  <c r="CL180" i="9"/>
  <c r="CM180" i="9"/>
  <c r="CN180" i="9"/>
  <c r="CO180" i="9"/>
  <c r="CP180" i="9"/>
  <c r="CQ180" i="9"/>
  <c r="CR180" i="9"/>
  <c r="CS180" i="9"/>
  <c r="CT180" i="9"/>
  <c r="CU180" i="9"/>
  <c r="CV180" i="9"/>
  <c r="CW180" i="9"/>
  <c r="CX180" i="9"/>
  <c r="CY180" i="9"/>
  <c r="DA180" i="9"/>
  <c r="DB180" i="9"/>
  <c r="DC180" i="9"/>
  <c r="DD180" i="9"/>
  <c r="DE180" i="9"/>
  <c r="DF180" i="9"/>
  <c r="DG180" i="9"/>
  <c r="DI180" i="9"/>
  <c r="DK180" i="9"/>
  <c r="DL180" i="9"/>
  <c r="EI180" i="9"/>
  <c r="DM180" i="9"/>
  <c r="DN180" i="9"/>
  <c r="DO180" i="9"/>
  <c r="DJ180" i="9"/>
  <c r="EJ180" i="9" s="1"/>
  <c r="DH180" i="9"/>
  <c r="CZ180" i="9"/>
  <c r="BY181" i="9"/>
  <c r="BZ181" i="9"/>
  <c r="CA181" i="9"/>
  <c r="CG181" i="9"/>
  <c r="CH181" i="9"/>
  <c r="CJ181" i="9"/>
  <c r="CK181" i="9"/>
  <c r="CL181" i="9"/>
  <c r="CM181" i="9"/>
  <c r="CN181" i="9"/>
  <c r="CO181" i="9"/>
  <c r="CP181" i="9"/>
  <c r="CQ181" i="9"/>
  <c r="CR181" i="9"/>
  <c r="CS181" i="9"/>
  <c r="CT181" i="9"/>
  <c r="CU181" i="9"/>
  <c r="CV181" i="9"/>
  <c r="CW181" i="9"/>
  <c r="CX181" i="9"/>
  <c r="CY181" i="9"/>
  <c r="DA181" i="9"/>
  <c r="DB181" i="9"/>
  <c r="DC181" i="9"/>
  <c r="DD181" i="9"/>
  <c r="DE181" i="9"/>
  <c r="DF181" i="9"/>
  <c r="DG181" i="9"/>
  <c r="DI181" i="9"/>
  <c r="DK181" i="9"/>
  <c r="DL181" i="9"/>
  <c r="DM181" i="9"/>
  <c r="DN181" i="9"/>
  <c r="DO181" i="9"/>
  <c r="DJ181" i="9"/>
  <c r="DH181" i="9"/>
  <c r="CZ181" i="9"/>
  <c r="BY182" i="9"/>
  <c r="BZ182" i="9"/>
  <c r="CA182" i="9"/>
  <c r="CG182" i="9"/>
  <c r="CH182" i="9"/>
  <c r="CJ182" i="9"/>
  <c r="CK182" i="9"/>
  <c r="CL182" i="9"/>
  <c r="CM182" i="9"/>
  <c r="CN182" i="9"/>
  <c r="CO182" i="9"/>
  <c r="CP182" i="9"/>
  <c r="CQ182" i="9"/>
  <c r="CR182" i="9"/>
  <c r="CS182" i="9"/>
  <c r="CT182" i="9"/>
  <c r="CU182" i="9"/>
  <c r="CV182" i="9"/>
  <c r="CW182" i="9"/>
  <c r="CX182" i="9"/>
  <c r="CY182" i="9"/>
  <c r="DA182" i="9"/>
  <c r="DB182" i="9"/>
  <c r="DC182" i="9"/>
  <c r="DD182" i="9"/>
  <c r="DE182" i="9"/>
  <c r="DF182" i="9"/>
  <c r="DG182" i="9"/>
  <c r="DI182" i="9"/>
  <c r="DK182" i="9"/>
  <c r="DL182" i="9"/>
  <c r="DM182" i="9"/>
  <c r="DN182" i="9"/>
  <c r="DO182" i="9"/>
  <c r="DJ182" i="9"/>
  <c r="DH182" i="9"/>
  <c r="CZ182" i="9"/>
  <c r="BY183" i="9"/>
  <c r="BZ183" i="9"/>
  <c r="CA183" i="9"/>
  <c r="CG183" i="9"/>
  <c r="CH183" i="9"/>
  <c r="CJ183" i="9"/>
  <c r="CK183" i="9"/>
  <c r="CL183" i="9"/>
  <c r="CM183" i="9"/>
  <c r="CN183" i="9"/>
  <c r="CO183" i="9"/>
  <c r="CP183" i="9"/>
  <c r="CQ183" i="9"/>
  <c r="CR183" i="9"/>
  <c r="CS183" i="9"/>
  <c r="CT183" i="9"/>
  <c r="CU183" i="9"/>
  <c r="CV183" i="9"/>
  <c r="CW183" i="9"/>
  <c r="CX183" i="9"/>
  <c r="CY183" i="9"/>
  <c r="DA183" i="9"/>
  <c r="DB183" i="9"/>
  <c r="DC183" i="9"/>
  <c r="DD183" i="9"/>
  <c r="DE183" i="9"/>
  <c r="DF183" i="9"/>
  <c r="DG183" i="9"/>
  <c r="DI183" i="9"/>
  <c r="DK183" i="9"/>
  <c r="DL183" i="9"/>
  <c r="DM183" i="9"/>
  <c r="DN183" i="9"/>
  <c r="DO183" i="9"/>
  <c r="DJ183" i="9"/>
  <c r="DH183" i="9"/>
  <c r="CZ183" i="9"/>
  <c r="EJ183" i="9"/>
  <c r="BY184" i="9"/>
  <c r="BZ184" i="9"/>
  <c r="CA184" i="9"/>
  <c r="CG184" i="9"/>
  <c r="CH184" i="9"/>
  <c r="CJ184" i="9"/>
  <c r="CK184" i="9"/>
  <c r="CL184" i="9"/>
  <c r="CM184" i="9"/>
  <c r="CN184" i="9"/>
  <c r="CO184" i="9"/>
  <c r="CP184" i="9"/>
  <c r="CQ184" i="9"/>
  <c r="CR184" i="9"/>
  <c r="CS184" i="9"/>
  <c r="CT184" i="9"/>
  <c r="CU184" i="9"/>
  <c r="CV184" i="9"/>
  <c r="CW184" i="9"/>
  <c r="CX184" i="9"/>
  <c r="CY184" i="9"/>
  <c r="DA184" i="9"/>
  <c r="DB184" i="9"/>
  <c r="DC184" i="9"/>
  <c r="DD184" i="9"/>
  <c r="DE184" i="9"/>
  <c r="DF184" i="9"/>
  <c r="DG184" i="9"/>
  <c r="DI184" i="9"/>
  <c r="DK184" i="9"/>
  <c r="DL184" i="9"/>
  <c r="EI184" i="9"/>
  <c r="DM184" i="9"/>
  <c r="DN184" i="9"/>
  <c r="DO184" i="9"/>
  <c r="DJ184" i="9"/>
  <c r="EJ184" i="9" s="1"/>
  <c r="DH184" i="9"/>
  <c r="CZ184" i="9"/>
  <c r="BY185" i="9"/>
  <c r="BZ185" i="9"/>
  <c r="CA185" i="9"/>
  <c r="CG185" i="9"/>
  <c r="CH185" i="9"/>
  <c r="CJ185" i="9"/>
  <c r="CK185" i="9"/>
  <c r="CL185" i="9"/>
  <c r="CM185" i="9"/>
  <c r="CN185" i="9"/>
  <c r="CO185" i="9"/>
  <c r="CP185" i="9"/>
  <c r="CQ185" i="9"/>
  <c r="CR185" i="9"/>
  <c r="CS185" i="9"/>
  <c r="CT185" i="9"/>
  <c r="CU185" i="9"/>
  <c r="CV185" i="9"/>
  <c r="CW185" i="9"/>
  <c r="CX185" i="9"/>
  <c r="CY185" i="9"/>
  <c r="DA185" i="9"/>
  <c r="DB185" i="9"/>
  <c r="DC185" i="9"/>
  <c r="DD185" i="9"/>
  <c r="DE185" i="9"/>
  <c r="DF185" i="9"/>
  <c r="DG185" i="9"/>
  <c r="DI185" i="9"/>
  <c r="DK185" i="9"/>
  <c r="DL185" i="9"/>
  <c r="DM185" i="9"/>
  <c r="DN185" i="9"/>
  <c r="DO185" i="9"/>
  <c r="DJ185" i="9"/>
  <c r="DH185" i="9"/>
  <c r="CZ185" i="9"/>
  <c r="BY186" i="9"/>
  <c r="BZ186" i="9"/>
  <c r="CA186" i="9"/>
  <c r="CG186" i="9"/>
  <c r="CH186" i="9"/>
  <c r="CJ186" i="9"/>
  <c r="CK186" i="9"/>
  <c r="CL186" i="9"/>
  <c r="CM186" i="9"/>
  <c r="CN186" i="9"/>
  <c r="CO186" i="9"/>
  <c r="CP186" i="9"/>
  <c r="CQ186" i="9"/>
  <c r="CR186" i="9"/>
  <c r="CS186" i="9"/>
  <c r="CT186" i="9"/>
  <c r="CU186" i="9"/>
  <c r="CV186" i="9"/>
  <c r="CW186" i="9"/>
  <c r="CX186" i="9"/>
  <c r="CY186" i="9"/>
  <c r="DA186" i="9"/>
  <c r="DB186" i="9"/>
  <c r="DC186" i="9"/>
  <c r="DD186" i="9"/>
  <c r="DE186" i="9"/>
  <c r="DF186" i="9"/>
  <c r="DG186" i="9"/>
  <c r="DI186" i="9"/>
  <c r="DK186" i="9"/>
  <c r="DL186" i="9"/>
  <c r="DM186" i="9"/>
  <c r="DN186" i="9"/>
  <c r="DO186" i="9"/>
  <c r="DJ186" i="9"/>
  <c r="DH186" i="9"/>
  <c r="CZ186" i="9"/>
  <c r="BY187" i="9"/>
  <c r="BZ187" i="9"/>
  <c r="CA187" i="9"/>
  <c r="CG187" i="9"/>
  <c r="CH187" i="9"/>
  <c r="CJ187" i="9"/>
  <c r="CK187" i="9"/>
  <c r="CL187" i="9"/>
  <c r="CM187" i="9"/>
  <c r="CN187" i="9"/>
  <c r="CO187" i="9"/>
  <c r="CP187" i="9"/>
  <c r="CQ187" i="9"/>
  <c r="CR187" i="9"/>
  <c r="CS187" i="9"/>
  <c r="CT187" i="9"/>
  <c r="CU187" i="9"/>
  <c r="CV187" i="9"/>
  <c r="CW187" i="9"/>
  <c r="CX187" i="9"/>
  <c r="CY187" i="9"/>
  <c r="DA187" i="9"/>
  <c r="DB187" i="9"/>
  <c r="DC187" i="9"/>
  <c r="DD187" i="9"/>
  <c r="DE187" i="9"/>
  <c r="DF187" i="9"/>
  <c r="DG187" i="9"/>
  <c r="DI187" i="9"/>
  <c r="DK187" i="9"/>
  <c r="DL187" i="9"/>
  <c r="DM187" i="9"/>
  <c r="DN187" i="9"/>
  <c r="DO187" i="9"/>
  <c r="DJ187" i="9"/>
  <c r="DH187" i="9"/>
  <c r="CZ187" i="9"/>
  <c r="EJ187" i="9"/>
  <c r="BY188" i="9"/>
  <c r="BZ188" i="9"/>
  <c r="CA188" i="9"/>
  <c r="CG188" i="9"/>
  <c r="CH188" i="9"/>
  <c r="CJ188" i="9"/>
  <c r="CK188" i="9"/>
  <c r="CL188" i="9"/>
  <c r="CM188" i="9"/>
  <c r="CN188" i="9"/>
  <c r="CO188" i="9"/>
  <c r="CP188" i="9"/>
  <c r="CQ188" i="9"/>
  <c r="CR188" i="9"/>
  <c r="CS188" i="9"/>
  <c r="CT188" i="9"/>
  <c r="CU188" i="9"/>
  <c r="CV188" i="9"/>
  <c r="CW188" i="9"/>
  <c r="CX188" i="9"/>
  <c r="CY188" i="9"/>
  <c r="DA188" i="9"/>
  <c r="DB188" i="9"/>
  <c r="DC188" i="9"/>
  <c r="DD188" i="9"/>
  <c r="DE188" i="9"/>
  <c r="DF188" i="9"/>
  <c r="DG188" i="9"/>
  <c r="DI188" i="9"/>
  <c r="DK188" i="9"/>
  <c r="DL188" i="9"/>
  <c r="EI188" i="9"/>
  <c r="DM188" i="9"/>
  <c r="DN188" i="9"/>
  <c r="DO188" i="9"/>
  <c r="DJ188" i="9"/>
  <c r="EJ188" i="9" s="1"/>
  <c r="DH188" i="9"/>
  <c r="CZ188" i="9"/>
  <c r="BY189" i="9"/>
  <c r="BZ189" i="9"/>
  <c r="CA189" i="9"/>
  <c r="CG189" i="9"/>
  <c r="CH189" i="9"/>
  <c r="CJ189" i="9"/>
  <c r="CK189" i="9"/>
  <c r="CL189" i="9"/>
  <c r="CM189" i="9"/>
  <c r="CN189" i="9"/>
  <c r="CO189" i="9"/>
  <c r="CP189" i="9"/>
  <c r="CQ189" i="9"/>
  <c r="CR189" i="9"/>
  <c r="CS189" i="9"/>
  <c r="CT189" i="9"/>
  <c r="CU189" i="9"/>
  <c r="CV189" i="9"/>
  <c r="CW189" i="9"/>
  <c r="CX189" i="9"/>
  <c r="CY189" i="9"/>
  <c r="DA189" i="9"/>
  <c r="DB189" i="9"/>
  <c r="DC189" i="9"/>
  <c r="DD189" i="9"/>
  <c r="DE189" i="9"/>
  <c r="DF189" i="9"/>
  <c r="DG189" i="9"/>
  <c r="DI189" i="9"/>
  <c r="DK189" i="9"/>
  <c r="DL189" i="9"/>
  <c r="DM189" i="9"/>
  <c r="DN189" i="9"/>
  <c r="DO189" i="9"/>
  <c r="DJ189" i="9"/>
  <c r="DH189" i="9"/>
  <c r="CZ189" i="9"/>
  <c r="BY190" i="9"/>
  <c r="BZ190" i="9"/>
  <c r="CA190" i="9"/>
  <c r="CG190" i="9"/>
  <c r="CH190" i="9"/>
  <c r="CJ190" i="9"/>
  <c r="CK190" i="9"/>
  <c r="CL190" i="9"/>
  <c r="CM190" i="9"/>
  <c r="CN190" i="9"/>
  <c r="CO190" i="9"/>
  <c r="CP190" i="9"/>
  <c r="CQ190" i="9"/>
  <c r="CR190" i="9"/>
  <c r="CS190" i="9"/>
  <c r="CT190" i="9"/>
  <c r="CU190" i="9"/>
  <c r="CV190" i="9"/>
  <c r="CW190" i="9"/>
  <c r="CX190" i="9"/>
  <c r="CY190" i="9"/>
  <c r="DA190" i="9"/>
  <c r="DB190" i="9"/>
  <c r="DC190" i="9"/>
  <c r="DD190" i="9"/>
  <c r="DE190" i="9"/>
  <c r="DF190" i="9"/>
  <c r="DG190" i="9"/>
  <c r="DI190" i="9"/>
  <c r="DK190" i="9"/>
  <c r="DL190" i="9"/>
  <c r="DM190" i="9"/>
  <c r="DN190" i="9"/>
  <c r="DO190" i="9"/>
  <c r="DJ190" i="9"/>
  <c r="DH190" i="9"/>
  <c r="CZ190" i="9"/>
  <c r="BY191" i="9"/>
  <c r="BZ191" i="9"/>
  <c r="CA191" i="9"/>
  <c r="CG191" i="9"/>
  <c r="CH191" i="9"/>
  <c r="CJ191" i="9"/>
  <c r="CK191" i="9"/>
  <c r="CL191" i="9"/>
  <c r="CM191" i="9"/>
  <c r="CN191" i="9"/>
  <c r="CO191" i="9"/>
  <c r="CP191" i="9"/>
  <c r="CQ191" i="9"/>
  <c r="CR191" i="9"/>
  <c r="CS191" i="9"/>
  <c r="CT191" i="9"/>
  <c r="CU191" i="9"/>
  <c r="CV191" i="9"/>
  <c r="CW191" i="9"/>
  <c r="CX191" i="9"/>
  <c r="CY191" i="9"/>
  <c r="DA191" i="9"/>
  <c r="DB191" i="9"/>
  <c r="DC191" i="9"/>
  <c r="DD191" i="9"/>
  <c r="DE191" i="9"/>
  <c r="DF191" i="9"/>
  <c r="DG191" i="9"/>
  <c r="DI191" i="9"/>
  <c r="DK191" i="9"/>
  <c r="DL191" i="9"/>
  <c r="DM191" i="9"/>
  <c r="DN191" i="9"/>
  <c r="DO191" i="9"/>
  <c r="DJ191" i="9"/>
  <c r="DH191" i="9"/>
  <c r="CZ191" i="9"/>
  <c r="EJ191" i="9"/>
  <c r="BY192" i="9"/>
  <c r="BZ192" i="9"/>
  <c r="CA192" i="9"/>
  <c r="CG192" i="9"/>
  <c r="CH192" i="9"/>
  <c r="CJ192" i="9"/>
  <c r="CK192" i="9"/>
  <c r="CL192" i="9"/>
  <c r="CM192" i="9"/>
  <c r="CN192" i="9"/>
  <c r="CO192" i="9"/>
  <c r="CP192" i="9"/>
  <c r="CQ192" i="9"/>
  <c r="CR192" i="9"/>
  <c r="CS192" i="9"/>
  <c r="CT192" i="9"/>
  <c r="CU192" i="9"/>
  <c r="CV192" i="9"/>
  <c r="CW192" i="9"/>
  <c r="CX192" i="9"/>
  <c r="CY192" i="9"/>
  <c r="DA192" i="9"/>
  <c r="DB192" i="9"/>
  <c r="DC192" i="9"/>
  <c r="DD192" i="9"/>
  <c r="DE192" i="9"/>
  <c r="DF192" i="9"/>
  <c r="DG192" i="9"/>
  <c r="DI192" i="9"/>
  <c r="DK192" i="9"/>
  <c r="DL192" i="9"/>
  <c r="EI192" i="9"/>
  <c r="DM192" i="9"/>
  <c r="DN192" i="9"/>
  <c r="DO192" i="9"/>
  <c r="DJ192" i="9"/>
  <c r="EJ192" i="9" s="1"/>
  <c r="DH192" i="9"/>
  <c r="CZ192" i="9"/>
  <c r="BY193" i="9"/>
  <c r="BZ193" i="9"/>
  <c r="CA193" i="9"/>
  <c r="CG193" i="9"/>
  <c r="CH193" i="9"/>
  <c r="CJ193" i="9"/>
  <c r="CK193" i="9"/>
  <c r="CL193" i="9"/>
  <c r="CM193" i="9"/>
  <c r="CM246" i="9" s="1"/>
  <c r="CN193" i="9"/>
  <c r="CO193" i="9"/>
  <c r="CP193" i="9"/>
  <c r="CQ193" i="9"/>
  <c r="CR193" i="9"/>
  <c r="CS193" i="9"/>
  <c r="CT193" i="9"/>
  <c r="CU193" i="9"/>
  <c r="CU246" i="9" s="1"/>
  <c r="CV193" i="9"/>
  <c r="CW193" i="9"/>
  <c r="CX193" i="9"/>
  <c r="CY193" i="9"/>
  <c r="DA193" i="9"/>
  <c r="DB193" i="9"/>
  <c r="DC193" i="9"/>
  <c r="DD193" i="9"/>
  <c r="DD246" i="9" s="1"/>
  <c r="DE193" i="9"/>
  <c r="DF193" i="9"/>
  <c r="DG193" i="9"/>
  <c r="DI193" i="9"/>
  <c r="DK193" i="9"/>
  <c r="DL193" i="9"/>
  <c r="DM193" i="9"/>
  <c r="DN193" i="9"/>
  <c r="DO193" i="9"/>
  <c r="DJ193" i="9"/>
  <c r="DH193" i="9"/>
  <c r="DH246" i="9" s="1"/>
  <c r="CZ193" i="9"/>
  <c r="BY194" i="9"/>
  <c r="BZ194" i="9"/>
  <c r="CA194" i="9"/>
  <c r="CG194" i="9"/>
  <c r="CH194" i="9"/>
  <c r="CJ194" i="9"/>
  <c r="CK194" i="9"/>
  <c r="CL194" i="9"/>
  <c r="CM194" i="9"/>
  <c r="CN194" i="9"/>
  <c r="CO194" i="9"/>
  <c r="CP194" i="9"/>
  <c r="CQ194" i="9"/>
  <c r="CR194" i="9"/>
  <c r="CS194" i="9"/>
  <c r="CT194" i="9"/>
  <c r="CU194" i="9"/>
  <c r="CV194" i="9"/>
  <c r="CW194" i="9"/>
  <c r="CX194" i="9"/>
  <c r="CY194" i="9"/>
  <c r="DA194" i="9"/>
  <c r="DB194" i="9"/>
  <c r="DC194" i="9"/>
  <c r="DD194" i="9"/>
  <c r="DE194" i="9"/>
  <c r="DF194" i="9"/>
  <c r="DG194" i="9"/>
  <c r="DI194" i="9"/>
  <c r="DK194" i="9"/>
  <c r="DL194" i="9"/>
  <c r="DM194" i="9"/>
  <c r="DN194" i="9"/>
  <c r="DO194" i="9"/>
  <c r="DJ194" i="9"/>
  <c r="DH194" i="9"/>
  <c r="CZ194" i="9"/>
  <c r="BY195" i="9"/>
  <c r="BZ195" i="9"/>
  <c r="CA195" i="9"/>
  <c r="CG195" i="9"/>
  <c r="CH195" i="9"/>
  <c r="CJ195" i="9"/>
  <c r="CK195" i="9"/>
  <c r="CL195" i="9"/>
  <c r="CM195" i="9"/>
  <c r="CN195" i="9"/>
  <c r="CO195" i="9"/>
  <c r="CP195" i="9"/>
  <c r="CQ195" i="9"/>
  <c r="CR195" i="9"/>
  <c r="CS195" i="9"/>
  <c r="CT195" i="9"/>
  <c r="CU195" i="9"/>
  <c r="CV195" i="9"/>
  <c r="CW195" i="9"/>
  <c r="CX195" i="9"/>
  <c r="CY195" i="9"/>
  <c r="DA195" i="9"/>
  <c r="DB195" i="9"/>
  <c r="DC195" i="9"/>
  <c r="DD195" i="9"/>
  <c r="DE195" i="9"/>
  <c r="DF195" i="9"/>
  <c r="DG195" i="9"/>
  <c r="DI195" i="9"/>
  <c r="DK195" i="9"/>
  <c r="DL195" i="9"/>
  <c r="DM195" i="9"/>
  <c r="DN195" i="9"/>
  <c r="DO195" i="9"/>
  <c r="DJ195" i="9"/>
  <c r="DH195" i="9"/>
  <c r="CZ195" i="9"/>
  <c r="EJ195" i="9"/>
  <c r="BY196" i="9"/>
  <c r="BZ196" i="9"/>
  <c r="CA196" i="9"/>
  <c r="CA246" i="9" s="1"/>
  <c r="CG196" i="9"/>
  <c r="CG246" i="9" s="1"/>
  <c r="CH196" i="9"/>
  <c r="CJ196" i="9"/>
  <c r="CK196" i="9"/>
  <c r="CK246" i="9" s="1"/>
  <c r="CL196" i="9"/>
  <c r="CL246" i="9" s="1"/>
  <c r="CM196" i="9"/>
  <c r="CN196" i="9"/>
  <c r="CO196" i="9"/>
  <c r="CO246" i="9" s="1"/>
  <c r="CP196" i="9"/>
  <c r="CP246" i="9" s="1"/>
  <c r="CQ196" i="9"/>
  <c r="CR196" i="9"/>
  <c r="CS196" i="9"/>
  <c r="CS246" i="9" s="1"/>
  <c r="CT196" i="9"/>
  <c r="CT246" i="9" s="1"/>
  <c r="CU196" i="9"/>
  <c r="CV196" i="9"/>
  <c r="CW196" i="9"/>
  <c r="CW246" i="9" s="1"/>
  <c r="CX196" i="9"/>
  <c r="CX246" i="9" s="1"/>
  <c r="CY196" i="9"/>
  <c r="DA196" i="9"/>
  <c r="DB196" i="9"/>
  <c r="DB246" i="9" s="1"/>
  <c r="DC196" i="9"/>
  <c r="DC246" i="9" s="1"/>
  <c r="DD196" i="9"/>
  <c r="DE196" i="9"/>
  <c r="DF196" i="9"/>
  <c r="DF246" i="9" s="1"/>
  <c r="DG196" i="9"/>
  <c r="DG246" i="9" s="1"/>
  <c r="DI196" i="9"/>
  <c r="DK196" i="9"/>
  <c r="DL196" i="9"/>
  <c r="DL246" i="9" s="1"/>
  <c r="EI196" i="9"/>
  <c r="DM196" i="9"/>
  <c r="DN196" i="9"/>
  <c r="DO196" i="9"/>
  <c r="DO246" i="9" s="1"/>
  <c r="DJ196" i="9"/>
  <c r="DH196" i="9"/>
  <c r="CZ196" i="9"/>
  <c r="BY197" i="9"/>
  <c r="BZ197" i="9"/>
  <c r="CA197" i="9"/>
  <c r="CG197" i="9"/>
  <c r="CH197" i="9"/>
  <c r="CJ197" i="9"/>
  <c r="CK197" i="9"/>
  <c r="CL197" i="9"/>
  <c r="CM197" i="9"/>
  <c r="CN197" i="9"/>
  <c r="CO197" i="9"/>
  <c r="CP197" i="9"/>
  <c r="CQ197" i="9"/>
  <c r="CR197" i="9"/>
  <c r="CS197" i="9"/>
  <c r="CT197" i="9"/>
  <c r="CU197" i="9"/>
  <c r="CV197" i="9"/>
  <c r="CW197" i="9"/>
  <c r="CX197" i="9"/>
  <c r="CY197" i="9"/>
  <c r="DA197" i="9"/>
  <c r="DB197" i="9"/>
  <c r="DC197" i="9"/>
  <c r="DD197" i="9"/>
  <c r="DE197" i="9"/>
  <c r="DF197" i="9"/>
  <c r="DG197" i="9"/>
  <c r="DI197" i="9"/>
  <c r="DK197" i="9"/>
  <c r="DL197" i="9"/>
  <c r="DM197" i="9"/>
  <c r="DN197" i="9"/>
  <c r="DO197" i="9"/>
  <c r="DJ197" i="9"/>
  <c r="DH197" i="9"/>
  <c r="CZ197" i="9"/>
  <c r="BY198" i="9"/>
  <c r="BZ198" i="9"/>
  <c r="CA198" i="9"/>
  <c r="CG198" i="9"/>
  <c r="CH198" i="9"/>
  <c r="CJ198" i="9"/>
  <c r="CK198" i="9"/>
  <c r="CL198" i="9"/>
  <c r="CM198" i="9"/>
  <c r="CN198" i="9"/>
  <c r="CO198" i="9"/>
  <c r="CP198" i="9"/>
  <c r="CQ198" i="9"/>
  <c r="CR198" i="9"/>
  <c r="CS198" i="9"/>
  <c r="CT198" i="9"/>
  <c r="CU198" i="9"/>
  <c r="CV198" i="9"/>
  <c r="CW198" i="9"/>
  <c r="CX198" i="9"/>
  <c r="CY198" i="9"/>
  <c r="DA198" i="9"/>
  <c r="DB198" i="9"/>
  <c r="DC198" i="9"/>
  <c r="DD198" i="9"/>
  <c r="DE198" i="9"/>
  <c r="DF198" i="9"/>
  <c r="DG198" i="9"/>
  <c r="DI198" i="9"/>
  <c r="DK198" i="9"/>
  <c r="DL198" i="9"/>
  <c r="DM198" i="9"/>
  <c r="DN198" i="9"/>
  <c r="DO198" i="9"/>
  <c r="DJ198" i="9"/>
  <c r="DH198" i="9"/>
  <c r="CZ198" i="9"/>
  <c r="BY199" i="9"/>
  <c r="BZ199" i="9"/>
  <c r="CA199" i="9"/>
  <c r="CG199" i="9"/>
  <c r="CH199" i="9"/>
  <c r="CJ199" i="9"/>
  <c r="CK199" i="9"/>
  <c r="CL199" i="9"/>
  <c r="CM199" i="9"/>
  <c r="CN199" i="9"/>
  <c r="CO199" i="9"/>
  <c r="CP199" i="9"/>
  <c r="CQ199" i="9"/>
  <c r="CR199" i="9"/>
  <c r="CS199" i="9"/>
  <c r="CT199" i="9"/>
  <c r="CU199" i="9"/>
  <c r="CV199" i="9"/>
  <c r="CW199" i="9"/>
  <c r="CX199" i="9"/>
  <c r="CY199" i="9"/>
  <c r="DA199" i="9"/>
  <c r="DB199" i="9"/>
  <c r="DC199" i="9"/>
  <c r="DD199" i="9"/>
  <c r="DE199" i="9"/>
  <c r="DF199" i="9"/>
  <c r="DG199" i="9"/>
  <c r="DI199" i="9"/>
  <c r="DK199" i="9"/>
  <c r="DL199" i="9"/>
  <c r="DM199" i="9"/>
  <c r="DN199" i="9"/>
  <c r="DO199" i="9"/>
  <c r="DJ199" i="9"/>
  <c r="DH199" i="9"/>
  <c r="CZ199" i="9"/>
  <c r="EJ199" i="9"/>
  <c r="BY200" i="9"/>
  <c r="BZ200" i="9"/>
  <c r="CA200" i="9"/>
  <c r="CG200" i="9"/>
  <c r="CH200" i="9"/>
  <c r="CJ200" i="9"/>
  <c r="CK200" i="9"/>
  <c r="CL200" i="9"/>
  <c r="CM200" i="9"/>
  <c r="CN200" i="9"/>
  <c r="CO200" i="9"/>
  <c r="CP200" i="9"/>
  <c r="CQ200" i="9"/>
  <c r="CR200" i="9"/>
  <c r="CS200" i="9"/>
  <c r="CT200" i="9"/>
  <c r="CU200" i="9"/>
  <c r="CV200" i="9"/>
  <c r="CW200" i="9"/>
  <c r="CX200" i="9"/>
  <c r="CY200" i="9"/>
  <c r="DA200" i="9"/>
  <c r="DB200" i="9"/>
  <c r="DC200" i="9"/>
  <c r="DD200" i="9"/>
  <c r="DE200" i="9"/>
  <c r="DF200" i="9"/>
  <c r="DG200" i="9"/>
  <c r="DI200" i="9"/>
  <c r="DK200" i="9"/>
  <c r="DL200" i="9"/>
  <c r="EI200" i="9"/>
  <c r="DM200" i="9"/>
  <c r="DN200" i="9"/>
  <c r="DO200" i="9"/>
  <c r="DJ200" i="9"/>
  <c r="EJ200" i="9" s="1"/>
  <c r="DH200" i="9"/>
  <c r="CZ200" i="9"/>
  <c r="BY201" i="9"/>
  <c r="BZ201" i="9"/>
  <c r="CA201" i="9"/>
  <c r="CG201" i="9"/>
  <c r="CH201" i="9"/>
  <c r="CJ201" i="9"/>
  <c r="CK201" i="9"/>
  <c r="CL201" i="9"/>
  <c r="CM201" i="9"/>
  <c r="CN201" i="9"/>
  <c r="CO201" i="9"/>
  <c r="CP201" i="9"/>
  <c r="CQ201" i="9"/>
  <c r="CR201" i="9"/>
  <c r="CS201" i="9"/>
  <c r="CT201" i="9"/>
  <c r="CU201" i="9"/>
  <c r="CV201" i="9"/>
  <c r="CW201" i="9"/>
  <c r="CX201" i="9"/>
  <c r="CY201" i="9"/>
  <c r="DA201" i="9"/>
  <c r="DB201" i="9"/>
  <c r="DC201" i="9"/>
  <c r="DD201" i="9"/>
  <c r="DE201" i="9"/>
  <c r="DF201" i="9"/>
  <c r="DG201" i="9"/>
  <c r="DI201" i="9"/>
  <c r="DK201" i="9"/>
  <c r="DL201" i="9"/>
  <c r="DM201" i="9"/>
  <c r="DN201" i="9"/>
  <c r="DO201" i="9"/>
  <c r="DJ201" i="9"/>
  <c r="DH201" i="9"/>
  <c r="CZ201" i="9"/>
  <c r="BY202" i="9"/>
  <c r="BZ202" i="9"/>
  <c r="CA202" i="9"/>
  <c r="CG202" i="9"/>
  <c r="CH202" i="9"/>
  <c r="CJ202" i="9"/>
  <c r="CK202" i="9"/>
  <c r="CL202" i="9"/>
  <c r="CM202" i="9"/>
  <c r="CN202" i="9"/>
  <c r="CO202" i="9"/>
  <c r="CP202" i="9"/>
  <c r="CQ202" i="9"/>
  <c r="CR202" i="9"/>
  <c r="CS202" i="9"/>
  <c r="CT202" i="9"/>
  <c r="CU202" i="9"/>
  <c r="CV202" i="9"/>
  <c r="CW202" i="9"/>
  <c r="CX202" i="9"/>
  <c r="CY202" i="9"/>
  <c r="DA202" i="9"/>
  <c r="DB202" i="9"/>
  <c r="DC202" i="9"/>
  <c r="DD202" i="9"/>
  <c r="DE202" i="9"/>
  <c r="DF202" i="9"/>
  <c r="DG202" i="9"/>
  <c r="DI202" i="9"/>
  <c r="DK202" i="9"/>
  <c r="DL202" i="9"/>
  <c r="DM202" i="9"/>
  <c r="DN202" i="9"/>
  <c r="DO202" i="9"/>
  <c r="DJ202" i="9"/>
  <c r="DH202" i="9"/>
  <c r="CZ202" i="9"/>
  <c r="BY203" i="9"/>
  <c r="BZ203" i="9"/>
  <c r="CA203" i="9"/>
  <c r="CG203" i="9"/>
  <c r="CH203" i="9"/>
  <c r="CJ203" i="9"/>
  <c r="CK203" i="9"/>
  <c r="CL203" i="9"/>
  <c r="CM203" i="9"/>
  <c r="CN203" i="9"/>
  <c r="CO203" i="9"/>
  <c r="CP203" i="9"/>
  <c r="CQ203" i="9"/>
  <c r="CR203" i="9"/>
  <c r="CS203" i="9"/>
  <c r="CT203" i="9"/>
  <c r="CU203" i="9"/>
  <c r="CV203" i="9"/>
  <c r="CW203" i="9"/>
  <c r="CX203" i="9"/>
  <c r="CY203" i="9"/>
  <c r="DA203" i="9"/>
  <c r="DB203" i="9"/>
  <c r="DC203" i="9"/>
  <c r="DD203" i="9"/>
  <c r="DE203" i="9"/>
  <c r="DF203" i="9"/>
  <c r="DG203" i="9"/>
  <c r="DI203" i="9"/>
  <c r="DK203" i="9"/>
  <c r="DL203" i="9"/>
  <c r="DM203" i="9"/>
  <c r="DN203" i="9"/>
  <c r="DO203" i="9"/>
  <c r="DJ203" i="9"/>
  <c r="DH203" i="9"/>
  <c r="CZ203" i="9"/>
  <c r="EJ203" i="9"/>
  <c r="BY204" i="9"/>
  <c r="BZ204" i="9"/>
  <c r="CA204" i="9"/>
  <c r="CG204" i="9"/>
  <c r="CH204" i="9"/>
  <c r="CJ204" i="9"/>
  <c r="CK204" i="9"/>
  <c r="CL204" i="9"/>
  <c r="CM204" i="9"/>
  <c r="CN204" i="9"/>
  <c r="CO204" i="9"/>
  <c r="CP204" i="9"/>
  <c r="CQ204" i="9"/>
  <c r="CR204" i="9"/>
  <c r="CS204" i="9"/>
  <c r="CT204" i="9"/>
  <c r="CU204" i="9"/>
  <c r="CV204" i="9"/>
  <c r="CW204" i="9"/>
  <c r="CX204" i="9"/>
  <c r="CY204" i="9"/>
  <c r="DA204" i="9"/>
  <c r="DB204" i="9"/>
  <c r="DC204" i="9"/>
  <c r="DD204" i="9"/>
  <c r="DE204" i="9"/>
  <c r="DF204" i="9"/>
  <c r="DG204" i="9"/>
  <c r="DI204" i="9"/>
  <c r="DK204" i="9"/>
  <c r="DL204" i="9"/>
  <c r="EI204" i="9"/>
  <c r="DM204" i="9"/>
  <c r="DN204" i="9"/>
  <c r="DO204" i="9"/>
  <c r="DJ204" i="9"/>
  <c r="EJ204" i="9" s="1"/>
  <c r="DH204" i="9"/>
  <c r="CZ204" i="9"/>
  <c r="BY205" i="9"/>
  <c r="BZ205" i="9"/>
  <c r="CA205" i="9"/>
  <c r="CG205" i="9"/>
  <c r="CH205" i="9"/>
  <c r="CJ205" i="9"/>
  <c r="CK205" i="9"/>
  <c r="CL205" i="9"/>
  <c r="CM205" i="9"/>
  <c r="CN205" i="9"/>
  <c r="CO205" i="9"/>
  <c r="CP205" i="9"/>
  <c r="CQ205" i="9"/>
  <c r="CR205" i="9"/>
  <c r="CS205" i="9"/>
  <c r="CT205" i="9"/>
  <c r="CU205" i="9"/>
  <c r="CV205" i="9"/>
  <c r="CW205" i="9"/>
  <c r="CX205" i="9"/>
  <c r="CY205" i="9"/>
  <c r="DA205" i="9"/>
  <c r="DB205" i="9"/>
  <c r="DC205" i="9"/>
  <c r="DD205" i="9"/>
  <c r="DE205" i="9"/>
  <c r="DF205" i="9"/>
  <c r="DG205" i="9"/>
  <c r="DI205" i="9"/>
  <c r="DK205" i="9"/>
  <c r="DL205" i="9"/>
  <c r="DM205" i="9"/>
  <c r="DN205" i="9"/>
  <c r="DO205" i="9"/>
  <c r="DJ205" i="9"/>
  <c r="DH205" i="9"/>
  <c r="CZ205" i="9"/>
  <c r="BY206" i="9"/>
  <c r="BZ206" i="9"/>
  <c r="CA206" i="9"/>
  <c r="CG206" i="9"/>
  <c r="CH206" i="9"/>
  <c r="CJ206" i="9"/>
  <c r="CK206" i="9"/>
  <c r="CL206" i="9"/>
  <c r="CM206" i="9"/>
  <c r="CN206" i="9"/>
  <c r="CO206" i="9"/>
  <c r="CP206" i="9"/>
  <c r="CQ206" i="9"/>
  <c r="CR206" i="9"/>
  <c r="CS206" i="9"/>
  <c r="CT206" i="9"/>
  <c r="CU206" i="9"/>
  <c r="CV206" i="9"/>
  <c r="CW206" i="9"/>
  <c r="CX206" i="9"/>
  <c r="CY206" i="9"/>
  <c r="DA206" i="9"/>
  <c r="DB206" i="9"/>
  <c r="DC206" i="9"/>
  <c r="DD206" i="9"/>
  <c r="DE206" i="9"/>
  <c r="DF206" i="9"/>
  <c r="DG206" i="9"/>
  <c r="DI206" i="9"/>
  <c r="DK206" i="9"/>
  <c r="DL206" i="9"/>
  <c r="DM206" i="9"/>
  <c r="DN206" i="9"/>
  <c r="DO206" i="9"/>
  <c r="DJ206" i="9"/>
  <c r="DH206" i="9"/>
  <c r="CZ206" i="9"/>
  <c r="BY207" i="9"/>
  <c r="BZ207" i="9"/>
  <c r="CA207" i="9"/>
  <c r="CG207" i="9"/>
  <c r="CH207" i="9"/>
  <c r="CJ207" i="9"/>
  <c r="CK207" i="9"/>
  <c r="CL207" i="9"/>
  <c r="CM207" i="9"/>
  <c r="CN207" i="9"/>
  <c r="CO207" i="9"/>
  <c r="CP207" i="9"/>
  <c r="CQ207" i="9"/>
  <c r="CR207" i="9"/>
  <c r="CS207" i="9"/>
  <c r="CT207" i="9"/>
  <c r="CU207" i="9"/>
  <c r="CV207" i="9"/>
  <c r="CW207" i="9"/>
  <c r="CX207" i="9"/>
  <c r="CY207" i="9"/>
  <c r="DA207" i="9"/>
  <c r="DB207" i="9"/>
  <c r="DC207" i="9"/>
  <c r="DD207" i="9"/>
  <c r="DE207" i="9"/>
  <c r="DF207" i="9"/>
  <c r="DG207" i="9"/>
  <c r="DI207" i="9"/>
  <c r="DK207" i="9"/>
  <c r="DL207" i="9"/>
  <c r="DM207" i="9"/>
  <c r="DN207" i="9"/>
  <c r="DO207" i="9"/>
  <c r="DJ207" i="9"/>
  <c r="DH207" i="9"/>
  <c r="CZ207" i="9"/>
  <c r="EJ207" i="9"/>
  <c r="BY208" i="9"/>
  <c r="BZ208" i="9"/>
  <c r="CA208" i="9"/>
  <c r="CG208" i="9"/>
  <c r="CH208" i="9"/>
  <c r="CJ208" i="9"/>
  <c r="CK208" i="9"/>
  <c r="CL208" i="9"/>
  <c r="CM208" i="9"/>
  <c r="CN208" i="9"/>
  <c r="CO208" i="9"/>
  <c r="CP208" i="9"/>
  <c r="CQ208" i="9"/>
  <c r="CR208" i="9"/>
  <c r="CS208" i="9"/>
  <c r="CT208" i="9"/>
  <c r="CU208" i="9"/>
  <c r="CV208" i="9"/>
  <c r="CW208" i="9"/>
  <c r="CX208" i="9"/>
  <c r="CY208" i="9"/>
  <c r="DA208" i="9"/>
  <c r="DB208" i="9"/>
  <c r="DC208" i="9"/>
  <c r="DD208" i="9"/>
  <c r="DE208" i="9"/>
  <c r="DF208" i="9"/>
  <c r="DG208" i="9"/>
  <c r="DI208" i="9"/>
  <c r="DK208" i="9"/>
  <c r="DL208" i="9"/>
  <c r="EI208" i="9"/>
  <c r="DM208" i="9"/>
  <c r="DN208" i="9"/>
  <c r="DO208" i="9"/>
  <c r="DJ208" i="9"/>
  <c r="DH208" i="9"/>
  <c r="CZ208" i="9"/>
  <c r="BY209" i="9"/>
  <c r="BZ209" i="9"/>
  <c r="CA209" i="9"/>
  <c r="CG209" i="9"/>
  <c r="CH209" i="9"/>
  <c r="CJ209" i="9"/>
  <c r="CK209" i="9"/>
  <c r="CL209" i="9"/>
  <c r="CM209" i="9"/>
  <c r="CN209" i="9"/>
  <c r="CO209" i="9"/>
  <c r="CP209" i="9"/>
  <c r="CQ209" i="9"/>
  <c r="CR209" i="9"/>
  <c r="CS209" i="9"/>
  <c r="CT209" i="9"/>
  <c r="CU209" i="9"/>
  <c r="CV209" i="9"/>
  <c r="CW209" i="9"/>
  <c r="CX209" i="9"/>
  <c r="CY209" i="9"/>
  <c r="DA209" i="9"/>
  <c r="DB209" i="9"/>
  <c r="DC209" i="9"/>
  <c r="DD209" i="9"/>
  <c r="DE209" i="9"/>
  <c r="DF209" i="9"/>
  <c r="DG209" i="9"/>
  <c r="DI209" i="9"/>
  <c r="DK209" i="9"/>
  <c r="DL209" i="9"/>
  <c r="DM209" i="9"/>
  <c r="DN209" i="9"/>
  <c r="DO209" i="9"/>
  <c r="DJ209" i="9"/>
  <c r="DH209" i="9"/>
  <c r="CZ209" i="9"/>
  <c r="BY210" i="9"/>
  <c r="BZ210" i="9"/>
  <c r="CA210" i="9"/>
  <c r="CG210" i="9"/>
  <c r="CH210" i="9"/>
  <c r="CJ210" i="9"/>
  <c r="CK210" i="9"/>
  <c r="CL210" i="9"/>
  <c r="CM210" i="9"/>
  <c r="CN210" i="9"/>
  <c r="CO210" i="9"/>
  <c r="CP210" i="9"/>
  <c r="CQ210" i="9"/>
  <c r="CR210" i="9"/>
  <c r="CS210" i="9"/>
  <c r="CT210" i="9"/>
  <c r="CU210" i="9"/>
  <c r="CV210" i="9"/>
  <c r="CW210" i="9"/>
  <c r="CX210" i="9"/>
  <c r="CY210" i="9"/>
  <c r="DA210" i="9"/>
  <c r="DB210" i="9"/>
  <c r="DC210" i="9"/>
  <c r="DD210" i="9"/>
  <c r="DE210" i="9"/>
  <c r="DF210" i="9"/>
  <c r="DG210" i="9"/>
  <c r="DI210" i="9"/>
  <c r="DK210" i="9"/>
  <c r="DL210" i="9"/>
  <c r="DM210" i="9"/>
  <c r="DN210" i="9"/>
  <c r="DO210" i="9"/>
  <c r="DJ210" i="9"/>
  <c r="DH210" i="9"/>
  <c r="CZ210" i="9"/>
  <c r="BY211" i="9"/>
  <c r="BZ211" i="9"/>
  <c r="CA211" i="9"/>
  <c r="CG211" i="9"/>
  <c r="CH211" i="9"/>
  <c r="CJ211" i="9"/>
  <c r="CK211" i="9"/>
  <c r="CL211" i="9"/>
  <c r="CM211" i="9"/>
  <c r="CN211" i="9"/>
  <c r="CO211" i="9"/>
  <c r="CP211" i="9"/>
  <c r="CQ211" i="9"/>
  <c r="CR211" i="9"/>
  <c r="CS211" i="9"/>
  <c r="CT211" i="9"/>
  <c r="CU211" i="9"/>
  <c r="CV211" i="9"/>
  <c r="CW211" i="9"/>
  <c r="CX211" i="9"/>
  <c r="CY211" i="9"/>
  <c r="DA211" i="9"/>
  <c r="DB211" i="9"/>
  <c r="DC211" i="9"/>
  <c r="DD211" i="9"/>
  <c r="DE211" i="9"/>
  <c r="DF211" i="9"/>
  <c r="DG211" i="9"/>
  <c r="DI211" i="9"/>
  <c r="DK211" i="9"/>
  <c r="DL211" i="9"/>
  <c r="DM211" i="9"/>
  <c r="DN211" i="9"/>
  <c r="DO211" i="9"/>
  <c r="DJ211" i="9"/>
  <c r="DH211" i="9"/>
  <c r="CZ211" i="9"/>
  <c r="EJ211" i="9"/>
  <c r="BY212" i="9"/>
  <c r="BZ212" i="9"/>
  <c r="CA212" i="9"/>
  <c r="CG212" i="9"/>
  <c r="CH212" i="9"/>
  <c r="CJ212" i="9"/>
  <c r="CK212" i="9"/>
  <c r="CL212" i="9"/>
  <c r="CM212" i="9"/>
  <c r="CN212" i="9"/>
  <c r="CO212" i="9"/>
  <c r="CP212" i="9"/>
  <c r="CQ212" i="9"/>
  <c r="CR212" i="9"/>
  <c r="CS212" i="9"/>
  <c r="CT212" i="9"/>
  <c r="CU212" i="9"/>
  <c r="CV212" i="9"/>
  <c r="CW212" i="9"/>
  <c r="CX212" i="9"/>
  <c r="CY212" i="9"/>
  <c r="DA212" i="9"/>
  <c r="DB212" i="9"/>
  <c r="DC212" i="9"/>
  <c r="DD212" i="9"/>
  <c r="DE212" i="9"/>
  <c r="DF212" i="9"/>
  <c r="DG212" i="9"/>
  <c r="DI212" i="9"/>
  <c r="DK212" i="9"/>
  <c r="DL212" i="9"/>
  <c r="EI212" i="9"/>
  <c r="DM212" i="9"/>
  <c r="DN212" i="9"/>
  <c r="DO212" i="9"/>
  <c r="DJ212" i="9"/>
  <c r="DH212" i="9"/>
  <c r="CZ212" i="9"/>
  <c r="BY213" i="9"/>
  <c r="BZ213" i="9"/>
  <c r="CA213" i="9"/>
  <c r="CG213" i="9"/>
  <c r="CH213" i="9"/>
  <c r="CJ213" i="9"/>
  <c r="CK213" i="9"/>
  <c r="CL213" i="9"/>
  <c r="CM213" i="9"/>
  <c r="CN213" i="9"/>
  <c r="CO213" i="9"/>
  <c r="CP213" i="9"/>
  <c r="CQ213" i="9"/>
  <c r="CR213" i="9"/>
  <c r="CS213" i="9"/>
  <c r="CT213" i="9"/>
  <c r="CU213" i="9"/>
  <c r="CV213" i="9"/>
  <c r="CW213" i="9"/>
  <c r="CX213" i="9"/>
  <c r="CY213" i="9"/>
  <c r="DA213" i="9"/>
  <c r="DB213" i="9"/>
  <c r="DC213" i="9"/>
  <c r="DD213" i="9"/>
  <c r="DE213" i="9"/>
  <c r="DF213" i="9"/>
  <c r="DG213" i="9"/>
  <c r="DI213" i="9"/>
  <c r="DK213" i="9"/>
  <c r="DL213" i="9"/>
  <c r="DM213" i="9"/>
  <c r="DN213" i="9"/>
  <c r="DO213" i="9"/>
  <c r="DJ213" i="9"/>
  <c r="DH213" i="9"/>
  <c r="CZ213" i="9"/>
  <c r="BY214" i="9"/>
  <c r="BZ214" i="9"/>
  <c r="CA214" i="9"/>
  <c r="CG214" i="9"/>
  <c r="CH214" i="9"/>
  <c r="CJ214" i="9"/>
  <c r="CK214" i="9"/>
  <c r="CL214" i="9"/>
  <c r="CM214" i="9"/>
  <c r="CN214" i="9"/>
  <c r="CO214" i="9"/>
  <c r="CP214" i="9"/>
  <c r="CQ214" i="9"/>
  <c r="CR214" i="9"/>
  <c r="CS214" i="9"/>
  <c r="CT214" i="9"/>
  <c r="CU214" i="9"/>
  <c r="CV214" i="9"/>
  <c r="CW214" i="9"/>
  <c r="CX214" i="9"/>
  <c r="CY214" i="9"/>
  <c r="DA214" i="9"/>
  <c r="DB214" i="9"/>
  <c r="DC214" i="9"/>
  <c r="DD214" i="9"/>
  <c r="DE214" i="9"/>
  <c r="DF214" i="9"/>
  <c r="DG214" i="9"/>
  <c r="DI214" i="9"/>
  <c r="DK214" i="9"/>
  <c r="DL214" i="9"/>
  <c r="DM214" i="9"/>
  <c r="DN214" i="9"/>
  <c r="DO214" i="9"/>
  <c r="DJ214" i="9"/>
  <c r="DH214" i="9"/>
  <c r="CZ214" i="9"/>
  <c r="BY215" i="9"/>
  <c r="BZ215" i="9"/>
  <c r="CA215" i="9"/>
  <c r="CG215" i="9"/>
  <c r="CH215" i="9"/>
  <c r="CJ215" i="9"/>
  <c r="CK215" i="9"/>
  <c r="CL215" i="9"/>
  <c r="CM215" i="9"/>
  <c r="CN215" i="9"/>
  <c r="CO215" i="9"/>
  <c r="CP215" i="9"/>
  <c r="CQ215" i="9"/>
  <c r="CR215" i="9"/>
  <c r="CS215" i="9"/>
  <c r="CT215" i="9"/>
  <c r="CU215" i="9"/>
  <c r="CV215" i="9"/>
  <c r="CW215" i="9"/>
  <c r="CX215" i="9"/>
  <c r="CY215" i="9"/>
  <c r="DA215" i="9"/>
  <c r="DB215" i="9"/>
  <c r="DC215" i="9"/>
  <c r="DD215" i="9"/>
  <c r="DE215" i="9"/>
  <c r="DF215" i="9"/>
  <c r="DG215" i="9"/>
  <c r="DI215" i="9"/>
  <c r="DK215" i="9"/>
  <c r="DL215" i="9"/>
  <c r="DM215" i="9"/>
  <c r="DN215" i="9"/>
  <c r="DO215" i="9"/>
  <c r="DJ215" i="9"/>
  <c r="DH215" i="9"/>
  <c r="CZ215" i="9"/>
  <c r="EJ215" i="9"/>
  <c r="BY216" i="9"/>
  <c r="BZ216" i="9"/>
  <c r="CA216" i="9"/>
  <c r="CG216" i="9"/>
  <c r="CH216" i="9"/>
  <c r="CJ216" i="9"/>
  <c r="CK216" i="9"/>
  <c r="CL216" i="9"/>
  <c r="CM216" i="9"/>
  <c r="CN216" i="9"/>
  <c r="CO216" i="9"/>
  <c r="CP216" i="9"/>
  <c r="CQ216" i="9"/>
  <c r="CR216" i="9"/>
  <c r="CS216" i="9"/>
  <c r="CT216" i="9"/>
  <c r="CU216" i="9"/>
  <c r="CV216" i="9"/>
  <c r="CW216" i="9"/>
  <c r="CX216" i="9"/>
  <c r="CY216" i="9"/>
  <c r="DA216" i="9"/>
  <c r="DB216" i="9"/>
  <c r="DC216" i="9"/>
  <c r="DD216" i="9"/>
  <c r="DE216" i="9"/>
  <c r="DF216" i="9"/>
  <c r="DG216" i="9"/>
  <c r="DI216" i="9"/>
  <c r="DK216" i="9"/>
  <c r="DL216" i="9"/>
  <c r="EI216" i="9"/>
  <c r="DM216" i="9"/>
  <c r="DN216" i="9"/>
  <c r="DO216" i="9"/>
  <c r="DJ216" i="9"/>
  <c r="EJ216" i="9" s="1"/>
  <c r="DH216" i="9"/>
  <c r="CZ216" i="9"/>
  <c r="BY217" i="9"/>
  <c r="BZ217" i="9"/>
  <c r="CA217" i="9"/>
  <c r="CG217" i="9"/>
  <c r="CH217" i="9"/>
  <c r="CJ217" i="9"/>
  <c r="CK217" i="9"/>
  <c r="CL217" i="9"/>
  <c r="CM217" i="9"/>
  <c r="CN217" i="9"/>
  <c r="CO217" i="9"/>
  <c r="CP217" i="9"/>
  <c r="CQ217" i="9"/>
  <c r="CR217" i="9"/>
  <c r="CS217" i="9"/>
  <c r="CT217" i="9"/>
  <c r="CU217" i="9"/>
  <c r="CV217" i="9"/>
  <c r="CW217" i="9"/>
  <c r="CX217" i="9"/>
  <c r="CY217" i="9"/>
  <c r="DA217" i="9"/>
  <c r="DB217" i="9"/>
  <c r="DC217" i="9"/>
  <c r="DD217" i="9"/>
  <c r="DE217" i="9"/>
  <c r="DF217" i="9"/>
  <c r="DG217" i="9"/>
  <c r="DI217" i="9"/>
  <c r="DK217" i="9"/>
  <c r="DL217" i="9"/>
  <c r="DM217" i="9"/>
  <c r="DN217" i="9"/>
  <c r="DO217" i="9"/>
  <c r="DJ217" i="9"/>
  <c r="DH217" i="9"/>
  <c r="CZ217" i="9"/>
  <c r="BY218" i="9"/>
  <c r="BZ218" i="9"/>
  <c r="CA218" i="9"/>
  <c r="CG218" i="9"/>
  <c r="CH218" i="9"/>
  <c r="CJ218" i="9"/>
  <c r="CK218" i="9"/>
  <c r="CL218" i="9"/>
  <c r="CM218" i="9"/>
  <c r="CN218" i="9"/>
  <c r="CO218" i="9"/>
  <c r="CP218" i="9"/>
  <c r="CQ218" i="9"/>
  <c r="CR218" i="9"/>
  <c r="CS218" i="9"/>
  <c r="CT218" i="9"/>
  <c r="CU218" i="9"/>
  <c r="CV218" i="9"/>
  <c r="CW218" i="9"/>
  <c r="CX218" i="9"/>
  <c r="CY218" i="9"/>
  <c r="DA218" i="9"/>
  <c r="DB218" i="9"/>
  <c r="DC218" i="9"/>
  <c r="DD218" i="9"/>
  <c r="DE218" i="9"/>
  <c r="DF218" i="9"/>
  <c r="DG218" i="9"/>
  <c r="DI218" i="9"/>
  <c r="DK218" i="9"/>
  <c r="DL218" i="9"/>
  <c r="DM218" i="9"/>
  <c r="DN218" i="9"/>
  <c r="DO218" i="9"/>
  <c r="DJ218" i="9"/>
  <c r="DH218" i="9"/>
  <c r="CZ218" i="9"/>
  <c r="BY219" i="9"/>
  <c r="BZ219" i="9"/>
  <c r="CA219" i="9"/>
  <c r="CG219" i="9"/>
  <c r="CH219" i="9"/>
  <c r="CJ219" i="9"/>
  <c r="CK219" i="9"/>
  <c r="CL219" i="9"/>
  <c r="CM219" i="9"/>
  <c r="CN219" i="9"/>
  <c r="CO219" i="9"/>
  <c r="CP219" i="9"/>
  <c r="CQ219" i="9"/>
  <c r="CR219" i="9"/>
  <c r="CS219" i="9"/>
  <c r="CT219" i="9"/>
  <c r="CU219" i="9"/>
  <c r="CV219" i="9"/>
  <c r="CW219" i="9"/>
  <c r="CX219" i="9"/>
  <c r="CY219" i="9"/>
  <c r="DA219" i="9"/>
  <c r="DB219" i="9"/>
  <c r="DC219" i="9"/>
  <c r="DD219" i="9"/>
  <c r="DE219" i="9"/>
  <c r="DF219" i="9"/>
  <c r="DG219" i="9"/>
  <c r="DI219" i="9"/>
  <c r="DK219" i="9"/>
  <c r="DL219" i="9"/>
  <c r="DM219" i="9"/>
  <c r="DN219" i="9"/>
  <c r="DO219" i="9"/>
  <c r="DJ219" i="9"/>
  <c r="DH219" i="9"/>
  <c r="CZ219" i="9"/>
  <c r="EJ219" i="9"/>
  <c r="BY220" i="9"/>
  <c r="BZ220" i="9"/>
  <c r="CA220" i="9"/>
  <c r="CG220" i="9"/>
  <c r="CH220" i="9"/>
  <c r="CJ220" i="9"/>
  <c r="CK220" i="9"/>
  <c r="CL220" i="9"/>
  <c r="CM220" i="9"/>
  <c r="CN220" i="9"/>
  <c r="CO220" i="9"/>
  <c r="CP220" i="9"/>
  <c r="CQ220" i="9"/>
  <c r="CR220" i="9"/>
  <c r="CS220" i="9"/>
  <c r="CT220" i="9"/>
  <c r="CU220" i="9"/>
  <c r="CV220" i="9"/>
  <c r="CW220" i="9"/>
  <c r="CX220" i="9"/>
  <c r="CY220" i="9"/>
  <c r="DA220" i="9"/>
  <c r="DB220" i="9"/>
  <c r="DC220" i="9"/>
  <c r="DD220" i="9"/>
  <c r="DE220" i="9"/>
  <c r="DF220" i="9"/>
  <c r="DG220" i="9"/>
  <c r="DI220" i="9"/>
  <c r="DK220" i="9"/>
  <c r="DL220" i="9"/>
  <c r="EI220" i="9"/>
  <c r="DM220" i="9"/>
  <c r="DN220" i="9"/>
  <c r="DO220" i="9"/>
  <c r="DJ220" i="9"/>
  <c r="EJ220" i="9" s="1"/>
  <c r="DH220" i="9"/>
  <c r="CZ220" i="9"/>
  <c r="BY221" i="9"/>
  <c r="BZ221" i="9"/>
  <c r="CA221" i="9"/>
  <c r="CG221" i="9"/>
  <c r="CH221" i="9"/>
  <c r="CJ221" i="9"/>
  <c r="CK221" i="9"/>
  <c r="CL221" i="9"/>
  <c r="CM221" i="9"/>
  <c r="CN221" i="9"/>
  <c r="CO221" i="9"/>
  <c r="CP221" i="9"/>
  <c r="CQ221" i="9"/>
  <c r="CR221" i="9"/>
  <c r="CS221" i="9"/>
  <c r="CT221" i="9"/>
  <c r="CU221" i="9"/>
  <c r="CV221" i="9"/>
  <c r="CW221" i="9"/>
  <c r="CX221" i="9"/>
  <c r="CY221" i="9"/>
  <c r="DA221" i="9"/>
  <c r="DB221" i="9"/>
  <c r="DC221" i="9"/>
  <c r="DD221" i="9"/>
  <c r="DE221" i="9"/>
  <c r="DF221" i="9"/>
  <c r="DG221" i="9"/>
  <c r="DI221" i="9"/>
  <c r="DK221" i="9"/>
  <c r="DL221" i="9"/>
  <c r="DM221" i="9"/>
  <c r="DN221" i="9"/>
  <c r="DO221" i="9"/>
  <c r="DJ221" i="9"/>
  <c r="DH221" i="9"/>
  <c r="CZ221" i="9"/>
  <c r="BY222" i="9"/>
  <c r="BZ222" i="9"/>
  <c r="CA222" i="9"/>
  <c r="CG222" i="9"/>
  <c r="CH222" i="9"/>
  <c r="CJ222" i="9"/>
  <c r="CK222" i="9"/>
  <c r="CL222" i="9"/>
  <c r="CM222" i="9"/>
  <c r="CN222" i="9"/>
  <c r="CO222" i="9"/>
  <c r="CP222" i="9"/>
  <c r="CQ222" i="9"/>
  <c r="CR222" i="9"/>
  <c r="CS222" i="9"/>
  <c r="CT222" i="9"/>
  <c r="CU222" i="9"/>
  <c r="CV222" i="9"/>
  <c r="CW222" i="9"/>
  <c r="CX222" i="9"/>
  <c r="CY222" i="9"/>
  <c r="DA222" i="9"/>
  <c r="DB222" i="9"/>
  <c r="DC222" i="9"/>
  <c r="DD222" i="9"/>
  <c r="DE222" i="9"/>
  <c r="DF222" i="9"/>
  <c r="DG222" i="9"/>
  <c r="DI222" i="9"/>
  <c r="DK222" i="9"/>
  <c r="DL222" i="9"/>
  <c r="DM222" i="9"/>
  <c r="DN222" i="9"/>
  <c r="DO222" i="9"/>
  <c r="DJ222" i="9"/>
  <c r="DH222" i="9"/>
  <c r="CZ222" i="9"/>
  <c r="BY223" i="9"/>
  <c r="BZ223" i="9"/>
  <c r="CA223" i="9"/>
  <c r="CG223" i="9"/>
  <c r="CH223" i="9"/>
  <c r="CJ223" i="9"/>
  <c r="CK223" i="9"/>
  <c r="CL223" i="9"/>
  <c r="CM223" i="9"/>
  <c r="CN223" i="9"/>
  <c r="CO223" i="9"/>
  <c r="CP223" i="9"/>
  <c r="CQ223" i="9"/>
  <c r="CR223" i="9"/>
  <c r="CS223" i="9"/>
  <c r="CT223" i="9"/>
  <c r="CU223" i="9"/>
  <c r="CV223" i="9"/>
  <c r="CW223" i="9"/>
  <c r="CX223" i="9"/>
  <c r="CY223" i="9"/>
  <c r="DA223" i="9"/>
  <c r="DB223" i="9"/>
  <c r="DC223" i="9"/>
  <c r="DD223" i="9"/>
  <c r="DE223" i="9"/>
  <c r="DF223" i="9"/>
  <c r="DG223" i="9"/>
  <c r="DI223" i="9"/>
  <c r="DK223" i="9"/>
  <c r="DL223" i="9"/>
  <c r="DM223" i="9"/>
  <c r="DN223" i="9"/>
  <c r="DO223" i="9"/>
  <c r="DJ223" i="9"/>
  <c r="DH223" i="9"/>
  <c r="CZ223" i="9"/>
  <c r="EJ223" i="9"/>
  <c r="BY224" i="9"/>
  <c r="BZ224" i="9"/>
  <c r="CA224" i="9"/>
  <c r="CG224" i="9"/>
  <c r="CH224" i="9"/>
  <c r="CJ224" i="9"/>
  <c r="CK224" i="9"/>
  <c r="CL224" i="9"/>
  <c r="CM224" i="9"/>
  <c r="CN224" i="9"/>
  <c r="CO224" i="9"/>
  <c r="CP224" i="9"/>
  <c r="CQ224" i="9"/>
  <c r="CR224" i="9"/>
  <c r="CS224" i="9"/>
  <c r="CT224" i="9"/>
  <c r="CU224" i="9"/>
  <c r="CV224" i="9"/>
  <c r="CW224" i="9"/>
  <c r="CX224" i="9"/>
  <c r="CY224" i="9"/>
  <c r="DA224" i="9"/>
  <c r="DB224" i="9"/>
  <c r="DC224" i="9"/>
  <c r="DD224" i="9"/>
  <c r="DE224" i="9"/>
  <c r="DF224" i="9"/>
  <c r="DG224" i="9"/>
  <c r="DI224" i="9"/>
  <c r="DK224" i="9"/>
  <c r="DL224" i="9"/>
  <c r="EI224" i="9"/>
  <c r="DM224" i="9"/>
  <c r="DN224" i="9"/>
  <c r="DO224" i="9"/>
  <c r="DJ224" i="9"/>
  <c r="EJ224" i="9" s="1"/>
  <c r="DH224" i="9"/>
  <c r="CZ224" i="9"/>
  <c r="BY225" i="9"/>
  <c r="BZ225" i="9"/>
  <c r="CA225" i="9"/>
  <c r="CG225" i="9"/>
  <c r="CH225" i="9"/>
  <c r="CJ225" i="9"/>
  <c r="CK225" i="9"/>
  <c r="CL225" i="9"/>
  <c r="CM225" i="9"/>
  <c r="CN225" i="9"/>
  <c r="CO225" i="9"/>
  <c r="CP225" i="9"/>
  <c r="CQ225" i="9"/>
  <c r="CR225" i="9"/>
  <c r="CS225" i="9"/>
  <c r="CT225" i="9"/>
  <c r="CU225" i="9"/>
  <c r="CV225" i="9"/>
  <c r="CW225" i="9"/>
  <c r="CX225" i="9"/>
  <c r="CY225" i="9"/>
  <c r="DA225" i="9"/>
  <c r="DB225" i="9"/>
  <c r="DC225" i="9"/>
  <c r="DD225" i="9"/>
  <c r="DE225" i="9"/>
  <c r="DF225" i="9"/>
  <c r="DG225" i="9"/>
  <c r="DI225" i="9"/>
  <c r="DK225" i="9"/>
  <c r="DL225" i="9"/>
  <c r="DM225" i="9"/>
  <c r="DN225" i="9"/>
  <c r="DO225" i="9"/>
  <c r="DJ225" i="9"/>
  <c r="DH225" i="9"/>
  <c r="CZ225" i="9"/>
  <c r="BY226" i="9"/>
  <c r="BZ226" i="9"/>
  <c r="CA226" i="9"/>
  <c r="CG226" i="9"/>
  <c r="CH226" i="9"/>
  <c r="CJ226" i="9"/>
  <c r="CK226" i="9"/>
  <c r="CL226" i="9"/>
  <c r="CM226" i="9"/>
  <c r="CN226" i="9"/>
  <c r="CO226" i="9"/>
  <c r="CP226" i="9"/>
  <c r="CQ226" i="9"/>
  <c r="CR226" i="9"/>
  <c r="CS226" i="9"/>
  <c r="CT226" i="9"/>
  <c r="CU226" i="9"/>
  <c r="CV226" i="9"/>
  <c r="CW226" i="9"/>
  <c r="CX226" i="9"/>
  <c r="CY226" i="9"/>
  <c r="DA226" i="9"/>
  <c r="DB226" i="9"/>
  <c r="DC226" i="9"/>
  <c r="DD226" i="9"/>
  <c r="DE226" i="9"/>
  <c r="DF226" i="9"/>
  <c r="DG226" i="9"/>
  <c r="DI226" i="9"/>
  <c r="DK226" i="9"/>
  <c r="DL226" i="9"/>
  <c r="DM226" i="9"/>
  <c r="DN226" i="9"/>
  <c r="DO226" i="9"/>
  <c r="DJ226" i="9"/>
  <c r="DH226" i="9"/>
  <c r="CZ226" i="9"/>
  <c r="BY227" i="9"/>
  <c r="BZ227" i="9"/>
  <c r="CA227" i="9"/>
  <c r="CG227" i="9"/>
  <c r="CH227" i="9"/>
  <c r="CJ227" i="9"/>
  <c r="CK227" i="9"/>
  <c r="CL227" i="9"/>
  <c r="CM227" i="9"/>
  <c r="CN227" i="9"/>
  <c r="CO227" i="9"/>
  <c r="CP227" i="9"/>
  <c r="CQ227" i="9"/>
  <c r="CR227" i="9"/>
  <c r="CS227" i="9"/>
  <c r="CT227" i="9"/>
  <c r="CU227" i="9"/>
  <c r="CV227" i="9"/>
  <c r="CW227" i="9"/>
  <c r="CX227" i="9"/>
  <c r="CY227" i="9"/>
  <c r="DA227" i="9"/>
  <c r="DB227" i="9"/>
  <c r="DC227" i="9"/>
  <c r="DD227" i="9"/>
  <c r="DE227" i="9"/>
  <c r="DF227" i="9"/>
  <c r="DG227" i="9"/>
  <c r="DI227" i="9"/>
  <c r="DK227" i="9"/>
  <c r="DL227" i="9"/>
  <c r="DM227" i="9"/>
  <c r="DN227" i="9"/>
  <c r="DO227" i="9"/>
  <c r="DJ227" i="9"/>
  <c r="DH227" i="9"/>
  <c r="CZ227" i="9"/>
  <c r="EJ227" i="9"/>
  <c r="BY228" i="9"/>
  <c r="BZ228" i="9"/>
  <c r="CA228" i="9"/>
  <c r="CG228" i="9"/>
  <c r="CH228" i="9"/>
  <c r="CJ228" i="9"/>
  <c r="CK228" i="9"/>
  <c r="CL228" i="9"/>
  <c r="CM228" i="9"/>
  <c r="CN228" i="9"/>
  <c r="CO228" i="9"/>
  <c r="CP228" i="9"/>
  <c r="CQ228" i="9"/>
  <c r="CR228" i="9"/>
  <c r="CS228" i="9"/>
  <c r="CT228" i="9"/>
  <c r="CU228" i="9"/>
  <c r="CV228" i="9"/>
  <c r="CW228" i="9"/>
  <c r="CX228" i="9"/>
  <c r="CY228" i="9"/>
  <c r="DA228" i="9"/>
  <c r="DB228" i="9"/>
  <c r="DC228" i="9"/>
  <c r="DD228" i="9"/>
  <c r="DE228" i="9"/>
  <c r="DF228" i="9"/>
  <c r="DG228" i="9"/>
  <c r="DI228" i="9"/>
  <c r="DK228" i="9"/>
  <c r="DL228" i="9"/>
  <c r="EI228" i="9"/>
  <c r="DM228" i="9"/>
  <c r="DN228" i="9"/>
  <c r="DO228" i="9"/>
  <c r="DJ228" i="9"/>
  <c r="EJ228" i="9" s="1"/>
  <c r="DH228" i="9"/>
  <c r="CZ228" i="9"/>
  <c r="BY229" i="9"/>
  <c r="BZ229" i="9"/>
  <c r="CA229" i="9"/>
  <c r="CG229" i="9"/>
  <c r="CH229" i="9"/>
  <c r="CJ229" i="9"/>
  <c r="CK229" i="9"/>
  <c r="CL229" i="9"/>
  <c r="CM229" i="9"/>
  <c r="CN229" i="9"/>
  <c r="CO229" i="9"/>
  <c r="CP229" i="9"/>
  <c r="CQ229" i="9"/>
  <c r="CR229" i="9"/>
  <c r="CS229" i="9"/>
  <c r="CT229" i="9"/>
  <c r="CU229" i="9"/>
  <c r="CV229" i="9"/>
  <c r="CW229" i="9"/>
  <c r="CX229" i="9"/>
  <c r="CY229" i="9"/>
  <c r="DA229" i="9"/>
  <c r="DB229" i="9"/>
  <c r="DC229" i="9"/>
  <c r="DD229" i="9"/>
  <c r="DE229" i="9"/>
  <c r="DF229" i="9"/>
  <c r="DG229" i="9"/>
  <c r="DI229" i="9"/>
  <c r="DK229" i="9"/>
  <c r="DL229" i="9"/>
  <c r="DM229" i="9"/>
  <c r="DN229" i="9"/>
  <c r="DO229" i="9"/>
  <c r="DJ229" i="9"/>
  <c r="DH229" i="9"/>
  <c r="CZ229" i="9"/>
  <c r="BY230" i="9"/>
  <c r="BZ230" i="9"/>
  <c r="CA230" i="9"/>
  <c r="CG230" i="9"/>
  <c r="CH230" i="9"/>
  <c r="CJ230" i="9"/>
  <c r="CK230" i="9"/>
  <c r="CL230" i="9"/>
  <c r="CM230" i="9"/>
  <c r="CN230" i="9"/>
  <c r="CO230" i="9"/>
  <c r="CP230" i="9"/>
  <c r="CQ230" i="9"/>
  <c r="CR230" i="9"/>
  <c r="CS230" i="9"/>
  <c r="CT230" i="9"/>
  <c r="CU230" i="9"/>
  <c r="CV230" i="9"/>
  <c r="CW230" i="9"/>
  <c r="CX230" i="9"/>
  <c r="CY230" i="9"/>
  <c r="DA230" i="9"/>
  <c r="DB230" i="9"/>
  <c r="DC230" i="9"/>
  <c r="DD230" i="9"/>
  <c r="DE230" i="9"/>
  <c r="DF230" i="9"/>
  <c r="DG230" i="9"/>
  <c r="DI230" i="9"/>
  <c r="DK230" i="9"/>
  <c r="DL230" i="9"/>
  <c r="DM230" i="9"/>
  <c r="DN230" i="9"/>
  <c r="DO230" i="9"/>
  <c r="DJ230" i="9"/>
  <c r="DH230" i="9"/>
  <c r="CZ230" i="9"/>
  <c r="BY231" i="9"/>
  <c r="BZ231" i="9"/>
  <c r="CA231" i="9"/>
  <c r="CG231" i="9"/>
  <c r="CH231" i="9"/>
  <c r="CJ231" i="9"/>
  <c r="CK231" i="9"/>
  <c r="CL231" i="9"/>
  <c r="CM231" i="9"/>
  <c r="CN231" i="9"/>
  <c r="CO231" i="9"/>
  <c r="CP231" i="9"/>
  <c r="CQ231" i="9"/>
  <c r="CR231" i="9"/>
  <c r="CS231" i="9"/>
  <c r="CT231" i="9"/>
  <c r="CU231" i="9"/>
  <c r="CV231" i="9"/>
  <c r="CW231" i="9"/>
  <c r="CX231" i="9"/>
  <c r="CY231" i="9"/>
  <c r="DA231" i="9"/>
  <c r="DB231" i="9"/>
  <c r="DC231" i="9"/>
  <c r="DD231" i="9"/>
  <c r="DE231" i="9"/>
  <c r="DF231" i="9"/>
  <c r="DG231" i="9"/>
  <c r="DI231" i="9"/>
  <c r="DK231" i="9"/>
  <c r="DL231" i="9"/>
  <c r="DM231" i="9"/>
  <c r="DN231" i="9"/>
  <c r="DO231" i="9"/>
  <c r="DJ231" i="9"/>
  <c r="DH231" i="9"/>
  <c r="CZ231" i="9"/>
  <c r="EJ231" i="9"/>
  <c r="BY232" i="9"/>
  <c r="BZ232" i="9"/>
  <c r="CA232" i="9"/>
  <c r="CG232" i="9"/>
  <c r="CH232" i="9"/>
  <c r="CJ232" i="9"/>
  <c r="CK232" i="9"/>
  <c r="CL232" i="9"/>
  <c r="CM232" i="9"/>
  <c r="CN232" i="9"/>
  <c r="CO232" i="9"/>
  <c r="CP232" i="9"/>
  <c r="CQ232" i="9"/>
  <c r="CR232" i="9"/>
  <c r="CS232" i="9"/>
  <c r="CT232" i="9"/>
  <c r="CU232" i="9"/>
  <c r="CV232" i="9"/>
  <c r="CW232" i="9"/>
  <c r="CX232" i="9"/>
  <c r="CY232" i="9"/>
  <c r="DA232" i="9"/>
  <c r="DB232" i="9"/>
  <c r="DC232" i="9"/>
  <c r="DD232" i="9"/>
  <c r="DE232" i="9"/>
  <c r="DF232" i="9"/>
  <c r="DG232" i="9"/>
  <c r="DI232" i="9"/>
  <c r="DK232" i="9"/>
  <c r="DL232" i="9"/>
  <c r="EI232" i="9"/>
  <c r="DM232" i="9"/>
  <c r="DN232" i="9"/>
  <c r="DO232" i="9"/>
  <c r="DJ232" i="9"/>
  <c r="EJ232" i="9" s="1"/>
  <c r="DH232" i="9"/>
  <c r="CZ232" i="9"/>
  <c r="BY233" i="9"/>
  <c r="BZ233" i="9"/>
  <c r="CA233" i="9"/>
  <c r="CG233" i="9"/>
  <c r="CH233" i="9"/>
  <c r="CJ233" i="9"/>
  <c r="CK233" i="9"/>
  <c r="CL233" i="9"/>
  <c r="CM233" i="9"/>
  <c r="CN233" i="9"/>
  <c r="CO233" i="9"/>
  <c r="CP233" i="9"/>
  <c r="CQ233" i="9"/>
  <c r="CR233" i="9"/>
  <c r="CS233" i="9"/>
  <c r="CT233" i="9"/>
  <c r="CU233" i="9"/>
  <c r="CV233" i="9"/>
  <c r="CW233" i="9"/>
  <c r="CX233" i="9"/>
  <c r="CY233" i="9"/>
  <c r="DA233" i="9"/>
  <c r="DB233" i="9"/>
  <c r="DC233" i="9"/>
  <c r="DD233" i="9"/>
  <c r="DE233" i="9"/>
  <c r="DF233" i="9"/>
  <c r="DG233" i="9"/>
  <c r="DI233" i="9"/>
  <c r="DK233" i="9"/>
  <c r="DL233" i="9"/>
  <c r="DM233" i="9"/>
  <c r="DN233" i="9"/>
  <c r="DO233" i="9"/>
  <c r="DJ233" i="9"/>
  <c r="DH233" i="9"/>
  <c r="CZ233" i="9"/>
  <c r="BY234" i="9"/>
  <c r="BZ234" i="9"/>
  <c r="CA234" i="9"/>
  <c r="CG234" i="9"/>
  <c r="CH234" i="9"/>
  <c r="CJ234" i="9"/>
  <c r="CK234" i="9"/>
  <c r="CL234" i="9"/>
  <c r="CM234" i="9"/>
  <c r="CN234" i="9"/>
  <c r="CO234" i="9"/>
  <c r="CP234" i="9"/>
  <c r="CQ234" i="9"/>
  <c r="CR234" i="9"/>
  <c r="CS234" i="9"/>
  <c r="CT234" i="9"/>
  <c r="CU234" i="9"/>
  <c r="CV234" i="9"/>
  <c r="CW234" i="9"/>
  <c r="CX234" i="9"/>
  <c r="CY234" i="9"/>
  <c r="DA234" i="9"/>
  <c r="DB234" i="9"/>
  <c r="DC234" i="9"/>
  <c r="DD234" i="9"/>
  <c r="DE234" i="9"/>
  <c r="DF234" i="9"/>
  <c r="DG234" i="9"/>
  <c r="DI234" i="9"/>
  <c r="DK234" i="9"/>
  <c r="DL234" i="9"/>
  <c r="DM234" i="9"/>
  <c r="DN234" i="9"/>
  <c r="DO234" i="9"/>
  <c r="DJ234" i="9"/>
  <c r="DH234" i="9"/>
  <c r="CZ234" i="9"/>
  <c r="BY235" i="9"/>
  <c r="BZ235" i="9"/>
  <c r="CA235" i="9"/>
  <c r="CG235" i="9"/>
  <c r="CH235" i="9"/>
  <c r="CJ235" i="9"/>
  <c r="CK235" i="9"/>
  <c r="CL235" i="9"/>
  <c r="CM235" i="9"/>
  <c r="CN235" i="9"/>
  <c r="CO235" i="9"/>
  <c r="CP235" i="9"/>
  <c r="CQ235" i="9"/>
  <c r="CR235" i="9"/>
  <c r="CS235" i="9"/>
  <c r="CT235" i="9"/>
  <c r="CU235" i="9"/>
  <c r="CV235" i="9"/>
  <c r="CW235" i="9"/>
  <c r="CX235" i="9"/>
  <c r="CY235" i="9"/>
  <c r="DA235" i="9"/>
  <c r="DB235" i="9"/>
  <c r="DC235" i="9"/>
  <c r="DD235" i="9"/>
  <c r="DE235" i="9"/>
  <c r="DF235" i="9"/>
  <c r="DG235" i="9"/>
  <c r="DI235" i="9"/>
  <c r="DK235" i="9"/>
  <c r="DL235" i="9"/>
  <c r="DM235" i="9"/>
  <c r="DN235" i="9"/>
  <c r="DO235" i="9"/>
  <c r="DJ235" i="9"/>
  <c r="DH235" i="9"/>
  <c r="CZ235" i="9"/>
  <c r="EJ235" i="9"/>
  <c r="BY236" i="9"/>
  <c r="BZ236" i="9"/>
  <c r="CA236" i="9"/>
  <c r="CG236" i="9"/>
  <c r="CH236" i="9"/>
  <c r="CJ236" i="9"/>
  <c r="CK236" i="9"/>
  <c r="CL236" i="9"/>
  <c r="CM236" i="9"/>
  <c r="CN236" i="9"/>
  <c r="CO236" i="9"/>
  <c r="CP236" i="9"/>
  <c r="CQ236" i="9"/>
  <c r="CR236" i="9"/>
  <c r="CS236" i="9"/>
  <c r="CT236" i="9"/>
  <c r="CU236" i="9"/>
  <c r="CV236" i="9"/>
  <c r="CW236" i="9"/>
  <c r="CX236" i="9"/>
  <c r="CY236" i="9"/>
  <c r="DA236" i="9"/>
  <c r="DB236" i="9"/>
  <c r="DC236" i="9"/>
  <c r="DD236" i="9"/>
  <c r="DE236" i="9"/>
  <c r="DF236" i="9"/>
  <c r="DG236" i="9"/>
  <c r="DI236" i="9"/>
  <c r="DK236" i="9"/>
  <c r="DL236" i="9"/>
  <c r="EI236" i="9"/>
  <c r="DM236" i="9"/>
  <c r="DN236" i="9"/>
  <c r="DO236" i="9"/>
  <c r="DJ236" i="9"/>
  <c r="EJ236" i="9" s="1"/>
  <c r="DH236" i="9"/>
  <c r="CZ236" i="9"/>
  <c r="BY237" i="9"/>
  <c r="BZ237" i="9"/>
  <c r="CA237" i="9"/>
  <c r="CG237" i="9"/>
  <c r="CH237" i="9"/>
  <c r="CJ237" i="9"/>
  <c r="CK237" i="9"/>
  <c r="CL237" i="9"/>
  <c r="CM237" i="9"/>
  <c r="CN237" i="9"/>
  <c r="CO237" i="9"/>
  <c r="CP237" i="9"/>
  <c r="CQ237" i="9"/>
  <c r="CR237" i="9"/>
  <c r="CS237" i="9"/>
  <c r="CT237" i="9"/>
  <c r="CU237" i="9"/>
  <c r="CV237" i="9"/>
  <c r="CW237" i="9"/>
  <c r="CX237" i="9"/>
  <c r="CY237" i="9"/>
  <c r="DA237" i="9"/>
  <c r="DB237" i="9"/>
  <c r="DC237" i="9"/>
  <c r="DD237" i="9"/>
  <c r="DE237" i="9"/>
  <c r="DF237" i="9"/>
  <c r="DG237" i="9"/>
  <c r="DI237" i="9"/>
  <c r="DK237" i="9"/>
  <c r="DL237" i="9"/>
  <c r="DM237" i="9"/>
  <c r="DN237" i="9"/>
  <c r="DO237" i="9"/>
  <c r="DJ237" i="9"/>
  <c r="DH237" i="9"/>
  <c r="CZ237" i="9"/>
  <c r="BY238" i="9"/>
  <c r="BZ238" i="9"/>
  <c r="CA238" i="9"/>
  <c r="CG238" i="9"/>
  <c r="CH238" i="9"/>
  <c r="CJ238" i="9"/>
  <c r="CK238" i="9"/>
  <c r="CL238" i="9"/>
  <c r="CM238" i="9"/>
  <c r="CN238" i="9"/>
  <c r="CO238" i="9"/>
  <c r="CP238" i="9"/>
  <c r="CQ238" i="9"/>
  <c r="CR238" i="9"/>
  <c r="CS238" i="9"/>
  <c r="CT238" i="9"/>
  <c r="CU238" i="9"/>
  <c r="CV238" i="9"/>
  <c r="CW238" i="9"/>
  <c r="CX238" i="9"/>
  <c r="CY238" i="9"/>
  <c r="DA238" i="9"/>
  <c r="DB238" i="9"/>
  <c r="DC238" i="9"/>
  <c r="DD238" i="9"/>
  <c r="DE238" i="9"/>
  <c r="DF238" i="9"/>
  <c r="DG238" i="9"/>
  <c r="DI238" i="9"/>
  <c r="DK238" i="9"/>
  <c r="DL238" i="9"/>
  <c r="DM238" i="9"/>
  <c r="DN238" i="9"/>
  <c r="DO238" i="9"/>
  <c r="DJ238" i="9"/>
  <c r="DH238" i="9"/>
  <c r="CZ238" i="9"/>
  <c r="BY239" i="9"/>
  <c r="BZ239" i="9"/>
  <c r="CA239" i="9"/>
  <c r="CG239" i="9"/>
  <c r="CH239" i="9"/>
  <c r="CJ239" i="9"/>
  <c r="CK239" i="9"/>
  <c r="CL239" i="9"/>
  <c r="CM239" i="9"/>
  <c r="CN239" i="9"/>
  <c r="CO239" i="9"/>
  <c r="CP239" i="9"/>
  <c r="CQ239" i="9"/>
  <c r="CR239" i="9"/>
  <c r="CS239" i="9"/>
  <c r="CT239" i="9"/>
  <c r="CU239" i="9"/>
  <c r="CV239" i="9"/>
  <c r="CW239" i="9"/>
  <c r="CX239" i="9"/>
  <c r="CY239" i="9"/>
  <c r="DA239" i="9"/>
  <c r="DB239" i="9"/>
  <c r="DC239" i="9"/>
  <c r="DD239" i="9"/>
  <c r="DE239" i="9"/>
  <c r="DF239" i="9"/>
  <c r="DG239" i="9"/>
  <c r="DI239" i="9"/>
  <c r="DK239" i="9"/>
  <c r="DL239" i="9"/>
  <c r="DM239" i="9"/>
  <c r="DN239" i="9"/>
  <c r="DO239" i="9"/>
  <c r="DJ239" i="9"/>
  <c r="DH239" i="9"/>
  <c r="CZ239" i="9"/>
  <c r="EJ239" i="9"/>
  <c r="BY240" i="9"/>
  <c r="BZ240" i="9"/>
  <c r="CA240" i="9"/>
  <c r="CG240" i="9"/>
  <c r="CH240" i="9"/>
  <c r="CJ240" i="9"/>
  <c r="CK240" i="9"/>
  <c r="CL240" i="9"/>
  <c r="CM240" i="9"/>
  <c r="CN240" i="9"/>
  <c r="CO240" i="9"/>
  <c r="CP240" i="9"/>
  <c r="CQ240" i="9"/>
  <c r="CR240" i="9"/>
  <c r="CS240" i="9"/>
  <c r="CT240" i="9"/>
  <c r="CU240" i="9"/>
  <c r="CV240" i="9"/>
  <c r="CW240" i="9"/>
  <c r="CX240" i="9"/>
  <c r="CY240" i="9"/>
  <c r="DA240" i="9"/>
  <c r="DB240" i="9"/>
  <c r="DC240" i="9"/>
  <c r="DD240" i="9"/>
  <c r="DE240" i="9"/>
  <c r="DF240" i="9"/>
  <c r="DG240" i="9"/>
  <c r="DI240" i="9"/>
  <c r="DK240" i="9"/>
  <c r="DL240" i="9"/>
  <c r="EI240" i="9"/>
  <c r="DM240" i="9"/>
  <c r="DN240" i="9"/>
  <c r="DO240" i="9"/>
  <c r="DJ240" i="9"/>
  <c r="EJ240" i="9" s="1"/>
  <c r="DH240" i="9"/>
  <c r="CZ240" i="9"/>
  <c r="BY241" i="9"/>
  <c r="BZ241" i="9"/>
  <c r="CA241" i="9"/>
  <c r="CG241" i="9"/>
  <c r="CH241" i="9"/>
  <c r="CJ241" i="9"/>
  <c r="CK241" i="9"/>
  <c r="CL241" i="9"/>
  <c r="CM241" i="9"/>
  <c r="CN241" i="9"/>
  <c r="CO241" i="9"/>
  <c r="CP241" i="9"/>
  <c r="CQ241" i="9"/>
  <c r="CR241" i="9"/>
  <c r="CS241" i="9"/>
  <c r="CT241" i="9"/>
  <c r="CU241" i="9"/>
  <c r="CV241" i="9"/>
  <c r="CW241" i="9"/>
  <c r="CX241" i="9"/>
  <c r="CY241" i="9"/>
  <c r="DA241" i="9"/>
  <c r="DB241" i="9"/>
  <c r="DC241" i="9"/>
  <c r="DD241" i="9"/>
  <c r="DE241" i="9"/>
  <c r="DF241" i="9"/>
  <c r="DG241" i="9"/>
  <c r="DI241" i="9"/>
  <c r="DK241" i="9"/>
  <c r="DL241" i="9"/>
  <c r="DM241" i="9"/>
  <c r="DN241" i="9"/>
  <c r="DO241" i="9"/>
  <c r="DJ241" i="9"/>
  <c r="DH241" i="9"/>
  <c r="CZ241" i="9"/>
  <c r="BY242" i="9"/>
  <c r="BZ242" i="9"/>
  <c r="CA242" i="9"/>
  <c r="CG242" i="9"/>
  <c r="CH242" i="9"/>
  <c r="CJ242" i="9"/>
  <c r="CK242" i="9"/>
  <c r="CL242" i="9"/>
  <c r="CM242" i="9"/>
  <c r="CN242" i="9"/>
  <c r="CO242" i="9"/>
  <c r="CP242" i="9"/>
  <c r="CQ242" i="9"/>
  <c r="CR242" i="9"/>
  <c r="CS242" i="9"/>
  <c r="CT242" i="9"/>
  <c r="CU242" i="9"/>
  <c r="CV242" i="9"/>
  <c r="CW242" i="9"/>
  <c r="CX242" i="9"/>
  <c r="CY242" i="9"/>
  <c r="DA242" i="9"/>
  <c r="DB242" i="9"/>
  <c r="DC242" i="9"/>
  <c r="DD242" i="9"/>
  <c r="DE242" i="9"/>
  <c r="DF242" i="9"/>
  <c r="DG242" i="9"/>
  <c r="DI242" i="9"/>
  <c r="DK242" i="9"/>
  <c r="DL242" i="9"/>
  <c r="DM242" i="9"/>
  <c r="DN242" i="9"/>
  <c r="DO242" i="9"/>
  <c r="DJ242" i="9"/>
  <c r="DH242" i="9"/>
  <c r="CZ242" i="9"/>
  <c r="BY243" i="9"/>
  <c r="BZ243" i="9"/>
  <c r="CA243" i="9"/>
  <c r="CG243" i="9"/>
  <c r="CH243" i="9"/>
  <c r="CJ243" i="9"/>
  <c r="CK243" i="9"/>
  <c r="CL243" i="9"/>
  <c r="CM243" i="9"/>
  <c r="CN243" i="9"/>
  <c r="CO243" i="9"/>
  <c r="CP243" i="9"/>
  <c r="CQ243" i="9"/>
  <c r="CR243" i="9"/>
  <c r="CS243" i="9"/>
  <c r="CT243" i="9"/>
  <c r="CU243" i="9"/>
  <c r="CV243" i="9"/>
  <c r="CW243" i="9"/>
  <c r="CX243" i="9"/>
  <c r="CY243" i="9"/>
  <c r="DA243" i="9"/>
  <c r="DB243" i="9"/>
  <c r="DC243" i="9"/>
  <c r="DD243" i="9"/>
  <c r="DE243" i="9"/>
  <c r="DF243" i="9"/>
  <c r="DG243" i="9"/>
  <c r="DI243" i="9"/>
  <c r="DK243" i="9"/>
  <c r="DL243" i="9"/>
  <c r="DM243" i="9"/>
  <c r="DN243" i="9"/>
  <c r="DO243" i="9"/>
  <c r="DJ243" i="9"/>
  <c r="DH243" i="9"/>
  <c r="CZ243" i="9"/>
  <c r="EJ243" i="9"/>
  <c r="BY244" i="9"/>
  <c r="BZ244" i="9"/>
  <c r="CA244" i="9"/>
  <c r="CG244" i="9"/>
  <c r="CH244" i="9"/>
  <c r="CJ244" i="9"/>
  <c r="CK244" i="9"/>
  <c r="CL244" i="9"/>
  <c r="CM244" i="9"/>
  <c r="CN244" i="9"/>
  <c r="CO244" i="9"/>
  <c r="CP244" i="9"/>
  <c r="CQ244" i="9"/>
  <c r="CR244" i="9"/>
  <c r="CS244" i="9"/>
  <c r="CT244" i="9"/>
  <c r="CU244" i="9"/>
  <c r="CV244" i="9"/>
  <c r="CW244" i="9"/>
  <c r="CX244" i="9"/>
  <c r="CY244" i="9"/>
  <c r="DA244" i="9"/>
  <c r="DB244" i="9"/>
  <c r="DC244" i="9"/>
  <c r="DD244" i="9"/>
  <c r="DE244" i="9"/>
  <c r="DF244" i="9"/>
  <c r="DG244" i="9"/>
  <c r="DI244" i="9"/>
  <c r="DK244" i="9"/>
  <c r="DL244" i="9"/>
  <c r="EI244" i="9"/>
  <c r="DM244" i="9"/>
  <c r="DN244" i="9"/>
  <c r="DO244" i="9"/>
  <c r="DJ244" i="9"/>
  <c r="EJ244" i="9" s="1"/>
  <c r="DH244" i="9"/>
  <c r="CZ244" i="9"/>
  <c r="BY245" i="9"/>
  <c r="BZ245" i="9"/>
  <c r="CA245" i="9"/>
  <c r="CG245" i="9"/>
  <c r="CH245" i="9"/>
  <c r="CJ245" i="9"/>
  <c r="CK245" i="9"/>
  <c r="CL245" i="9"/>
  <c r="CM245" i="9"/>
  <c r="CN245" i="9"/>
  <c r="CO245" i="9"/>
  <c r="CP245" i="9"/>
  <c r="CQ245" i="9"/>
  <c r="CR245" i="9"/>
  <c r="CS245" i="9"/>
  <c r="CT245" i="9"/>
  <c r="CU245" i="9"/>
  <c r="CV245" i="9"/>
  <c r="CW245" i="9"/>
  <c r="CX245" i="9"/>
  <c r="CY245" i="9"/>
  <c r="DA245" i="9"/>
  <c r="DB245" i="9"/>
  <c r="DC245" i="9"/>
  <c r="DD245" i="9"/>
  <c r="DE245" i="9"/>
  <c r="DF245" i="9"/>
  <c r="DG245" i="9"/>
  <c r="DI245" i="9"/>
  <c r="DK245" i="9"/>
  <c r="DL245" i="9"/>
  <c r="DM245" i="9"/>
  <c r="DN245" i="9"/>
  <c r="DO245" i="9"/>
  <c r="DJ245" i="9"/>
  <c r="DH245" i="9"/>
  <c r="CZ245" i="9"/>
  <c r="BZ246" i="9"/>
  <c r="CH246" i="9"/>
  <c r="CJ246" i="9"/>
  <c r="CN246" i="9"/>
  <c r="CQ246" i="9"/>
  <c r="CR246" i="9"/>
  <c r="CV246" i="9"/>
  <c r="CY246" i="9"/>
  <c r="DA246" i="9"/>
  <c r="DE246" i="9"/>
  <c r="DI246" i="9"/>
  <c r="DK246" i="9"/>
  <c r="DN246" i="9"/>
  <c r="CZ246" i="9"/>
  <c r="DM129" i="9"/>
  <c r="DN129" i="9"/>
  <c r="DO129" i="9"/>
  <c r="DJ129" i="9"/>
  <c r="EJ129" i="9" s="1"/>
  <c r="DH129" i="9"/>
  <c r="CZ129" i="9"/>
  <c r="BY129" i="9"/>
  <c r="EI129" i="9" s="1"/>
  <c r="BZ129" i="9"/>
  <c r="CA129" i="9"/>
  <c r="CG129" i="9"/>
  <c r="CH129" i="9"/>
  <c r="CJ129" i="9"/>
  <c r="CK129" i="9"/>
  <c r="CL129" i="9"/>
  <c r="CM129" i="9"/>
  <c r="CN129" i="9"/>
  <c r="CO129" i="9"/>
  <c r="CP129" i="9"/>
  <c r="CQ129" i="9"/>
  <c r="CR129" i="9"/>
  <c r="CS129" i="9"/>
  <c r="CT129" i="9"/>
  <c r="CU129" i="9"/>
  <c r="CV129" i="9"/>
  <c r="CW129" i="9"/>
  <c r="CX129" i="9"/>
  <c r="CY129" i="9"/>
  <c r="DA129" i="9"/>
  <c r="DB129" i="9"/>
  <c r="DC129" i="9"/>
  <c r="DD129" i="9"/>
  <c r="DE129" i="9"/>
  <c r="DF129" i="9"/>
  <c r="DG129" i="9"/>
  <c r="DI129" i="9"/>
  <c r="DK129" i="9"/>
  <c r="DL129" i="9"/>
  <c r="CB130" i="9"/>
  <c r="CI130" i="9"/>
  <c r="CC130" i="9"/>
  <c r="EE130" i="9" s="1"/>
  <c r="CD130" i="9"/>
  <c r="CE130" i="9"/>
  <c r="CF130" i="9"/>
  <c r="CB131" i="9"/>
  <c r="CI131" i="9"/>
  <c r="CC131" i="9"/>
  <c r="EE131" i="9"/>
  <c r="CD131" i="9"/>
  <c r="CE131" i="9"/>
  <c r="CF131" i="9"/>
  <c r="CB132" i="9"/>
  <c r="CI132" i="9"/>
  <c r="CC132" i="9"/>
  <c r="EE132" i="9"/>
  <c r="CD132" i="9"/>
  <c r="CE132" i="9"/>
  <c r="CF132" i="9"/>
  <c r="CB133" i="9"/>
  <c r="CI133" i="9"/>
  <c r="CC133" i="9"/>
  <c r="EE133" i="9" s="1"/>
  <c r="CD133" i="9"/>
  <c r="CE133" i="9"/>
  <c r="CF133" i="9"/>
  <c r="CB134" i="9"/>
  <c r="CI134" i="9"/>
  <c r="CC134" i="9"/>
  <c r="EE134" i="9" s="1"/>
  <c r="CD134" i="9"/>
  <c r="CE134" i="9"/>
  <c r="CF134" i="9"/>
  <c r="CB135" i="9"/>
  <c r="CI135" i="9"/>
  <c r="CC135" i="9"/>
  <c r="EE135" i="9"/>
  <c r="CD135" i="9"/>
  <c r="CE135" i="9"/>
  <c r="CF135" i="9"/>
  <c r="CB136" i="9"/>
  <c r="CI136" i="9"/>
  <c r="CC136" i="9"/>
  <c r="EE136" i="9"/>
  <c r="CD136" i="9"/>
  <c r="CE136" i="9"/>
  <c r="CF136" i="9"/>
  <c r="CB137" i="9"/>
  <c r="CI137" i="9"/>
  <c r="CC137" i="9"/>
  <c r="EE137" i="9" s="1"/>
  <c r="CD137" i="9"/>
  <c r="CE137" i="9"/>
  <c r="CF137" i="9"/>
  <c r="CB138" i="9"/>
  <c r="CI138" i="9"/>
  <c r="CC138" i="9"/>
  <c r="EE138" i="9"/>
  <c r="CD138" i="9"/>
  <c r="CE138" i="9"/>
  <c r="CF138" i="9"/>
  <c r="CB139" i="9"/>
  <c r="CI139" i="9"/>
  <c r="CC139" i="9"/>
  <c r="EE139" i="9"/>
  <c r="CD139" i="9"/>
  <c r="CE139" i="9"/>
  <c r="CF139" i="9"/>
  <c r="CB140" i="9"/>
  <c r="CI140" i="9"/>
  <c r="CC140" i="9"/>
  <c r="EE140" i="9"/>
  <c r="CD140" i="9"/>
  <c r="CE140" i="9"/>
  <c r="CF140" i="9"/>
  <c r="CB141" i="9"/>
  <c r="CI141" i="9"/>
  <c r="CC141" i="9"/>
  <c r="EE141" i="9" s="1"/>
  <c r="CD141" i="9"/>
  <c r="CE141" i="9"/>
  <c r="CF141" i="9"/>
  <c r="CB142" i="9"/>
  <c r="CI142" i="9"/>
  <c r="CC142" i="9"/>
  <c r="EE142" i="9"/>
  <c r="CD142" i="9"/>
  <c r="CE142" i="9"/>
  <c r="CF142" i="9"/>
  <c r="CB143" i="9"/>
  <c r="CI143" i="9"/>
  <c r="CC143" i="9"/>
  <c r="EE143" i="9"/>
  <c r="CD143" i="9"/>
  <c r="CE143" i="9"/>
  <c r="CF143" i="9"/>
  <c r="CB144" i="9"/>
  <c r="CI144" i="9"/>
  <c r="CC144" i="9"/>
  <c r="EE144" i="9"/>
  <c r="CD144" i="9"/>
  <c r="CE144" i="9"/>
  <c r="CF144" i="9"/>
  <c r="CB145" i="9"/>
  <c r="CI145" i="9"/>
  <c r="CC145" i="9"/>
  <c r="EE145" i="9" s="1"/>
  <c r="CD145" i="9"/>
  <c r="CE145" i="9"/>
  <c r="CF145" i="9"/>
  <c r="CB146" i="9"/>
  <c r="CI146" i="9"/>
  <c r="CC146" i="9"/>
  <c r="EE146" i="9" s="1"/>
  <c r="CD146" i="9"/>
  <c r="CE146" i="9"/>
  <c r="CF146" i="9"/>
  <c r="CB147" i="9"/>
  <c r="CI147" i="9"/>
  <c r="CC147" i="9"/>
  <c r="EE147" i="9"/>
  <c r="CD147" i="9"/>
  <c r="CE147" i="9"/>
  <c r="CF147" i="9"/>
  <c r="CB148" i="9"/>
  <c r="CI148" i="9"/>
  <c r="CC148" i="9"/>
  <c r="EE148" i="9"/>
  <c r="CD148" i="9"/>
  <c r="CE148" i="9"/>
  <c r="CF148" i="9"/>
  <c r="CB149" i="9"/>
  <c r="CI149" i="9"/>
  <c r="CC149" i="9"/>
  <c r="EE149" i="9" s="1"/>
  <c r="CD149" i="9"/>
  <c r="CE149" i="9"/>
  <c r="CF149" i="9"/>
  <c r="CB150" i="9"/>
  <c r="CI150" i="9"/>
  <c r="CC150" i="9"/>
  <c r="EE150" i="9"/>
  <c r="CD150" i="9"/>
  <c r="CE150" i="9"/>
  <c r="CF150" i="9"/>
  <c r="CB151" i="9"/>
  <c r="CI151" i="9"/>
  <c r="CC151" i="9"/>
  <c r="EE151" i="9"/>
  <c r="CD151" i="9"/>
  <c r="CE151" i="9"/>
  <c r="CF151" i="9"/>
  <c r="CB152" i="9"/>
  <c r="CI152" i="9"/>
  <c r="CC152" i="9"/>
  <c r="EE152" i="9"/>
  <c r="CD152" i="9"/>
  <c r="CE152" i="9"/>
  <c r="CF152" i="9"/>
  <c r="CB153" i="9"/>
  <c r="CI153" i="9"/>
  <c r="CC153" i="9"/>
  <c r="EE153" i="9" s="1"/>
  <c r="CD153" i="9"/>
  <c r="CE153" i="9"/>
  <c r="CF153" i="9"/>
  <c r="CB154" i="9"/>
  <c r="CI154" i="9"/>
  <c r="CC154" i="9"/>
  <c r="EE154" i="9"/>
  <c r="CD154" i="9"/>
  <c r="CE154" i="9"/>
  <c r="CF154" i="9"/>
  <c r="CB155" i="9"/>
  <c r="CI155" i="9"/>
  <c r="CC155" i="9"/>
  <c r="EE155" i="9"/>
  <c r="CD155" i="9"/>
  <c r="CE155" i="9"/>
  <c r="CF155" i="9"/>
  <c r="CB156" i="9"/>
  <c r="CI156" i="9"/>
  <c r="CC156" i="9"/>
  <c r="EE156" i="9"/>
  <c r="CD156" i="9"/>
  <c r="CE156" i="9"/>
  <c r="CF156" i="9"/>
  <c r="CB157" i="9"/>
  <c r="CI157" i="9"/>
  <c r="CC157" i="9"/>
  <c r="EE157" i="9" s="1"/>
  <c r="CD157" i="9"/>
  <c r="CE157" i="9"/>
  <c r="CF157" i="9"/>
  <c r="CB158" i="9"/>
  <c r="CI158" i="9"/>
  <c r="CC158" i="9"/>
  <c r="EE158" i="9"/>
  <c r="CD158" i="9"/>
  <c r="CE158" i="9"/>
  <c r="CF158" i="9"/>
  <c r="CB159" i="9"/>
  <c r="CI159" i="9"/>
  <c r="CC159" i="9"/>
  <c r="EE159" i="9"/>
  <c r="CD159" i="9"/>
  <c r="CE159" i="9"/>
  <c r="CF159" i="9"/>
  <c r="CB160" i="9"/>
  <c r="CI160" i="9"/>
  <c r="CC160" i="9"/>
  <c r="EE160" i="9"/>
  <c r="CD160" i="9"/>
  <c r="CE160" i="9"/>
  <c r="CF160" i="9"/>
  <c r="CB161" i="9"/>
  <c r="CI161" i="9"/>
  <c r="CC161" i="9"/>
  <c r="EE161" i="9" s="1"/>
  <c r="CD161" i="9"/>
  <c r="CE161" i="9"/>
  <c r="CF161" i="9"/>
  <c r="CB162" i="9"/>
  <c r="CI162" i="9"/>
  <c r="CC162" i="9"/>
  <c r="EE162" i="9" s="1"/>
  <c r="CD162" i="9"/>
  <c r="CE162" i="9"/>
  <c r="CF162" i="9"/>
  <c r="CB163" i="9"/>
  <c r="CI163" i="9"/>
  <c r="CC163" i="9"/>
  <c r="EE163" i="9"/>
  <c r="CD163" i="9"/>
  <c r="CE163" i="9"/>
  <c r="CF163" i="9"/>
  <c r="CB164" i="9"/>
  <c r="CI164" i="9"/>
  <c r="CC164" i="9"/>
  <c r="EE164" i="9"/>
  <c r="CD164" i="9"/>
  <c r="CE164" i="9"/>
  <c r="CF164" i="9"/>
  <c r="CB165" i="9"/>
  <c r="CI165" i="9"/>
  <c r="CC165" i="9"/>
  <c r="EE165" i="9" s="1"/>
  <c r="CD165" i="9"/>
  <c r="CE165" i="9"/>
  <c r="CF165" i="9"/>
  <c r="CB166" i="9"/>
  <c r="CI166" i="9"/>
  <c r="CC166" i="9"/>
  <c r="EE166" i="9" s="1"/>
  <c r="CD166" i="9"/>
  <c r="CE166" i="9"/>
  <c r="CF166" i="9"/>
  <c r="CB167" i="9"/>
  <c r="CI167" i="9"/>
  <c r="CC167" i="9"/>
  <c r="EE167" i="9"/>
  <c r="CD167" i="9"/>
  <c r="CE167" i="9"/>
  <c r="CF167" i="9"/>
  <c r="CB168" i="9"/>
  <c r="CI168" i="9"/>
  <c r="CC168" i="9"/>
  <c r="EE168" i="9"/>
  <c r="CD168" i="9"/>
  <c r="CE168" i="9"/>
  <c r="CF168" i="9"/>
  <c r="CB169" i="9"/>
  <c r="CI169" i="9"/>
  <c r="CC169" i="9"/>
  <c r="EE169" i="9" s="1"/>
  <c r="CD169" i="9"/>
  <c r="CE169" i="9"/>
  <c r="CF169" i="9"/>
  <c r="CB170" i="9"/>
  <c r="CI170" i="9"/>
  <c r="CC170" i="9"/>
  <c r="EE170" i="9"/>
  <c r="CD170" i="9"/>
  <c r="CE170" i="9"/>
  <c r="CF170" i="9"/>
  <c r="CB171" i="9"/>
  <c r="CI171" i="9"/>
  <c r="CC171" i="9"/>
  <c r="EE171" i="9"/>
  <c r="CD171" i="9"/>
  <c r="CE171" i="9"/>
  <c r="CF171" i="9"/>
  <c r="CB172" i="9"/>
  <c r="CI172" i="9"/>
  <c r="CC172" i="9"/>
  <c r="EE172" i="9"/>
  <c r="CD172" i="9"/>
  <c r="CE172" i="9"/>
  <c r="CF172" i="9"/>
  <c r="CB173" i="9"/>
  <c r="CI173" i="9"/>
  <c r="CC173" i="9"/>
  <c r="EE173" i="9" s="1"/>
  <c r="CD173" i="9"/>
  <c r="CE173" i="9"/>
  <c r="CF173" i="9"/>
  <c r="CB174" i="9"/>
  <c r="CI174" i="9"/>
  <c r="CC174" i="9"/>
  <c r="EE174" i="9"/>
  <c r="CD174" i="9"/>
  <c r="CE174" i="9"/>
  <c r="CF174" i="9"/>
  <c r="CB175" i="9"/>
  <c r="CI175" i="9"/>
  <c r="CC175" i="9"/>
  <c r="EE175" i="9"/>
  <c r="CD175" i="9"/>
  <c r="CE175" i="9"/>
  <c r="CF175" i="9"/>
  <c r="CB176" i="9"/>
  <c r="CI176" i="9"/>
  <c r="CC176" i="9"/>
  <c r="EE176" i="9"/>
  <c r="CD176" i="9"/>
  <c r="CE176" i="9"/>
  <c r="CF176" i="9"/>
  <c r="CB177" i="9"/>
  <c r="CI177" i="9"/>
  <c r="CC177" i="9"/>
  <c r="EE177" i="9" s="1"/>
  <c r="CD177" i="9"/>
  <c r="CE177" i="9"/>
  <c r="CF177" i="9"/>
  <c r="CB178" i="9"/>
  <c r="CI178" i="9"/>
  <c r="CC178" i="9"/>
  <c r="EE178" i="9" s="1"/>
  <c r="CD178" i="9"/>
  <c r="CE178" i="9"/>
  <c r="CF178" i="9"/>
  <c r="CB179" i="9"/>
  <c r="CI179" i="9"/>
  <c r="CC179" i="9"/>
  <c r="EE179" i="9"/>
  <c r="CD179" i="9"/>
  <c r="CE179" i="9"/>
  <c r="CF179" i="9"/>
  <c r="CB180" i="9"/>
  <c r="CI180" i="9"/>
  <c r="CC180" i="9"/>
  <c r="EE180" i="9"/>
  <c r="CD180" i="9"/>
  <c r="CE180" i="9"/>
  <c r="CF180" i="9"/>
  <c r="CB181" i="9"/>
  <c r="CI181" i="9"/>
  <c r="CC181" i="9"/>
  <c r="EE181" i="9" s="1"/>
  <c r="CD181" i="9"/>
  <c r="CE181" i="9"/>
  <c r="CF181" i="9"/>
  <c r="CB182" i="9"/>
  <c r="CI182" i="9"/>
  <c r="CC182" i="9"/>
  <c r="EE182" i="9"/>
  <c r="CD182" i="9"/>
  <c r="CE182" i="9"/>
  <c r="CF182" i="9"/>
  <c r="CB183" i="9"/>
  <c r="CI183" i="9"/>
  <c r="CC183" i="9"/>
  <c r="EE183" i="9"/>
  <c r="CD183" i="9"/>
  <c r="CE183" i="9"/>
  <c r="CF183" i="9"/>
  <c r="CB184" i="9"/>
  <c r="CI184" i="9"/>
  <c r="CC184" i="9"/>
  <c r="EE184" i="9"/>
  <c r="CD184" i="9"/>
  <c r="CE184" i="9"/>
  <c r="CF184" i="9"/>
  <c r="CB185" i="9"/>
  <c r="CI185" i="9"/>
  <c r="CC185" i="9"/>
  <c r="EE185" i="9" s="1"/>
  <c r="CD185" i="9"/>
  <c r="CE185" i="9"/>
  <c r="CF185" i="9"/>
  <c r="CB186" i="9"/>
  <c r="CI186" i="9"/>
  <c r="CC186" i="9"/>
  <c r="EE186" i="9"/>
  <c r="CD186" i="9"/>
  <c r="CE186" i="9"/>
  <c r="CF186" i="9"/>
  <c r="CB187" i="9"/>
  <c r="CI187" i="9"/>
  <c r="CC187" i="9"/>
  <c r="EE187" i="9"/>
  <c r="CD187" i="9"/>
  <c r="CE187" i="9"/>
  <c r="CF187" i="9"/>
  <c r="CB188" i="9"/>
  <c r="CI188" i="9"/>
  <c r="CC188" i="9"/>
  <c r="EE188" i="9"/>
  <c r="CD188" i="9"/>
  <c r="CE188" i="9"/>
  <c r="CF188" i="9"/>
  <c r="CB189" i="9"/>
  <c r="CI189" i="9"/>
  <c r="CC189" i="9"/>
  <c r="EE189" i="9" s="1"/>
  <c r="CD189" i="9"/>
  <c r="CE189" i="9"/>
  <c r="CF189" i="9"/>
  <c r="CB190" i="9"/>
  <c r="CI190" i="9"/>
  <c r="CC190" i="9"/>
  <c r="EE190" i="9"/>
  <c r="CD190" i="9"/>
  <c r="CE190" i="9"/>
  <c r="CF190" i="9"/>
  <c r="CB191" i="9"/>
  <c r="CI191" i="9"/>
  <c r="CC191" i="9"/>
  <c r="EE191" i="9"/>
  <c r="CD191" i="9"/>
  <c r="CE191" i="9"/>
  <c r="CF191" i="9"/>
  <c r="CB192" i="9"/>
  <c r="CI192" i="9"/>
  <c r="CC192" i="9"/>
  <c r="EE192" i="9"/>
  <c r="CD192" i="9"/>
  <c r="CE192" i="9"/>
  <c r="CF192" i="9"/>
  <c r="CB193" i="9"/>
  <c r="CI193" i="9"/>
  <c r="CC193" i="9"/>
  <c r="CD193" i="9"/>
  <c r="CE193" i="9"/>
  <c r="CF193" i="9"/>
  <c r="CB194" i="9"/>
  <c r="CI194" i="9"/>
  <c r="CC194" i="9"/>
  <c r="EE194" i="9" s="1"/>
  <c r="CD194" i="9"/>
  <c r="CE194" i="9"/>
  <c r="CF194" i="9"/>
  <c r="CB195" i="9"/>
  <c r="CI195" i="9"/>
  <c r="CC195" i="9"/>
  <c r="EE195" i="9"/>
  <c r="CD195" i="9"/>
  <c r="CE195" i="9"/>
  <c r="CF195" i="9"/>
  <c r="CB196" i="9"/>
  <c r="CI196" i="9"/>
  <c r="CC196" i="9"/>
  <c r="EE196" i="9"/>
  <c r="CD196" i="9"/>
  <c r="CE196" i="9"/>
  <c r="CF196" i="9"/>
  <c r="CB197" i="9"/>
  <c r="CI197" i="9"/>
  <c r="CC197" i="9"/>
  <c r="EE197" i="9" s="1"/>
  <c r="CD197" i="9"/>
  <c r="CE197" i="9"/>
  <c r="CF197" i="9"/>
  <c r="CB198" i="9"/>
  <c r="CI198" i="9"/>
  <c r="CC198" i="9"/>
  <c r="EE198" i="9" s="1"/>
  <c r="CD198" i="9"/>
  <c r="CE198" i="9"/>
  <c r="CF198" i="9"/>
  <c r="CB199" i="9"/>
  <c r="CI199" i="9"/>
  <c r="CC199" i="9"/>
  <c r="EE199" i="9"/>
  <c r="CD199" i="9"/>
  <c r="CE199" i="9"/>
  <c r="CF199" i="9"/>
  <c r="CB200" i="9"/>
  <c r="CI200" i="9"/>
  <c r="CC200" i="9"/>
  <c r="EE200" i="9"/>
  <c r="CD200" i="9"/>
  <c r="CE200" i="9"/>
  <c r="CF200" i="9"/>
  <c r="CB201" i="9"/>
  <c r="CI201" i="9"/>
  <c r="CC201" i="9"/>
  <c r="EE201" i="9" s="1"/>
  <c r="CD201" i="9"/>
  <c r="CE201" i="9"/>
  <c r="CF201" i="9"/>
  <c r="CB202" i="9"/>
  <c r="CI202" i="9"/>
  <c r="CC202" i="9"/>
  <c r="EE202" i="9"/>
  <c r="CD202" i="9"/>
  <c r="CE202" i="9"/>
  <c r="CF202" i="9"/>
  <c r="CB203" i="9"/>
  <c r="CI203" i="9"/>
  <c r="CC203" i="9"/>
  <c r="EE203" i="9"/>
  <c r="CD203" i="9"/>
  <c r="CE203" i="9"/>
  <c r="CF203" i="9"/>
  <c r="CB204" i="9"/>
  <c r="CI204" i="9"/>
  <c r="CC204" i="9"/>
  <c r="EE204" i="9"/>
  <c r="CD204" i="9"/>
  <c r="CE204" i="9"/>
  <c r="CF204" i="9"/>
  <c r="CB205" i="9"/>
  <c r="CI205" i="9"/>
  <c r="CC205" i="9"/>
  <c r="EE205" i="9" s="1"/>
  <c r="CD205" i="9"/>
  <c r="CE205" i="9"/>
  <c r="CF205" i="9"/>
  <c r="CB206" i="9"/>
  <c r="CI206" i="9"/>
  <c r="CC206" i="9"/>
  <c r="EE206" i="9"/>
  <c r="CD206" i="9"/>
  <c r="CE206" i="9"/>
  <c r="CF206" i="9"/>
  <c r="CB207" i="9"/>
  <c r="CI207" i="9"/>
  <c r="CC207" i="9"/>
  <c r="EE207" i="9"/>
  <c r="CD207" i="9"/>
  <c r="CE207" i="9"/>
  <c r="CF207" i="9"/>
  <c r="CB208" i="9"/>
  <c r="CI208" i="9"/>
  <c r="CC208" i="9"/>
  <c r="EE208" i="9"/>
  <c r="CD208" i="9"/>
  <c r="CE208" i="9"/>
  <c r="CF208" i="9"/>
  <c r="CB209" i="9"/>
  <c r="CI209" i="9"/>
  <c r="CC209" i="9"/>
  <c r="CD209" i="9"/>
  <c r="CE209" i="9"/>
  <c r="CF209" i="9"/>
  <c r="CB210" i="9"/>
  <c r="CI210" i="9"/>
  <c r="CC210" i="9"/>
  <c r="EE210" i="9" s="1"/>
  <c r="CD210" i="9"/>
  <c r="CE210" i="9"/>
  <c r="CF210" i="9"/>
  <c r="CB211" i="9"/>
  <c r="CI211" i="9"/>
  <c r="CC211" i="9"/>
  <c r="EE211" i="9"/>
  <c r="CD211" i="9"/>
  <c r="CE211" i="9"/>
  <c r="CF211" i="9"/>
  <c r="CB212" i="9"/>
  <c r="CI212" i="9"/>
  <c r="CC212" i="9"/>
  <c r="EE212" i="9"/>
  <c r="CD212" i="9"/>
  <c r="CE212" i="9"/>
  <c r="CF212" i="9"/>
  <c r="CB213" i="9"/>
  <c r="CI213" i="9"/>
  <c r="CC213" i="9"/>
  <c r="EE213" i="9" s="1"/>
  <c r="CD213" i="9"/>
  <c r="CE213" i="9"/>
  <c r="CF213" i="9"/>
  <c r="CB214" i="9"/>
  <c r="CI214" i="9"/>
  <c r="CC214" i="9"/>
  <c r="EE214" i="9"/>
  <c r="CD214" i="9"/>
  <c r="CE214" i="9"/>
  <c r="CF214" i="9"/>
  <c r="CB215" i="9"/>
  <c r="CI215" i="9"/>
  <c r="CC215" i="9"/>
  <c r="EE215" i="9"/>
  <c r="CD215" i="9"/>
  <c r="CE215" i="9"/>
  <c r="CF215" i="9"/>
  <c r="CB216" i="9"/>
  <c r="CI216" i="9"/>
  <c r="CC216" i="9"/>
  <c r="EE216" i="9"/>
  <c r="CD216" i="9"/>
  <c r="CE216" i="9"/>
  <c r="CF216" i="9"/>
  <c r="CB217" i="9"/>
  <c r="CI217" i="9"/>
  <c r="CC217" i="9"/>
  <c r="EE217" i="9" s="1"/>
  <c r="CD217" i="9"/>
  <c r="CE217" i="9"/>
  <c r="CF217" i="9"/>
  <c r="CB218" i="9"/>
  <c r="CI218" i="9"/>
  <c r="CC218" i="9"/>
  <c r="EE218" i="9"/>
  <c r="CD218" i="9"/>
  <c r="CE218" i="9"/>
  <c r="CF218" i="9"/>
  <c r="CB219" i="9"/>
  <c r="CI219" i="9"/>
  <c r="CC219" i="9"/>
  <c r="EE219" i="9"/>
  <c r="CD219" i="9"/>
  <c r="CE219" i="9"/>
  <c r="CF219" i="9"/>
  <c r="CB220" i="9"/>
  <c r="CI220" i="9"/>
  <c r="CC220" i="9"/>
  <c r="EE220" i="9"/>
  <c r="CD220" i="9"/>
  <c r="CE220" i="9"/>
  <c r="CF220" i="9"/>
  <c r="CB221" i="9"/>
  <c r="CI221" i="9"/>
  <c r="CC221" i="9"/>
  <c r="EE221" i="9" s="1"/>
  <c r="CD221" i="9"/>
  <c r="CE221" i="9"/>
  <c r="CF221" i="9"/>
  <c r="CB222" i="9"/>
  <c r="CI222" i="9"/>
  <c r="CC222" i="9"/>
  <c r="EE222" i="9"/>
  <c r="CD222" i="9"/>
  <c r="CE222" i="9"/>
  <c r="CF222" i="9"/>
  <c r="CB223" i="9"/>
  <c r="CI223" i="9"/>
  <c r="CC223" i="9"/>
  <c r="EE223" i="9"/>
  <c r="CD223" i="9"/>
  <c r="CE223" i="9"/>
  <c r="CF223" i="9"/>
  <c r="CB224" i="9"/>
  <c r="CI224" i="9"/>
  <c r="CC224" i="9"/>
  <c r="EE224" i="9"/>
  <c r="CD224" i="9"/>
  <c r="CE224" i="9"/>
  <c r="CF224" i="9"/>
  <c r="CB225" i="9"/>
  <c r="CI225" i="9"/>
  <c r="CC225" i="9"/>
  <c r="EE225" i="9" s="1"/>
  <c r="CD225" i="9"/>
  <c r="CE225" i="9"/>
  <c r="CF225" i="9"/>
  <c r="CB226" i="9"/>
  <c r="CI226" i="9"/>
  <c r="CC226" i="9"/>
  <c r="EE226" i="9" s="1"/>
  <c r="CD226" i="9"/>
  <c r="CE226" i="9"/>
  <c r="CF226" i="9"/>
  <c r="CB227" i="9"/>
  <c r="CI227" i="9"/>
  <c r="CC227" i="9"/>
  <c r="EE227" i="9"/>
  <c r="CD227" i="9"/>
  <c r="CE227" i="9"/>
  <c r="CF227" i="9"/>
  <c r="CB228" i="9"/>
  <c r="CI228" i="9"/>
  <c r="CC228" i="9"/>
  <c r="EE228" i="9"/>
  <c r="CD228" i="9"/>
  <c r="CE228" i="9"/>
  <c r="CF228" i="9"/>
  <c r="CB229" i="9"/>
  <c r="CI229" i="9"/>
  <c r="CC229" i="9"/>
  <c r="EE229" i="9" s="1"/>
  <c r="CD229" i="9"/>
  <c r="CE229" i="9"/>
  <c r="CF229" i="9"/>
  <c r="CB230" i="9"/>
  <c r="CI230" i="9"/>
  <c r="CC230" i="9"/>
  <c r="EE230" i="9" s="1"/>
  <c r="CD230" i="9"/>
  <c r="CE230" i="9"/>
  <c r="CF230" i="9"/>
  <c r="CB231" i="9"/>
  <c r="CI231" i="9"/>
  <c r="CC231" i="9"/>
  <c r="EE231" i="9"/>
  <c r="CD231" i="9"/>
  <c r="CE231" i="9"/>
  <c r="CF231" i="9"/>
  <c r="CB232" i="9"/>
  <c r="CI232" i="9"/>
  <c r="CC232" i="9"/>
  <c r="EE232" i="9"/>
  <c r="CD232" i="9"/>
  <c r="CE232" i="9"/>
  <c r="CF232" i="9"/>
  <c r="CB233" i="9"/>
  <c r="CI233" i="9"/>
  <c r="CC233" i="9"/>
  <c r="EE233" i="9" s="1"/>
  <c r="CD233" i="9"/>
  <c r="CE233" i="9"/>
  <c r="CF233" i="9"/>
  <c r="CB234" i="9"/>
  <c r="CI234" i="9"/>
  <c r="CC234" i="9"/>
  <c r="EE234" i="9"/>
  <c r="CD234" i="9"/>
  <c r="CE234" i="9"/>
  <c r="CF234" i="9"/>
  <c r="CB235" i="9"/>
  <c r="CI235" i="9"/>
  <c r="CC235" i="9"/>
  <c r="EE235" i="9"/>
  <c r="CD235" i="9"/>
  <c r="CE235" i="9"/>
  <c r="CF235" i="9"/>
  <c r="CB236" i="9"/>
  <c r="CI236" i="9"/>
  <c r="CC236" i="9"/>
  <c r="EE236" i="9"/>
  <c r="CD236" i="9"/>
  <c r="CE236" i="9"/>
  <c r="CF236" i="9"/>
  <c r="CB237" i="9"/>
  <c r="CI237" i="9"/>
  <c r="CC237" i="9"/>
  <c r="EE237" i="9" s="1"/>
  <c r="CD237" i="9"/>
  <c r="CE237" i="9"/>
  <c r="CF237" i="9"/>
  <c r="CB238" i="9"/>
  <c r="CI238" i="9"/>
  <c r="CC238" i="9"/>
  <c r="EE238" i="9"/>
  <c r="CD238" i="9"/>
  <c r="CE238" i="9"/>
  <c r="CF238" i="9"/>
  <c r="CB239" i="9"/>
  <c r="CI239" i="9"/>
  <c r="CC239" i="9"/>
  <c r="EE239" i="9"/>
  <c r="CD239" i="9"/>
  <c r="CE239" i="9"/>
  <c r="CF239" i="9"/>
  <c r="CB240" i="9"/>
  <c r="CI240" i="9"/>
  <c r="CC240" i="9"/>
  <c r="EE240" i="9"/>
  <c r="CD240" i="9"/>
  <c r="CE240" i="9"/>
  <c r="CF240" i="9"/>
  <c r="CB241" i="9"/>
  <c r="CI241" i="9"/>
  <c r="CC241" i="9"/>
  <c r="EE241" i="9" s="1"/>
  <c r="CD241" i="9"/>
  <c r="CE241" i="9"/>
  <c r="CF241" i="9"/>
  <c r="CB242" i="9"/>
  <c r="CI242" i="9"/>
  <c r="CC242" i="9"/>
  <c r="EE242" i="9" s="1"/>
  <c r="CD242" i="9"/>
  <c r="CE242" i="9"/>
  <c r="CF242" i="9"/>
  <c r="CB243" i="9"/>
  <c r="CI243" i="9"/>
  <c r="CC243" i="9"/>
  <c r="EE243" i="9"/>
  <c r="CD243" i="9"/>
  <c r="CE243" i="9"/>
  <c r="CF243" i="9"/>
  <c r="CB244" i="9"/>
  <c r="CI244" i="9"/>
  <c r="CC244" i="9"/>
  <c r="EE244" i="9"/>
  <c r="CD244" i="9"/>
  <c r="CE244" i="9"/>
  <c r="CF244" i="9"/>
  <c r="CB245" i="9"/>
  <c r="CI245" i="9"/>
  <c r="CC245" i="9"/>
  <c r="EE245" i="9" s="1"/>
  <c r="CD245" i="9"/>
  <c r="CE245" i="9"/>
  <c r="CF245" i="9"/>
  <c r="CB246" i="9"/>
  <c r="CF246" i="9"/>
  <c r="CF129" i="9"/>
  <c r="CI129" i="9"/>
  <c r="CE129" i="9"/>
  <c r="CD129" i="9"/>
  <c r="CB129" i="9"/>
  <c r="CC129" i="9"/>
  <c r="EE129" i="9" s="1"/>
  <c r="BW130" i="9"/>
  <c r="BX130" i="9"/>
  <c r="EC130" i="9"/>
  <c r="BW131" i="9"/>
  <c r="EC131" i="9" s="1"/>
  <c r="BX131" i="9"/>
  <c r="BW132" i="9"/>
  <c r="BX132" i="9"/>
  <c r="BW133" i="9"/>
  <c r="BX133" i="9"/>
  <c r="EC133" i="9"/>
  <c r="BW134" i="9"/>
  <c r="BX134" i="9"/>
  <c r="EC134" i="9"/>
  <c r="BW135" i="9"/>
  <c r="EC135" i="9" s="1"/>
  <c r="BX135" i="9"/>
  <c r="BW136" i="9"/>
  <c r="EC136" i="9" s="1"/>
  <c r="BX136" i="9"/>
  <c r="BW137" i="9"/>
  <c r="BX137" i="9"/>
  <c r="EC137" i="9" s="1"/>
  <c r="BW138" i="9"/>
  <c r="BX138" i="9"/>
  <c r="EC138" i="9"/>
  <c r="BW139" i="9"/>
  <c r="EC139" i="9" s="1"/>
  <c r="BX139" i="9"/>
  <c r="BW140" i="9"/>
  <c r="BX140" i="9"/>
  <c r="BW141" i="9"/>
  <c r="BX141" i="9"/>
  <c r="EC141" i="9"/>
  <c r="BW142" i="9"/>
  <c r="BX142" i="9"/>
  <c r="EC142" i="9"/>
  <c r="BW143" i="9"/>
  <c r="EC143" i="9" s="1"/>
  <c r="BX143" i="9"/>
  <c r="BW144" i="9"/>
  <c r="EC144" i="9" s="1"/>
  <c r="BX144" i="9"/>
  <c r="BW145" i="9"/>
  <c r="BX145" i="9"/>
  <c r="EC145" i="9" s="1"/>
  <c r="BW146" i="9"/>
  <c r="BX146" i="9"/>
  <c r="EC146" i="9"/>
  <c r="BW147" i="9"/>
  <c r="EC147" i="9" s="1"/>
  <c r="BX147" i="9"/>
  <c r="BW148" i="9"/>
  <c r="BX148" i="9"/>
  <c r="BW149" i="9"/>
  <c r="BX149" i="9"/>
  <c r="EC149" i="9"/>
  <c r="BW150" i="9"/>
  <c r="BX150" i="9"/>
  <c r="EC150" i="9"/>
  <c r="BW151" i="9"/>
  <c r="EC151" i="9" s="1"/>
  <c r="BX151" i="9"/>
  <c r="BW152" i="9"/>
  <c r="EC152" i="9" s="1"/>
  <c r="BX152" i="9"/>
  <c r="BW153" i="9"/>
  <c r="BX153" i="9"/>
  <c r="EC153" i="9" s="1"/>
  <c r="BW154" i="9"/>
  <c r="BX154" i="9"/>
  <c r="EC154" i="9"/>
  <c r="BW155" i="9"/>
  <c r="EC155" i="9" s="1"/>
  <c r="BX155" i="9"/>
  <c r="BW156" i="9"/>
  <c r="BX156" i="9"/>
  <c r="BW157" i="9"/>
  <c r="BX157" i="9"/>
  <c r="EC157" i="9"/>
  <c r="BW158" i="9"/>
  <c r="BX158" i="9"/>
  <c r="EC158" i="9"/>
  <c r="BW159" i="9"/>
  <c r="EC159" i="9" s="1"/>
  <c r="BX159" i="9"/>
  <c r="BW160" i="9"/>
  <c r="EC160" i="9" s="1"/>
  <c r="BX160" i="9"/>
  <c r="BW161" i="9"/>
  <c r="BX161" i="9"/>
  <c r="EC161" i="9" s="1"/>
  <c r="BW162" i="9"/>
  <c r="BX162" i="9"/>
  <c r="EC162" i="9"/>
  <c r="BW163" i="9"/>
  <c r="EC163" i="9" s="1"/>
  <c r="BX163" i="9"/>
  <c r="BW164" i="9"/>
  <c r="BX164" i="9"/>
  <c r="BW165" i="9"/>
  <c r="BX165" i="9"/>
  <c r="EC165" i="9"/>
  <c r="BW166" i="9"/>
  <c r="BX166" i="9"/>
  <c r="EC166" i="9"/>
  <c r="BW167" i="9"/>
  <c r="EC167" i="9" s="1"/>
  <c r="BX167" i="9"/>
  <c r="BW168" i="9"/>
  <c r="EC168" i="9" s="1"/>
  <c r="BX168" i="9"/>
  <c r="BW169" i="9"/>
  <c r="BX169" i="9"/>
  <c r="EC169" i="9" s="1"/>
  <c r="BW170" i="9"/>
  <c r="BX170" i="9"/>
  <c r="EC170" i="9"/>
  <c r="BW171" i="9"/>
  <c r="EC171" i="9" s="1"/>
  <c r="BX171" i="9"/>
  <c r="BW172" i="9"/>
  <c r="BX172" i="9"/>
  <c r="BW173" i="9"/>
  <c r="BX173" i="9"/>
  <c r="EC173" i="9"/>
  <c r="BW174" i="9"/>
  <c r="BX174" i="9"/>
  <c r="EC174" i="9"/>
  <c r="BW175" i="9"/>
  <c r="EC175" i="9" s="1"/>
  <c r="BX175" i="9"/>
  <c r="BW176" i="9"/>
  <c r="EC176" i="9" s="1"/>
  <c r="BX176" i="9"/>
  <c r="BW177" i="9"/>
  <c r="BX177" i="9"/>
  <c r="EC177" i="9" s="1"/>
  <c r="BW178" i="9"/>
  <c r="BX178" i="9"/>
  <c r="EC178" i="9"/>
  <c r="BW179" i="9"/>
  <c r="EC179" i="9" s="1"/>
  <c r="BX179" i="9"/>
  <c r="BW180" i="9"/>
  <c r="BX180" i="9"/>
  <c r="BW181" i="9"/>
  <c r="BX181" i="9"/>
  <c r="EC181" i="9"/>
  <c r="BW182" i="9"/>
  <c r="BX182" i="9"/>
  <c r="EC182" i="9"/>
  <c r="BW183" i="9"/>
  <c r="EC183" i="9" s="1"/>
  <c r="BX183" i="9"/>
  <c r="BW184" i="9"/>
  <c r="EC184" i="9" s="1"/>
  <c r="BX184" i="9"/>
  <c r="BW185" i="9"/>
  <c r="BX185" i="9"/>
  <c r="EC185" i="9" s="1"/>
  <c r="BW186" i="9"/>
  <c r="BX186" i="9"/>
  <c r="EC186" i="9"/>
  <c r="BW187" i="9"/>
  <c r="EC187" i="9" s="1"/>
  <c r="BX187" i="9"/>
  <c r="BW188" i="9"/>
  <c r="BX188" i="9"/>
  <c r="BW189" i="9"/>
  <c r="BX189" i="9"/>
  <c r="EC189" i="9"/>
  <c r="BW190" i="9"/>
  <c r="EC190" i="9" s="1"/>
  <c r="BX190" i="9"/>
  <c r="BW191" i="9"/>
  <c r="BX191" i="9"/>
  <c r="BW192" i="9"/>
  <c r="EC192" i="9" s="1"/>
  <c r="BX192" i="9"/>
  <c r="BW193" i="9"/>
  <c r="BX193" i="9"/>
  <c r="EC193" i="9" s="1"/>
  <c r="BW194" i="9"/>
  <c r="BX194" i="9"/>
  <c r="EC194" i="9"/>
  <c r="BW195" i="9"/>
  <c r="BX195" i="9"/>
  <c r="BW196" i="9"/>
  <c r="BX196" i="9"/>
  <c r="BX246" i="9" s="1"/>
  <c r="BW197" i="9"/>
  <c r="BX197" i="9"/>
  <c r="EC197" i="9" s="1"/>
  <c r="BW198" i="9"/>
  <c r="BX198" i="9"/>
  <c r="EC198" i="9"/>
  <c r="BW199" i="9"/>
  <c r="EC199" i="9" s="1"/>
  <c r="BX199" i="9"/>
  <c r="BW200" i="9"/>
  <c r="BX200" i="9"/>
  <c r="EC200" i="9" s="1"/>
  <c r="BW201" i="9"/>
  <c r="BX201" i="9"/>
  <c r="EC201" i="9"/>
  <c r="BW202" i="9"/>
  <c r="EC202" i="9" s="1"/>
  <c r="BX202" i="9"/>
  <c r="BW203" i="9"/>
  <c r="BX203" i="9"/>
  <c r="BW204" i="9"/>
  <c r="BX204" i="9"/>
  <c r="EC204" i="9" s="1"/>
  <c r="BW205" i="9"/>
  <c r="BX205" i="9"/>
  <c r="EC205" i="9"/>
  <c r="BW206" i="9"/>
  <c r="EC206" i="9" s="1"/>
  <c r="BX206" i="9"/>
  <c r="BW207" i="9"/>
  <c r="BX207" i="9"/>
  <c r="BW208" i="9"/>
  <c r="BX208" i="9"/>
  <c r="EC208" i="9" s="1"/>
  <c r="BW209" i="9"/>
  <c r="BX209" i="9"/>
  <c r="EC209" i="9"/>
  <c r="BW210" i="9"/>
  <c r="EC210" i="9" s="1"/>
  <c r="BX210" i="9"/>
  <c r="BW211" i="9"/>
  <c r="BX211" i="9"/>
  <c r="BW212" i="9"/>
  <c r="BX212" i="9"/>
  <c r="BW213" i="9"/>
  <c r="BX213" i="9"/>
  <c r="EC213" i="9"/>
  <c r="BW214" i="9"/>
  <c r="EC214" i="9" s="1"/>
  <c r="BX214" i="9"/>
  <c r="BW215" i="9"/>
  <c r="BX215" i="9"/>
  <c r="BW216" i="9"/>
  <c r="BX216" i="9"/>
  <c r="EC216" i="9" s="1"/>
  <c r="BW217" i="9"/>
  <c r="BX217" i="9"/>
  <c r="EC217" i="9"/>
  <c r="BW218" i="9"/>
  <c r="EC218" i="9" s="1"/>
  <c r="BX218" i="9"/>
  <c r="BW219" i="9"/>
  <c r="BX219" i="9"/>
  <c r="BW220" i="9"/>
  <c r="BX220" i="9"/>
  <c r="EC220" i="9" s="1"/>
  <c r="BW221" i="9"/>
  <c r="BX221" i="9"/>
  <c r="EC221" i="9"/>
  <c r="BW222" i="9"/>
  <c r="EC222" i="9" s="1"/>
  <c r="BX222" i="9"/>
  <c r="BW223" i="9"/>
  <c r="BX223" i="9"/>
  <c r="BW224" i="9"/>
  <c r="BX224" i="9"/>
  <c r="EC224" i="9" s="1"/>
  <c r="BW225" i="9"/>
  <c r="BX225" i="9"/>
  <c r="EC225" i="9"/>
  <c r="BW226" i="9"/>
  <c r="EC226" i="9" s="1"/>
  <c r="BX226" i="9"/>
  <c r="BW227" i="9"/>
  <c r="BX227" i="9"/>
  <c r="BW228" i="9"/>
  <c r="BX228" i="9"/>
  <c r="EC228" i="9" s="1"/>
  <c r="BW229" i="9"/>
  <c r="BX229" i="9"/>
  <c r="EC229" i="9"/>
  <c r="BW230" i="9"/>
  <c r="EC230" i="9" s="1"/>
  <c r="BX230" i="9"/>
  <c r="BW231" i="9"/>
  <c r="BX231" i="9"/>
  <c r="BW232" i="9"/>
  <c r="BX232" i="9"/>
  <c r="EC232" i="9" s="1"/>
  <c r="BW233" i="9"/>
  <c r="BX233" i="9"/>
  <c r="EC233" i="9"/>
  <c r="BW234" i="9"/>
  <c r="EC234" i="9" s="1"/>
  <c r="BX234" i="9"/>
  <c r="BW235" i="9"/>
  <c r="BX235" i="9"/>
  <c r="BW236" i="9"/>
  <c r="BX236" i="9"/>
  <c r="EC236" i="9" s="1"/>
  <c r="BW237" i="9"/>
  <c r="BX237" i="9"/>
  <c r="EC237" i="9"/>
  <c r="BW238" i="9"/>
  <c r="EC238" i="9" s="1"/>
  <c r="BX238" i="9"/>
  <c r="BW239" i="9"/>
  <c r="BX239" i="9"/>
  <c r="BW240" i="9"/>
  <c r="BX240" i="9"/>
  <c r="EC240" i="9" s="1"/>
  <c r="BW241" i="9"/>
  <c r="BX241" i="9"/>
  <c r="EC241" i="9"/>
  <c r="BW242" i="9"/>
  <c r="EC242" i="9" s="1"/>
  <c r="BX242" i="9"/>
  <c r="BW243" i="9"/>
  <c r="BX243" i="9"/>
  <c r="BW244" i="9"/>
  <c r="BX244" i="9"/>
  <c r="EC244" i="9" s="1"/>
  <c r="BW245" i="9"/>
  <c r="BX245" i="9"/>
  <c r="EC245" i="9"/>
  <c r="BW246" i="9"/>
  <c r="BW129" i="9"/>
  <c r="BX129" i="9"/>
  <c r="EC129" i="9"/>
  <c r="AC144" i="9"/>
  <c r="M144" i="9"/>
  <c r="N144" i="9"/>
  <c r="O144" i="9"/>
  <c r="P144" i="9"/>
  <c r="Q144" i="9"/>
  <c r="R144" i="9"/>
  <c r="S144" i="9"/>
  <c r="T144" i="9"/>
  <c r="U144" i="9"/>
  <c r="V144" i="9"/>
  <c r="W144" i="9"/>
  <c r="Z144" i="9"/>
  <c r="AA144" i="9"/>
  <c r="AB144" i="9"/>
  <c r="AD144" i="9"/>
  <c r="AE144" i="9"/>
  <c r="AF144" i="9"/>
  <c r="AG144" i="9"/>
  <c r="AH144" i="9"/>
  <c r="AI144" i="9"/>
  <c r="AJ144" i="9"/>
  <c r="AK144" i="9"/>
  <c r="AL144" i="9"/>
  <c r="AM144" i="9"/>
  <c r="AN144" i="9"/>
  <c r="AO144" i="9"/>
  <c r="AP144" i="9"/>
  <c r="AQ144" i="9"/>
  <c r="AR144" i="9"/>
  <c r="AU144" i="9"/>
  <c r="AV144" i="9"/>
  <c r="AW144" i="9"/>
  <c r="AX144" i="9"/>
  <c r="BC144" i="9"/>
  <c r="BD144" i="9"/>
  <c r="BE144" i="9"/>
  <c r="BI144" i="9"/>
  <c r="BJ144" i="9"/>
  <c r="BK144" i="9"/>
  <c r="BL144" i="9"/>
  <c r="BM144" i="9"/>
  <c r="BN144" i="9"/>
  <c r="BQ144" i="9"/>
  <c r="BR144" i="9"/>
  <c r="BV144" i="9"/>
  <c r="AC145" i="9"/>
  <c r="M145" i="9"/>
  <c r="N145" i="9"/>
  <c r="O145" i="9"/>
  <c r="P145" i="9"/>
  <c r="Q145" i="9"/>
  <c r="R145" i="9"/>
  <c r="S145" i="9"/>
  <c r="T145" i="9"/>
  <c r="U145" i="9"/>
  <c r="V145" i="9"/>
  <c r="W145" i="9"/>
  <c r="Z145" i="9"/>
  <c r="AA145" i="9"/>
  <c r="AB145" i="9"/>
  <c r="AD145" i="9"/>
  <c r="AE145" i="9"/>
  <c r="AF145" i="9"/>
  <c r="AG145" i="9"/>
  <c r="AH145" i="9"/>
  <c r="AI145" i="9"/>
  <c r="AJ145" i="9"/>
  <c r="AK145" i="9"/>
  <c r="AL145" i="9"/>
  <c r="AM145" i="9"/>
  <c r="AN145" i="9"/>
  <c r="AO145" i="9"/>
  <c r="AP145" i="9"/>
  <c r="AQ145" i="9"/>
  <c r="AR145" i="9"/>
  <c r="AU145" i="9"/>
  <c r="AV145" i="9"/>
  <c r="AW145" i="9"/>
  <c r="AX145" i="9"/>
  <c r="BC145" i="9"/>
  <c r="BD145" i="9"/>
  <c r="BE145" i="9"/>
  <c r="BI145" i="9"/>
  <c r="BJ145" i="9"/>
  <c r="BK145" i="9"/>
  <c r="BL145" i="9"/>
  <c r="BM145" i="9"/>
  <c r="BN145" i="9"/>
  <c r="BQ145" i="9"/>
  <c r="BR145" i="9"/>
  <c r="BV145" i="9"/>
  <c r="AC146" i="9"/>
  <c r="M146" i="9"/>
  <c r="N146" i="9"/>
  <c r="O146" i="9"/>
  <c r="P146" i="9"/>
  <c r="Q146" i="9"/>
  <c r="R146" i="9"/>
  <c r="S146" i="9"/>
  <c r="T146" i="9"/>
  <c r="U146" i="9"/>
  <c r="V146" i="9"/>
  <c r="W146" i="9"/>
  <c r="Z146" i="9"/>
  <c r="AA146" i="9"/>
  <c r="AB146" i="9"/>
  <c r="AD146" i="9"/>
  <c r="AE146" i="9"/>
  <c r="AF146" i="9"/>
  <c r="AG146" i="9"/>
  <c r="AH146" i="9"/>
  <c r="AI146" i="9"/>
  <c r="AJ146" i="9"/>
  <c r="AK146" i="9"/>
  <c r="AL146" i="9"/>
  <c r="AM146" i="9"/>
  <c r="AN146" i="9"/>
  <c r="AO146" i="9"/>
  <c r="AP146" i="9"/>
  <c r="AQ146" i="9"/>
  <c r="AR146" i="9"/>
  <c r="AU146" i="9"/>
  <c r="AV146" i="9"/>
  <c r="AW146" i="9"/>
  <c r="AX146" i="9"/>
  <c r="BC146" i="9"/>
  <c r="BD146" i="9"/>
  <c r="BE146" i="9"/>
  <c r="BI146" i="9"/>
  <c r="BJ146" i="9"/>
  <c r="BK146" i="9"/>
  <c r="BL146" i="9"/>
  <c r="BM146" i="9"/>
  <c r="BN146" i="9"/>
  <c r="BQ146" i="9"/>
  <c r="BR146" i="9"/>
  <c r="BV146" i="9"/>
  <c r="AC147" i="9"/>
  <c r="M147" i="9"/>
  <c r="N147" i="9"/>
  <c r="O147" i="9"/>
  <c r="P147" i="9"/>
  <c r="Q147" i="9"/>
  <c r="R147" i="9"/>
  <c r="S147" i="9"/>
  <c r="T147" i="9"/>
  <c r="U147" i="9"/>
  <c r="V147" i="9"/>
  <c r="W147" i="9"/>
  <c r="Z147" i="9"/>
  <c r="AA147" i="9"/>
  <c r="AB147" i="9"/>
  <c r="AD147" i="9"/>
  <c r="AE147" i="9"/>
  <c r="AF147" i="9"/>
  <c r="AG147" i="9"/>
  <c r="AH147" i="9"/>
  <c r="AI147" i="9"/>
  <c r="AJ147" i="9"/>
  <c r="AK147" i="9"/>
  <c r="AL147" i="9"/>
  <c r="AM147" i="9"/>
  <c r="AN147" i="9"/>
  <c r="AO147" i="9"/>
  <c r="AP147" i="9"/>
  <c r="AQ147" i="9"/>
  <c r="AR147" i="9"/>
  <c r="AU147" i="9"/>
  <c r="AV147" i="9"/>
  <c r="AW147" i="9"/>
  <c r="AX147" i="9"/>
  <c r="BC147" i="9"/>
  <c r="BD147" i="9"/>
  <c r="BE147" i="9"/>
  <c r="BI147" i="9"/>
  <c r="BJ147" i="9"/>
  <c r="BK147" i="9"/>
  <c r="BL147" i="9"/>
  <c r="BM147" i="9"/>
  <c r="BN147" i="9"/>
  <c r="BQ147" i="9"/>
  <c r="BR147" i="9"/>
  <c r="BV147" i="9"/>
  <c r="EB147" i="9"/>
  <c r="AC148" i="9"/>
  <c r="M148" i="9"/>
  <c r="N148" i="9"/>
  <c r="O148" i="9"/>
  <c r="EB148" i="9" s="1"/>
  <c r="P148" i="9"/>
  <c r="Q148" i="9"/>
  <c r="R148" i="9"/>
  <c r="S148" i="9"/>
  <c r="T148" i="9"/>
  <c r="U148" i="9"/>
  <c r="V148" i="9"/>
  <c r="W148" i="9"/>
  <c r="Z148" i="9"/>
  <c r="AA148" i="9"/>
  <c r="AB148" i="9"/>
  <c r="AD148" i="9"/>
  <c r="AE148" i="9"/>
  <c r="AF148" i="9"/>
  <c r="AG148" i="9"/>
  <c r="AH148" i="9"/>
  <c r="AI148" i="9"/>
  <c r="AJ148" i="9"/>
  <c r="AK148" i="9"/>
  <c r="AL148" i="9"/>
  <c r="AM148" i="9"/>
  <c r="AN148" i="9"/>
  <c r="AO148" i="9"/>
  <c r="AP148" i="9"/>
  <c r="AQ148" i="9"/>
  <c r="AR148" i="9"/>
  <c r="AU148" i="9"/>
  <c r="AV148" i="9"/>
  <c r="AW148" i="9"/>
  <c r="AX148" i="9"/>
  <c r="BC148" i="9"/>
  <c r="BD148" i="9"/>
  <c r="BE148" i="9"/>
  <c r="BI148" i="9"/>
  <c r="BJ148" i="9"/>
  <c r="BK148" i="9"/>
  <c r="BL148" i="9"/>
  <c r="BM148" i="9"/>
  <c r="BN148" i="9"/>
  <c r="BQ148" i="9"/>
  <c r="BR148" i="9"/>
  <c r="BV148" i="9"/>
  <c r="AC149" i="9"/>
  <c r="M149" i="9"/>
  <c r="N149" i="9"/>
  <c r="O149" i="9"/>
  <c r="P149" i="9"/>
  <c r="Q149" i="9"/>
  <c r="R149" i="9"/>
  <c r="S149" i="9"/>
  <c r="T149" i="9"/>
  <c r="U149" i="9"/>
  <c r="V149" i="9"/>
  <c r="W149" i="9"/>
  <c r="Z149" i="9"/>
  <c r="AA149" i="9"/>
  <c r="AB149" i="9"/>
  <c r="AD149" i="9"/>
  <c r="AE149" i="9"/>
  <c r="AF149" i="9"/>
  <c r="AG149" i="9"/>
  <c r="AH149" i="9"/>
  <c r="AI149" i="9"/>
  <c r="AJ149" i="9"/>
  <c r="AK149" i="9"/>
  <c r="AL149" i="9"/>
  <c r="AM149" i="9"/>
  <c r="AN149" i="9"/>
  <c r="AO149" i="9"/>
  <c r="AP149" i="9"/>
  <c r="AQ149" i="9"/>
  <c r="AR149" i="9"/>
  <c r="AU149" i="9"/>
  <c r="AV149" i="9"/>
  <c r="AW149" i="9"/>
  <c r="AX149" i="9"/>
  <c r="BC149" i="9"/>
  <c r="BD149" i="9"/>
  <c r="BE149" i="9"/>
  <c r="BI149" i="9"/>
  <c r="BJ149" i="9"/>
  <c r="BK149" i="9"/>
  <c r="BL149" i="9"/>
  <c r="BM149" i="9"/>
  <c r="BN149" i="9"/>
  <c r="BQ149" i="9"/>
  <c r="BR149" i="9"/>
  <c r="BV149" i="9"/>
  <c r="AC150" i="9"/>
  <c r="M150" i="9"/>
  <c r="N150" i="9"/>
  <c r="O150" i="9"/>
  <c r="P150" i="9"/>
  <c r="Q150" i="9"/>
  <c r="R150" i="9"/>
  <c r="S150" i="9"/>
  <c r="T150" i="9"/>
  <c r="U150" i="9"/>
  <c r="V150" i="9"/>
  <c r="W150" i="9"/>
  <c r="Z150" i="9"/>
  <c r="AA150" i="9"/>
  <c r="AB150" i="9"/>
  <c r="AD150" i="9"/>
  <c r="AE150" i="9"/>
  <c r="AF150" i="9"/>
  <c r="AG150" i="9"/>
  <c r="AH150" i="9"/>
  <c r="AI150" i="9"/>
  <c r="AJ150" i="9"/>
  <c r="AK150" i="9"/>
  <c r="AL150" i="9"/>
  <c r="AM150" i="9"/>
  <c r="AN150" i="9"/>
  <c r="AO150" i="9"/>
  <c r="AP150" i="9"/>
  <c r="AQ150" i="9"/>
  <c r="AR150" i="9"/>
  <c r="AU150" i="9"/>
  <c r="AV150" i="9"/>
  <c r="AW150" i="9"/>
  <c r="AX150" i="9"/>
  <c r="BC150" i="9"/>
  <c r="BD150" i="9"/>
  <c r="BE150" i="9"/>
  <c r="BI150" i="9"/>
  <c r="BJ150" i="9"/>
  <c r="BK150" i="9"/>
  <c r="BL150" i="9"/>
  <c r="BM150" i="9"/>
  <c r="BN150" i="9"/>
  <c r="BQ150" i="9"/>
  <c r="BR150" i="9"/>
  <c r="BV150" i="9"/>
  <c r="AC151" i="9"/>
  <c r="M151" i="9"/>
  <c r="N151" i="9"/>
  <c r="O151" i="9"/>
  <c r="P151" i="9"/>
  <c r="Q151" i="9"/>
  <c r="R151" i="9"/>
  <c r="S151" i="9"/>
  <c r="T151" i="9"/>
  <c r="U151" i="9"/>
  <c r="V151" i="9"/>
  <c r="W151" i="9"/>
  <c r="Z151" i="9"/>
  <c r="AA151" i="9"/>
  <c r="AB151" i="9"/>
  <c r="AD151" i="9"/>
  <c r="AE151" i="9"/>
  <c r="AF151" i="9"/>
  <c r="AG151" i="9"/>
  <c r="AH151" i="9"/>
  <c r="AI151" i="9"/>
  <c r="AJ151" i="9"/>
  <c r="AK151" i="9"/>
  <c r="AL151" i="9"/>
  <c r="AM151" i="9"/>
  <c r="AN151" i="9"/>
  <c r="AO151" i="9"/>
  <c r="AP151" i="9"/>
  <c r="AQ151" i="9"/>
  <c r="AR151" i="9"/>
  <c r="AU151" i="9"/>
  <c r="AV151" i="9"/>
  <c r="AW151" i="9"/>
  <c r="AX151" i="9"/>
  <c r="BC151" i="9"/>
  <c r="BD151" i="9"/>
  <c r="BE151" i="9"/>
  <c r="BI151" i="9"/>
  <c r="BJ151" i="9"/>
  <c r="BK151" i="9"/>
  <c r="BL151" i="9"/>
  <c r="BM151" i="9"/>
  <c r="BN151" i="9"/>
  <c r="BQ151" i="9"/>
  <c r="BR151" i="9"/>
  <c r="BV151" i="9"/>
  <c r="EB151" i="9"/>
  <c r="AC152" i="9"/>
  <c r="M152" i="9"/>
  <c r="N152" i="9"/>
  <c r="O152" i="9"/>
  <c r="P152" i="9"/>
  <c r="Q152" i="9"/>
  <c r="R152" i="9"/>
  <c r="S152" i="9"/>
  <c r="T152" i="9"/>
  <c r="U152" i="9"/>
  <c r="V152" i="9"/>
  <c r="W152" i="9"/>
  <c r="Z152" i="9"/>
  <c r="AA152" i="9"/>
  <c r="AB152" i="9"/>
  <c r="AD152" i="9"/>
  <c r="AE152" i="9"/>
  <c r="AF152" i="9"/>
  <c r="AG152" i="9"/>
  <c r="AH152" i="9"/>
  <c r="AI152" i="9"/>
  <c r="AJ152" i="9"/>
  <c r="AK152" i="9"/>
  <c r="AL152" i="9"/>
  <c r="AM152" i="9"/>
  <c r="AN152" i="9"/>
  <c r="AO152" i="9"/>
  <c r="AP152" i="9"/>
  <c r="AQ152" i="9"/>
  <c r="AR152" i="9"/>
  <c r="AU152" i="9"/>
  <c r="AV152" i="9"/>
  <c r="AW152" i="9"/>
  <c r="AX152" i="9"/>
  <c r="BC152" i="9"/>
  <c r="BD152" i="9"/>
  <c r="BE152" i="9"/>
  <c r="BI152" i="9"/>
  <c r="BJ152" i="9"/>
  <c r="BK152" i="9"/>
  <c r="BL152" i="9"/>
  <c r="BM152" i="9"/>
  <c r="BN152" i="9"/>
  <c r="BQ152" i="9"/>
  <c r="BR152" i="9"/>
  <c r="BV152" i="9"/>
  <c r="AC153" i="9"/>
  <c r="M153" i="9"/>
  <c r="N153" i="9"/>
  <c r="O153" i="9"/>
  <c r="P153" i="9"/>
  <c r="Q153" i="9"/>
  <c r="R153" i="9"/>
  <c r="S153" i="9"/>
  <c r="T153" i="9"/>
  <c r="U153" i="9"/>
  <c r="V153" i="9"/>
  <c r="W153" i="9"/>
  <c r="Z153" i="9"/>
  <c r="AA153" i="9"/>
  <c r="AB153" i="9"/>
  <c r="AD153" i="9"/>
  <c r="AE153" i="9"/>
  <c r="AF153" i="9"/>
  <c r="AG153" i="9"/>
  <c r="AH153" i="9"/>
  <c r="AI153" i="9"/>
  <c r="AJ153" i="9"/>
  <c r="AK153" i="9"/>
  <c r="AL153" i="9"/>
  <c r="AM153" i="9"/>
  <c r="AN153" i="9"/>
  <c r="AO153" i="9"/>
  <c r="AP153" i="9"/>
  <c r="AQ153" i="9"/>
  <c r="AR153" i="9"/>
  <c r="AU153" i="9"/>
  <c r="AV153" i="9"/>
  <c r="AW153" i="9"/>
  <c r="AX153" i="9"/>
  <c r="BC153" i="9"/>
  <c r="BD153" i="9"/>
  <c r="BE153" i="9"/>
  <c r="BI153" i="9"/>
  <c r="BJ153" i="9"/>
  <c r="BK153" i="9"/>
  <c r="BL153" i="9"/>
  <c r="BM153" i="9"/>
  <c r="BN153" i="9"/>
  <c r="BQ153" i="9"/>
  <c r="BR153" i="9"/>
  <c r="BV153" i="9"/>
  <c r="AC154" i="9"/>
  <c r="M154" i="9"/>
  <c r="N154" i="9"/>
  <c r="O154" i="9"/>
  <c r="P154" i="9"/>
  <c r="Q154" i="9"/>
  <c r="R154" i="9"/>
  <c r="S154" i="9"/>
  <c r="T154" i="9"/>
  <c r="U154" i="9"/>
  <c r="V154" i="9"/>
  <c r="W154" i="9"/>
  <c r="Z154" i="9"/>
  <c r="AA154" i="9"/>
  <c r="AB154" i="9"/>
  <c r="AD154" i="9"/>
  <c r="AE154" i="9"/>
  <c r="AF154" i="9"/>
  <c r="AG154" i="9"/>
  <c r="AH154" i="9"/>
  <c r="AI154" i="9"/>
  <c r="AJ154" i="9"/>
  <c r="AK154" i="9"/>
  <c r="AL154" i="9"/>
  <c r="AM154" i="9"/>
  <c r="AN154" i="9"/>
  <c r="AO154" i="9"/>
  <c r="AP154" i="9"/>
  <c r="AQ154" i="9"/>
  <c r="AR154" i="9"/>
  <c r="AU154" i="9"/>
  <c r="AV154" i="9"/>
  <c r="AW154" i="9"/>
  <c r="AX154" i="9"/>
  <c r="BC154" i="9"/>
  <c r="BD154" i="9"/>
  <c r="BE154" i="9"/>
  <c r="BI154" i="9"/>
  <c r="BJ154" i="9"/>
  <c r="BK154" i="9"/>
  <c r="BL154" i="9"/>
  <c r="BM154" i="9"/>
  <c r="BN154" i="9"/>
  <c r="BQ154" i="9"/>
  <c r="BR154" i="9"/>
  <c r="BV154" i="9"/>
  <c r="AC155" i="9"/>
  <c r="M155" i="9"/>
  <c r="N155" i="9"/>
  <c r="O155" i="9"/>
  <c r="P155" i="9"/>
  <c r="Q155" i="9"/>
  <c r="R155" i="9"/>
  <c r="S155" i="9"/>
  <c r="T155" i="9"/>
  <c r="U155" i="9"/>
  <c r="V155" i="9"/>
  <c r="W155" i="9"/>
  <c r="Z155" i="9"/>
  <c r="AA155" i="9"/>
  <c r="AB155" i="9"/>
  <c r="AD155" i="9"/>
  <c r="AE155" i="9"/>
  <c r="AF155" i="9"/>
  <c r="AG155" i="9"/>
  <c r="AH155" i="9"/>
  <c r="AI155" i="9"/>
  <c r="AJ155" i="9"/>
  <c r="AK155" i="9"/>
  <c r="AL155" i="9"/>
  <c r="AM155" i="9"/>
  <c r="AN155" i="9"/>
  <c r="AO155" i="9"/>
  <c r="AP155" i="9"/>
  <c r="AQ155" i="9"/>
  <c r="AR155" i="9"/>
  <c r="AU155" i="9"/>
  <c r="AV155" i="9"/>
  <c r="AW155" i="9"/>
  <c r="AX155" i="9"/>
  <c r="BC155" i="9"/>
  <c r="BD155" i="9"/>
  <c r="BE155" i="9"/>
  <c r="BI155" i="9"/>
  <c r="BJ155" i="9"/>
  <c r="BK155" i="9"/>
  <c r="BL155" i="9"/>
  <c r="BM155" i="9"/>
  <c r="BN155" i="9"/>
  <c r="BQ155" i="9"/>
  <c r="BR155" i="9"/>
  <c r="BV155" i="9"/>
  <c r="EB155" i="9"/>
  <c r="AC156" i="9"/>
  <c r="M156" i="9"/>
  <c r="N156" i="9"/>
  <c r="O156" i="9"/>
  <c r="EB156" i="9" s="1"/>
  <c r="P156" i="9"/>
  <c r="Q156" i="9"/>
  <c r="R156" i="9"/>
  <c r="S156" i="9"/>
  <c r="T156" i="9"/>
  <c r="U156" i="9"/>
  <c r="V156" i="9"/>
  <c r="W156" i="9"/>
  <c r="Z156" i="9"/>
  <c r="AA156" i="9"/>
  <c r="AB156" i="9"/>
  <c r="AD156" i="9"/>
  <c r="AE156" i="9"/>
  <c r="AF156" i="9"/>
  <c r="AG156" i="9"/>
  <c r="AH156" i="9"/>
  <c r="AI156" i="9"/>
  <c r="AJ156" i="9"/>
  <c r="AK156" i="9"/>
  <c r="AL156" i="9"/>
  <c r="AM156" i="9"/>
  <c r="AN156" i="9"/>
  <c r="AO156" i="9"/>
  <c r="AP156" i="9"/>
  <c r="AQ156" i="9"/>
  <c r="AR156" i="9"/>
  <c r="AU156" i="9"/>
  <c r="AV156" i="9"/>
  <c r="AW156" i="9"/>
  <c r="AX156" i="9"/>
  <c r="BC156" i="9"/>
  <c r="BD156" i="9"/>
  <c r="BE156" i="9"/>
  <c r="BI156" i="9"/>
  <c r="BJ156" i="9"/>
  <c r="BK156" i="9"/>
  <c r="BL156" i="9"/>
  <c r="BM156" i="9"/>
  <c r="BN156" i="9"/>
  <c r="BQ156" i="9"/>
  <c r="BR156" i="9"/>
  <c r="BV156" i="9"/>
  <c r="AC157" i="9"/>
  <c r="M157" i="9"/>
  <c r="N157" i="9"/>
  <c r="O157" i="9"/>
  <c r="P157" i="9"/>
  <c r="Q157" i="9"/>
  <c r="R157" i="9"/>
  <c r="S157" i="9"/>
  <c r="T157" i="9"/>
  <c r="U157" i="9"/>
  <c r="V157" i="9"/>
  <c r="W157" i="9"/>
  <c r="Z157" i="9"/>
  <c r="AA157" i="9"/>
  <c r="AB157" i="9"/>
  <c r="AD157" i="9"/>
  <c r="AE157" i="9"/>
  <c r="AF157" i="9"/>
  <c r="AG157" i="9"/>
  <c r="AH157" i="9"/>
  <c r="AI157" i="9"/>
  <c r="AJ157" i="9"/>
  <c r="AK157" i="9"/>
  <c r="AL157" i="9"/>
  <c r="AM157" i="9"/>
  <c r="AN157" i="9"/>
  <c r="AO157" i="9"/>
  <c r="AP157" i="9"/>
  <c r="AQ157" i="9"/>
  <c r="AR157" i="9"/>
  <c r="AU157" i="9"/>
  <c r="AV157" i="9"/>
  <c r="AW157" i="9"/>
  <c r="AX157" i="9"/>
  <c r="BC157" i="9"/>
  <c r="BD157" i="9"/>
  <c r="BE157" i="9"/>
  <c r="BI157" i="9"/>
  <c r="BJ157" i="9"/>
  <c r="BK157" i="9"/>
  <c r="BL157" i="9"/>
  <c r="BM157" i="9"/>
  <c r="BN157" i="9"/>
  <c r="BQ157" i="9"/>
  <c r="BR157" i="9"/>
  <c r="BV157" i="9"/>
  <c r="AC158" i="9"/>
  <c r="M158" i="9"/>
  <c r="N158" i="9"/>
  <c r="O158" i="9"/>
  <c r="P158" i="9"/>
  <c r="Q158" i="9"/>
  <c r="R158" i="9"/>
  <c r="S158" i="9"/>
  <c r="T158" i="9"/>
  <c r="U158" i="9"/>
  <c r="V158" i="9"/>
  <c r="W158" i="9"/>
  <c r="Z158" i="9"/>
  <c r="AA158" i="9"/>
  <c r="AB158" i="9"/>
  <c r="AD158" i="9"/>
  <c r="AE158" i="9"/>
  <c r="AF158" i="9"/>
  <c r="AG158" i="9"/>
  <c r="AH158" i="9"/>
  <c r="AI158" i="9"/>
  <c r="AJ158" i="9"/>
  <c r="AK158" i="9"/>
  <c r="AL158" i="9"/>
  <c r="AM158" i="9"/>
  <c r="AN158" i="9"/>
  <c r="AO158" i="9"/>
  <c r="AP158" i="9"/>
  <c r="AQ158" i="9"/>
  <c r="AR158" i="9"/>
  <c r="AU158" i="9"/>
  <c r="AV158" i="9"/>
  <c r="AW158" i="9"/>
  <c r="AX158" i="9"/>
  <c r="BC158" i="9"/>
  <c r="BD158" i="9"/>
  <c r="BE158" i="9"/>
  <c r="BI158" i="9"/>
  <c r="BJ158" i="9"/>
  <c r="BK158" i="9"/>
  <c r="BL158" i="9"/>
  <c r="BM158" i="9"/>
  <c r="BN158" i="9"/>
  <c r="BQ158" i="9"/>
  <c r="BR158" i="9"/>
  <c r="BV158" i="9"/>
  <c r="AC159" i="9"/>
  <c r="M159" i="9"/>
  <c r="N159" i="9"/>
  <c r="O159" i="9"/>
  <c r="P159" i="9"/>
  <c r="Q159" i="9"/>
  <c r="R159" i="9"/>
  <c r="S159" i="9"/>
  <c r="T159" i="9"/>
  <c r="U159" i="9"/>
  <c r="V159" i="9"/>
  <c r="W159" i="9"/>
  <c r="Z159" i="9"/>
  <c r="AA159" i="9"/>
  <c r="AB159" i="9"/>
  <c r="AD159" i="9"/>
  <c r="AE159" i="9"/>
  <c r="AF159" i="9"/>
  <c r="AG159" i="9"/>
  <c r="AH159" i="9"/>
  <c r="AI159" i="9"/>
  <c r="AJ159" i="9"/>
  <c r="AK159" i="9"/>
  <c r="AL159" i="9"/>
  <c r="AM159" i="9"/>
  <c r="AN159" i="9"/>
  <c r="AO159" i="9"/>
  <c r="AP159" i="9"/>
  <c r="AQ159" i="9"/>
  <c r="AR159" i="9"/>
  <c r="AU159" i="9"/>
  <c r="AV159" i="9"/>
  <c r="AW159" i="9"/>
  <c r="AX159" i="9"/>
  <c r="BC159" i="9"/>
  <c r="BD159" i="9"/>
  <c r="BE159" i="9"/>
  <c r="BI159" i="9"/>
  <c r="BJ159" i="9"/>
  <c r="BK159" i="9"/>
  <c r="BL159" i="9"/>
  <c r="BM159" i="9"/>
  <c r="BN159" i="9"/>
  <c r="BQ159" i="9"/>
  <c r="BR159" i="9"/>
  <c r="BV159" i="9"/>
  <c r="EB159" i="9"/>
  <c r="AC160" i="9"/>
  <c r="M160" i="9"/>
  <c r="N160" i="9"/>
  <c r="O160" i="9"/>
  <c r="P160" i="9"/>
  <c r="Q160" i="9"/>
  <c r="R160" i="9"/>
  <c r="S160" i="9"/>
  <c r="T160" i="9"/>
  <c r="U160" i="9"/>
  <c r="V160" i="9"/>
  <c r="W160" i="9"/>
  <c r="Z160" i="9"/>
  <c r="AA160" i="9"/>
  <c r="AB160" i="9"/>
  <c r="AD160" i="9"/>
  <c r="AE160" i="9"/>
  <c r="AF160" i="9"/>
  <c r="AG160" i="9"/>
  <c r="AH160" i="9"/>
  <c r="AI160" i="9"/>
  <c r="AJ160" i="9"/>
  <c r="AK160" i="9"/>
  <c r="AL160" i="9"/>
  <c r="AM160" i="9"/>
  <c r="AN160" i="9"/>
  <c r="AO160" i="9"/>
  <c r="AP160" i="9"/>
  <c r="AQ160" i="9"/>
  <c r="AR160" i="9"/>
  <c r="AU160" i="9"/>
  <c r="AV160" i="9"/>
  <c r="AW160" i="9"/>
  <c r="AX160" i="9"/>
  <c r="BC160" i="9"/>
  <c r="BD160" i="9"/>
  <c r="BE160" i="9"/>
  <c r="BI160" i="9"/>
  <c r="BJ160" i="9"/>
  <c r="BK160" i="9"/>
  <c r="BL160" i="9"/>
  <c r="BM160" i="9"/>
  <c r="BN160" i="9"/>
  <c r="BQ160" i="9"/>
  <c r="BR160" i="9"/>
  <c r="BV160" i="9"/>
  <c r="AC161" i="9"/>
  <c r="M161" i="9"/>
  <c r="N161" i="9"/>
  <c r="O161" i="9"/>
  <c r="P161" i="9"/>
  <c r="Q161" i="9"/>
  <c r="R161" i="9"/>
  <c r="S161" i="9"/>
  <c r="T161" i="9"/>
  <c r="U161" i="9"/>
  <c r="V161" i="9"/>
  <c r="W161" i="9"/>
  <c r="Z161" i="9"/>
  <c r="AA161" i="9"/>
  <c r="AB161" i="9"/>
  <c r="AD161" i="9"/>
  <c r="AE161" i="9"/>
  <c r="AF161" i="9"/>
  <c r="AG161" i="9"/>
  <c r="AH161" i="9"/>
  <c r="AI161" i="9"/>
  <c r="AJ161" i="9"/>
  <c r="AK161" i="9"/>
  <c r="AL161" i="9"/>
  <c r="AM161" i="9"/>
  <c r="AN161" i="9"/>
  <c r="AO161" i="9"/>
  <c r="AP161" i="9"/>
  <c r="AQ161" i="9"/>
  <c r="AR161" i="9"/>
  <c r="AU161" i="9"/>
  <c r="AV161" i="9"/>
  <c r="AW161" i="9"/>
  <c r="AX161" i="9"/>
  <c r="BC161" i="9"/>
  <c r="BD161" i="9"/>
  <c r="BE161" i="9"/>
  <c r="BI161" i="9"/>
  <c r="BJ161" i="9"/>
  <c r="BK161" i="9"/>
  <c r="BL161" i="9"/>
  <c r="BM161" i="9"/>
  <c r="BN161" i="9"/>
  <c r="BQ161" i="9"/>
  <c r="BR161" i="9"/>
  <c r="BV161" i="9"/>
  <c r="AC162" i="9"/>
  <c r="M162" i="9"/>
  <c r="N162" i="9"/>
  <c r="O162" i="9"/>
  <c r="P162" i="9"/>
  <c r="Q162" i="9"/>
  <c r="R162" i="9"/>
  <c r="S162" i="9"/>
  <c r="T162" i="9"/>
  <c r="U162" i="9"/>
  <c r="V162" i="9"/>
  <c r="W162" i="9"/>
  <c r="Z162" i="9"/>
  <c r="AA162" i="9"/>
  <c r="AB162" i="9"/>
  <c r="AD162" i="9"/>
  <c r="AE162" i="9"/>
  <c r="AF162" i="9"/>
  <c r="AG162" i="9"/>
  <c r="AH162" i="9"/>
  <c r="AI162" i="9"/>
  <c r="AJ162" i="9"/>
  <c r="AK162" i="9"/>
  <c r="AL162" i="9"/>
  <c r="AM162" i="9"/>
  <c r="AN162" i="9"/>
  <c r="AO162" i="9"/>
  <c r="AP162" i="9"/>
  <c r="AQ162" i="9"/>
  <c r="AR162" i="9"/>
  <c r="AU162" i="9"/>
  <c r="AV162" i="9"/>
  <c r="AW162" i="9"/>
  <c r="AX162" i="9"/>
  <c r="BC162" i="9"/>
  <c r="BD162" i="9"/>
  <c r="BE162" i="9"/>
  <c r="BI162" i="9"/>
  <c r="BJ162" i="9"/>
  <c r="BK162" i="9"/>
  <c r="BL162" i="9"/>
  <c r="BM162" i="9"/>
  <c r="BN162" i="9"/>
  <c r="BQ162" i="9"/>
  <c r="BR162" i="9"/>
  <c r="BV162" i="9"/>
  <c r="AC163" i="9"/>
  <c r="M163" i="9"/>
  <c r="N163" i="9"/>
  <c r="O163" i="9"/>
  <c r="P163" i="9"/>
  <c r="Q163" i="9"/>
  <c r="R163" i="9"/>
  <c r="S163" i="9"/>
  <c r="T163" i="9"/>
  <c r="U163" i="9"/>
  <c r="V163" i="9"/>
  <c r="W163" i="9"/>
  <c r="Z163" i="9"/>
  <c r="AA163" i="9"/>
  <c r="AB163" i="9"/>
  <c r="AD163" i="9"/>
  <c r="AE163" i="9"/>
  <c r="AF163" i="9"/>
  <c r="AG163" i="9"/>
  <c r="AH163" i="9"/>
  <c r="AI163" i="9"/>
  <c r="AJ163" i="9"/>
  <c r="AK163" i="9"/>
  <c r="AL163" i="9"/>
  <c r="AM163" i="9"/>
  <c r="AN163" i="9"/>
  <c r="AO163" i="9"/>
  <c r="AP163" i="9"/>
  <c r="AQ163" i="9"/>
  <c r="AR163" i="9"/>
  <c r="AU163" i="9"/>
  <c r="AV163" i="9"/>
  <c r="AW163" i="9"/>
  <c r="AX163" i="9"/>
  <c r="BC163" i="9"/>
  <c r="BD163" i="9"/>
  <c r="BE163" i="9"/>
  <c r="BI163" i="9"/>
  <c r="BJ163" i="9"/>
  <c r="BK163" i="9"/>
  <c r="BL163" i="9"/>
  <c r="BM163" i="9"/>
  <c r="BN163" i="9"/>
  <c r="BQ163" i="9"/>
  <c r="BR163" i="9"/>
  <c r="BV163" i="9"/>
  <c r="EB163" i="9"/>
  <c r="AC164" i="9"/>
  <c r="M164" i="9"/>
  <c r="N164" i="9"/>
  <c r="O164" i="9"/>
  <c r="EB164" i="9" s="1"/>
  <c r="P164" i="9"/>
  <c r="Q164" i="9"/>
  <c r="R164" i="9"/>
  <c r="S164" i="9"/>
  <c r="T164" i="9"/>
  <c r="U164" i="9"/>
  <c r="V164" i="9"/>
  <c r="W164" i="9"/>
  <c r="Z164" i="9"/>
  <c r="AA164" i="9"/>
  <c r="AB164" i="9"/>
  <c r="AD164" i="9"/>
  <c r="AE164" i="9"/>
  <c r="AF164" i="9"/>
  <c r="AG164" i="9"/>
  <c r="AH164" i="9"/>
  <c r="AI164" i="9"/>
  <c r="AJ164" i="9"/>
  <c r="AK164" i="9"/>
  <c r="AL164" i="9"/>
  <c r="AM164" i="9"/>
  <c r="AN164" i="9"/>
  <c r="AO164" i="9"/>
  <c r="AP164" i="9"/>
  <c r="AQ164" i="9"/>
  <c r="AR164" i="9"/>
  <c r="AU164" i="9"/>
  <c r="AV164" i="9"/>
  <c r="AW164" i="9"/>
  <c r="AX164" i="9"/>
  <c r="BC164" i="9"/>
  <c r="BD164" i="9"/>
  <c r="BE164" i="9"/>
  <c r="BI164" i="9"/>
  <c r="BJ164" i="9"/>
  <c r="BK164" i="9"/>
  <c r="BL164" i="9"/>
  <c r="BM164" i="9"/>
  <c r="BN164" i="9"/>
  <c r="BQ164" i="9"/>
  <c r="BR164" i="9"/>
  <c r="BV164" i="9"/>
  <c r="AC165" i="9"/>
  <c r="M165" i="9"/>
  <c r="N165" i="9"/>
  <c r="O165" i="9"/>
  <c r="P165" i="9"/>
  <c r="Q165" i="9"/>
  <c r="R165" i="9"/>
  <c r="S165" i="9"/>
  <c r="T165" i="9"/>
  <c r="U165" i="9"/>
  <c r="V165" i="9"/>
  <c r="W165" i="9"/>
  <c r="Z165" i="9"/>
  <c r="AA165" i="9"/>
  <c r="AB165" i="9"/>
  <c r="AD165" i="9"/>
  <c r="AE165" i="9"/>
  <c r="AF165" i="9"/>
  <c r="AG165" i="9"/>
  <c r="AH165" i="9"/>
  <c r="AI165" i="9"/>
  <c r="AJ165" i="9"/>
  <c r="AK165" i="9"/>
  <c r="AL165" i="9"/>
  <c r="AM165" i="9"/>
  <c r="AN165" i="9"/>
  <c r="AO165" i="9"/>
  <c r="AP165" i="9"/>
  <c r="AQ165" i="9"/>
  <c r="AR165" i="9"/>
  <c r="AU165" i="9"/>
  <c r="AV165" i="9"/>
  <c r="AW165" i="9"/>
  <c r="AX165" i="9"/>
  <c r="BC165" i="9"/>
  <c r="BD165" i="9"/>
  <c r="BE165" i="9"/>
  <c r="BI165" i="9"/>
  <c r="BJ165" i="9"/>
  <c r="BK165" i="9"/>
  <c r="BL165" i="9"/>
  <c r="BM165" i="9"/>
  <c r="BN165" i="9"/>
  <c r="BQ165" i="9"/>
  <c r="BR165" i="9"/>
  <c r="BV165" i="9"/>
  <c r="AC166" i="9"/>
  <c r="M166" i="9"/>
  <c r="N166" i="9"/>
  <c r="O166" i="9"/>
  <c r="P166" i="9"/>
  <c r="Q166" i="9"/>
  <c r="R166" i="9"/>
  <c r="S166" i="9"/>
  <c r="T166" i="9"/>
  <c r="U166" i="9"/>
  <c r="V166" i="9"/>
  <c r="W166" i="9"/>
  <c r="Z166" i="9"/>
  <c r="AA166" i="9"/>
  <c r="AB166" i="9"/>
  <c r="AD166" i="9"/>
  <c r="AE166" i="9"/>
  <c r="AF166" i="9"/>
  <c r="AG166" i="9"/>
  <c r="AH166" i="9"/>
  <c r="AI166" i="9"/>
  <c r="AJ166" i="9"/>
  <c r="AK166" i="9"/>
  <c r="AL166" i="9"/>
  <c r="AM166" i="9"/>
  <c r="AN166" i="9"/>
  <c r="AO166" i="9"/>
  <c r="AP166" i="9"/>
  <c r="AQ166" i="9"/>
  <c r="AR166" i="9"/>
  <c r="AU166" i="9"/>
  <c r="AV166" i="9"/>
  <c r="AW166" i="9"/>
  <c r="AX166" i="9"/>
  <c r="BC166" i="9"/>
  <c r="BD166" i="9"/>
  <c r="BE166" i="9"/>
  <c r="BI166" i="9"/>
  <c r="BJ166" i="9"/>
  <c r="BK166" i="9"/>
  <c r="BL166" i="9"/>
  <c r="BM166" i="9"/>
  <c r="BN166" i="9"/>
  <c r="BQ166" i="9"/>
  <c r="BR166" i="9"/>
  <c r="BV166" i="9"/>
  <c r="AC167" i="9"/>
  <c r="M167" i="9"/>
  <c r="N167" i="9"/>
  <c r="O167" i="9"/>
  <c r="P167" i="9"/>
  <c r="Q167" i="9"/>
  <c r="R167" i="9"/>
  <c r="S167" i="9"/>
  <c r="T167" i="9"/>
  <c r="U167" i="9"/>
  <c r="V167" i="9"/>
  <c r="W167" i="9"/>
  <c r="Z167" i="9"/>
  <c r="AA167" i="9"/>
  <c r="AB167" i="9"/>
  <c r="AD167" i="9"/>
  <c r="AE167" i="9"/>
  <c r="AF167" i="9"/>
  <c r="AG167" i="9"/>
  <c r="AH167" i="9"/>
  <c r="AI167" i="9"/>
  <c r="AJ167" i="9"/>
  <c r="AK167" i="9"/>
  <c r="AL167" i="9"/>
  <c r="AM167" i="9"/>
  <c r="AN167" i="9"/>
  <c r="AO167" i="9"/>
  <c r="AP167" i="9"/>
  <c r="AQ167" i="9"/>
  <c r="AR167" i="9"/>
  <c r="AU167" i="9"/>
  <c r="AV167" i="9"/>
  <c r="AW167" i="9"/>
  <c r="AX167" i="9"/>
  <c r="BC167" i="9"/>
  <c r="BD167" i="9"/>
  <c r="BE167" i="9"/>
  <c r="BI167" i="9"/>
  <c r="BJ167" i="9"/>
  <c r="BK167" i="9"/>
  <c r="BL167" i="9"/>
  <c r="BM167" i="9"/>
  <c r="BN167" i="9"/>
  <c r="BQ167" i="9"/>
  <c r="BR167" i="9"/>
  <c r="BV167" i="9"/>
  <c r="EB167" i="9"/>
  <c r="AC168" i="9"/>
  <c r="M168" i="9"/>
  <c r="N168" i="9"/>
  <c r="O168" i="9"/>
  <c r="P168" i="9"/>
  <c r="Q168" i="9"/>
  <c r="R168" i="9"/>
  <c r="S168" i="9"/>
  <c r="T168" i="9"/>
  <c r="U168" i="9"/>
  <c r="V168" i="9"/>
  <c r="W168" i="9"/>
  <c r="Z168" i="9"/>
  <c r="AA168" i="9"/>
  <c r="AB168" i="9"/>
  <c r="AD168" i="9"/>
  <c r="AE168" i="9"/>
  <c r="AF168" i="9"/>
  <c r="AG168" i="9"/>
  <c r="AH168" i="9"/>
  <c r="AI168" i="9"/>
  <c r="AJ168" i="9"/>
  <c r="AK168" i="9"/>
  <c r="AL168" i="9"/>
  <c r="AM168" i="9"/>
  <c r="AN168" i="9"/>
  <c r="AO168" i="9"/>
  <c r="AP168" i="9"/>
  <c r="AQ168" i="9"/>
  <c r="AR168" i="9"/>
  <c r="AU168" i="9"/>
  <c r="AV168" i="9"/>
  <c r="AW168" i="9"/>
  <c r="AX168" i="9"/>
  <c r="BC168" i="9"/>
  <c r="BD168" i="9"/>
  <c r="BE168" i="9"/>
  <c r="BI168" i="9"/>
  <c r="BJ168" i="9"/>
  <c r="BK168" i="9"/>
  <c r="BL168" i="9"/>
  <c r="BM168" i="9"/>
  <c r="BN168" i="9"/>
  <c r="BQ168" i="9"/>
  <c r="BR168" i="9"/>
  <c r="BV168" i="9"/>
  <c r="AC169" i="9"/>
  <c r="M169" i="9"/>
  <c r="N169" i="9"/>
  <c r="O169" i="9"/>
  <c r="P169" i="9"/>
  <c r="Q169" i="9"/>
  <c r="R169" i="9"/>
  <c r="S169" i="9"/>
  <c r="T169" i="9"/>
  <c r="U169" i="9"/>
  <c r="V169" i="9"/>
  <c r="W169" i="9"/>
  <c r="Z169" i="9"/>
  <c r="AA169" i="9"/>
  <c r="AB169" i="9"/>
  <c r="AD169" i="9"/>
  <c r="AE169" i="9"/>
  <c r="AF169" i="9"/>
  <c r="AG169" i="9"/>
  <c r="AH169" i="9"/>
  <c r="AI169" i="9"/>
  <c r="AJ169" i="9"/>
  <c r="AK169" i="9"/>
  <c r="AL169" i="9"/>
  <c r="AM169" i="9"/>
  <c r="AN169" i="9"/>
  <c r="AO169" i="9"/>
  <c r="AP169" i="9"/>
  <c r="AQ169" i="9"/>
  <c r="AR169" i="9"/>
  <c r="AU169" i="9"/>
  <c r="AV169" i="9"/>
  <c r="AW169" i="9"/>
  <c r="AX169" i="9"/>
  <c r="BC169" i="9"/>
  <c r="BD169" i="9"/>
  <c r="BE169" i="9"/>
  <c r="BI169" i="9"/>
  <c r="BJ169" i="9"/>
  <c r="BK169" i="9"/>
  <c r="BL169" i="9"/>
  <c r="BM169" i="9"/>
  <c r="BN169" i="9"/>
  <c r="BQ169" i="9"/>
  <c r="BR169" i="9"/>
  <c r="BV169" i="9"/>
  <c r="AC170" i="9"/>
  <c r="M170" i="9"/>
  <c r="N170" i="9"/>
  <c r="O170" i="9"/>
  <c r="P170" i="9"/>
  <c r="Q170" i="9"/>
  <c r="R170" i="9"/>
  <c r="S170" i="9"/>
  <c r="T170" i="9"/>
  <c r="U170" i="9"/>
  <c r="V170" i="9"/>
  <c r="W170" i="9"/>
  <c r="Z170" i="9"/>
  <c r="AA170" i="9"/>
  <c r="AB170" i="9"/>
  <c r="AD170" i="9"/>
  <c r="AE170" i="9"/>
  <c r="AF170" i="9"/>
  <c r="AG170" i="9"/>
  <c r="AH170" i="9"/>
  <c r="AI170" i="9"/>
  <c r="AJ170" i="9"/>
  <c r="AK170" i="9"/>
  <c r="AL170" i="9"/>
  <c r="AM170" i="9"/>
  <c r="AN170" i="9"/>
  <c r="AO170" i="9"/>
  <c r="AP170" i="9"/>
  <c r="AQ170" i="9"/>
  <c r="AR170" i="9"/>
  <c r="AU170" i="9"/>
  <c r="AV170" i="9"/>
  <c r="AW170" i="9"/>
  <c r="AX170" i="9"/>
  <c r="BC170" i="9"/>
  <c r="BD170" i="9"/>
  <c r="BE170" i="9"/>
  <c r="BI170" i="9"/>
  <c r="BJ170" i="9"/>
  <c r="BK170" i="9"/>
  <c r="BL170" i="9"/>
  <c r="BM170" i="9"/>
  <c r="BN170" i="9"/>
  <c r="BQ170" i="9"/>
  <c r="BR170" i="9"/>
  <c r="BV170" i="9"/>
  <c r="AC171" i="9"/>
  <c r="M171" i="9"/>
  <c r="N171" i="9"/>
  <c r="O171" i="9"/>
  <c r="P171" i="9"/>
  <c r="Q171" i="9"/>
  <c r="R171" i="9"/>
  <c r="S171" i="9"/>
  <c r="T171" i="9"/>
  <c r="U171" i="9"/>
  <c r="V171" i="9"/>
  <c r="W171" i="9"/>
  <c r="Z171" i="9"/>
  <c r="AA171" i="9"/>
  <c r="AB171" i="9"/>
  <c r="AD171" i="9"/>
  <c r="AE171" i="9"/>
  <c r="AF171" i="9"/>
  <c r="AG171" i="9"/>
  <c r="AH171" i="9"/>
  <c r="AI171" i="9"/>
  <c r="AJ171" i="9"/>
  <c r="AK171" i="9"/>
  <c r="AL171" i="9"/>
  <c r="AM171" i="9"/>
  <c r="AN171" i="9"/>
  <c r="AO171" i="9"/>
  <c r="AP171" i="9"/>
  <c r="AQ171" i="9"/>
  <c r="AR171" i="9"/>
  <c r="AU171" i="9"/>
  <c r="AV171" i="9"/>
  <c r="AW171" i="9"/>
  <c r="AX171" i="9"/>
  <c r="BC171" i="9"/>
  <c r="BD171" i="9"/>
  <c r="BE171" i="9"/>
  <c r="BI171" i="9"/>
  <c r="BJ171" i="9"/>
  <c r="BK171" i="9"/>
  <c r="BL171" i="9"/>
  <c r="BM171" i="9"/>
  <c r="BN171" i="9"/>
  <c r="BQ171" i="9"/>
  <c r="BR171" i="9"/>
  <c r="BV171" i="9"/>
  <c r="EB171" i="9"/>
  <c r="AC172" i="9"/>
  <c r="M172" i="9"/>
  <c r="N172" i="9"/>
  <c r="O172" i="9"/>
  <c r="EB172" i="9" s="1"/>
  <c r="P172" i="9"/>
  <c r="Q172" i="9"/>
  <c r="R172" i="9"/>
  <c r="S172" i="9"/>
  <c r="T172" i="9"/>
  <c r="U172" i="9"/>
  <c r="V172" i="9"/>
  <c r="W172" i="9"/>
  <c r="Z172" i="9"/>
  <c r="AA172" i="9"/>
  <c r="AB172" i="9"/>
  <c r="AD172" i="9"/>
  <c r="AE172" i="9"/>
  <c r="AF172" i="9"/>
  <c r="AG172" i="9"/>
  <c r="AH172" i="9"/>
  <c r="AI172" i="9"/>
  <c r="AJ172" i="9"/>
  <c r="AK172" i="9"/>
  <c r="AL172" i="9"/>
  <c r="AM172" i="9"/>
  <c r="AN172" i="9"/>
  <c r="AO172" i="9"/>
  <c r="AP172" i="9"/>
  <c r="AQ172" i="9"/>
  <c r="AR172" i="9"/>
  <c r="AU172" i="9"/>
  <c r="AV172" i="9"/>
  <c r="AW172" i="9"/>
  <c r="AX172" i="9"/>
  <c r="BC172" i="9"/>
  <c r="BD172" i="9"/>
  <c r="BE172" i="9"/>
  <c r="BI172" i="9"/>
  <c r="BJ172" i="9"/>
  <c r="BK172" i="9"/>
  <c r="BL172" i="9"/>
  <c r="BM172" i="9"/>
  <c r="BN172" i="9"/>
  <c r="BQ172" i="9"/>
  <c r="BR172" i="9"/>
  <c r="BV172" i="9"/>
  <c r="AC173" i="9"/>
  <c r="M173" i="9"/>
  <c r="N173" i="9"/>
  <c r="O173" i="9"/>
  <c r="P173" i="9"/>
  <c r="Q173" i="9"/>
  <c r="R173" i="9"/>
  <c r="S173" i="9"/>
  <c r="T173" i="9"/>
  <c r="U173" i="9"/>
  <c r="V173" i="9"/>
  <c r="W173" i="9"/>
  <c r="Z173" i="9"/>
  <c r="AA173" i="9"/>
  <c r="AB173" i="9"/>
  <c r="AD173" i="9"/>
  <c r="AE173" i="9"/>
  <c r="AF173" i="9"/>
  <c r="AG173" i="9"/>
  <c r="AH173" i="9"/>
  <c r="AI173" i="9"/>
  <c r="AJ173" i="9"/>
  <c r="AK173" i="9"/>
  <c r="AL173" i="9"/>
  <c r="AM173" i="9"/>
  <c r="AN173" i="9"/>
  <c r="AO173" i="9"/>
  <c r="AP173" i="9"/>
  <c r="AQ173" i="9"/>
  <c r="AR173" i="9"/>
  <c r="AU173" i="9"/>
  <c r="AV173" i="9"/>
  <c r="AW173" i="9"/>
  <c r="AX173" i="9"/>
  <c r="BC173" i="9"/>
  <c r="BD173" i="9"/>
  <c r="BE173" i="9"/>
  <c r="BI173" i="9"/>
  <c r="BJ173" i="9"/>
  <c r="BK173" i="9"/>
  <c r="BL173" i="9"/>
  <c r="BM173" i="9"/>
  <c r="BN173" i="9"/>
  <c r="BQ173" i="9"/>
  <c r="BR173" i="9"/>
  <c r="BV173" i="9"/>
  <c r="AC174" i="9"/>
  <c r="M174" i="9"/>
  <c r="N174" i="9"/>
  <c r="O174" i="9"/>
  <c r="P174" i="9"/>
  <c r="Q174" i="9"/>
  <c r="R174" i="9"/>
  <c r="S174" i="9"/>
  <c r="T174" i="9"/>
  <c r="U174" i="9"/>
  <c r="V174" i="9"/>
  <c r="W174" i="9"/>
  <c r="Z174" i="9"/>
  <c r="AA174" i="9"/>
  <c r="AB174" i="9"/>
  <c r="AD174" i="9"/>
  <c r="AE174" i="9"/>
  <c r="AF174" i="9"/>
  <c r="AG174" i="9"/>
  <c r="AH174" i="9"/>
  <c r="AI174" i="9"/>
  <c r="AJ174" i="9"/>
  <c r="AK174" i="9"/>
  <c r="AL174" i="9"/>
  <c r="AM174" i="9"/>
  <c r="AN174" i="9"/>
  <c r="AO174" i="9"/>
  <c r="AP174" i="9"/>
  <c r="AQ174" i="9"/>
  <c r="AR174" i="9"/>
  <c r="AU174" i="9"/>
  <c r="AV174" i="9"/>
  <c r="AW174" i="9"/>
  <c r="AX174" i="9"/>
  <c r="BC174" i="9"/>
  <c r="BD174" i="9"/>
  <c r="BE174" i="9"/>
  <c r="BI174" i="9"/>
  <c r="BJ174" i="9"/>
  <c r="BK174" i="9"/>
  <c r="BL174" i="9"/>
  <c r="BM174" i="9"/>
  <c r="BN174" i="9"/>
  <c r="BQ174" i="9"/>
  <c r="BR174" i="9"/>
  <c r="BV174" i="9"/>
  <c r="AC175" i="9"/>
  <c r="M175" i="9"/>
  <c r="N175" i="9"/>
  <c r="O175" i="9"/>
  <c r="P175" i="9"/>
  <c r="Q175" i="9"/>
  <c r="R175" i="9"/>
  <c r="S175" i="9"/>
  <c r="T175" i="9"/>
  <c r="U175" i="9"/>
  <c r="V175" i="9"/>
  <c r="W175" i="9"/>
  <c r="Z175" i="9"/>
  <c r="AA175" i="9"/>
  <c r="AB175" i="9"/>
  <c r="AD175" i="9"/>
  <c r="AE175" i="9"/>
  <c r="AF175" i="9"/>
  <c r="AG175" i="9"/>
  <c r="AH175" i="9"/>
  <c r="AI175" i="9"/>
  <c r="AJ175" i="9"/>
  <c r="AK175" i="9"/>
  <c r="AL175" i="9"/>
  <c r="AM175" i="9"/>
  <c r="AN175" i="9"/>
  <c r="AO175" i="9"/>
  <c r="AP175" i="9"/>
  <c r="AQ175" i="9"/>
  <c r="AR175" i="9"/>
  <c r="AU175" i="9"/>
  <c r="AV175" i="9"/>
  <c r="AW175" i="9"/>
  <c r="AX175" i="9"/>
  <c r="BC175" i="9"/>
  <c r="BD175" i="9"/>
  <c r="BE175" i="9"/>
  <c r="BI175" i="9"/>
  <c r="BJ175" i="9"/>
  <c r="BK175" i="9"/>
  <c r="BL175" i="9"/>
  <c r="BM175" i="9"/>
  <c r="BN175" i="9"/>
  <c r="BQ175" i="9"/>
  <c r="BR175" i="9"/>
  <c r="BV175" i="9"/>
  <c r="EB175" i="9"/>
  <c r="AC176" i="9"/>
  <c r="M176" i="9"/>
  <c r="N176" i="9"/>
  <c r="O176" i="9"/>
  <c r="P176" i="9"/>
  <c r="Q176" i="9"/>
  <c r="R176" i="9"/>
  <c r="S176" i="9"/>
  <c r="T176" i="9"/>
  <c r="U176" i="9"/>
  <c r="V176" i="9"/>
  <c r="W176" i="9"/>
  <c r="Z176" i="9"/>
  <c r="AA176" i="9"/>
  <c r="AB176" i="9"/>
  <c r="AD176" i="9"/>
  <c r="AE176" i="9"/>
  <c r="AF176" i="9"/>
  <c r="AG176" i="9"/>
  <c r="AH176" i="9"/>
  <c r="AI176" i="9"/>
  <c r="AJ176" i="9"/>
  <c r="AK176" i="9"/>
  <c r="AL176" i="9"/>
  <c r="AM176" i="9"/>
  <c r="AN176" i="9"/>
  <c r="AO176" i="9"/>
  <c r="AP176" i="9"/>
  <c r="AQ176" i="9"/>
  <c r="AR176" i="9"/>
  <c r="AU176" i="9"/>
  <c r="AV176" i="9"/>
  <c r="AW176" i="9"/>
  <c r="AX176" i="9"/>
  <c r="BC176" i="9"/>
  <c r="BD176" i="9"/>
  <c r="BE176" i="9"/>
  <c r="BI176" i="9"/>
  <c r="BJ176" i="9"/>
  <c r="BK176" i="9"/>
  <c r="BL176" i="9"/>
  <c r="BM176" i="9"/>
  <c r="BN176" i="9"/>
  <c r="BQ176" i="9"/>
  <c r="BR176" i="9"/>
  <c r="BV176" i="9"/>
  <c r="AC177" i="9"/>
  <c r="M177" i="9"/>
  <c r="N177" i="9"/>
  <c r="O177" i="9"/>
  <c r="P177" i="9"/>
  <c r="Q177" i="9"/>
  <c r="R177" i="9"/>
  <c r="S177" i="9"/>
  <c r="T177" i="9"/>
  <c r="U177" i="9"/>
  <c r="V177" i="9"/>
  <c r="W177" i="9"/>
  <c r="Z177" i="9"/>
  <c r="AA177" i="9"/>
  <c r="AB177" i="9"/>
  <c r="AD177" i="9"/>
  <c r="AE177" i="9"/>
  <c r="AF177" i="9"/>
  <c r="AG177" i="9"/>
  <c r="AH177" i="9"/>
  <c r="AI177" i="9"/>
  <c r="AJ177" i="9"/>
  <c r="AK177" i="9"/>
  <c r="AL177" i="9"/>
  <c r="AM177" i="9"/>
  <c r="AN177" i="9"/>
  <c r="AO177" i="9"/>
  <c r="AP177" i="9"/>
  <c r="AQ177" i="9"/>
  <c r="AR177" i="9"/>
  <c r="AU177" i="9"/>
  <c r="AV177" i="9"/>
  <c r="AW177" i="9"/>
  <c r="AX177" i="9"/>
  <c r="BC177" i="9"/>
  <c r="BD177" i="9"/>
  <c r="BE177" i="9"/>
  <c r="BI177" i="9"/>
  <c r="BJ177" i="9"/>
  <c r="BK177" i="9"/>
  <c r="BL177" i="9"/>
  <c r="BM177" i="9"/>
  <c r="BN177" i="9"/>
  <c r="BQ177" i="9"/>
  <c r="BR177" i="9"/>
  <c r="BV177" i="9"/>
  <c r="AC178" i="9"/>
  <c r="M178" i="9"/>
  <c r="N178" i="9"/>
  <c r="O178" i="9"/>
  <c r="P178" i="9"/>
  <c r="Q178" i="9"/>
  <c r="R178" i="9"/>
  <c r="S178" i="9"/>
  <c r="T178" i="9"/>
  <c r="U178" i="9"/>
  <c r="V178" i="9"/>
  <c r="W178" i="9"/>
  <c r="Z178" i="9"/>
  <c r="AA178" i="9"/>
  <c r="AB178" i="9"/>
  <c r="AD178" i="9"/>
  <c r="AE178" i="9"/>
  <c r="AF178" i="9"/>
  <c r="AG178" i="9"/>
  <c r="AH178" i="9"/>
  <c r="AI178" i="9"/>
  <c r="AJ178" i="9"/>
  <c r="AK178" i="9"/>
  <c r="AL178" i="9"/>
  <c r="AM178" i="9"/>
  <c r="AN178" i="9"/>
  <c r="AO178" i="9"/>
  <c r="AP178" i="9"/>
  <c r="AQ178" i="9"/>
  <c r="AR178" i="9"/>
  <c r="AU178" i="9"/>
  <c r="AV178" i="9"/>
  <c r="AW178" i="9"/>
  <c r="AX178" i="9"/>
  <c r="BC178" i="9"/>
  <c r="BD178" i="9"/>
  <c r="BE178" i="9"/>
  <c r="BI178" i="9"/>
  <c r="BJ178" i="9"/>
  <c r="BK178" i="9"/>
  <c r="BL178" i="9"/>
  <c r="BM178" i="9"/>
  <c r="BN178" i="9"/>
  <c r="BQ178" i="9"/>
  <c r="BR178" i="9"/>
  <c r="BV178" i="9"/>
  <c r="AC179" i="9"/>
  <c r="M179" i="9"/>
  <c r="N179" i="9"/>
  <c r="O179" i="9"/>
  <c r="P179" i="9"/>
  <c r="Q179" i="9"/>
  <c r="R179" i="9"/>
  <c r="S179" i="9"/>
  <c r="T179" i="9"/>
  <c r="U179" i="9"/>
  <c r="V179" i="9"/>
  <c r="W179" i="9"/>
  <c r="Z179" i="9"/>
  <c r="AA179" i="9"/>
  <c r="AB179" i="9"/>
  <c r="AD179" i="9"/>
  <c r="AE179" i="9"/>
  <c r="AF179" i="9"/>
  <c r="AG179" i="9"/>
  <c r="AH179" i="9"/>
  <c r="AI179" i="9"/>
  <c r="AJ179" i="9"/>
  <c r="AK179" i="9"/>
  <c r="AL179" i="9"/>
  <c r="AM179" i="9"/>
  <c r="AN179" i="9"/>
  <c r="AO179" i="9"/>
  <c r="AP179" i="9"/>
  <c r="AQ179" i="9"/>
  <c r="AR179" i="9"/>
  <c r="AU179" i="9"/>
  <c r="AV179" i="9"/>
  <c r="AW179" i="9"/>
  <c r="AX179" i="9"/>
  <c r="BC179" i="9"/>
  <c r="BD179" i="9"/>
  <c r="BE179" i="9"/>
  <c r="BI179" i="9"/>
  <c r="BJ179" i="9"/>
  <c r="BK179" i="9"/>
  <c r="BL179" i="9"/>
  <c r="BM179" i="9"/>
  <c r="BN179" i="9"/>
  <c r="BQ179" i="9"/>
  <c r="BR179" i="9"/>
  <c r="BV179" i="9"/>
  <c r="EB179" i="9"/>
  <c r="AC180" i="9"/>
  <c r="M180" i="9"/>
  <c r="N180" i="9"/>
  <c r="O180" i="9"/>
  <c r="EB180" i="9" s="1"/>
  <c r="P180" i="9"/>
  <c r="Q180" i="9"/>
  <c r="R180" i="9"/>
  <c r="S180" i="9"/>
  <c r="T180" i="9"/>
  <c r="U180" i="9"/>
  <c r="V180" i="9"/>
  <c r="W180" i="9"/>
  <c r="Z180" i="9"/>
  <c r="AA180" i="9"/>
  <c r="AB180" i="9"/>
  <c r="AD180" i="9"/>
  <c r="AE180" i="9"/>
  <c r="AF180" i="9"/>
  <c r="AG180" i="9"/>
  <c r="AH180" i="9"/>
  <c r="AI180" i="9"/>
  <c r="AJ180" i="9"/>
  <c r="AK180" i="9"/>
  <c r="AL180" i="9"/>
  <c r="AM180" i="9"/>
  <c r="AN180" i="9"/>
  <c r="AO180" i="9"/>
  <c r="AP180" i="9"/>
  <c r="AQ180" i="9"/>
  <c r="AR180" i="9"/>
  <c r="AU180" i="9"/>
  <c r="AV180" i="9"/>
  <c r="AW180" i="9"/>
  <c r="AX180" i="9"/>
  <c r="BC180" i="9"/>
  <c r="BD180" i="9"/>
  <c r="BE180" i="9"/>
  <c r="BI180" i="9"/>
  <c r="BJ180" i="9"/>
  <c r="BK180" i="9"/>
  <c r="BL180" i="9"/>
  <c r="BM180" i="9"/>
  <c r="BN180" i="9"/>
  <c r="BQ180" i="9"/>
  <c r="BR180" i="9"/>
  <c r="BV180" i="9"/>
  <c r="AC181" i="9"/>
  <c r="M181" i="9"/>
  <c r="N181" i="9"/>
  <c r="O181" i="9"/>
  <c r="P181" i="9"/>
  <c r="Q181" i="9"/>
  <c r="R181" i="9"/>
  <c r="S181" i="9"/>
  <c r="T181" i="9"/>
  <c r="U181" i="9"/>
  <c r="V181" i="9"/>
  <c r="W181" i="9"/>
  <c r="Z181" i="9"/>
  <c r="AA181" i="9"/>
  <c r="AB181" i="9"/>
  <c r="AD181" i="9"/>
  <c r="AE181" i="9"/>
  <c r="AF181" i="9"/>
  <c r="AG181" i="9"/>
  <c r="AH181" i="9"/>
  <c r="AI181" i="9"/>
  <c r="AJ181" i="9"/>
  <c r="AK181" i="9"/>
  <c r="AL181" i="9"/>
  <c r="AM181" i="9"/>
  <c r="AN181" i="9"/>
  <c r="AO181" i="9"/>
  <c r="AP181" i="9"/>
  <c r="AQ181" i="9"/>
  <c r="AR181" i="9"/>
  <c r="AU181" i="9"/>
  <c r="AV181" i="9"/>
  <c r="AW181" i="9"/>
  <c r="AX181" i="9"/>
  <c r="BC181" i="9"/>
  <c r="BD181" i="9"/>
  <c r="BE181" i="9"/>
  <c r="BI181" i="9"/>
  <c r="BJ181" i="9"/>
  <c r="BK181" i="9"/>
  <c r="BL181" i="9"/>
  <c r="BM181" i="9"/>
  <c r="BN181" i="9"/>
  <c r="BQ181" i="9"/>
  <c r="BR181" i="9"/>
  <c r="BV181" i="9"/>
  <c r="AC182" i="9"/>
  <c r="M182" i="9"/>
  <c r="N182" i="9"/>
  <c r="O182" i="9"/>
  <c r="P182" i="9"/>
  <c r="Q182" i="9"/>
  <c r="R182" i="9"/>
  <c r="S182" i="9"/>
  <c r="T182" i="9"/>
  <c r="U182" i="9"/>
  <c r="V182" i="9"/>
  <c r="W182" i="9"/>
  <c r="Z182" i="9"/>
  <c r="AA182" i="9"/>
  <c r="AB182" i="9"/>
  <c r="AD182" i="9"/>
  <c r="AE182" i="9"/>
  <c r="AF182" i="9"/>
  <c r="AG182" i="9"/>
  <c r="AH182" i="9"/>
  <c r="AI182" i="9"/>
  <c r="AJ182" i="9"/>
  <c r="AK182" i="9"/>
  <c r="AL182" i="9"/>
  <c r="AM182" i="9"/>
  <c r="AN182" i="9"/>
  <c r="AO182" i="9"/>
  <c r="AP182" i="9"/>
  <c r="AQ182" i="9"/>
  <c r="AR182" i="9"/>
  <c r="AU182" i="9"/>
  <c r="AV182" i="9"/>
  <c r="AW182" i="9"/>
  <c r="AX182" i="9"/>
  <c r="BC182" i="9"/>
  <c r="BD182" i="9"/>
  <c r="BE182" i="9"/>
  <c r="BI182" i="9"/>
  <c r="BJ182" i="9"/>
  <c r="BK182" i="9"/>
  <c r="BL182" i="9"/>
  <c r="BM182" i="9"/>
  <c r="BN182" i="9"/>
  <c r="BQ182" i="9"/>
  <c r="BR182" i="9"/>
  <c r="BV182" i="9"/>
  <c r="AC183" i="9"/>
  <c r="M183" i="9"/>
  <c r="N183" i="9"/>
  <c r="O183" i="9"/>
  <c r="P183" i="9"/>
  <c r="Q183" i="9"/>
  <c r="R183" i="9"/>
  <c r="S183" i="9"/>
  <c r="T183" i="9"/>
  <c r="U183" i="9"/>
  <c r="V183" i="9"/>
  <c r="W183" i="9"/>
  <c r="Z183" i="9"/>
  <c r="AA183" i="9"/>
  <c r="AB183" i="9"/>
  <c r="AD183" i="9"/>
  <c r="AE183" i="9"/>
  <c r="AF183" i="9"/>
  <c r="AG183" i="9"/>
  <c r="AH183" i="9"/>
  <c r="AI183" i="9"/>
  <c r="AJ183" i="9"/>
  <c r="AK183" i="9"/>
  <c r="AL183" i="9"/>
  <c r="AM183" i="9"/>
  <c r="AN183" i="9"/>
  <c r="AO183" i="9"/>
  <c r="AP183" i="9"/>
  <c r="AQ183" i="9"/>
  <c r="AR183" i="9"/>
  <c r="AU183" i="9"/>
  <c r="AV183" i="9"/>
  <c r="AW183" i="9"/>
  <c r="AX183" i="9"/>
  <c r="BC183" i="9"/>
  <c r="BD183" i="9"/>
  <c r="BE183" i="9"/>
  <c r="BI183" i="9"/>
  <c r="BJ183" i="9"/>
  <c r="BK183" i="9"/>
  <c r="BL183" i="9"/>
  <c r="BM183" i="9"/>
  <c r="BN183" i="9"/>
  <c r="BQ183" i="9"/>
  <c r="BR183" i="9"/>
  <c r="BV183" i="9"/>
  <c r="EB183" i="9"/>
  <c r="AC184" i="9"/>
  <c r="M184" i="9"/>
  <c r="N184" i="9"/>
  <c r="O184" i="9"/>
  <c r="P184" i="9"/>
  <c r="Q184" i="9"/>
  <c r="R184" i="9"/>
  <c r="S184" i="9"/>
  <c r="T184" i="9"/>
  <c r="U184" i="9"/>
  <c r="V184" i="9"/>
  <c r="W184" i="9"/>
  <c r="Z184" i="9"/>
  <c r="AA184" i="9"/>
  <c r="AB184" i="9"/>
  <c r="AD184" i="9"/>
  <c r="AE184" i="9"/>
  <c r="AF184" i="9"/>
  <c r="AG184" i="9"/>
  <c r="AH184" i="9"/>
  <c r="AI184" i="9"/>
  <c r="AJ184" i="9"/>
  <c r="AK184" i="9"/>
  <c r="AL184" i="9"/>
  <c r="AM184" i="9"/>
  <c r="AN184" i="9"/>
  <c r="AO184" i="9"/>
  <c r="AP184" i="9"/>
  <c r="AQ184" i="9"/>
  <c r="AR184" i="9"/>
  <c r="AU184" i="9"/>
  <c r="AV184" i="9"/>
  <c r="AW184" i="9"/>
  <c r="AX184" i="9"/>
  <c r="BC184" i="9"/>
  <c r="BD184" i="9"/>
  <c r="BE184" i="9"/>
  <c r="BI184" i="9"/>
  <c r="BJ184" i="9"/>
  <c r="BK184" i="9"/>
  <c r="BL184" i="9"/>
  <c r="BM184" i="9"/>
  <c r="BN184" i="9"/>
  <c r="BQ184" i="9"/>
  <c r="BR184" i="9"/>
  <c r="BV184" i="9"/>
  <c r="AC185" i="9"/>
  <c r="M185" i="9"/>
  <c r="N185" i="9"/>
  <c r="O185" i="9"/>
  <c r="P185" i="9"/>
  <c r="Q185" i="9"/>
  <c r="R185" i="9"/>
  <c r="S185" i="9"/>
  <c r="T185" i="9"/>
  <c r="U185" i="9"/>
  <c r="V185" i="9"/>
  <c r="W185" i="9"/>
  <c r="Z185" i="9"/>
  <c r="AA185" i="9"/>
  <c r="AB185" i="9"/>
  <c r="AD185" i="9"/>
  <c r="AE185" i="9"/>
  <c r="AF185" i="9"/>
  <c r="AG185" i="9"/>
  <c r="AH185" i="9"/>
  <c r="AI185" i="9"/>
  <c r="AJ185" i="9"/>
  <c r="AK185" i="9"/>
  <c r="AL185" i="9"/>
  <c r="AM185" i="9"/>
  <c r="AN185" i="9"/>
  <c r="AO185" i="9"/>
  <c r="AP185" i="9"/>
  <c r="AQ185" i="9"/>
  <c r="AR185" i="9"/>
  <c r="AU185" i="9"/>
  <c r="AV185" i="9"/>
  <c r="AW185" i="9"/>
  <c r="AX185" i="9"/>
  <c r="BC185" i="9"/>
  <c r="BD185" i="9"/>
  <c r="BE185" i="9"/>
  <c r="BI185" i="9"/>
  <c r="BJ185" i="9"/>
  <c r="BK185" i="9"/>
  <c r="BL185" i="9"/>
  <c r="BM185" i="9"/>
  <c r="BN185" i="9"/>
  <c r="BQ185" i="9"/>
  <c r="BR185" i="9"/>
  <c r="BV185" i="9"/>
  <c r="AC186" i="9"/>
  <c r="M186" i="9"/>
  <c r="N186" i="9"/>
  <c r="O186" i="9"/>
  <c r="P186" i="9"/>
  <c r="Q186" i="9"/>
  <c r="R186" i="9"/>
  <c r="S186" i="9"/>
  <c r="T186" i="9"/>
  <c r="U186" i="9"/>
  <c r="V186" i="9"/>
  <c r="W186" i="9"/>
  <c r="Z186" i="9"/>
  <c r="AA186" i="9"/>
  <c r="AB186" i="9"/>
  <c r="AD186" i="9"/>
  <c r="AE186" i="9"/>
  <c r="AF186" i="9"/>
  <c r="AG186" i="9"/>
  <c r="AH186" i="9"/>
  <c r="AI186" i="9"/>
  <c r="AJ186" i="9"/>
  <c r="AK186" i="9"/>
  <c r="AL186" i="9"/>
  <c r="AM186" i="9"/>
  <c r="AN186" i="9"/>
  <c r="AO186" i="9"/>
  <c r="AP186" i="9"/>
  <c r="AQ186" i="9"/>
  <c r="AR186" i="9"/>
  <c r="AU186" i="9"/>
  <c r="AV186" i="9"/>
  <c r="AW186" i="9"/>
  <c r="AX186" i="9"/>
  <c r="BC186" i="9"/>
  <c r="BD186" i="9"/>
  <c r="BE186" i="9"/>
  <c r="BI186" i="9"/>
  <c r="BJ186" i="9"/>
  <c r="BK186" i="9"/>
  <c r="BL186" i="9"/>
  <c r="BM186" i="9"/>
  <c r="BN186" i="9"/>
  <c r="BQ186" i="9"/>
  <c r="BR186" i="9"/>
  <c r="BV186" i="9"/>
  <c r="AC187" i="9"/>
  <c r="M187" i="9"/>
  <c r="N187" i="9"/>
  <c r="O187" i="9"/>
  <c r="P187" i="9"/>
  <c r="Q187" i="9"/>
  <c r="R187" i="9"/>
  <c r="S187" i="9"/>
  <c r="T187" i="9"/>
  <c r="U187" i="9"/>
  <c r="V187" i="9"/>
  <c r="W187" i="9"/>
  <c r="Z187" i="9"/>
  <c r="AA187" i="9"/>
  <c r="AB187" i="9"/>
  <c r="AD187" i="9"/>
  <c r="AE187" i="9"/>
  <c r="AF187" i="9"/>
  <c r="AG187" i="9"/>
  <c r="AH187" i="9"/>
  <c r="AI187" i="9"/>
  <c r="AJ187" i="9"/>
  <c r="AK187" i="9"/>
  <c r="AL187" i="9"/>
  <c r="AM187" i="9"/>
  <c r="AN187" i="9"/>
  <c r="AO187" i="9"/>
  <c r="AP187" i="9"/>
  <c r="AQ187" i="9"/>
  <c r="AR187" i="9"/>
  <c r="AU187" i="9"/>
  <c r="AV187" i="9"/>
  <c r="AW187" i="9"/>
  <c r="AX187" i="9"/>
  <c r="BC187" i="9"/>
  <c r="BD187" i="9"/>
  <c r="BE187" i="9"/>
  <c r="BI187" i="9"/>
  <c r="BJ187" i="9"/>
  <c r="BK187" i="9"/>
  <c r="BL187" i="9"/>
  <c r="BM187" i="9"/>
  <c r="BN187" i="9"/>
  <c r="BQ187" i="9"/>
  <c r="BR187" i="9"/>
  <c r="BV187" i="9"/>
  <c r="EB187" i="9"/>
  <c r="AC188" i="9"/>
  <c r="M188" i="9"/>
  <c r="N188" i="9"/>
  <c r="O188" i="9"/>
  <c r="EB188" i="9" s="1"/>
  <c r="P188" i="9"/>
  <c r="Q188" i="9"/>
  <c r="R188" i="9"/>
  <c r="S188" i="9"/>
  <c r="T188" i="9"/>
  <c r="U188" i="9"/>
  <c r="V188" i="9"/>
  <c r="W188" i="9"/>
  <c r="Z188" i="9"/>
  <c r="AA188" i="9"/>
  <c r="AB188" i="9"/>
  <c r="AD188" i="9"/>
  <c r="AE188" i="9"/>
  <c r="AF188" i="9"/>
  <c r="AG188" i="9"/>
  <c r="AH188" i="9"/>
  <c r="AI188" i="9"/>
  <c r="AJ188" i="9"/>
  <c r="AK188" i="9"/>
  <c r="AL188" i="9"/>
  <c r="AM188" i="9"/>
  <c r="AN188" i="9"/>
  <c r="AO188" i="9"/>
  <c r="AP188" i="9"/>
  <c r="AQ188" i="9"/>
  <c r="AR188" i="9"/>
  <c r="AU188" i="9"/>
  <c r="AV188" i="9"/>
  <c r="AW188" i="9"/>
  <c r="AX188" i="9"/>
  <c r="BC188" i="9"/>
  <c r="BD188" i="9"/>
  <c r="BE188" i="9"/>
  <c r="BI188" i="9"/>
  <c r="BJ188" i="9"/>
  <c r="BK188" i="9"/>
  <c r="BL188" i="9"/>
  <c r="BM188" i="9"/>
  <c r="BN188" i="9"/>
  <c r="BQ188" i="9"/>
  <c r="BR188" i="9"/>
  <c r="BV188" i="9"/>
  <c r="AC189" i="9"/>
  <c r="M189" i="9"/>
  <c r="N189" i="9"/>
  <c r="O189" i="9"/>
  <c r="P189" i="9"/>
  <c r="Q189" i="9"/>
  <c r="R189" i="9"/>
  <c r="S189" i="9"/>
  <c r="T189" i="9"/>
  <c r="U189" i="9"/>
  <c r="V189" i="9"/>
  <c r="W189" i="9"/>
  <c r="Z189" i="9"/>
  <c r="AA189" i="9"/>
  <c r="AB189" i="9"/>
  <c r="AD189" i="9"/>
  <c r="AE189" i="9"/>
  <c r="AF189" i="9"/>
  <c r="AG189" i="9"/>
  <c r="AH189" i="9"/>
  <c r="AI189" i="9"/>
  <c r="AJ189" i="9"/>
  <c r="AK189" i="9"/>
  <c r="AL189" i="9"/>
  <c r="AM189" i="9"/>
  <c r="AN189" i="9"/>
  <c r="AO189" i="9"/>
  <c r="AP189" i="9"/>
  <c r="AQ189" i="9"/>
  <c r="AR189" i="9"/>
  <c r="AU189" i="9"/>
  <c r="AV189" i="9"/>
  <c r="AW189" i="9"/>
  <c r="AX189" i="9"/>
  <c r="BC189" i="9"/>
  <c r="BD189" i="9"/>
  <c r="BE189" i="9"/>
  <c r="BI189" i="9"/>
  <c r="BJ189" i="9"/>
  <c r="BK189" i="9"/>
  <c r="BL189" i="9"/>
  <c r="BM189" i="9"/>
  <c r="BN189" i="9"/>
  <c r="BQ189" i="9"/>
  <c r="BR189" i="9"/>
  <c r="BV189" i="9"/>
  <c r="AC190" i="9"/>
  <c r="M190" i="9"/>
  <c r="N190" i="9"/>
  <c r="O190" i="9"/>
  <c r="P190" i="9"/>
  <c r="Q190" i="9"/>
  <c r="R190" i="9"/>
  <c r="S190" i="9"/>
  <c r="T190" i="9"/>
  <c r="U190" i="9"/>
  <c r="V190" i="9"/>
  <c r="W190" i="9"/>
  <c r="Z190" i="9"/>
  <c r="AA190" i="9"/>
  <c r="AB190" i="9"/>
  <c r="AD190" i="9"/>
  <c r="AE190" i="9"/>
  <c r="AF190" i="9"/>
  <c r="AG190" i="9"/>
  <c r="AH190" i="9"/>
  <c r="AI190" i="9"/>
  <c r="AJ190" i="9"/>
  <c r="AK190" i="9"/>
  <c r="AL190" i="9"/>
  <c r="AM190" i="9"/>
  <c r="AN190" i="9"/>
  <c r="AO190" i="9"/>
  <c r="AP190" i="9"/>
  <c r="AQ190" i="9"/>
  <c r="AR190" i="9"/>
  <c r="AU190" i="9"/>
  <c r="AV190" i="9"/>
  <c r="AW190" i="9"/>
  <c r="AX190" i="9"/>
  <c r="BC190" i="9"/>
  <c r="BD190" i="9"/>
  <c r="BE190" i="9"/>
  <c r="BI190" i="9"/>
  <c r="BJ190" i="9"/>
  <c r="BK190" i="9"/>
  <c r="BL190" i="9"/>
  <c r="BM190" i="9"/>
  <c r="BN190" i="9"/>
  <c r="BQ190" i="9"/>
  <c r="BR190" i="9"/>
  <c r="BV190" i="9"/>
  <c r="AC191" i="9"/>
  <c r="M191" i="9"/>
  <c r="N191" i="9"/>
  <c r="O191" i="9"/>
  <c r="P191" i="9"/>
  <c r="Q191" i="9"/>
  <c r="R191" i="9"/>
  <c r="S191" i="9"/>
  <c r="T191" i="9"/>
  <c r="U191" i="9"/>
  <c r="V191" i="9"/>
  <c r="W191" i="9"/>
  <c r="Z191" i="9"/>
  <c r="AA191" i="9"/>
  <c r="AB191" i="9"/>
  <c r="AD191" i="9"/>
  <c r="AE191" i="9"/>
  <c r="AF191" i="9"/>
  <c r="AG191" i="9"/>
  <c r="AH191" i="9"/>
  <c r="AI191" i="9"/>
  <c r="AJ191" i="9"/>
  <c r="AK191" i="9"/>
  <c r="AL191" i="9"/>
  <c r="AM191" i="9"/>
  <c r="AN191" i="9"/>
  <c r="AO191" i="9"/>
  <c r="AP191" i="9"/>
  <c r="AQ191" i="9"/>
  <c r="AR191" i="9"/>
  <c r="AU191" i="9"/>
  <c r="AV191" i="9"/>
  <c r="AW191" i="9"/>
  <c r="AX191" i="9"/>
  <c r="BC191" i="9"/>
  <c r="BD191" i="9"/>
  <c r="BE191" i="9"/>
  <c r="BI191" i="9"/>
  <c r="BJ191" i="9"/>
  <c r="BK191" i="9"/>
  <c r="BL191" i="9"/>
  <c r="BM191" i="9"/>
  <c r="BN191" i="9"/>
  <c r="BQ191" i="9"/>
  <c r="BR191" i="9"/>
  <c r="BV191" i="9"/>
  <c r="EB191" i="9"/>
  <c r="AC192" i="9"/>
  <c r="M192" i="9"/>
  <c r="N192" i="9"/>
  <c r="O192" i="9"/>
  <c r="P192" i="9"/>
  <c r="Q192" i="9"/>
  <c r="R192" i="9"/>
  <c r="S192" i="9"/>
  <c r="T192" i="9"/>
  <c r="U192" i="9"/>
  <c r="V192" i="9"/>
  <c r="W192" i="9"/>
  <c r="Z192" i="9"/>
  <c r="AA192" i="9"/>
  <c r="AB192" i="9"/>
  <c r="AD192" i="9"/>
  <c r="AE192" i="9"/>
  <c r="AF192" i="9"/>
  <c r="AG192" i="9"/>
  <c r="AH192" i="9"/>
  <c r="AI192" i="9"/>
  <c r="AJ192" i="9"/>
  <c r="AK192" i="9"/>
  <c r="AL192" i="9"/>
  <c r="AM192" i="9"/>
  <c r="AN192" i="9"/>
  <c r="AO192" i="9"/>
  <c r="AP192" i="9"/>
  <c r="AQ192" i="9"/>
  <c r="AR192" i="9"/>
  <c r="AU192" i="9"/>
  <c r="AV192" i="9"/>
  <c r="AW192" i="9"/>
  <c r="AX192" i="9"/>
  <c r="BC192" i="9"/>
  <c r="BD192" i="9"/>
  <c r="BE192" i="9"/>
  <c r="BI192" i="9"/>
  <c r="BJ192" i="9"/>
  <c r="BK192" i="9"/>
  <c r="BL192" i="9"/>
  <c r="BM192" i="9"/>
  <c r="BN192" i="9"/>
  <c r="BQ192" i="9"/>
  <c r="BR192" i="9"/>
  <c r="BV192" i="9"/>
  <c r="AC193" i="9"/>
  <c r="M193" i="9"/>
  <c r="N193" i="9"/>
  <c r="O193" i="9"/>
  <c r="P193" i="9"/>
  <c r="P246" i="9" s="1"/>
  <c r="Q193" i="9"/>
  <c r="R193" i="9"/>
  <c r="S193" i="9"/>
  <c r="T193" i="9"/>
  <c r="U193" i="9"/>
  <c r="V193" i="9"/>
  <c r="W193" i="9"/>
  <c r="Z193" i="9"/>
  <c r="Z246" i="9" s="1"/>
  <c r="AA193" i="9"/>
  <c r="AB193" i="9"/>
  <c r="AD193" i="9"/>
  <c r="AE193" i="9"/>
  <c r="AF193" i="9"/>
  <c r="AG193" i="9"/>
  <c r="AH193" i="9"/>
  <c r="AI193" i="9"/>
  <c r="AI246" i="9" s="1"/>
  <c r="AJ193" i="9"/>
  <c r="AK193" i="9"/>
  <c r="AL193" i="9"/>
  <c r="AM193" i="9"/>
  <c r="AN193" i="9"/>
  <c r="AO193" i="9"/>
  <c r="AP193" i="9"/>
  <c r="AQ193" i="9"/>
  <c r="AQ246" i="9" s="1"/>
  <c r="AR193" i="9"/>
  <c r="AU193" i="9"/>
  <c r="AV193" i="9"/>
  <c r="AW193" i="9"/>
  <c r="AX193" i="9"/>
  <c r="BC193" i="9"/>
  <c r="BD193" i="9"/>
  <c r="BE193" i="9"/>
  <c r="BE246" i="9" s="1"/>
  <c r="BI193" i="9"/>
  <c r="BJ193" i="9"/>
  <c r="BK193" i="9"/>
  <c r="BL193" i="9"/>
  <c r="BM193" i="9"/>
  <c r="BN193" i="9"/>
  <c r="BQ193" i="9"/>
  <c r="BR193" i="9"/>
  <c r="BR246" i="9" s="1"/>
  <c r="BV193" i="9"/>
  <c r="AC194" i="9"/>
  <c r="M194" i="9"/>
  <c r="N194" i="9"/>
  <c r="O194" i="9"/>
  <c r="P194" i="9"/>
  <c r="Q194" i="9"/>
  <c r="R194" i="9"/>
  <c r="S194" i="9"/>
  <c r="T194" i="9"/>
  <c r="U194" i="9"/>
  <c r="V194" i="9"/>
  <c r="W194" i="9"/>
  <c r="Z194" i="9"/>
  <c r="AA194" i="9"/>
  <c r="AB194" i="9"/>
  <c r="AD194" i="9"/>
  <c r="AE194" i="9"/>
  <c r="AF194" i="9"/>
  <c r="AG194" i="9"/>
  <c r="AH194" i="9"/>
  <c r="AI194" i="9"/>
  <c r="AJ194" i="9"/>
  <c r="AK194" i="9"/>
  <c r="AL194" i="9"/>
  <c r="AM194" i="9"/>
  <c r="AN194" i="9"/>
  <c r="AO194" i="9"/>
  <c r="AP194" i="9"/>
  <c r="AQ194" i="9"/>
  <c r="AR194" i="9"/>
  <c r="AU194" i="9"/>
  <c r="AV194" i="9"/>
  <c r="AW194" i="9"/>
  <c r="AX194" i="9"/>
  <c r="BC194" i="9"/>
  <c r="BD194" i="9"/>
  <c r="BE194" i="9"/>
  <c r="BI194" i="9"/>
  <c r="BJ194" i="9"/>
  <c r="BK194" i="9"/>
  <c r="BL194" i="9"/>
  <c r="BM194" i="9"/>
  <c r="BN194" i="9"/>
  <c r="BQ194" i="9"/>
  <c r="BR194" i="9"/>
  <c r="BV194" i="9"/>
  <c r="AC195" i="9"/>
  <c r="M195" i="9"/>
  <c r="N195" i="9"/>
  <c r="O195" i="9"/>
  <c r="P195" i="9"/>
  <c r="Q195" i="9"/>
  <c r="R195" i="9"/>
  <c r="S195" i="9"/>
  <c r="T195" i="9"/>
  <c r="U195" i="9"/>
  <c r="V195" i="9"/>
  <c r="W195" i="9"/>
  <c r="Z195" i="9"/>
  <c r="AA195" i="9"/>
  <c r="AB195" i="9"/>
  <c r="AD195" i="9"/>
  <c r="AE195" i="9"/>
  <c r="AF195" i="9"/>
  <c r="AG195" i="9"/>
  <c r="AH195" i="9"/>
  <c r="AI195" i="9"/>
  <c r="AJ195" i="9"/>
  <c r="AK195" i="9"/>
  <c r="AL195" i="9"/>
  <c r="AM195" i="9"/>
  <c r="AN195" i="9"/>
  <c r="AO195" i="9"/>
  <c r="AP195" i="9"/>
  <c r="AQ195" i="9"/>
  <c r="AR195" i="9"/>
  <c r="AU195" i="9"/>
  <c r="AV195" i="9"/>
  <c r="AW195" i="9"/>
  <c r="AX195" i="9"/>
  <c r="BC195" i="9"/>
  <c r="BD195" i="9"/>
  <c r="BE195" i="9"/>
  <c r="BI195" i="9"/>
  <c r="BJ195" i="9"/>
  <c r="BK195" i="9"/>
  <c r="BL195" i="9"/>
  <c r="BM195" i="9"/>
  <c r="BN195" i="9"/>
  <c r="BQ195" i="9"/>
  <c r="BR195" i="9"/>
  <c r="BV195" i="9"/>
  <c r="EB195" i="9"/>
  <c r="AC196" i="9"/>
  <c r="M196" i="9"/>
  <c r="N196" i="9"/>
  <c r="N246" i="9" s="1"/>
  <c r="O196" i="9"/>
  <c r="O246" i="9" s="1"/>
  <c r="P196" i="9"/>
  <c r="Q196" i="9"/>
  <c r="R196" i="9"/>
  <c r="R246" i="9" s="1"/>
  <c r="S196" i="9"/>
  <c r="S246" i="9" s="1"/>
  <c r="T196" i="9"/>
  <c r="U196" i="9"/>
  <c r="V196" i="9"/>
  <c r="V246" i="9" s="1"/>
  <c r="W196" i="9"/>
  <c r="W246" i="9" s="1"/>
  <c r="Z196" i="9"/>
  <c r="AA196" i="9"/>
  <c r="AB196" i="9"/>
  <c r="AB246" i="9" s="1"/>
  <c r="AD196" i="9"/>
  <c r="AD246" i="9" s="1"/>
  <c r="AE196" i="9"/>
  <c r="AF196" i="9"/>
  <c r="AG196" i="9"/>
  <c r="AG246" i="9" s="1"/>
  <c r="AH196" i="9"/>
  <c r="AH246" i="9" s="1"/>
  <c r="AI196" i="9"/>
  <c r="AJ196" i="9"/>
  <c r="AK196" i="9"/>
  <c r="AK246" i="9" s="1"/>
  <c r="AL196" i="9"/>
  <c r="AL246" i="9" s="1"/>
  <c r="AM196" i="9"/>
  <c r="AN196" i="9"/>
  <c r="AO196" i="9"/>
  <c r="AO246" i="9" s="1"/>
  <c r="AP196" i="9"/>
  <c r="AP246" i="9" s="1"/>
  <c r="AQ196" i="9"/>
  <c r="AR196" i="9"/>
  <c r="AU196" i="9"/>
  <c r="AU246" i="9" s="1"/>
  <c r="AV196" i="9"/>
  <c r="AV246" i="9" s="1"/>
  <c r="AW196" i="9"/>
  <c r="AX196" i="9"/>
  <c r="BC196" i="9"/>
  <c r="BC246" i="9" s="1"/>
  <c r="BD196" i="9"/>
  <c r="BD246" i="9" s="1"/>
  <c r="BE196" i="9"/>
  <c r="BI196" i="9"/>
  <c r="BJ196" i="9"/>
  <c r="BJ246" i="9" s="1"/>
  <c r="BK196" i="9"/>
  <c r="BK246" i="9" s="1"/>
  <c r="BL196" i="9"/>
  <c r="BM196" i="9"/>
  <c r="BN196" i="9"/>
  <c r="BN246" i="9" s="1"/>
  <c r="BQ196" i="9"/>
  <c r="BQ246" i="9" s="1"/>
  <c r="BR196" i="9"/>
  <c r="BV196" i="9"/>
  <c r="AC197" i="9"/>
  <c r="M197" i="9"/>
  <c r="N197" i="9"/>
  <c r="O197" i="9"/>
  <c r="P197" i="9"/>
  <c r="Q197" i="9"/>
  <c r="R197" i="9"/>
  <c r="S197" i="9"/>
  <c r="T197" i="9"/>
  <c r="U197" i="9"/>
  <c r="V197" i="9"/>
  <c r="W197" i="9"/>
  <c r="Z197" i="9"/>
  <c r="AA197" i="9"/>
  <c r="AB197" i="9"/>
  <c r="AD197" i="9"/>
  <c r="AE197" i="9"/>
  <c r="AF197" i="9"/>
  <c r="AG197" i="9"/>
  <c r="AH197" i="9"/>
  <c r="AI197" i="9"/>
  <c r="AJ197" i="9"/>
  <c r="AK197" i="9"/>
  <c r="AL197" i="9"/>
  <c r="AM197" i="9"/>
  <c r="AN197" i="9"/>
  <c r="AO197" i="9"/>
  <c r="AP197" i="9"/>
  <c r="AQ197" i="9"/>
  <c r="AR197" i="9"/>
  <c r="AU197" i="9"/>
  <c r="AV197" i="9"/>
  <c r="AW197" i="9"/>
  <c r="AX197" i="9"/>
  <c r="BC197" i="9"/>
  <c r="BD197" i="9"/>
  <c r="BE197" i="9"/>
  <c r="BI197" i="9"/>
  <c r="BJ197" i="9"/>
  <c r="BK197" i="9"/>
  <c r="BL197" i="9"/>
  <c r="BM197" i="9"/>
  <c r="BN197" i="9"/>
  <c r="BQ197" i="9"/>
  <c r="BR197" i="9"/>
  <c r="BV197" i="9"/>
  <c r="AC198" i="9"/>
  <c r="M198" i="9"/>
  <c r="N198" i="9"/>
  <c r="O198" i="9"/>
  <c r="P198" i="9"/>
  <c r="Q198" i="9"/>
  <c r="R198" i="9"/>
  <c r="S198" i="9"/>
  <c r="T198" i="9"/>
  <c r="U198" i="9"/>
  <c r="V198" i="9"/>
  <c r="W198" i="9"/>
  <c r="Z198" i="9"/>
  <c r="AA198" i="9"/>
  <c r="AB198" i="9"/>
  <c r="AD198" i="9"/>
  <c r="AE198" i="9"/>
  <c r="AF198" i="9"/>
  <c r="AG198" i="9"/>
  <c r="AH198" i="9"/>
  <c r="AI198" i="9"/>
  <c r="AJ198" i="9"/>
  <c r="AK198" i="9"/>
  <c r="AL198" i="9"/>
  <c r="AM198" i="9"/>
  <c r="AN198" i="9"/>
  <c r="AO198" i="9"/>
  <c r="AP198" i="9"/>
  <c r="AQ198" i="9"/>
  <c r="AR198" i="9"/>
  <c r="AU198" i="9"/>
  <c r="AV198" i="9"/>
  <c r="AW198" i="9"/>
  <c r="AX198" i="9"/>
  <c r="BC198" i="9"/>
  <c r="BD198" i="9"/>
  <c r="BE198" i="9"/>
  <c r="BI198" i="9"/>
  <c r="BJ198" i="9"/>
  <c r="BK198" i="9"/>
  <c r="BL198" i="9"/>
  <c r="BM198" i="9"/>
  <c r="BN198" i="9"/>
  <c r="BQ198" i="9"/>
  <c r="BR198" i="9"/>
  <c r="BV198" i="9"/>
  <c r="AC199" i="9"/>
  <c r="M199" i="9"/>
  <c r="N199" i="9"/>
  <c r="O199" i="9"/>
  <c r="P199" i="9"/>
  <c r="Q199" i="9"/>
  <c r="R199" i="9"/>
  <c r="S199" i="9"/>
  <c r="T199" i="9"/>
  <c r="U199" i="9"/>
  <c r="V199" i="9"/>
  <c r="W199" i="9"/>
  <c r="Z199" i="9"/>
  <c r="AA199" i="9"/>
  <c r="AB199" i="9"/>
  <c r="AD199" i="9"/>
  <c r="AE199" i="9"/>
  <c r="AF199" i="9"/>
  <c r="AG199" i="9"/>
  <c r="AH199" i="9"/>
  <c r="AI199" i="9"/>
  <c r="AJ199" i="9"/>
  <c r="AK199" i="9"/>
  <c r="AL199" i="9"/>
  <c r="AM199" i="9"/>
  <c r="AN199" i="9"/>
  <c r="AO199" i="9"/>
  <c r="AP199" i="9"/>
  <c r="AQ199" i="9"/>
  <c r="AR199" i="9"/>
  <c r="AU199" i="9"/>
  <c r="AV199" i="9"/>
  <c r="AW199" i="9"/>
  <c r="AX199" i="9"/>
  <c r="BC199" i="9"/>
  <c r="BD199" i="9"/>
  <c r="BE199" i="9"/>
  <c r="BI199" i="9"/>
  <c r="BJ199" i="9"/>
  <c r="BK199" i="9"/>
  <c r="BL199" i="9"/>
  <c r="BM199" i="9"/>
  <c r="BN199" i="9"/>
  <c r="BQ199" i="9"/>
  <c r="BR199" i="9"/>
  <c r="BV199" i="9"/>
  <c r="EB199" i="9"/>
  <c r="AC200" i="9"/>
  <c r="M200" i="9"/>
  <c r="N200" i="9"/>
  <c r="O200" i="9"/>
  <c r="P200" i="9"/>
  <c r="Q200" i="9"/>
  <c r="R200" i="9"/>
  <c r="S200" i="9"/>
  <c r="T200" i="9"/>
  <c r="U200" i="9"/>
  <c r="V200" i="9"/>
  <c r="W200" i="9"/>
  <c r="Z200" i="9"/>
  <c r="AA200" i="9"/>
  <c r="AB200" i="9"/>
  <c r="AD200" i="9"/>
  <c r="AE200" i="9"/>
  <c r="AF200" i="9"/>
  <c r="AG200" i="9"/>
  <c r="AH200" i="9"/>
  <c r="AI200" i="9"/>
  <c r="AJ200" i="9"/>
  <c r="AK200" i="9"/>
  <c r="AL200" i="9"/>
  <c r="AM200" i="9"/>
  <c r="AN200" i="9"/>
  <c r="AO200" i="9"/>
  <c r="AP200" i="9"/>
  <c r="AQ200" i="9"/>
  <c r="AR200" i="9"/>
  <c r="AU200" i="9"/>
  <c r="AV200" i="9"/>
  <c r="AW200" i="9"/>
  <c r="AX200" i="9"/>
  <c r="BC200" i="9"/>
  <c r="BD200" i="9"/>
  <c r="BE200" i="9"/>
  <c r="BI200" i="9"/>
  <c r="BJ200" i="9"/>
  <c r="BK200" i="9"/>
  <c r="BL200" i="9"/>
  <c r="BM200" i="9"/>
  <c r="BN200" i="9"/>
  <c r="BQ200" i="9"/>
  <c r="BR200" i="9"/>
  <c r="BV200" i="9"/>
  <c r="AC201" i="9"/>
  <c r="M201" i="9"/>
  <c r="N201" i="9"/>
  <c r="O201" i="9"/>
  <c r="P201" i="9"/>
  <c r="Q201" i="9"/>
  <c r="R201" i="9"/>
  <c r="S201" i="9"/>
  <c r="T201" i="9"/>
  <c r="U201" i="9"/>
  <c r="V201" i="9"/>
  <c r="W201" i="9"/>
  <c r="Z201" i="9"/>
  <c r="AA201" i="9"/>
  <c r="AB201" i="9"/>
  <c r="AD201" i="9"/>
  <c r="AE201" i="9"/>
  <c r="AF201" i="9"/>
  <c r="AG201" i="9"/>
  <c r="AH201" i="9"/>
  <c r="AI201" i="9"/>
  <c r="AJ201" i="9"/>
  <c r="AK201" i="9"/>
  <c r="AL201" i="9"/>
  <c r="AM201" i="9"/>
  <c r="AN201" i="9"/>
  <c r="AO201" i="9"/>
  <c r="AP201" i="9"/>
  <c r="AQ201" i="9"/>
  <c r="AR201" i="9"/>
  <c r="AU201" i="9"/>
  <c r="AV201" i="9"/>
  <c r="AW201" i="9"/>
  <c r="AX201" i="9"/>
  <c r="BC201" i="9"/>
  <c r="BD201" i="9"/>
  <c r="BE201" i="9"/>
  <c r="BI201" i="9"/>
  <c r="BJ201" i="9"/>
  <c r="BK201" i="9"/>
  <c r="BL201" i="9"/>
  <c r="BM201" i="9"/>
  <c r="BN201" i="9"/>
  <c r="BQ201" i="9"/>
  <c r="BR201" i="9"/>
  <c r="BV201" i="9"/>
  <c r="AC202" i="9"/>
  <c r="M202" i="9"/>
  <c r="N202" i="9"/>
  <c r="O202" i="9"/>
  <c r="P202" i="9"/>
  <c r="Q202" i="9"/>
  <c r="R202" i="9"/>
  <c r="S202" i="9"/>
  <c r="T202" i="9"/>
  <c r="U202" i="9"/>
  <c r="V202" i="9"/>
  <c r="W202" i="9"/>
  <c r="Z202" i="9"/>
  <c r="AA202" i="9"/>
  <c r="AB202" i="9"/>
  <c r="AD202" i="9"/>
  <c r="AE202" i="9"/>
  <c r="AF202" i="9"/>
  <c r="AG202" i="9"/>
  <c r="AH202" i="9"/>
  <c r="AI202" i="9"/>
  <c r="AJ202" i="9"/>
  <c r="AK202" i="9"/>
  <c r="AL202" i="9"/>
  <c r="AM202" i="9"/>
  <c r="AN202" i="9"/>
  <c r="AO202" i="9"/>
  <c r="AP202" i="9"/>
  <c r="AQ202" i="9"/>
  <c r="AR202" i="9"/>
  <c r="AU202" i="9"/>
  <c r="AV202" i="9"/>
  <c r="AW202" i="9"/>
  <c r="AX202" i="9"/>
  <c r="BC202" i="9"/>
  <c r="BD202" i="9"/>
  <c r="BE202" i="9"/>
  <c r="BI202" i="9"/>
  <c r="BJ202" i="9"/>
  <c r="BK202" i="9"/>
  <c r="BL202" i="9"/>
  <c r="BM202" i="9"/>
  <c r="BN202" i="9"/>
  <c r="BQ202" i="9"/>
  <c r="BR202" i="9"/>
  <c r="BV202" i="9"/>
  <c r="AC203" i="9"/>
  <c r="M203" i="9"/>
  <c r="N203" i="9"/>
  <c r="O203" i="9"/>
  <c r="P203" i="9"/>
  <c r="Q203" i="9"/>
  <c r="R203" i="9"/>
  <c r="S203" i="9"/>
  <c r="T203" i="9"/>
  <c r="U203" i="9"/>
  <c r="V203" i="9"/>
  <c r="W203" i="9"/>
  <c r="Z203" i="9"/>
  <c r="AA203" i="9"/>
  <c r="AB203" i="9"/>
  <c r="AD203" i="9"/>
  <c r="AE203" i="9"/>
  <c r="AF203" i="9"/>
  <c r="AG203" i="9"/>
  <c r="AH203" i="9"/>
  <c r="AI203" i="9"/>
  <c r="AJ203" i="9"/>
  <c r="AK203" i="9"/>
  <c r="AL203" i="9"/>
  <c r="AM203" i="9"/>
  <c r="AN203" i="9"/>
  <c r="AO203" i="9"/>
  <c r="AP203" i="9"/>
  <c r="AQ203" i="9"/>
  <c r="AR203" i="9"/>
  <c r="AU203" i="9"/>
  <c r="AV203" i="9"/>
  <c r="AW203" i="9"/>
  <c r="AX203" i="9"/>
  <c r="BC203" i="9"/>
  <c r="BD203" i="9"/>
  <c r="BE203" i="9"/>
  <c r="BI203" i="9"/>
  <c r="BJ203" i="9"/>
  <c r="BK203" i="9"/>
  <c r="BL203" i="9"/>
  <c r="BM203" i="9"/>
  <c r="BN203" i="9"/>
  <c r="BQ203" i="9"/>
  <c r="BR203" i="9"/>
  <c r="BV203" i="9"/>
  <c r="EB203" i="9"/>
  <c r="AC204" i="9"/>
  <c r="M204" i="9"/>
  <c r="N204" i="9"/>
  <c r="O204" i="9"/>
  <c r="EB204" i="9" s="1"/>
  <c r="P204" i="9"/>
  <c r="Q204" i="9"/>
  <c r="R204" i="9"/>
  <c r="S204" i="9"/>
  <c r="T204" i="9"/>
  <c r="U204" i="9"/>
  <c r="V204" i="9"/>
  <c r="W204" i="9"/>
  <c r="Z204" i="9"/>
  <c r="AA204" i="9"/>
  <c r="AB204" i="9"/>
  <c r="AD204" i="9"/>
  <c r="AE204" i="9"/>
  <c r="AF204" i="9"/>
  <c r="AG204" i="9"/>
  <c r="AH204" i="9"/>
  <c r="AI204" i="9"/>
  <c r="AJ204" i="9"/>
  <c r="AK204" i="9"/>
  <c r="AL204" i="9"/>
  <c r="AM204" i="9"/>
  <c r="AN204" i="9"/>
  <c r="AO204" i="9"/>
  <c r="AP204" i="9"/>
  <c r="AQ204" i="9"/>
  <c r="AR204" i="9"/>
  <c r="AU204" i="9"/>
  <c r="AV204" i="9"/>
  <c r="AW204" i="9"/>
  <c r="AX204" i="9"/>
  <c r="BC204" i="9"/>
  <c r="BD204" i="9"/>
  <c r="BE204" i="9"/>
  <c r="BI204" i="9"/>
  <c r="BJ204" i="9"/>
  <c r="BK204" i="9"/>
  <c r="BL204" i="9"/>
  <c r="BM204" i="9"/>
  <c r="BN204" i="9"/>
  <c r="BQ204" i="9"/>
  <c r="BR204" i="9"/>
  <c r="BV204" i="9"/>
  <c r="AC205" i="9"/>
  <c r="M205" i="9"/>
  <c r="N205" i="9"/>
  <c r="O205" i="9"/>
  <c r="P205" i="9"/>
  <c r="Q205" i="9"/>
  <c r="R205" i="9"/>
  <c r="S205" i="9"/>
  <c r="T205" i="9"/>
  <c r="U205" i="9"/>
  <c r="V205" i="9"/>
  <c r="W205" i="9"/>
  <c r="Z205" i="9"/>
  <c r="AA205" i="9"/>
  <c r="AB205" i="9"/>
  <c r="AD205" i="9"/>
  <c r="AE205" i="9"/>
  <c r="AF205" i="9"/>
  <c r="AG205" i="9"/>
  <c r="AH205" i="9"/>
  <c r="AI205" i="9"/>
  <c r="AJ205" i="9"/>
  <c r="AK205" i="9"/>
  <c r="AL205" i="9"/>
  <c r="AM205" i="9"/>
  <c r="AN205" i="9"/>
  <c r="AO205" i="9"/>
  <c r="AP205" i="9"/>
  <c r="AQ205" i="9"/>
  <c r="AR205" i="9"/>
  <c r="AU205" i="9"/>
  <c r="AV205" i="9"/>
  <c r="AW205" i="9"/>
  <c r="AX205" i="9"/>
  <c r="BC205" i="9"/>
  <c r="BD205" i="9"/>
  <c r="BE205" i="9"/>
  <c r="BI205" i="9"/>
  <c r="BJ205" i="9"/>
  <c r="BK205" i="9"/>
  <c r="BL205" i="9"/>
  <c r="BM205" i="9"/>
  <c r="BN205" i="9"/>
  <c r="BQ205" i="9"/>
  <c r="BR205" i="9"/>
  <c r="BV205" i="9"/>
  <c r="AC206" i="9"/>
  <c r="M206" i="9"/>
  <c r="N206" i="9"/>
  <c r="O206" i="9"/>
  <c r="P206" i="9"/>
  <c r="Q206" i="9"/>
  <c r="R206" i="9"/>
  <c r="S206" i="9"/>
  <c r="T206" i="9"/>
  <c r="U206" i="9"/>
  <c r="V206" i="9"/>
  <c r="W206" i="9"/>
  <c r="Z206" i="9"/>
  <c r="AA206" i="9"/>
  <c r="AB206" i="9"/>
  <c r="AD206" i="9"/>
  <c r="AE206" i="9"/>
  <c r="AF206" i="9"/>
  <c r="AG206" i="9"/>
  <c r="AH206" i="9"/>
  <c r="AI206" i="9"/>
  <c r="AJ206" i="9"/>
  <c r="AK206" i="9"/>
  <c r="AL206" i="9"/>
  <c r="AM206" i="9"/>
  <c r="AN206" i="9"/>
  <c r="AO206" i="9"/>
  <c r="AP206" i="9"/>
  <c r="AQ206" i="9"/>
  <c r="AR206" i="9"/>
  <c r="AU206" i="9"/>
  <c r="AV206" i="9"/>
  <c r="AW206" i="9"/>
  <c r="AX206" i="9"/>
  <c r="BC206" i="9"/>
  <c r="BD206" i="9"/>
  <c r="BE206" i="9"/>
  <c r="BI206" i="9"/>
  <c r="BJ206" i="9"/>
  <c r="BK206" i="9"/>
  <c r="BL206" i="9"/>
  <c r="BM206" i="9"/>
  <c r="BN206" i="9"/>
  <c r="BQ206" i="9"/>
  <c r="BR206" i="9"/>
  <c r="BV206" i="9"/>
  <c r="AC207" i="9"/>
  <c r="M207" i="9"/>
  <c r="N207" i="9"/>
  <c r="O207" i="9"/>
  <c r="P207" i="9"/>
  <c r="Q207" i="9"/>
  <c r="R207" i="9"/>
  <c r="S207" i="9"/>
  <c r="T207" i="9"/>
  <c r="U207" i="9"/>
  <c r="V207" i="9"/>
  <c r="W207" i="9"/>
  <c r="Z207" i="9"/>
  <c r="AA207" i="9"/>
  <c r="AB207" i="9"/>
  <c r="AD207" i="9"/>
  <c r="AE207" i="9"/>
  <c r="AF207" i="9"/>
  <c r="AG207" i="9"/>
  <c r="AH207" i="9"/>
  <c r="AI207" i="9"/>
  <c r="AJ207" i="9"/>
  <c r="AK207" i="9"/>
  <c r="AL207" i="9"/>
  <c r="AM207" i="9"/>
  <c r="AN207" i="9"/>
  <c r="AO207" i="9"/>
  <c r="AP207" i="9"/>
  <c r="AQ207" i="9"/>
  <c r="AR207" i="9"/>
  <c r="AU207" i="9"/>
  <c r="AV207" i="9"/>
  <c r="AW207" i="9"/>
  <c r="AX207" i="9"/>
  <c r="BC207" i="9"/>
  <c r="BD207" i="9"/>
  <c r="BE207" i="9"/>
  <c r="BI207" i="9"/>
  <c r="BJ207" i="9"/>
  <c r="BK207" i="9"/>
  <c r="BL207" i="9"/>
  <c r="BM207" i="9"/>
  <c r="BN207" i="9"/>
  <c r="BQ207" i="9"/>
  <c r="BR207" i="9"/>
  <c r="BV207" i="9"/>
  <c r="EB207" i="9"/>
  <c r="AC208" i="9"/>
  <c r="M208" i="9"/>
  <c r="N208" i="9"/>
  <c r="O208" i="9"/>
  <c r="P208" i="9"/>
  <c r="Q208" i="9"/>
  <c r="R208" i="9"/>
  <c r="S208" i="9"/>
  <c r="T208" i="9"/>
  <c r="U208" i="9"/>
  <c r="V208" i="9"/>
  <c r="W208" i="9"/>
  <c r="Z208" i="9"/>
  <c r="AA208" i="9"/>
  <c r="AB208" i="9"/>
  <c r="AD208" i="9"/>
  <c r="AE208" i="9"/>
  <c r="AF208" i="9"/>
  <c r="AG208" i="9"/>
  <c r="AH208" i="9"/>
  <c r="AI208" i="9"/>
  <c r="AJ208" i="9"/>
  <c r="AK208" i="9"/>
  <c r="AL208" i="9"/>
  <c r="AM208" i="9"/>
  <c r="AN208" i="9"/>
  <c r="AO208" i="9"/>
  <c r="AP208" i="9"/>
  <c r="AQ208" i="9"/>
  <c r="AR208" i="9"/>
  <c r="AU208" i="9"/>
  <c r="AV208" i="9"/>
  <c r="AW208" i="9"/>
  <c r="AX208" i="9"/>
  <c r="BC208" i="9"/>
  <c r="BD208" i="9"/>
  <c r="BE208" i="9"/>
  <c r="BI208" i="9"/>
  <c r="BJ208" i="9"/>
  <c r="BK208" i="9"/>
  <c r="BL208" i="9"/>
  <c r="BM208" i="9"/>
  <c r="BN208" i="9"/>
  <c r="BQ208" i="9"/>
  <c r="BR208" i="9"/>
  <c r="BV208" i="9"/>
  <c r="AC209" i="9"/>
  <c r="M209" i="9"/>
  <c r="N209" i="9"/>
  <c r="O209" i="9"/>
  <c r="P209" i="9"/>
  <c r="Q209" i="9"/>
  <c r="R209" i="9"/>
  <c r="S209" i="9"/>
  <c r="T209" i="9"/>
  <c r="U209" i="9"/>
  <c r="V209" i="9"/>
  <c r="W209" i="9"/>
  <c r="Z209" i="9"/>
  <c r="AA209" i="9"/>
  <c r="AB209" i="9"/>
  <c r="AD209" i="9"/>
  <c r="AE209" i="9"/>
  <c r="AF209" i="9"/>
  <c r="AG209" i="9"/>
  <c r="AH209" i="9"/>
  <c r="AI209" i="9"/>
  <c r="AJ209" i="9"/>
  <c r="AK209" i="9"/>
  <c r="AL209" i="9"/>
  <c r="AM209" i="9"/>
  <c r="AN209" i="9"/>
  <c r="AO209" i="9"/>
  <c r="AP209" i="9"/>
  <c r="AQ209" i="9"/>
  <c r="AR209" i="9"/>
  <c r="AU209" i="9"/>
  <c r="AV209" i="9"/>
  <c r="AW209" i="9"/>
  <c r="AX209" i="9"/>
  <c r="BC209" i="9"/>
  <c r="BD209" i="9"/>
  <c r="BE209" i="9"/>
  <c r="BI209" i="9"/>
  <c r="BJ209" i="9"/>
  <c r="BK209" i="9"/>
  <c r="BL209" i="9"/>
  <c r="BM209" i="9"/>
  <c r="BN209" i="9"/>
  <c r="BQ209" i="9"/>
  <c r="BR209" i="9"/>
  <c r="BV209" i="9"/>
  <c r="AC210" i="9"/>
  <c r="M210" i="9"/>
  <c r="N210" i="9"/>
  <c r="O210" i="9"/>
  <c r="P210" i="9"/>
  <c r="Q210" i="9"/>
  <c r="R210" i="9"/>
  <c r="S210" i="9"/>
  <c r="T210" i="9"/>
  <c r="U210" i="9"/>
  <c r="V210" i="9"/>
  <c r="W210" i="9"/>
  <c r="Z210" i="9"/>
  <c r="AA210" i="9"/>
  <c r="AB210" i="9"/>
  <c r="AD210" i="9"/>
  <c r="AE210" i="9"/>
  <c r="AF210" i="9"/>
  <c r="AG210" i="9"/>
  <c r="AH210" i="9"/>
  <c r="AI210" i="9"/>
  <c r="AJ210" i="9"/>
  <c r="AK210" i="9"/>
  <c r="AL210" i="9"/>
  <c r="AM210" i="9"/>
  <c r="AN210" i="9"/>
  <c r="AO210" i="9"/>
  <c r="AP210" i="9"/>
  <c r="AQ210" i="9"/>
  <c r="AR210" i="9"/>
  <c r="AU210" i="9"/>
  <c r="AV210" i="9"/>
  <c r="AW210" i="9"/>
  <c r="AX210" i="9"/>
  <c r="BC210" i="9"/>
  <c r="BD210" i="9"/>
  <c r="BE210" i="9"/>
  <c r="BI210" i="9"/>
  <c r="BJ210" i="9"/>
  <c r="BK210" i="9"/>
  <c r="BL210" i="9"/>
  <c r="BM210" i="9"/>
  <c r="BN210" i="9"/>
  <c r="BQ210" i="9"/>
  <c r="BR210" i="9"/>
  <c r="BV210" i="9"/>
  <c r="AC211" i="9"/>
  <c r="M211" i="9"/>
  <c r="N211" i="9"/>
  <c r="O211" i="9"/>
  <c r="P211" i="9"/>
  <c r="Q211" i="9"/>
  <c r="R211" i="9"/>
  <c r="S211" i="9"/>
  <c r="T211" i="9"/>
  <c r="U211" i="9"/>
  <c r="V211" i="9"/>
  <c r="W211" i="9"/>
  <c r="Z211" i="9"/>
  <c r="AA211" i="9"/>
  <c r="AB211" i="9"/>
  <c r="AD211" i="9"/>
  <c r="AE211" i="9"/>
  <c r="AF211" i="9"/>
  <c r="AG211" i="9"/>
  <c r="AH211" i="9"/>
  <c r="AI211" i="9"/>
  <c r="AJ211" i="9"/>
  <c r="AK211" i="9"/>
  <c r="AL211" i="9"/>
  <c r="AM211" i="9"/>
  <c r="AN211" i="9"/>
  <c r="AO211" i="9"/>
  <c r="AP211" i="9"/>
  <c r="AQ211" i="9"/>
  <c r="AR211" i="9"/>
  <c r="AU211" i="9"/>
  <c r="AV211" i="9"/>
  <c r="AW211" i="9"/>
  <c r="AX211" i="9"/>
  <c r="BC211" i="9"/>
  <c r="BD211" i="9"/>
  <c r="BE211" i="9"/>
  <c r="BI211" i="9"/>
  <c r="BJ211" i="9"/>
  <c r="BK211" i="9"/>
  <c r="BL211" i="9"/>
  <c r="BM211" i="9"/>
  <c r="BN211" i="9"/>
  <c r="BQ211" i="9"/>
  <c r="BR211" i="9"/>
  <c r="BV211" i="9"/>
  <c r="EB211" i="9"/>
  <c r="AC212" i="9"/>
  <c r="M212" i="9"/>
  <c r="N212" i="9"/>
  <c r="O212" i="9"/>
  <c r="EB212" i="9" s="1"/>
  <c r="P212" i="9"/>
  <c r="Q212" i="9"/>
  <c r="R212" i="9"/>
  <c r="S212" i="9"/>
  <c r="T212" i="9"/>
  <c r="U212" i="9"/>
  <c r="V212" i="9"/>
  <c r="W212" i="9"/>
  <c r="Z212" i="9"/>
  <c r="AA212" i="9"/>
  <c r="AB212" i="9"/>
  <c r="AD212" i="9"/>
  <c r="AE212" i="9"/>
  <c r="AF212" i="9"/>
  <c r="AG212" i="9"/>
  <c r="AH212" i="9"/>
  <c r="AI212" i="9"/>
  <c r="AJ212" i="9"/>
  <c r="AK212" i="9"/>
  <c r="AL212" i="9"/>
  <c r="AM212" i="9"/>
  <c r="AN212" i="9"/>
  <c r="AO212" i="9"/>
  <c r="AP212" i="9"/>
  <c r="AQ212" i="9"/>
  <c r="AR212" i="9"/>
  <c r="AU212" i="9"/>
  <c r="AV212" i="9"/>
  <c r="AW212" i="9"/>
  <c r="AX212" i="9"/>
  <c r="BC212" i="9"/>
  <c r="BD212" i="9"/>
  <c r="BE212" i="9"/>
  <c r="BI212" i="9"/>
  <c r="BJ212" i="9"/>
  <c r="BK212" i="9"/>
  <c r="BL212" i="9"/>
  <c r="BM212" i="9"/>
  <c r="BN212" i="9"/>
  <c r="BQ212" i="9"/>
  <c r="BR212" i="9"/>
  <c r="BV212" i="9"/>
  <c r="AC213" i="9"/>
  <c r="M213" i="9"/>
  <c r="N213" i="9"/>
  <c r="O213" i="9"/>
  <c r="P213" i="9"/>
  <c r="Q213" i="9"/>
  <c r="R213" i="9"/>
  <c r="S213" i="9"/>
  <c r="T213" i="9"/>
  <c r="U213" i="9"/>
  <c r="V213" i="9"/>
  <c r="W213" i="9"/>
  <c r="Z213" i="9"/>
  <c r="AA213" i="9"/>
  <c r="AB213" i="9"/>
  <c r="AD213" i="9"/>
  <c r="AE213" i="9"/>
  <c r="AF213" i="9"/>
  <c r="AG213" i="9"/>
  <c r="AH213" i="9"/>
  <c r="AI213" i="9"/>
  <c r="AJ213" i="9"/>
  <c r="AK213" i="9"/>
  <c r="AL213" i="9"/>
  <c r="AM213" i="9"/>
  <c r="AN213" i="9"/>
  <c r="AO213" i="9"/>
  <c r="AP213" i="9"/>
  <c r="AQ213" i="9"/>
  <c r="AR213" i="9"/>
  <c r="AU213" i="9"/>
  <c r="AV213" i="9"/>
  <c r="AW213" i="9"/>
  <c r="AX213" i="9"/>
  <c r="BC213" i="9"/>
  <c r="BD213" i="9"/>
  <c r="BE213" i="9"/>
  <c r="BI213" i="9"/>
  <c r="BJ213" i="9"/>
  <c r="BK213" i="9"/>
  <c r="BL213" i="9"/>
  <c r="BM213" i="9"/>
  <c r="BN213" i="9"/>
  <c r="BQ213" i="9"/>
  <c r="BR213" i="9"/>
  <c r="BV213" i="9"/>
  <c r="AC214" i="9"/>
  <c r="M214" i="9"/>
  <c r="N214" i="9"/>
  <c r="O214" i="9"/>
  <c r="P214" i="9"/>
  <c r="Q214" i="9"/>
  <c r="R214" i="9"/>
  <c r="S214" i="9"/>
  <c r="T214" i="9"/>
  <c r="U214" i="9"/>
  <c r="V214" i="9"/>
  <c r="W214" i="9"/>
  <c r="Z214" i="9"/>
  <c r="AA214" i="9"/>
  <c r="AB214" i="9"/>
  <c r="AD214" i="9"/>
  <c r="AE214" i="9"/>
  <c r="AF214" i="9"/>
  <c r="AG214" i="9"/>
  <c r="AH214" i="9"/>
  <c r="AI214" i="9"/>
  <c r="AJ214" i="9"/>
  <c r="AK214" i="9"/>
  <c r="AL214" i="9"/>
  <c r="AM214" i="9"/>
  <c r="AN214" i="9"/>
  <c r="AO214" i="9"/>
  <c r="AP214" i="9"/>
  <c r="AQ214" i="9"/>
  <c r="AR214" i="9"/>
  <c r="AU214" i="9"/>
  <c r="AV214" i="9"/>
  <c r="AW214" i="9"/>
  <c r="AX214" i="9"/>
  <c r="BC214" i="9"/>
  <c r="BD214" i="9"/>
  <c r="BE214" i="9"/>
  <c r="BI214" i="9"/>
  <c r="BJ214" i="9"/>
  <c r="BK214" i="9"/>
  <c r="BL214" i="9"/>
  <c r="BM214" i="9"/>
  <c r="BN214" i="9"/>
  <c r="BQ214" i="9"/>
  <c r="BR214" i="9"/>
  <c r="BV214" i="9"/>
  <c r="AC215" i="9"/>
  <c r="M215" i="9"/>
  <c r="N215" i="9"/>
  <c r="O215" i="9"/>
  <c r="P215" i="9"/>
  <c r="Q215" i="9"/>
  <c r="R215" i="9"/>
  <c r="S215" i="9"/>
  <c r="T215" i="9"/>
  <c r="U215" i="9"/>
  <c r="V215" i="9"/>
  <c r="W215" i="9"/>
  <c r="Z215" i="9"/>
  <c r="AA215" i="9"/>
  <c r="AB215" i="9"/>
  <c r="AD215" i="9"/>
  <c r="AE215" i="9"/>
  <c r="AF215" i="9"/>
  <c r="AG215" i="9"/>
  <c r="AH215" i="9"/>
  <c r="AI215" i="9"/>
  <c r="AJ215" i="9"/>
  <c r="AK215" i="9"/>
  <c r="AL215" i="9"/>
  <c r="AM215" i="9"/>
  <c r="AN215" i="9"/>
  <c r="AO215" i="9"/>
  <c r="AP215" i="9"/>
  <c r="AQ215" i="9"/>
  <c r="AR215" i="9"/>
  <c r="AU215" i="9"/>
  <c r="AV215" i="9"/>
  <c r="AW215" i="9"/>
  <c r="AX215" i="9"/>
  <c r="BC215" i="9"/>
  <c r="BD215" i="9"/>
  <c r="BE215" i="9"/>
  <c r="BI215" i="9"/>
  <c r="BJ215" i="9"/>
  <c r="BK215" i="9"/>
  <c r="BL215" i="9"/>
  <c r="BM215" i="9"/>
  <c r="BN215" i="9"/>
  <c r="BQ215" i="9"/>
  <c r="BR215" i="9"/>
  <c r="BV215" i="9"/>
  <c r="EB215" i="9"/>
  <c r="AC216" i="9"/>
  <c r="M216" i="9"/>
  <c r="N216" i="9"/>
  <c r="O216" i="9"/>
  <c r="P216" i="9"/>
  <c r="Q216" i="9"/>
  <c r="R216" i="9"/>
  <c r="S216" i="9"/>
  <c r="T216" i="9"/>
  <c r="U216" i="9"/>
  <c r="V216" i="9"/>
  <c r="W216" i="9"/>
  <c r="Z216" i="9"/>
  <c r="AA216" i="9"/>
  <c r="AB216" i="9"/>
  <c r="AD216" i="9"/>
  <c r="AE216" i="9"/>
  <c r="AF216" i="9"/>
  <c r="AG216" i="9"/>
  <c r="AH216" i="9"/>
  <c r="AI216" i="9"/>
  <c r="AJ216" i="9"/>
  <c r="AK216" i="9"/>
  <c r="AL216" i="9"/>
  <c r="AM216" i="9"/>
  <c r="AN216" i="9"/>
  <c r="AO216" i="9"/>
  <c r="AP216" i="9"/>
  <c r="AQ216" i="9"/>
  <c r="AR216" i="9"/>
  <c r="AU216" i="9"/>
  <c r="AV216" i="9"/>
  <c r="AW216" i="9"/>
  <c r="AX216" i="9"/>
  <c r="BC216" i="9"/>
  <c r="BD216" i="9"/>
  <c r="BE216" i="9"/>
  <c r="BI216" i="9"/>
  <c r="BJ216" i="9"/>
  <c r="BK216" i="9"/>
  <c r="BL216" i="9"/>
  <c r="BM216" i="9"/>
  <c r="BN216" i="9"/>
  <c r="BQ216" i="9"/>
  <c r="BR216" i="9"/>
  <c r="BV216" i="9"/>
  <c r="AC217" i="9"/>
  <c r="M217" i="9"/>
  <c r="N217" i="9"/>
  <c r="O217" i="9"/>
  <c r="P217" i="9"/>
  <c r="Q217" i="9"/>
  <c r="R217" i="9"/>
  <c r="S217" i="9"/>
  <c r="T217" i="9"/>
  <c r="U217" i="9"/>
  <c r="V217" i="9"/>
  <c r="W217" i="9"/>
  <c r="Z217" i="9"/>
  <c r="AA217" i="9"/>
  <c r="AB217" i="9"/>
  <c r="AD217" i="9"/>
  <c r="AE217" i="9"/>
  <c r="AF217" i="9"/>
  <c r="AG217" i="9"/>
  <c r="AH217" i="9"/>
  <c r="AI217" i="9"/>
  <c r="AJ217" i="9"/>
  <c r="AK217" i="9"/>
  <c r="AL217" i="9"/>
  <c r="AM217" i="9"/>
  <c r="AN217" i="9"/>
  <c r="AO217" i="9"/>
  <c r="AP217" i="9"/>
  <c r="AQ217" i="9"/>
  <c r="AR217" i="9"/>
  <c r="AU217" i="9"/>
  <c r="AV217" i="9"/>
  <c r="AW217" i="9"/>
  <c r="AX217" i="9"/>
  <c r="BC217" i="9"/>
  <c r="BD217" i="9"/>
  <c r="BE217" i="9"/>
  <c r="BI217" i="9"/>
  <c r="BJ217" i="9"/>
  <c r="BK217" i="9"/>
  <c r="BL217" i="9"/>
  <c r="BM217" i="9"/>
  <c r="BN217" i="9"/>
  <c r="BQ217" i="9"/>
  <c r="BR217" i="9"/>
  <c r="BV217" i="9"/>
  <c r="AC218" i="9"/>
  <c r="M218" i="9"/>
  <c r="N218" i="9"/>
  <c r="O218" i="9"/>
  <c r="P218" i="9"/>
  <c r="Q218" i="9"/>
  <c r="R218" i="9"/>
  <c r="S218" i="9"/>
  <c r="T218" i="9"/>
  <c r="U218" i="9"/>
  <c r="V218" i="9"/>
  <c r="W218" i="9"/>
  <c r="Z218" i="9"/>
  <c r="AA218" i="9"/>
  <c r="AB218" i="9"/>
  <c r="AD218" i="9"/>
  <c r="AE218" i="9"/>
  <c r="AF218" i="9"/>
  <c r="AG218" i="9"/>
  <c r="AH218" i="9"/>
  <c r="AI218" i="9"/>
  <c r="AJ218" i="9"/>
  <c r="AK218" i="9"/>
  <c r="AL218" i="9"/>
  <c r="AM218" i="9"/>
  <c r="AN218" i="9"/>
  <c r="AO218" i="9"/>
  <c r="AP218" i="9"/>
  <c r="AQ218" i="9"/>
  <c r="AR218" i="9"/>
  <c r="AU218" i="9"/>
  <c r="AV218" i="9"/>
  <c r="AW218" i="9"/>
  <c r="AX218" i="9"/>
  <c r="BC218" i="9"/>
  <c r="BD218" i="9"/>
  <c r="BE218" i="9"/>
  <c r="BI218" i="9"/>
  <c r="BJ218" i="9"/>
  <c r="BK218" i="9"/>
  <c r="BL218" i="9"/>
  <c r="BM218" i="9"/>
  <c r="BN218" i="9"/>
  <c r="BQ218" i="9"/>
  <c r="BR218" i="9"/>
  <c r="BV218" i="9"/>
  <c r="AC219" i="9"/>
  <c r="M219" i="9"/>
  <c r="N219" i="9"/>
  <c r="O219" i="9"/>
  <c r="P219" i="9"/>
  <c r="Q219" i="9"/>
  <c r="R219" i="9"/>
  <c r="S219" i="9"/>
  <c r="T219" i="9"/>
  <c r="U219" i="9"/>
  <c r="V219" i="9"/>
  <c r="W219" i="9"/>
  <c r="Z219" i="9"/>
  <c r="AA219" i="9"/>
  <c r="AB219" i="9"/>
  <c r="AD219" i="9"/>
  <c r="AE219" i="9"/>
  <c r="AF219" i="9"/>
  <c r="AG219" i="9"/>
  <c r="AH219" i="9"/>
  <c r="AI219" i="9"/>
  <c r="AJ219" i="9"/>
  <c r="AK219" i="9"/>
  <c r="AL219" i="9"/>
  <c r="AM219" i="9"/>
  <c r="AN219" i="9"/>
  <c r="AO219" i="9"/>
  <c r="AP219" i="9"/>
  <c r="AQ219" i="9"/>
  <c r="AR219" i="9"/>
  <c r="AU219" i="9"/>
  <c r="AV219" i="9"/>
  <c r="AW219" i="9"/>
  <c r="AX219" i="9"/>
  <c r="BC219" i="9"/>
  <c r="BD219" i="9"/>
  <c r="BE219" i="9"/>
  <c r="BI219" i="9"/>
  <c r="BJ219" i="9"/>
  <c r="BK219" i="9"/>
  <c r="BL219" i="9"/>
  <c r="BM219" i="9"/>
  <c r="BN219" i="9"/>
  <c r="BQ219" i="9"/>
  <c r="BR219" i="9"/>
  <c r="BV219" i="9"/>
  <c r="EB219" i="9"/>
  <c r="AC220" i="9"/>
  <c r="M220" i="9"/>
  <c r="N220" i="9"/>
  <c r="O220" i="9"/>
  <c r="EB220" i="9" s="1"/>
  <c r="P220" i="9"/>
  <c r="Q220" i="9"/>
  <c r="R220" i="9"/>
  <c r="S220" i="9"/>
  <c r="T220" i="9"/>
  <c r="U220" i="9"/>
  <c r="V220" i="9"/>
  <c r="W220" i="9"/>
  <c r="Z220" i="9"/>
  <c r="AA220" i="9"/>
  <c r="AB220" i="9"/>
  <c r="AD220" i="9"/>
  <c r="AE220" i="9"/>
  <c r="AF220" i="9"/>
  <c r="AG220" i="9"/>
  <c r="AH220" i="9"/>
  <c r="AI220" i="9"/>
  <c r="AJ220" i="9"/>
  <c r="AK220" i="9"/>
  <c r="AL220" i="9"/>
  <c r="AM220" i="9"/>
  <c r="AN220" i="9"/>
  <c r="AO220" i="9"/>
  <c r="AP220" i="9"/>
  <c r="AQ220" i="9"/>
  <c r="AR220" i="9"/>
  <c r="AU220" i="9"/>
  <c r="AV220" i="9"/>
  <c r="AW220" i="9"/>
  <c r="AX220" i="9"/>
  <c r="BC220" i="9"/>
  <c r="BD220" i="9"/>
  <c r="BE220" i="9"/>
  <c r="BI220" i="9"/>
  <c r="BJ220" i="9"/>
  <c r="BK220" i="9"/>
  <c r="BL220" i="9"/>
  <c r="BM220" i="9"/>
  <c r="BN220" i="9"/>
  <c r="BQ220" i="9"/>
  <c r="BR220" i="9"/>
  <c r="BV220" i="9"/>
  <c r="AC221" i="9"/>
  <c r="M221" i="9"/>
  <c r="N221" i="9"/>
  <c r="O221" i="9"/>
  <c r="P221" i="9"/>
  <c r="Q221" i="9"/>
  <c r="R221" i="9"/>
  <c r="S221" i="9"/>
  <c r="T221" i="9"/>
  <c r="U221" i="9"/>
  <c r="V221" i="9"/>
  <c r="W221" i="9"/>
  <c r="Z221" i="9"/>
  <c r="AA221" i="9"/>
  <c r="AB221" i="9"/>
  <c r="AD221" i="9"/>
  <c r="AE221" i="9"/>
  <c r="AF221" i="9"/>
  <c r="AG221" i="9"/>
  <c r="AH221" i="9"/>
  <c r="AI221" i="9"/>
  <c r="AJ221" i="9"/>
  <c r="AK221" i="9"/>
  <c r="AL221" i="9"/>
  <c r="AM221" i="9"/>
  <c r="AN221" i="9"/>
  <c r="AO221" i="9"/>
  <c r="AP221" i="9"/>
  <c r="AQ221" i="9"/>
  <c r="AR221" i="9"/>
  <c r="AU221" i="9"/>
  <c r="AV221" i="9"/>
  <c r="AW221" i="9"/>
  <c r="AX221" i="9"/>
  <c r="BC221" i="9"/>
  <c r="BD221" i="9"/>
  <c r="BE221" i="9"/>
  <c r="BI221" i="9"/>
  <c r="BJ221" i="9"/>
  <c r="BK221" i="9"/>
  <c r="BL221" i="9"/>
  <c r="BM221" i="9"/>
  <c r="BN221" i="9"/>
  <c r="BQ221" i="9"/>
  <c r="BR221" i="9"/>
  <c r="BV221" i="9"/>
  <c r="AC222" i="9"/>
  <c r="M222" i="9"/>
  <c r="N222" i="9"/>
  <c r="O222" i="9"/>
  <c r="P222" i="9"/>
  <c r="Q222" i="9"/>
  <c r="R222" i="9"/>
  <c r="S222" i="9"/>
  <c r="T222" i="9"/>
  <c r="U222" i="9"/>
  <c r="V222" i="9"/>
  <c r="W222" i="9"/>
  <c r="Z222" i="9"/>
  <c r="AA222" i="9"/>
  <c r="AB222" i="9"/>
  <c r="AD222" i="9"/>
  <c r="AE222" i="9"/>
  <c r="AF222" i="9"/>
  <c r="AG222" i="9"/>
  <c r="AH222" i="9"/>
  <c r="AI222" i="9"/>
  <c r="AJ222" i="9"/>
  <c r="AK222" i="9"/>
  <c r="AL222" i="9"/>
  <c r="AM222" i="9"/>
  <c r="AN222" i="9"/>
  <c r="AO222" i="9"/>
  <c r="AP222" i="9"/>
  <c r="AQ222" i="9"/>
  <c r="AR222" i="9"/>
  <c r="AU222" i="9"/>
  <c r="AV222" i="9"/>
  <c r="AW222" i="9"/>
  <c r="AX222" i="9"/>
  <c r="BC222" i="9"/>
  <c r="BD222" i="9"/>
  <c r="BE222" i="9"/>
  <c r="BI222" i="9"/>
  <c r="BJ222" i="9"/>
  <c r="BK222" i="9"/>
  <c r="BL222" i="9"/>
  <c r="BM222" i="9"/>
  <c r="BN222" i="9"/>
  <c r="BQ222" i="9"/>
  <c r="BR222" i="9"/>
  <c r="BV222" i="9"/>
  <c r="AC223" i="9"/>
  <c r="M223" i="9"/>
  <c r="N223" i="9"/>
  <c r="O223" i="9"/>
  <c r="P223" i="9"/>
  <c r="Q223" i="9"/>
  <c r="R223" i="9"/>
  <c r="S223" i="9"/>
  <c r="T223" i="9"/>
  <c r="U223" i="9"/>
  <c r="V223" i="9"/>
  <c r="W223" i="9"/>
  <c r="Z223" i="9"/>
  <c r="AA223" i="9"/>
  <c r="AB223" i="9"/>
  <c r="AD223" i="9"/>
  <c r="AE223" i="9"/>
  <c r="AF223" i="9"/>
  <c r="AG223" i="9"/>
  <c r="AH223" i="9"/>
  <c r="AI223" i="9"/>
  <c r="AJ223" i="9"/>
  <c r="AK223" i="9"/>
  <c r="AL223" i="9"/>
  <c r="AM223" i="9"/>
  <c r="AN223" i="9"/>
  <c r="AO223" i="9"/>
  <c r="AP223" i="9"/>
  <c r="AQ223" i="9"/>
  <c r="AR223" i="9"/>
  <c r="AU223" i="9"/>
  <c r="AV223" i="9"/>
  <c r="AW223" i="9"/>
  <c r="AX223" i="9"/>
  <c r="BC223" i="9"/>
  <c r="BD223" i="9"/>
  <c r="BE223" i="9"/>
  <c r="BI223" i="9"/>
  <c r="BJ223" i="9"/>
  <c r="BK223" i="9"/>
  <c r="BL223" i="9"/>
  <c r="BM223" i="9"/>
  <c r="BN223" i="9"/>
  <c r="BQ223" i="9"/>
  <c r="BR223" i="9"/>
  <c r="BV223" i="9"/>
  <c r="EB223" i="9"/>
  <c r="AC224" i="9"/>
  <c r="M224" i="9"/>
  <c r="N224" i="9"/>
  <c r="O224" i="9"/>
  <c r="P224" i="9"/>
  <c r="Q224" i="9"/>
  <c r="R224" i="9"/>
  <c r="S224" i="9"/>
  <c r="T224" i="9"/>
  <c r="U224" i="9"/>
  <c r="V224" i="9"/>
  <c r="W224" i="9"/>
  <c r="Z224" i="9"/>
  <c r="AA224" i="9"/>
  <c r="AB224" i="9"/>
  <c r="AD224" i="9"/>
  <c r="AE224" i="9"/>
  <c r="AF224" i="9"/>
  <c r="AG224" i="9"/>
  <c r="AH224" i="9"/>
  <c r="AI224" i="9"/>
  <c r="AJ224" i="9"/>
  <c r="AK224" i="9"/>
  <c r="AL224" i="9"/>
  <c r="AM224" i="9"/>
  <c r="AN224" i="9"/>
  <c r="AO224" i="9"/>
  <c r="AP224" i="9"/>
  <c r="AQ224" i="9"/>
  <c r="AR224" i="9"/>
  <c r="AU224" i="9"/>
  <c r="AV224" i="9"/>
  <c r="AW224" i="9"/>
  <c r="AX224" i="9"/>
  <c r="BC224" i="9"/>
  <c r="BD224" i="9"/>
  <c r="BE224" i="9"/>
  <c r="BI224" i="9"/>
  <c r="BJ224" i="9"/>
  <c r="BK224" i="9"/>
  <c r="BL224" i="9"/>
  <c r="BM224" i="9"/>
  <c r="BN224" i="9"/>
  <c r="BQ224" i="9"/>
  <c r="BR224" i="9"/>
  <c r="BV224" i="9"/>
  <c r="AC225" i="9"/>
  <c r="M225" i="9"/>
  <c r="N225" i="9"/>
  <c r="O225" i="9"/>
  <c r="P225" i="9"/>
  <c r="Q225" i="9"/>
  <c r="R225" i="9"/>
  <c r="S225" i="9"/>
  <c r="T225" i="9"/>
  <c r="U225" i="9"/>
  <c r="V225" i="9"/>
  <c r="W225" i="9"/>
  <c r="Z225" i="9"/>
  <c r="AA225" i="9"/>
  <c r="AB225" i="9"/>
  <c r="AD225" i="9"/>
  <c r="AE225" i="9"/>
  <c r="AF225" i="9"/>
  <c r="AG225" i="9"/>
  <c r="AH225" i="9"/>
  <c r="AI225" i="9"/>
  <c r="AJ225" i="9"/>
  <c r="AK225" i="9"/>
  <c r="AL225" i="9"/>
  <c r="AM225" i="9"/>
  <c r="AN225" i="9"/>
  <c r="AO225" i="9"/>
  <c r="AP225" i="9"/>
  <c r="AQ225" i="9"/>
  <c r="AR225" i="9"/>
  <c r="AU225" i="9"/>
  <c r="AV225" i="9"/>
  <c r="AW225" i="9"/>
  <c r="AX225" i="9"/>
  <c r="BC225" i="9"/>
  <c r="BD225" i="9"/>
  <c r="BE225" i="9"/>
  <c r="BI225" i="9"/>
  <c r="BJ225" i="9"/>
  <c r="BK225" i="9"/>
  <c r="BL225" i="9"/>
  <c r="BM225" i="9"/>
  <c r="BN225" i="9"/>
  <c r="BQ225" i="9"/>
  <c r="BR225" i="9"/>
  <c r="BV225" i="9"/>
  <c r="AC226" i="9"/>
  <c r="M226" i="9"/>
  <c r="N226" i="9"/>
  <c r="O226" i="9"/>
  <c r="P226" i="9"/>
  <c r="Q226" i="9"/>
  <c r="R226" i="9"/>
  <c r="S226" i="9"/>
  <c r="T226" i="9"/>
  <c r="U226" i="9"/>
  <c r="V226" i="9"/>
  <c r="W226" i="9"/>
  <c r="Z226" i="9"/>
  <c r="AA226" i="9"/>
  <c r="AB226" i="9"/>
  <c r="AD226" i="9"/>
  <c r="AE226" i="9"/>
  <c r="AF226" i="9"/>
  <c r="AG226" i="9"/>
  <c r="AH226" i="9"/>
  <c r="AI226" i="9"/>
  <c r="AJ226" i="9"/>
  <c r="AK226" i="9"/>
  <c r="AL226" i="9"/>
  <c r="AM226" i="9"/>
  <c r="AN226" i="9"/>
  <c r="AO226" i="9"/>
  <c r="AP226" i="9"/>
  <c r="AQ226" i="9"/>
  <c r="AR226" i="9"/>
  <c r="AU226" i="9"/>
  <c r="AV226" i="9"/>
  <c r="AW226" i="9"/>
  <c r="AX226" i="9"/>
  <c r="BC226" i="9"/>
  <c r="BD226" i="9"/>
  <c r="BE226" i="9"/>
  <c r="BI226" i="9"/>
  <c r="BJ226" i="9"/>
  <c r="BK226" i="9"/>
  <c r="BL226" i="9"/>
  <c r="BM226" i="9"/>
  <c r="BN226" i="9"/>
  <c r="BQ226" i="9"/>
  <c r="BR226" i="9"/>
  <c r="BV226" i="9"/>
  <c r="AC227" i="9"/>
  <c r="M227" i="9"/>
  <c r="N227" i="9"/>
  <c r="O227" i="9"/>
  <c r="P227" i="9"/>
  <c r="Q227" i="9"/>
  <c r="R227" i="9"/>
  <c r="S227" i="9"/>
  <c r="T227" i="9"/>
  <c r="U227" i="9"/>
  <c r="V227" i="9"/>
  <c r="W227" i="9"/>
  <c r="Z227" i="9"/>
  <c r="AA227" i="9"/>
  <c r="AB227" i="9"/>
  <c r="AD227" i="9"/>
  <c r="AE227" i="9"/>
  <c r="AF227" i="9"/>
  <c r="AG227" i="9"/>
  <c r="AH227" i="9"/>
  <c r="AI227" i="9"/>
  <c r="AJ227" i="9"/>
  <c r="AK227" i="9"/>
  <c r="AL227" i="9"/>
  <c r="AM227" i="9"/>
  <c r="AN227" i="9"/>
  <c r="AO227" i="9"/>
  <c r="AP227" i="9"/>
  <c r="AQ227" i="9"/>
  <c r="AR227" i="9"/>
  <c r="AU227" i="9"/>
  <c r="AV227" i="9"/>
  <c r="AW227" i="9"/>
  <c r="AX227" i="9"/>
  <c r="BC227" i="9"/>
  <c r="BD227" i="9"/>
  <c r="BE227" i="9"/>
  <c r="BI227" i="9"/>
  <c r="BJ227" i="9"/>
  <c r="BK227" i="9"/>
  <c r="BL227" i="9"/>
  <c r="BM227" i="9"/>
  <c r="BN227" i="9"/>
  <c r="BQ227" i="9"/>
  <c r="BR227" i="9"/>
  <c r="BV227" i="9"/>
  <c r="EB227" i="9"/>
  <c r="AC228" i="9"/>
  <c r="M228" i="9"/>
  <c r="N228" i="9"/>
  <c r="O228" i="9"/>
  <c r="EB228" i="9" s="1"/>
  <c r="P228" i="9"/>
  <c r="Q228" i="9"/>
  <c r="R228" i="9"/>
  <c r="S228" i="9"/>
  <c r="T228" i="9"/>
  <c r="U228" i="9"/>
  <c r="V228" i="9"/>
  <c r="W228" i="9"/>
  <c r="Z228" i="9"/>
  <c r="AA228" i="9"/>
  <c r="AB228" i="9"/>
  <c r="AD228" i="9"/>
  <c r="AE228" i="9"/>
  <c r="AF228" i="9"/>
  <c r="AG228" i="9"/>
  <c r="AH228" i="9"/>
  <c r="AI228" i="9"/>
  <c r="AJ228" i="9"/>
  <c r="AK228" i="9"/>
  <c r="AL228" i="9"/>
  <c r="AM228" i="9"/>
  <c r="AN228" i="9"/>
  <c r="AO228" i="9"/>
  <c r="AP228" i="9"/>
  <c r="AQ228" i="9"/>
  <c r="AR228" i="9"/>
  <c r="AU228" i="9"/>
  <c r="AV228" i="9"/>
  <c r="AW228" i="9"/>
  <c r="AX228" i="9"/>
  <c r="BC228" i="9"/>
  <c r="BD228" i="9"/>
  <c r="BE228" i="9"/>
  <c r="BI228" i="9"/>
  <c r="BJ228" i="9"/>
  <c r="BK228" i="9"/>
  <c r="BL228" i="9"/>
  <c r="BM228" i="9"/>
  <c r="BN228" i="9"/>
  <c r="BQ228" i="9"/>
  <c r="BR228" i="9"/>
  <c r="BV228" i="9"/>
  <c r="AC229" i="9"/>
  <c r="M229" i="9"/>
  <c r="N229" i="9"/>
  <c r="O229" i="9"/>
  <c r="P229" i="9"/>
  <c r="Q229" i="9"/>
  <c r="R229" i="9"/>
  <c r="S229" i="9"/>
  <c r="T229" i="9"/>
  <c r="U229" i="9"/>
  <c r="V229" i="9"/>
  <c r="W229" i="9"/>
  <c r="Z229" i="9"/>
  <c r="AA229" i="9"/>
  <c r="AB229" i="9"/>
  <c r="AD229" i="9"/>
  <c r="AE229" i="9"/>
  <c r="AF229" i="9"/>
  <c r="AG229" i="9"/>
  <c r="AH229" i="9"/>
  <c r="AI229" i="9"/>
  <c r="AJ229" i="9"/>
  <c r="AK229" i="9"/>
  <c r="AL229" i="9"/>
  <c r="AM229" i="9"/>
  <c r="AN229" i="9"/>
  <c r="AO229" i="9"/>
  <c r="AP229" i="9"/>
  <c r="AQ229" i="9"/>
  <c r="AR229" i="9"/>
  <c r="AU229" i="9"/>
  <c r="AV229" i="9"/>
  <c r="AW229" i="9"/>
  <c r="AX229" i="9"/>
  <c r="BC229" i="9"/>
  <c r="BD229" i="9"/>
  <c r="BE229" i="9"/>
  <c r="BI229" i="9"/>
  <c r="BJ229" i="9"/>
  <c r="BK229" i="9"/>
  <c r="BL229" i="9"/>
  <c r="BM229" i="9"/>
  <c r="BN229" i="9"/>
  <c r="BQ229" i="9"/>
  <c r="BR229" i="9"/>
  <c r="BV229" i="9"/>
  <c r="AC230" i="9"/>
  <c r="M230" i="9"/>
  <c r="N230" i="9"/>
  <c r="O230" i="9"/>
  <c r="P230" i="9"/>
  <c r="Q230" i="9"/>
  <c r="R230" i="9"/>
  <c r="S230" i="9"/>
  <c r="T230" i="9"/>
  <c r="U230" i="9"/>
  <c r="V230" i="9"/>
  <c r="W230" i="9"/>
  <c r="Z230" i="9"/>
  <c r="AA230" i="9"/>
  <c r="AB230" i="9"/>
  <c r="AD230" i="9"/>
  <c r="AE230" i="9"/>
  <c r="AF230" i="9"/>
  <c r="AG230" i="9"/>
  <c r="AH230" i="9"/>
  <c r="AI230" i="9"/>
  <c r="AJ230" i="9"/>
  <c r="AK230" i="9"/>
  <c r="AL230" i="9"/>
  <c r="AM230" i="9"/>
  <c r="AN230" i="9"/>
  <c r="AO230" i="9"/>
  <c r="AP230" i="9"/>
  <c r="AQ230" i="9"/>
  <c r="AR230" i="9"/>
  <c r="AU230" i="9"/>
  <c r="AV230" i="9"/>
  <c r="AW230" i="9"/>
  <c r="AX230" i="9"/>
  <c r="BC230" i="9"/>
  <c r="BD230" i="9"/>
  <c r="BE230" i="9"/>
  <c r="BI230" i="9"/>
  <c r="BJ230" i="9"/>
  <c r="BK230" i="9"/>
  <c r="BL230" i="9"/>
  <c r="BM230" i="9"/>
  <c r="BN230" i="9"/>
  <c r="BQ230" i="9"/>
  <c r="BR230" i="9"/>
  <c r="BV230" i="9"/>
  <c r="AC231" i="9"/>
  <c r="M231" i="9"/>
  <c r="N231" i="9"/>
  <c r="O231" i="9"/>
  <c r="P231" i="9"/>
  <c r="Q231" i="9"/>
  <c r="R231" i="9"/>
  <c r="S231" i="9"/>
  <c r="T231" i="9"/>
  <c r="U231" i="9"/>
  <c r="V231" i="9"/>
  <c r="W231" i="9"/>
  <c r="Z231" i="9"/>
  <c r="AA231" i="9"/>
  <c r="AB231" i="9"/>
  <c r="AD231" i="9"/>
  <c r="AE231" i="9"/>
  <c r="AF231" i="9"/>
  <c r="AG231" i="9"/>
  <c r="AH231" i="9"/>
  <c r="AI231" i="9"/>
  <c r="AJ231" i="9"/>
  <c r="AK231" i="9"/>
  <c r="AL231" i="9"/>
  <c r="AM231" i="9"/>
  <c r="AN231" i="9"/>
  <c r="AO231" i="9"/>
  <c r="AP231" i="9"/>
  <c r="AQ231" i="9"/>
  <c r="AR231" i="9"/>
  <c r="AU231" i="9"/>
  <c r="AV231" i="9"/>
  <c r="AW231" i="9"/>
  <c r="AX231" i="9"/>
  <c r="BC231" i="9"/>
  <c r="BD231" i="9"/>
  <c r="BE231" i="9"/>
  <c r="BI231" i="9"/>
  <c r="BJ231" i="9"/>
  <c r="BK231" i="9"/>
  <c r="BL231" i="9"/>
  <c r="BM231" i="9"/>
  <c r="BN231" i="9"/>
  <c r="BQ231" i="9"/>
  <c r="BR231" i="9"/>
  <c r="BV231" i="9"/>
  <c r="EB231" i="9"/>
  <c r="AC232" i="9"/>
  <c r="M232" i="9"/>
  <c r="N232" i="9"/>
  <c r="O232" i="9"/>
  <c r="P232" i="9"/>
  <c r="Q232" i="9"/>
  <c r="R232" i="9"/>
  <c r="S232" i="9"/>
  <c r="T232" i="9"/>
  <c r="U232" i="9"/>
  <c r="V232" i="9"/>
  <c r="W232" i="9"/>
  <c r="Z232" i="9"/>
  <c r="AA232" i="9"/>
  <c r="AB232" i="9"/>
  <c r="AD232" i="9"/>
  <c r="AE232" i="9"/>
  <c r="AF232" i="9"/>
  <c r="AG232" i="9"/>
  <c r="AH232" i="9"/>
  <c r="AI232" i="9"/>
  <c r="AJ232" i="9"/>
  <c r="AK232" i="9"/>
  <c r="AL232" i="9"/>
  <c r="AM232" i="9"/>
  <c r="AN232" i="9"/>
  <c r="AO232" i="9"/>
  <c r="AP232" i="9"/>
  <c r="AQ232" i="9"/>
  <c r="AR232" i="9"/>
  <c r="AU232" i="9"/>
  <c r="AV232" i="9"/>
  <c r="AW232" i="9"/>
  <c r="AX232" i="9"/>
  <c r="BC232" i="9"/>
  <c r="BD232" i="9"/>
  <c r="BE232" i="9"/>
  <c r="BI232" i="9"/>
  <c r="BJ232" i="9"/>
  <c r="BK232" i="9"/>
  <c r="BL232" i="9"/>
  <c r="BM232" i="9"/>
  <c r="BN232" i="9"/>
  <c r="BQ232" i="9"/>
  <c r="BR232" i="9"/>
  <c r="BV232" i="9"/>
  <c r="AC233" i="9"/>
  <c r="M233" i="9"/>
  <c r="N233" i="9"/>
  <c r="O233" i="9"/>
  <c r="P233" i="9"/>
  <c r="Q233" i="9"/>
  <c r="R233" i="9"/>
  <c r="S233" i="9"/>
  <c r="T233" i="9"/>
  <c r="U233" i="9"/>
  <c r="V233" i="9"/>
  <c r="W233" i="9"/>
  <c r="Z233" i="9"/>
  <c r="AA233" i="9"/>
  <c r="AB233" i="9"/>
  <c r="AD233" i="9"/>
  <c r="AE233" i="9"/>
  <c r="AF233" i="9"/>
  <c r="AG233" i="9"/>
  <c r="AH233" i="9"/>
  <c r="AI233" i="9"/>
  <c r="AJ233" i="9"/>
  <c r="AK233" i="9"/>
  <c r="AL233" i="9"/>
  <c r="AM233" i="9"/>
  <c r="AN233" i="9"/>
  <c r="AO233" i="9"/>
  <c r="AP233" i="9"/>
  <c r="AQ233" i="9"/>
  <c r="AR233" i="9"/>
  <c r="AU233" i="9"/>
  <c r="AV233" i="9"/>
  <c r="AW233" i="9"/>
  <c r="AX233" i="9"/>
  <c r="BC233" i="9"/>
  <c r="BD233" i="9"/>
  <c r="BE233" i="9"/>
  <c r="BI233" i="9"/>
  <c r="BJ233" i="9"/>
  <c r="BK233" i="9"/>
  <c r="BL233" i="9"/>
  <c r="BM233" i="9"/>
  <c r="BN233" i="9"/>
  <c r="BQ233" i="9"/>
  <c r="BR233" i="9"/>
  <c r="BV233" i="9"/>
  <c r="AC234" i="9"/>
  <c r="M234" i="9"/>
  <c r="N234" i="9"/>
  <c r="O234" i="9"/>
  <c r="P234" i="9"/>
  <c r="Q234" i="9"/>
  <c r="R234" i="9"/>
  <c r="S234" i="9"/>
  <c r="T234" i="9"/>
  <c r="U234" i="9"/>
  <c r="V234" i="9"/>
  <c r="W234" i="9"/>
  <c r="Z234" i="9"/>
  <c r="AA234" i="9"/>
  <c r="AB234" i="9"/>
  <c r="AD234" i="9"/>
  <c r="AE234" i="9"/>
  <c r="AF234" i="9"/>
  <c r="AG234" i="9"/>
  <c r="AH234" i="9"/>
  <c r="AI234" i="9"/>
  <c r="AJ234" i="9"/>
  <c r="AK234" i="9"/>
  <c r="AL234" i="9"/>
  <c r="AM234" i="9"/>
  <c r="AN234" i="9"/>
  <c r="AO234" i="9"/>
  <c r="AP234" i="9"/>
  <c r="AQ234" i="9"/>
  <c r="AR234" i="9"/>
  <c r="AU234" i="9"/>
  <c r="AV234" i="9"/>
  <c r="AW234" i="9"/>
  <c r="AX234" i="9"/>
  <c r="BC234" i="9"/>
  <c r="BD234" i="9"/>
  <c r="BE234" i="9"/>
  <c r="BI234" i="9"/>
  <c r="BJ234" i="9"/>
  <c r="BK234" i="9"/>
  <c r="BL234" i="9"/>
  <c r="BM234" i="9"/>
  <c r="BN234" i="9"/>
  <c r="BQ234" i="9"/>
  <c r="BR234" i="9"/>
  <c r="BV234" i="9"/>
  <c r="AC235" i="9"/>
  <c r="M235" i="9"/>
  <c r="N235" i="9"/>
  <c r="O235" i="9"/>
  <c r="P235" i="9"/>
  <c r="Q235" i="9"/>
  <c r="R235" i="9"/>
  <c r="S235" i="9"/>
  <c r="T235" i="9"/>
  <c r="U235" i="9"/>
  <c r="V235" i="9"/>
  <c r="W235" i="9"/>
  <c r="Z235" i="9"/>
  <c r="AA235" i="9"/>
  <c r="AB235" i="9"/>
  <c r="AD235" i="9"/>
  <c r="AE235" i="9"/>
  <c r="AF235" i="9"/>
  <c r="AG235" i="9"/>
  <c r="AH235" i="9"/>
  <c r="AI235" i="9"/>
  <c r="AJ235" i="9"/>
  <c r="AK235" i="9"/>
  <c r="AL235" i="9"/>
  <c r="AM235" i="9"/>
  <c r="AN235" i="9"/>
  <c r="AO235" i="9"/>
  <c r="AP235" i="9"/>
  <c r="AQ235" i="9"/>
  <c r="AR235" i="9"/>
  <c r="AU235" i="9"/>
  <c r="AV235" i="9"/>
  <c r="AW235" i="9"/>
  <c r="AX235" i="9"/>
  <c r="BC235" i="9"/>
  <c r="BD235" i="9"/>
  <c r="BE235" i="9"/>
  <c r="BI235" i="9"/>
  <c r="BJ235" i="9"/>
  <c r="BK235" i="9"/>
  <c r="BL235" i="9"/>
  <c r="BM235" i="9"/>
  <c r="BN235" i="9"/>
  <c r="BQ235" i="9"/>
  <c r="BR235" i="9"/>
  <c r="BV235" i="9"/>
  <c r="EB235" i="9"/>
  <c r="AC236" i="9"/>
  <c r="M236" i="9"/>
  <c r="N236" i="9"/>
  <c r="O236" i="9"/>
  <c r="EB236" i="9" s="1"/>
  <c r="P236" i="9"/>
  <c r="Q236" i="9"/>
  <c r="R236" i="9"/>
  <c r="S236" i="9"/>
  <c r="T236" i="9"/>
  <c r="U236" i="9"/>
  <c r="V236" i="9"/>
  <c r="W236" i="9"/>
  <c r="Z236" i="9"/>
  <c r="AA236" i="9"/>
  <c r="AB236" i="9"/>
  <c r="AD236" i="9"/>
  <c r="AE236" i="9"/>
  <c r="AF236" i="9"/>
  <c r="AG236" i="9"/>
  <c r="AH236" i="9"/>
  <c r="AI236" i="9"/>
  <c r="AJ236" i="9"/>
  <c r="AK236" i="9"/>
  <c r="AL236" i="9"/>
  <c r="AM236" i="9"/>
  <c r="AN236" i="9"/>
  <c r="AO236" i="9"/>
  <c r="AP236" i="9"/>
  <c r="AQ236" i="9"/>
  <c r="AR236" i="9"/>
  <c r="AU236" i="9"/>
  <c r="AV236" i="9"/>
  <c r="AW236" i="9"/>
  <c r="AX236" i="9"/>
  <c r="BC236" i="9"/>
  <c r="BD236" i="9"/>
  <c r="BE236" i="9"/>
  <c r="BI236" i="9"/>
  <c r="BJ236" i="9"/>
  <c r="BK236" i="9"/>
  <c r="BL236" i="9"/>
  <c r="BM236" i="9"/>
  <c r="BN236" i="9"/>
  <c r="BQ236" i="9"/>
  <c r="BR236" i="9"/>
  <c r="BV236" i="9"/>
  <c r="AC237" i="9"/>
  <c r="M237" i="9"/>
  <c r="N237" i="9"/>
  <c r="O237" i="9"/>
  <c r="P237" i="9"/>
  <c r="Q237" i="9"/>
  <c r="R237" i="9"/>
  <c r="S237" i="9"/>
  <c r="T237" i="9"/>
  <c r="U237" i="9"/>
  <c r="V237" i="9"/>
  <c r="W237" i="9"/>
  <c r="Z237" i="9"/>
  <c r="AA237" i="9"/>
  <c r="AB237" i="9"/>
  <c r="AD237" i="9"/>
  <c r="AE237" i="9"/>
  <c r="AF237" i="9"/>
  <c r="AG237" i="9"/>
  <c r="AH237" i="9"/>
  <c r="AI237" i="9"/>
  <c r="AJ237" i="9"/>
  <c r="AK237" i="9"/>
  <c r="AL237" i="9"/>
  <c r="AM237" i="9"/>
  <c r="AN237" i="9"/>
  <c r="AO237" i="9"/>
  <c r="AP237" i="9"/>
  <c r="AQ237" i="9"/>
  <c r="AR237" i="9"/>
  <c r="AU237" i="9"/>
  <c r="AV237" i="9"/>
  <c r="AW237" i="9"/>
  <c r="AX237" i="9"/>
  <c r="BC237" i="9"/>
  <c r="BD237" i="9"/>
  <c r="BE237" i="9"/>
  <c r="BI237" i="9"/>
  <c r="BJ237" i="9"/>
  <c r="BK237" i="9"/>
  <c r="BL237" i="9"/>
  <c r="BM237" i="9"/>
  <c r="BN237" i="9"/>
  <c r="BQ237" i="9"/>
  <c r="BR237" i="9"/>
  <c r="BV237" i="9"/>
  <c r="AC238" i="9"/>
  <c r="M238" i="9"/>
  <c r="N238" i="9"/>
  <c r="O238" i="9"/>
  <c r="P238" i="9"/>
  <c r="Q238" i="9"/>
  <c r="R238" i="9"/>
  <c r="S238" i="9"/>
  <c r="T238" i="9"/>
  <c r="U238" i="9"/>
  <c r="V238" i="9"/>
  <c r="W238" i="9"/>
  <c r="Z238" i="9"/>
  <c r="AA238" i="9"/>
  <c r="AB238" i="9"/>
  <c r="AD238" i="9"/>
  <c r="AE238" i="9"/>
  <c r="AF238" i="9"/>
  <c r="AG238" i="9"/>
  <c r="AH238" i="9"/>
  <c r="AI238" i="9"/>
  <c r="AJ238" i="9"/>
  <c r="AK238" i="9"/>
  <c r="AL238" i="9"/>
  <c r="AM238" i="9"/>
  <c r="AN238" i="9"/>
  <c r="AO238" i="9"/>
  <c r="AP238" i="9"/>
  <c r="AQ238" i="9"/>
  <c r="AR238" i="9"/>
  <c r="AU238" i="9"/>
  <c r="AV238" i="9"/>
  <c r="AW238" i="9"/>
  <c r="AX238" i="9"/>
  <c r="BC238" i="9"/>
  <c r="BD238" i="9"/>
  <c r="BE238" i="9"/>
  <c r="BI238" i="9"/>
  <c r="BJ238" i="9"/>
  <c r="BK238" i="9"/>
  <c r="BL238" i="9"/>
  <c r="BM238" i="9"/>
  <c r="BN238" i="9"/>
  <c r="BQ238" i="9"/>
  <c r="BR238" i="9"/>
  <c r="BV238" i="9"/>
  <c r="AC239" i="9"/>
  <c r="M239" i="9"/>
  <c r="N239" i="9"/>
  <c r="O239" i="9"/>
  <c r="P239" i="9"/>
  <c r="Q239" i="9"/>
  <c r="R239" i="9"/>
  <c r="S239" i="9"/>
  <c r="T239" i="9"/>
  <c r="U239" i="9"/>
  <c r="V239" i="9"/>
  <c r="W239" i="9"/>
  <c r="Z239" i="9"/>
  <c r="AA239" i="9"/>
  <c r="AB239" i="9"/>
  <c r="AD239" i="9"/>
  <c r="AE239" i="9"/>
  <c r="AF239" i="9"/>
  <c r="AG239" i="9"/>
  <c r="AH239" i="9"/>
  <c r="AI239" i="9"/>
  <c r="AJ239" i="9"/>
  <c r="AK239" i="9"/>
  <c r="AL239" i="9"/>
  <c r="AM239" i="9"/>
  <c r="AN239" i="9"/>
  <c r="AO239" i="9"/>
  <c r="AP239" i="9"/>
  <c r="AQ239" i="9"/>
  <c r="AR239" i="9"/>
  <c r="AU239" i="9"/>
  <c r="AV239" i="9"/>
  <c r="AW239" i="9"/>
  <c r="AX239" i="9"/>
  <c r="BC239" i="9"/>
  <c r="BD239" i="9"/>
  <c r="BE239" i="9"/>
  <c r="BI239" i="9"/>
  <c r="BJ239" i="9"/>
  <c r="BK239" i="9"/>
  <c r="BL239" i="9"/>
  <c r="BM239" i="9"/>
  <c r="BN239" i="9"/>
  <c r="BQ239" i="9"/>
  <c r="BR239" i="9"/>
  <c r="BV239" i="9"/>
  <c r="EB239" i="9"/>
  <c r="AC240" i="9"/>
  <c r="M240" i="9"/>
  <c r="N240" i="9"/>
  <c r="O240" i="9"/>
  <c r="P240" i="9"/>
  <c r="Q240" i="9"/>
  <c r="R240" i="9"/>
  <c r="S240" i="9"/>
  <c r="T240" i="9"/>
  <c r="U240" i="9"/>
  <c r="V240" i="9"/>
  <c r="W240" i="9"/>
  <c r="Z240" i="9"/>
  <c r="AA240" i="9"/>
  <c r="AB240" i="9"/>
  <c r="AD240" i="9"/>
  <c r="AE240" i="9"/>
  <c r="AF240" i="9"/>
  <c r="AG240" i="9"/>
  <c r="AH240" i="9"/>
  <c r="AI240" i="9"/>
  <c r="AJ240" i="9"/>
  <c r="AK240" i="9"/>
  <c r="AL240" i="9"/>
  <c r="AM240" i="9"/>
  <c r="AN240" i="9"/>
  <c r="AO240" i="9"/>
  <c r="AP240" i="9"/>
  <c r="AQ240" i="9"/>
  <c r="AR240" i="9"/>
  <c r="AU240" i="9"/>
  <c r="AV240" i="9"/>
  <c r="AW240" i="9"/>
  <c r="AX240" i="9"/>
  <c r="BC240" i="9"/>
  <c r="BD240" i="9"/>
  <c r="BE240" i="9"/>
  <c r="BI240" i="9"/>
  <c r="BJ240" i="9"/>
  <c r="BK240" i="9"/>
  <c r="BL240" i="9"/>
  <c r="BM240" i="9"/>
  <c r="BN240" i="9"/>
  <c r="BQ240" i="9"/>
  <c r="BR240" i="9"/>
  <c r="BV240" i="9"/>
  <c r="AC241" i="9"/>
  <c r="M241" i="9"/>
  <c r="N241" i="9"/>
  <c r="O241" i="9"/>
  <c r="P241" i="9"/>
  <c r="Q241" i="9"/>
  <c r="R241" i="9"/>
  <c r="S241" i="9"/>
  <c r="T241" i="9"/>
  <c r="U241" i="9"/>
  <c r="V241" i="9"/>
  <c r="W241" i="9"/>
  <c r="Z241" i="9"/>
  <c r="AA241" i="9"/>
  <c r="AB241" i="9"/>
  <c r="AD241" i="9"/>
  <c r="AE241" i="9"/>
  <c r="AF241" i="9"/>
  <c r="AG241" i="9"/>
  <c r="AH241" i="9"/>
  <c r="AI241" i="9"/>
  <c r="AJ241" i="9"/>
  <c r="AK241" i="9"/>
  <c r="AL241" i="9"/>
  <c r="AM241" i="9"/>
  <c r="AN241" i="9"/>
  <c r="AO241" i="9"/>
  <c r="AP241" i="9"/>
  <c r="AQ241" i="9"/>
  <c r="AR241" i="9"/>
  <c r="AU241" i="9"/>
  <c r="AV241" i="9"/>
  <c r="AW241" i="9"/>
  <c r="AX241" i="9"/>
  <c r="BC241" i="9"/>
  <c r="BD241" i="9"/>
  <c r="BE241" i="9"/>
  <c r="BI241" i="9"/>
  <c r="BJ241" i="9"/>
  <c r="BK241" i="9"/>
  <c r="BL241" i="9"/>
  <c r="BM241" i="9"/>
  <c r="BN241" i="9"/>
  <c r="BQ241" i="9"/>
  <c r="BR241" i="9"/>
  <c r="BV241" i="9"/>
  <c r="AC242" i="9"/>
  <c r="M242" i="9"/>
  <c r="N242" i="9"/>
  <c r="O242" i="9"/>
  <c r="P242" i="9"/>
  <c r="Q242" i="9"/>
  <c r="R242" i="9"/>
  <c r="S242" i="9"/>
  <c r="T242" i="9"/>
  <c r="U242" i="9"/>
  <c r="V242" i="9"/>
  <c r="W242" i="9"/>
  <c r="Z242" i="9"/>
  <c r="AA242" i="9"/>
  <c r="AB242" i="9"/>
  <c r="AD242" i="9"/>
  <c r="AE242" i="9"/>
  <c r="AF242" i="9"/>
  <c r="AG242" i="9"/>
  <c r="AH242" i="9"/>
  <c r="AI242" i="9"/>
  <c r="AJ242" i="9"/>
  <c r="AK242" i="9"/>
  <c r="AL242" i="9"/>
  <c r="AM242" i="9"/>
  <c r="AN242" i="9"/>
  <c r="AO242" i="9"/>
  <c r="AP242" i="9"/>
  <c r="AQ242" i="9"/>
  <c r="AR242" i="9"/>
  <c r="AU242" i="9"/>
  <c r="AV242" i="9"/>
  <c r="AW242" i="9"/>
  <c r="AX242" i="9"/>
  <c r="BC242" i="9"/>
  <c r="BD242" i="9"/>
  <c r="BE242" i="9"/>
  <c r="BI242" i="9"/>
  <c r="BJ242" i="9"/>
  <c r="BK242" i="9"/>
  <c r="BL242" i="9"/>
  <c r="BM242" i="9"/>
  <c r="BN242" i="9"/>
  <c r="BQ242" i="9"/>
  <c r="BR242" i="9"/>
  <c r="BV242" i="9"/>
  <c r="AC243" i="9"/>
  <c r="M243" i="9"/>
  <c r="N243" i="9"/>
  <c r="O243" i="9"/>
  <c r="P243" i="9"/>
  <c r="Q243" i="9"/>
  <c r="R243" i="9"/>
  <c r="S243" i="9"/>
  <c r="T243" i="9"/>
  <c r="U243" i="9"/>
  <c r="V243" i="9"/>
  <c r="W243" i="9"/>
  <c r="Z243" i="9"/>
  <c r="AA243" i="9"/>
  <c r="AB243" i="9"/>
  <c r="AD243" i="9"/>
  <c r="AE243" i="9"/>
  <c r="AF243" i="9"/>
  <c r="AG243" i="9"/>
  <c r="AH243" i="9"/>
  <c r="AI243" i="9"/>
  <c r="AJ243" i="9"/>
  <c r="AK243" i="9"/>
  <c r="AL243" i="9"/>
  <c r="AM243" i="9"/>
  <c r="AN243" i="9"/>
  <c r="AO243" i="9"/>
  <c r="AP243" i="9"/>
  <c r="AQ243" i="9"/>
  <c r="AR243" i="9"/>
  <c r="AU243" i="9"/>
  <c r="AV243" i="9"/>
  <c r="AW243" i="9"/>
  <c r="AX243" i="9"/>
  <c r="BC243" i="9"/>
  <c r="BD243" i="9"/>
  <c r="BE243" i="9"/>
  <c r="BI243" i="9"/>
  <c r="BJ243" i="9"/>
  <c r="BK243" i="9"/>
  <c r="BL243" i="9"/>
  <c r="BM243" i="9"/>
  <c r="BN243" i="9"/>
  <c r="BQ243" i="9"/>
  <c r="BR243" i="9"/>
  <c r="BV243" i="9"/>
  <c r="EB243" i="9"/>
  <c r="AC244" i="9"/>
  <c r="M244" i="9"/>
  <c r="N244" i="9"/>
  <c r="O244" i="9"/>
  <c r="EB244" i="9" s="1"/>
  <c r="P244" i="9"/>
  <c r="Q244" i="9"/>
  <c r="R244" i="9"/>
  <c r="S244" i="9"/>
  <c r="T244" i="9"/>
  <c r="U244" i="9"/>
  <c r="V244" i="9"/>
  <c r="W244" i="9"/>
  <c r="Z244" i="9"/>
  <c r="AA244" i="9"/>
  <c r="AB244" i="9"/>
  <c r="AD244" i="9"/>
  <c r="AE244" i="9"/>
  <c r="AF244" i="9"/>
  <c r="AG244" i="9"/>
  <c r="AH244" i="9"/>
  <c r="AI244" i="9"/>
  <c r="AJ244" i="9"/>
  <c r="AK244" i="9"/>
  <c r="AL244" i="9"/>
  <c r="AM244" i="9"/>
  <c r="AN244" i="9"/>
  <c r="AO244" i="9"/>
  <c r="AP244" i="9"/>
  <c r="AQ244" i="9"/>
  <c r="AR244" i="9"/>
  <c r="AU244" i="9"/>
  <c r="AV244" i="9"/>
  <c r="AW244" i="9"/>
  <c r="AX244" i="9"/>
  <c r="BC244" i="9"/>
  <c r="BD244" i="9"/>
  <c r="BE244" i="9"/>
  <c r="BI244" i="9"/>
  <c r="BJ244" i="9"/>
  <c r="BK244" i="9"/>
  <c r="BL244" i="9"/>
  <c r="BM244" i="9"/>
  <c r="BN244" i="9"/>
  <c r="BQ244" i="9"/>
  <c r="BR244" i="9"/>
  <c r="BV244" i="9"/>
  <c r="AC245" i="9"/>
  <c r="M245" i="9"/>
  <c r="N245" i="9"/>
  <c r="O245" i="9"/>
  <c r="P245" i="9"/>
  <c r="Q245" i="9"/>
  <c r="R245" i="9"/>
  <c r="S245" i="9"/>
  <c r="T245" i="9"/>
  <c r="U245" i="9"/>
  <c r="V245" i="9"/>
  <c r="W245" i="9"/>
  <c r="Z245" i="9"/>
  <c r="AA245" i="9"/>
  <c r="AB245" i="9"/>
  <c r="AD245" i="9"/>
  <c r="AE245" i="9"/>
  <c r="AF245" i="9"/>
  <c r="AG245" i="9"/>
  <c r="AH245" i="9"/>
  <c r="AI245" i="9"/>
  <c r="AJ245" i="9"/>
  <c r="AK245" i="9"/>
  <c r="AL245" i="9"/>
  <c r="AM245" i="9"/>
  <c r="AN245" i="9"/>
  <c r="AO245" i="9"/>
  <c r="AP245" i="9"/>
  <c r="AQ245" i="9"/>
  <c r="AR245" i="9"/>
  <c r="AU245" i="9"/>
  <c r="AV245" i="9"/>
  <c r="AW245" i="9"/>
  <c r="AX245" i="9"/>
  <c r="BC245" i="9"/>
  <c r="BD245" i="9"/>
  <c r="BE245" i="9"/>
  <c r="BI245" i="9"/>
  <c r="BJ245" i="9"/>
  <c r="BK245" i="9"/>
  <c r="BL245" i="9"/>
  <c r="BM245" i="9"/>
  <c r="BN245" i="9"/>
  <c r="BQ245" i="9"/>
  <c r="BR245" i="9"/>
  <c r="BV245" i="9"/>
  <c r="AC246" i="9"/>
  <c r="M246" i="9"/>
  <c r="Q246" i="9"/>
  <c r="T246" i="9"/>
  <c r="U246" i="9"/>
  <c r="AA246" i="9"/>
  <c r="AE246" i="9"/>
  <c r="EB246" i="9" s="1"/>
  <c r="AF246" i="9"/>
  <c r="AJ246" i="9"/>
  <c r="AM246" i="9"/>
  <c r="AN246" i="9"/>
  <c r="AR246" i="9"/>
  <c r="AW246" i="9"/>
  <c r="AX246" i="9"/>
  <c r="BI246" i="9"/>
  <c r="BL246" i="9"/>
  <c r="BM246" i="9"/>
  <c r="BV246" i="9"/>
  <c r="D209" i="9"/>
  <c r="D212" i="9"/>
  <c r="E209" i="9"/>
  <c r="E212" i="9"/>
  <c r="F209" i="9"/>
  <c r="F212" i="9"/>
  <c r="DQ212" i="9" s="1"/>
  <c r="G209" i="9"/>
  <c r="G212" i="9"/>
  <c r="H209" i="9"/>
  <c r="H212" i="9"/>
  <c r="I209" i="9"/>
  <c r="I212" i="9"/>
  <c r="J209" i="9"/>
  <c r="J212" i="9"/>
  <c r="K209" i="9"/>
  <c r="K212" i="9"/>
  <c r="L209" i="9"/>
  <c r="L212" i="9"/>
  <c r="X209" i="9"/>
  <c r="X212" i="9"/>
  <c r="Y209" i="9"/>
  <c r="Y212" i="9"/>
  <c r="AS209" i="9"/>
  <c r="AS212" i="9"/>
  <c r="AT209" i="9"/>
  <c r="AT212" i="9"/>
  <c r="AY209" i="9"/>
  <c r="AY212" i="9"/>
  <c r="AZ209" i="9"/>
  <c r="AZ212" i="9"/>
  <c r="BA209" i="9"/>
  <c r="BA212" i="9"/>
  <c r="BB209" i="9"/>
  <c r="BB212" i="9"/>
  <c r="BF209" i="9"/>
  <c r="BF212" i="9"/>
  <c r="BG209" i="9"/>
  <c r="BG212" i="9"/>
  <c r="BH209" i="9"/>
  <c r="BH212" i="9"/>
  <c r="AC130" i="9"/>
  <c r="M130" i="9"/>
  <c r="N130" i="9"/>
  <c r="O130" i="9"/>
  <c r="P130" i="9"/>
  <c r="Q130" i="9"/>
  <c r="R130" i="9"/>
  <c r="S130" i="9"/>
  <c r="T130" i="9"/>
  <c r="U130" i="9"/>
  <c r="V130" i="9"/>
  <c r="W130" i="9"/>
  <c r="Z130" i="9"/>
  <c r="AA130" i="9"/>
  <c r="AB130" i="9"/>
  <c r="AD130" i="9"/>
  <c r="AE130" i="9"/>
  <c r="AF130" i="9"/>
  <c r="AG130" i="9"/>
  <c r="AH130" i="9"/>
  <c r="AI130" i="9"/>
  <c r="AJ130" i="9"/>
  <c r="AK130" i="9"/>
  <c r="AL130" i="9"/>
  <c r="AM130" i="9"/>
  <c r="AN130" i="9"/>
  <c r="AO130" i="9"/>
  <c r="AP130" i="9"/>
  <c r="AQ130" i="9"/>
  <c r="AR130" i="9"/>
  <c r="AU130" i="9"/>
  <c r="AV130" i="9"/>
  <c r="AW130" i="9"/>
  <c r="AX130" i="9"/>
  <c r="BC130" i="9"/>
  <c r="BD130" i="9"/>
  <c r="BE130" i="9"/>
  <c r="BI130" i="9"/>
  <c r="BJ130" i="9"/>
  <c r="BK130" i="9"/>
  <c r="BL130" i="9"/>
  <c r="BM130" i="9"/>
  <c r="BN130" i="9"/>
  <c r="BQ130" i="9"/>
  <c r="BR130" i="9"/>
  <c r="BV130" i="9"/>
  <c r="EB130" i="9"/>
  <c r="AC131" i="9"/>
  <c r="M131" i="9"/>
  <c r="N131" i="9"/>
  <c r="O131" i="9"/>
  <c r="P131" i="9"/>
  <c r="Q131" i="9"/>
  <c r="R131" i="9"/>
  <c r="S131" i="9"/>
  <c r="T131" i="9"/>
  <c r="U131" i="9"/>
  <c r="V131" i="9"/>
  <c r="W131" i="9"/>
  <c r="Z131" i="9"/>
  <c r="AA131" i="9"/>
  <c r="AB131" i="9"/>
  <c r="AD131" i="9"/>
  <c r="AE131" i="9"/>
  <c r="AF131" i="9"/>
  <c r="AG131" i="9"/>
  <c r="AH131" i="9"/>
  <c r="AI131" i="9"/>
  <c r="AJ131" i="9"/>
  <c r="AK131" i="9"/>
  <c r="AL131" i="9"/>
  <c r="AM131" i="9"/>
  <c r="AN131" i="9"/>
  <c r="AO131" i="9"/>
  <c r="AP131" i="9"/>
  <c r="AQ131" i="9"/>
  <c r="AR131" i="9"/>
  <c r="AU131" i="9"/>
  <c r="AV131" i="9"/>
  <c r="AW131" i="9"/>
  <c r="AX131" i="9"/>
  <c r="BC131" i="9"/>
  <c r="BD131" i="9"/>
  <c r="BE131" i="9"/>
  <c r="BI131" i="9"/>
  <c r="BJ131" i="9"/>
  <c r="BK131" i="9"/>
  <c r="BL131" i="9"/>
  <c r="BM131" i="9"/>
  <c r="BN131" i="9"/>
  <c r="BQ131" i="9"/>
  <c r="BR131" i="9"/>
  <c r="BV131" i="9"/>
  <c r="AC132" i="9"/>
  <c r="M132" i="9"/>
  <c r="N132" i="9"/>
  <c r="O132" i="9"/>
  <c r="P132" i="9"/>
  <c r="Q132" i="9"/>
  <c r="R132" i="9"/>
  <c r="S132" i="9"/>
  <c r="T132" i="9"/>
  <c r="U132" i="9"/>
  <c r="V132" i="9"/>
  <c r="W132" i="9"/>
  <c r="Z132" i="9"/>
  <c r="AA132" i="9"/>
  <c r="AB132" i="9"/>
  <c r="AD132" i="9"/>
  <c r="AE132" i="9"/>
  <c r="AF132" i="9"/>
  <c r="AG132" i="9"/>
  <c r="AH132" i="9"/>
  <c r="AI132" i="9"/>
  <c r="AJ132" i="9"/>
  <c r="AK132" i="9"/>
  <c r="AL132" i="9"/>
  <c r="AM132" i="9"/>
  <c r="AN132" i="9"/>
  <c r="AO132" i="9"/>
  <c r="AP132" i="9"/>
  <c r="AQ132" i="9"/>
  <c r="AR132" i="9"/>
  <c r="AU132" i="9"/>
  <c r="AV132" i="9"/>
  <c r="AW132" i="9"/>
  <c r="AX132" i="9"/>
  <c r="BC132" i="9"/>
  <c r="BD132" i="9"/>
  <c r="BE132" i="9"/>
  <c r="BI132" i="9"/>
  <c r="BJ132" i="9"/>
  <c r="BK132" i="9"/>
  <c r="BL132" i="9"/>
  <c r="BM132" i="9"/>
  <c r="BN132" i="9"/>
  <c r="BQ132" i="9"/>
  <c r="BR132" i="9"/>
  <c r="BV132" i="9"/>
  <c r="AC133" i="9"/>
  <c r="M133" i="9"/>
  <c r="N133" i="9"/>
  <c r="O133" i="9"/>
  <c r="P133" i="9"/>
  <c r="Q133" i="9"/>
  <c r="R133" i="9"/>
  <c r="S133" i="9"/>
  <c r="T133" i="9"/>
  <c r="U133" i="9"/>
  <c r="V133" i="9"/>
  <c r="W133" i="9"/>
  <c r="Z133" i="9"/>
  <c r="AA133" i="9"/>
  <c r="AB133" i="9"/>
  <c r="AD133" i="9"/>
  <c r="AE133" i="9"/>
  <c r="AF133" i="9"/>
  <c r="AG133" i="9"/>
  <c r="AH133" i="9"/>
  <c r="AI133" i="9"/>
  <c r="AJ133" i="9"/>
  <c r="AK133" i="9"/>
  <c r="AL133" i="9"/>
  <c r="AM133" i="9"/>
  <c r="AN133" i="9"/>
  <c r="AO133" i="9"/>
  <c r="AP133" i="9"/>
  <c r="AQ133" i="9"/>
  <c r="AR133" i="9"/>
  <c r="AU133" i="9"/>
  <c r="AV133" i="9"/>
  <c r="AW133" i="9"/>
  <c r="AX133" i="9"/>
  <c r="BC133" i="9"/>
  <c r="BD133" i="9"/>
  <c r="BE133" i="9"/>
  <c r="BI133" i="9"/>
  <c r="BJ133" i="9"/>
  <c r="BK133" i="9"/>
  <c r="BL133" i="9"/>
  <c r="BM133" i="9"/>
  <c r="BN133" i="9"/>
  <c r="BQ133" i="9"/>
  <c r="BR133" i="9"/>
  <c r="BV133" i="9"/>
  <c r="AC134" i="9"/>
  <c r="M134" i="9"/>
  <c r="N134" i="9"/>
  <c r="O134" i="9"/>
  <c r="P134" i="9"/>
  <c r="Q134" i="9"/>
  <c r="R134" i="9"/>
  <c r="S134" i="9"/>
  <c r="T134" i="9"/>
  <c r="U134" i="9"/>
  <c r="V134" i="9"/>
  <c r="W134" i="9"/>
  <c r="Z134" i="9"/>
  <c r="AA134" i="9"/>
  <c r="AB134" i="9"/>
  <c r="AD134" i="9"/>
  <c r="AE134" i="9"/>
  <c r="AF134" i="9"/>
  <c r="AG134" i="9"/>
  <c r="AH134" i="9"/>
  <c r="AI134" i="9"/>
  <c r="AJ134" i="9"/>
  <c r="AK134" i="9"/>
  <c r="AL134" i="9"/>
  <c r="AM134" i="9"/>
  <c r="AN134" i="9"/>
  <c r="AO134" i="9"/>
  <c r="AP134" i="9"/>
  <c r="AQ134" i="9"/>
  <c r="AR134" i="9"/>
  <c r="AU134" i="9"/>
  <c r="AV134" i="9"/>
  <c r="AW134" i="9"/>
  <c r="AX134" i="9"/>
  <c r="BC134" i="9"/>
  <c r="BD134" i="9"/>
  <c r="BE134" i="9"/>
  <c r="BI134" i="9"/>
  <c r="BJ134" i="9"/>
  <c r="BK134" i="9"/>
  <c r="BL134" i="9"/>
  <c r="BM134" i="9"/>
  <c r="BN134" i="9"/>
  <c r="BQ134" i="9"/>
  <c r="BR134" i="9"/>
  <c r="BV134" i="9"/>
  <c r="EB134" i="9"/>
  <c r="AC135" i="9"/>
  <c r="M135" i="9"/>
  <c r="N135" i="9"/>
  <c r="O135" i="9"/>
  <c r="EB135" i="9" s="1"/>
  <c r="P135" i="9"/>
  <c r="Q135" i="9"/>
  <c r="R135" i="9"/>
  <c r="S135" i="9"/>
  <c r="T135" i="9"/>
  <c r="U135" i="9"/>
  <c r="V135" i="9"/>
  <c r="W135" i="9"/>
  <c r="Z135" i="9"/>
  <c r="AA135" i="9"/>
  <c r="AB135" i="9"/>
  <c r="AD135" i="9"/>
  <c r="AE135" i="9"/>
  <c r="AF135" i="9"/>
  <c r="AG135" i="9"/>
  <c r="AH135" i="9"/>
  <c r="AI135" i="9"/>
  <c r="AJ135" i="9"/>
  <c r="AK135" i="9"/>
  <c r="AL135" i="9"/>
  <c r="AM135" i="9"/>
  <c r="AN135" i="9"/>
  <c r="AO135" i="9"/>
  <c r="AP135" i="9"/>
  <c r="AQ135" i="9"/>
  <c r="AR135" i="9"/>
  <c r="AU135" i="9"/>
  <c r="AV135" i="9"/>
  <c r="AW135" i="9"/>
  <c r="AX135" i="9"/>
  <c r="BC135" i="9"/>
  <c r="BD135" i="9"/>
  <c r="BE135" i="9"/>
  <c r="BI135" i="9"/>
  <c r="BJ135" i="9"/>
  <c r="BK135" i="9"/>
  <c r="BL135" i="9"/>
  <c r="BM135" i="9"/>
  <c r="BN135" i="9"/>
  <c r="BQ135" i="9"/>
  <c r="BR135" i="9"/>
  <c r="BV135" i="9"/>
  <c r="AC136" i="9"/>
  <c r="M136" i="9"/>
  <c r="N136" i="9"/>
  <c r="O136" i="9"/>
  <c r="P136" i="9"/>
  <c r="Q136" i="9"/>
  <c r="R136" i="9"/>
  <c r="S136" i="9"/>
  <c r="T136" i="9"/>
  <c r="U136" i="9"/>
  <c r="V136" i="9"/>
  <c r="W136" i="9"/>
  <c r="Z136" i="9"/>
  <c r="AA136" i="9"/>
  <c r="AB136" i="9"/>
  <c r="AD136" i="9"/>
  <c r="AE136" i="9"/>
  <c r="AF136" i="9"/>
  <c r="AG136" i="9"/>
  <c r="AH136" i="9"/>
  <c r="AI136" i="9"/>
  <c r="AJ136" i="9"/>
  <c r="AK136" i="9"/>
  <c r="AL136" i="9"/>
  <c r="AM136" i="9"/>
  <c r="AN136" i="9"/>
  <c r="AO136" i="9"/>
  <c r="AP136" i="9"/>
  <c r="AQ136" i="9"/>
  <c r="AR136" i="9"/>
  <c r="AU136" i="9"/>
  <c r="AV136" i="9"/>
  <c r="AW136" i="9"/>
  <c r="AX136" i="9"/>
  <c r="BC136" i="9"/>
  <c r="BD136" i="9"/>
  <c r="BE136" i="9"/>
  <c r="BI136" i="9"/>
  <c r="BJ136" i="9"/>
  <c r="BK136" i="9"/>
  <c r="BL136" i="9"/>
  <c r="BM136" i="9"/>
  <c r="BN136" i="9"/>
  <c r="BQ136" i="9"/>
  <c r="BR136" i="9"/>
  <c r="BV136" i="9"/>
  <c r="AC137" i="9"/>
  <c r="M137" i="9"/>
  <c r="N137" i="9"/>
  <c r="O137" i="9"/>
  <c r="P137" i="9"/>
  <c r="Q137" i="9"/>
  <c r="R137" i="9"/>
  <c r="S137" i="9"/>
  <c r="T137" i="9"/>
  <c r="U137" i="9"/>
  <c r="V137" i="9"/>
  <c r="W137" i="9"/>
  <c r="Z137" i="9"/>
  <c r="AA137" i="9"/>
  <c r="AB137" i="9"/>
  <c r="AD137" i="9"/>
  <c r="AE137" i="9"/>
  <c r="AF137" i="9"/>
  <c r="AG137" i="9"/>
  <c r="AH137" i="9"/>
  <c r="AI137" i="9"/>
  <c r="AJ137" i="9"/>
  <c r="AK137" i="9"/>
  <c r="AL137" i="9"/>
  <c r="AM137" i="9"/>
  <c r="AN137" i="9"/>
  <c r="AO137" i="9"/>
  <c r="AP137" i="9"/>
  <c r="AQ137" i="9"/>
  <c r="AR137" i="9"/>
  <c r="AU137" i="9"/>
  <c r="AV137" i="9"/>
  <c r="AW137" i="9"/>
  <c r="AX137" i="9"/>
  <c r="BC137" i="9"/>
  <c r="BD137" i="9"/>
  <c r="BE137" i="9"/>
  <c r="BI137" i="9"/>
  <c r="BJ137" i="9"/>
  <c r="BK137" i="9"/>
  <c r="BL137" i="9"/>
  <c r="BM137" i="9"/>
  <c r="BN137" i="9"/>
  <c r="BQ137" i="9"/>
  <c r="BR137" i="9"/>
  <c r="BV137" i="9"/>
  <c r="AC138" i="9"/>
  <c r="M138" i="9"/>
  <c r="N138" i="9"/>
  <c r="O138" i="9"/>
  <c r="P138" i="9"/>
  <c r="Q138" i="9"/>
  <c r="R138" i="9"/>
  <c r="S138" i="9"/>
  <c r="T138" i="9"/>
  <c r="U138" i="9"/>
  <c r="V138" i="9"/>
  <c r="W138" i="9"/>
  <c r="Z138" i="9"/>
  <c r="AA138" i="9"/>
  <c r="AB138" i="9"/>
  <c r="AD138" i="9"/>
  <c r="AE138" i="9"/>
  <c r="AF138" i="9"/>
  <c r="AG138" i="9"/>
  <c r="AH138" i="9"/>
  <c r="AI138" i="9"/>
  <c r="AJ138" i="9"/>
  <c r="AK138" i="9"/>
  <c r="AL138" i="9"/>
  <c r="AM138" i="9"/>
  <c r="AN138" i="9"/>
  <c r="AO138" i="9"/>
  <c r="AP138" i="9"/>
  <c r="AQ138" i="9"/>
  <c r="AR138" i="9"/>
  <c r="AU138" i="9"/>
  <c r="AV138" i="9"/>
  <c r="AW138" i="9"/>
  <c r="AX138" i="9"/>
  <c r="BC138" i="9"/>
  <c r="BD138" i="9"/>
  <c r="BE138" i="9"/>
  <c r="BI138" i="9"/>
  <c r="BJ138" i="9"/>
  <c r="BK138" i="9"/>
  <c r="BL138" i="9"/>
  <c r="BM138" i="9"/>
  <c r="BN138" i="9"/>
  <c r="BQ138" i="9"/>
  <c r="BR138" i="9"/>
  <c r="BV138" i="9"/>
  <c r="EB138" i="9"/>
  <c r="AC139" i="9"/>
  <c r="M139" i="9"/>
  <c r="N139" i="9"/>
  <c r="O139" i="9"/>
  <c r="P139" i="9"/>
  <c r="Q139" i="9"/>
  <c r="R139" i="9"/>
  <c r="S139" i="9"/>
  <c r="T139" i="9"/>
  <c r="U139" i="9"/>
  <c r="V139" i="9"/>
  <c r="W139" i="9"/>
  <c r="Z139" i="9"/>
  <c r="AA139" i="9"/>
  <c r="AB139" i="9"/>
  <c r="AD139" i="9"/>
  <c r="AE139" i="9"/>
  <c r="AF139" i="9"/>
  <c r="AG139" i="9"/>
  <c r="AH139" i="9"/>
  <c r="AI139" i="9"/>
  <c r="AJ139" i="9"/>
  <c r="AK139" i="9"/>
  <c r="AL139" i="9"/>
  <c r="AM139" i="9"/>
  <c r="AN139" i="9"/>
  <c r="AO139" i="9"/>
  <c r="AP139" i="9"/>
  <c r="AQ139" i="9"/>
  <c r="AR139" i="9"/>
  <c r="AU139" i="9"/>
  <c r="AV139" i="9"/>
  <c r="AW139" i="9"/>
  <c r="AX139" i="9"/>
  <c r="BC139" i="9"/>
  <c r="BD139" i="9"/>
  <c r="BE139" i="9"/>
  <c r="BI139" i="9"/>
  <c r="BJ139" i="9"/>
  <c r="BK139" i="9"/>
  <c r="BL139" i="9"/>
  <c r="BM139" i="9"/>
  <c r="BN139" i="9"/>
  <c r="BQ139" i="9"/>
  <c r="BR139" i="9"/>
  <c r="BV139" i="9"/>
  <c r="AC140" i="9"/>
  <c r="M140" i="9"/>
  <c r="N140" i="9"/>
  <c r="O140" i="9"/>
  <c r="P140" i="9"/>
  <c r="Q140" i="9"/>
  <c r="R140" i="9"/>
  <c r="S140" i="9"/>
  <c r="T140" i="9"/>
  <c r="U140" i="9"/>
  <c r="V140" i="9"/>
  <c r="W140" i="9"/>
  <c r="Z140" i="9"/>
  <c r="AA140" i="9"/>
  <c r="AB140" i="9"/>
  <c r="AD140" i="9"/>
  <c r="AE140" i="9"/>
  <c r="AF140" i="9"/>
  <c r="AG140" i="9"/>
  <c r="AH140" i="9"/>
  <c r="AI140" i="9"/>
  <c r="AJ140" i="9"/>
  <c r="AK140" i="9"/>
  <c r="AL140" i="9"/>
  <c r="AM140" i="9"/>
  <c r="AN140" i="9"/>
  <c r="AO140" i="9"/>
  <c r="AP140" i="9"/>
  <c r="AQ140" i="9"/>
  <c r="AR140" i="9"/>
  <c r="AU140" i="9"/>
  <c r="AV140" i="9"/>
  <c r="AW140" i="9"/>
  <c r="AX140" i="9"/>
  <c r="BC140" i="9"/>
  <c r="BD140" i="9"/>
  <c r="BE140" i="9"/>
  <c r="BI140" i="9"/>
  <c r="BJ140" i="9"/>
  <c r="BK140" i="9"/>
  <c r="BL140" i="9"/>
  <c r="BM140" i="9"/>
  <c r="BN140" i="9"/>
  <c r="BQ140" i="9"/>
  <c r="BR140" i="9"/>
  <c r="BV140" i="9"/>
  <c r="AC141" i="9"/>
  <c r="M141" i="9"/>
  <c r="N141" i="9"/>
  <c r="O141" i="9"/>
  <c r="P141" i="9"/>
  <c r="Q141" i="9"/>
  <c r="R141" i="9"/>
  <c r="S141" i="9"/>
  <c r="T141" i="9"/>
  <c r="U141" i="9"/>
  <c r="V141" i="9"/>
  <c r="W141" i="9"/>
  <c r="Z141" i="9"/>
  <c r="AA141" i="9"/>
  <c r="AB141" i="9"/>
  <c r="AD141" i="9"/>
  <c r="AE141" i="9"/>
  <c r="AF141" i="9"/>
  <c r="AG141" i="9"/>
  <c r="AH141" i="9"/>
  <c r="AI141" i="9"/>
  <c r="AJ141" i="9"/>
  <c r="AK141" i="9"/>
  <c r="AL141" i="9"/>
  <c r="AM141" i="9"/>
  <c r="AN141" i="9"/>
  <c r="AO141" i="9"/>
  <c r="AP141" i="9"/>
  <c r="AQ141" i="9"/>
  <c r="AR141" i="9"/>
  <c r="AU141" i="9"/>
  <c r="AV141" i="9"/>
  <c r="AW141" i="9"/>
  <c r="AX141" i="9"/>
  <c r="BC141" i="9"/>
  <c r="BD141" i="9"/>
  <c r="BE141" i="9"/>
  <c r="BI141" i="9"/>
  <c r="BJ141" i="9"/>
  <c r="BK141" i="9"/>
  <c r="BL141" i="9"/>
  <c r="BM141" i="9"/>
  <c r="BN141" i="9"/>
  <c r="BQ141" i="9"/>
  <c r="BR141" i="9"/>
  <c r="BV141" i="9"/>
  <c r="AC142" i="9"/>
  <c r="M142" i="9"/>
  <c r="N142" i="9"/>
  <c r="O142" i="9"/>
  <c r="P142" i="9"/>
  <c r="Q142" i="9"/>
  <c r="R142" i="9"/>
  <c r="S142" i="9"/>
  <c r="T142" i="9"/>
  <c r="U142" i="9"/>
  <c r="V142" i="9"/>
  <c r="W142" i="9"/>
  <c r="Z142" i="9"/>
  <c r="AA142" i="9"/>
  <c r="AB142" i="9"/>
  <c r="AD142" i="9"/>
  <c r="AE142" i="9"/>
  <c r="AF142" i="9"/>
  <c r="AG142" i="9"/>
  <c r="AH142" i="9"/>
  <c r="AI142" i="9"/>
  <c r="AJ142" i="9"/>
  <c r="AK142" i="9"/>
  <c r="AL142" i="9"/>
  <c r="AM142" i="9"/>
  <c r="AN142" i="9"/>
  <c r="AO142" i="9"/>
  <c r="AP142" i="9"/>
  <c r="AQ142" i="9"/>
  <c r="AR142" i="9"/>
  <c r="AU142" i="9"/>
  <c r="AV142" i="9"/>
  <c r="AW142" i="9"/>
  <c r="AX142" i="9"/>
  <c r="BC142" i="9"/>
  <c r="BD142" i="9"/>
  <c r="BE142" i="9"/>
  <c r="BI142" i="9"/>
  <c r="BJ142" i="9"/>
  <c r="BK142" i="9"/>
  <c r="BL142" i="9"/>
  <c r="BM142" i="9"/>
  <c r="BN142" i="9"/>
  <c r="BQ142" i="9"/>
  <c r="BR142" i="9"/>
  <c r="BV142" i="9"/>
  <c r="EB142" i="9"/>
  <c r="AC143" i="9"/>
  <c r="M143" i="9"/>
  <c r="N143" i="9"/>
  <c r="O143" i="9"/>
  <c r="EB143" i="9" s="1"/>
  <c r="P143" i="9"/>
  <c r="Q143" i="9"/>
  <c r="R143" i="9"/>
  <c r="S143" i="9"/>
  <c r="T143" i="9"/>
  <c r="U143" i="9"/>
  <c r="V143" i="9"/>
  <c r="W143" i="9"/>
  <c r="Z143" i="9"/>
  <c r="AA143" i="9"/>
  <c r="AB143" i="9"/>
  <c r="AD143" i="9"/>
  <c r="AE143" i="9"/>
  <c r="AF143" i="9"/>
  <c r="AG143" i="9"/>
  <c r="AH143" i="9"/>
  <c r="AI143" i="9"/>
  <c r="AJ143" i="9"/>
  <c r="AK143" i="9"/>
  <c r="AL143" i="9"/>
  <c r="AM143" i="9"/>
  <c r="AN143" i="9"/>
  <c r="AO143" i="9"/>
  <c r="AP143" i="9"/>
  <c r="AQ143" i="9"/>
  <c r="AR143" i="9"/>
  <c r="AU143" i="9"/>
  <c r="AV143" i="9"/>
  <c r="AW143" i="9"/>
  <c r="AX143" i="9"/>
  <c r="BC143" i="9"/>
  <c r="BD143" i="9"/>
  <c r="BE143" i="9"/>
  <c r="BI143" i="9"/>
  <c r="BJ143" i="9"/>
  <c r="BK143" i="9"/>
  <c r="BL143" i="9"/>
  <c r="BM143" i="9"/>
  <c r="BN143" i="9"/>
  <c r="BQ143" i="9"/>
  <c r="BR143" i="9"/>
  <c r="BV143" i="9"/>
  <c r="AC129" i="9"/>
  <c r="M129" i="9"/>
  <c r="N129" i="9"/>
  <c r="O129" i="9"/>
  <c r="P129" i="9"/>
  <c r="Q129" i="9"/>
  <c r="R129" i="9"/>
  <c r="S129" i="9"/>
  <c r="T129" i="9"/>
  <c r="U129" i="9"/>
  <c r="V129" i="9"/>
  <c r="W129" i="9"/>
  <c r="Z129" i="9"/>
  <c r="AA129" i="9"/>
  <c r="AB129" i="9"/>
  <c r="AD129" i="9"/>
  <c r="AE129" i="9"/>
  <c r="AF129" i="9"/>
  <c r="AG129" i="9"/>
  <c r="AH129" i="9"/>
  <c r="AI129" i="9"/>
  <c r="AJ129" i="9"/>
  <c r="AK129" i="9"/>
  <c r="AL129" i="9"/>
  <c r="AM129" i="9"/>
  <c r="AN129" i="9"/>
  <c r="AO129" i="9"/>
  <c r="AP129" i="9"/>
  <c r="AQ129" i="9"/>
  <c r="AR129" i="9"/>
  <c r="AU129" i="9"/>
  <c r="AV129" i="9"/>
  <c r="AW129" i="9"/>
  <c r="AX129" i="9"/>
  <c r="BC129" i="9"/>
  <c r="BD129" i="9"/>
  <c r="BE129" i="9"/>
  <c r="BI129" i="9"/>
  <c r="BJ129" i="9"/>
  <c r="BK129" i="9"/>
  <c r="BL129" i="9"/>
  <c r="BM129" i="9"/>
  <c r="BN129" i="9"/>
  <c r="BQ129" i="9"/>
  <c r="BR129" i="9"/>
  <c r="BV129" i="9"/>
  <c r="BF130" i="9"/>
  <c r="DY130" i="9" s="1"/>
  <c r="BG130" i="9"/>
  <c r="DZ130" i="9" s="1"/>
  <c r="BH130" i="9"/>
  <c r="EA130" i="9"/>
  <c r="BF131" i="9"/>
  <c r="DY131" i="9" s="1"/>
  <c r="BG131" i="9"/>
  <c r="DZ131" i="9" s="1"/>
  <c r="BH131" i="9"/>
  <c r="EA131" i="9" s="1"/>
  <c r="BF132" i="9"/>
  <c r="DY132" i="9"/>
  <c r="BG132" i="9"/>
  <c r="DZ132" i="9" s="1"/>
  <c r="BH132" i="9"/>
  <c r="EA132" i="9" s="1"/>
  <c r="BF133" i="9"/>
  <c r="DY133" i="9" s="1"/>
  <c r="BG133" i="9"/>
  <c r="DZ133" i="9"/>
  <c r="BH133" i="9"/>
  <c r="EA133" i="9" s="1"/>
  <c r="BF134" i="9"/>
  <c r="DY134" i="9" s="1"/>
  <c r="BG134" i="9"/>
  <c r="DZ134" i="9" s="1"/>
  <c r="BH134" i="9"/>
  <c r="EA134" i="9"/>
  <c r="BF135" i="9"/>
  <c r="DY135" i="9" s="1"/>
  <c r="BG135" i="9"/>
  <c r="DZ135" i="9" s="1"/>
  <c r="BH135" i="9"/>
  <c r="EA135" i="9" s="1"/>
  <c r="BF136" i="9"/>
  <c r="DY136" i="9"/>
  <c r="BG136" i="9"/>
  <c r="DZ136" i="9" s="1"/>
  <c r="BH136" i="9"/>
  <c r="EA136" i="9" s="1"/>
  <c r="BF137" i="9"/>
  <c r="DY137" i="9" s="1"/>
  <c r="BG137" i="9"/>
  <c r="DZ137" i="9"/>
  <c r="BH137" i="9"/>
  <c r="EA137" i="9" s="1"/>
  <c r="BF138" i="9"/>
  <c r="DY138" i="9" s="1"/>
  <c r="BG138" i="9"/>
  <c r="DZ138" i="9" s="1"/>
  <c r="BH138" i="9"/>
  <c r="EA138" i="9"/>
  <c r="BF139" i="9"/>
  <c r="DY139" i="9" s="1"/>
  <c r="BG139" i="9"/>
  <c r="DZ139" i="9" s="1"/>
  <c r="BH139" i="9"/>
  <c r="EA139" i="9" s="1"/>
  <c r="BF140" i="9"/>
  <c r="DY140" i="9"/>
  <c r="BG140" i="9"/>
  <c r="DZ140" i="9" s="1"/>
  <c r="BH140" i="9"/>
  <c r="EA140" i="9" s="1"/>
  <c r="BF141" i="9"/>
  <c r="DY141" i="9" s="1"/>
  <c r="BG141" i="9"/>
  <c r="DZ141" i="9"/>
  <c r="BH141" i="9"/>
  <c r="EA141" i="9" s="1"/>
  <c r="BF142" i="9"/>
  <c r="DY142" i="9" s="1"/>
  <c r="BG142" i="9"/>
  <c r="DZ142" i="9" s="1"/>
  <c r="BH142" i="9"/>
  <c r="EA142" i="9"/>
  <c r="BF143" i="9"/>
  <c r="DY143" i="9" s="1"/>
  <c r="BG143" i="9"/>
  <c r="DZ143" i="9" s="1"/>
  <c r="BH143" i="9"/>
  <c r="EA143" i="9" s="1"/>
  <c r="BF144" i="9"/>
  <c r="DY144" i="9"/>
  <c r="BG144" i="9"/>
  <c r="DZ144" i="9" s="1"/>
  <c r="BH144" i="9"/>
  <c r="EA144" i="9" s="1"/>
  <c r="BF145" i="9"/>
  <c r="DY145" i="9" s="1"/>
  <c r="BG145" i="9"/>
  <c r="DZ145" i="9"/>
  <c r="BH145" i="9"/>
  <c r="EA145" i="9" s="1"/>
  <c r="BF146" i="9"/>
  <c r="DY146" i="9" s="1"/>
  <c r="BG146" i="9"/>
  <c r="DZ146" i="9" s="1"/>
  <c r="BH146" i="9"/>
  <c r="EA146" i="9"/>
  <c r="BF147" i="9"/>
  <c r="DY147" i="9" s="1"/>
  <c r="BG147" i="9"/>
  <c r="DZ147" i="9" s="1"/>
  <c r="BH147" i="9"/>
  <c r="EA147" i="9" s="1"/>
  <c r="BF148" i="9"/>
  <c r="DY148" i="9"/>
  <c r="BG148" i="9"/>
  <c r="DZ148" i="9" s="1"/>
  <c r="BH148" i="9"/>
  <c r="EA148" i="9" s="1"/>
  <c r="BF149" i="9"/>
  <c r="DY149" i="9" s="1"/>
  <c r="BG149" i="9"/>
  <c r="DZ149" i="9"/>
  <c r="BH149" i="9"/>
  <c r="EA149" i="9" s="1"/>
  <c r="BF150" i="9"/>
  <c r="DY150" i="9" s="1"/>
  <c r="BG150" i="9"/>
  <c r="DZ150" i="9" s="1"/>
  <c r="BH150" i="9"/>
  <c r="EA150" i="9"/>
  <c r="BF151" i="9"/>
  <c r="DY151" i="9" s="1"/>
  <c r="BG151" i="9"/>
  <c r="DZ151" i="9" s="1"/>
  <c r="BH151" i="9"/>
  <c r="EA151" i="9" s="1"/>
  <c r="BF152" i="9"/>
  <c r="DY152" i="9"/>
  <c r="BG152" i="9"/>
  <c r="DZ152" i="9" s="1"/>
  <c r="BH152" i="9"/>
  <c r="EA152" i="9" s="1"/>
  <c r="BF153" i="9"/>
  <c r="DY153" i="9" s="1"/>
  <c r="BG153" i="9"/>
  <c r="DZ153" i="9"/>
  <c r="BH153" i="9"/>
  <c r="EA153" i="9" s="1"/>
  <c r="BF154" i="9"/>
  <c r="DY154" i="9" s="1"/>
  <c r="BG154" i="9"/>
  <c r="DZ154" i="9" s="1"/>
  <c r="BH154" i="9"/>
  <c r="EA154" i="9"/>
  <c r="BF155" i="9"/>
  <c r="DY155" i="9" s="1"/>
  <c r="BG155" i="9"/>
  <c r="DZ155" i="9" s="1"/>
  <c r="BH155" i="9"/>
  <c r="EA155" i="9" s="1"/>
  <c r="BF156" i="9"/>
  <c r="DY156" i="9"/>
  <c r="BG156" i="9"/>
  <c r="DZ156" i="9" s="1"/>
  <c r="BH156" i="9"/>
  <c r="EA156" i="9" s="1"/>
  <c r="BF157" i="9"/>
  <c r="DY157" i="9" s="1"/>
  <c r="BG157" i="9"/>
  <c r="DZ157" i="9"/>
  <c r="BH157" i="9"/>
  <c r="EA157" i="9" s="1"/>
  <c r="BF158" i="9"/>
  <c r="DY158" i="9" s="1"/>
  <c r="BG158" i="9"/>
  <c r="DZ158" i="9" s="1"/>
  <c r="BH158" i="9"/>
  <c r="EA158" i="9"/>
  <c r="BF159" i="9"/>
  <c r="DY159" i="9" s="1"/>
  <c r="BG159" i="9"/>
  <c r="DZ159" i="9" s="1"/>
  <c r="BH159" i="9"/>
  <c r="EA159" i="9" s="1"/>
  <c r="BF160" i="9"/>
  <c r="DY160" i="9"/>
  <c r="BG160" i="9"/>
  <c r="DZ160" i="9" s="1"/>
  <c r="BH160" i="9"/>
  <c r="EA160" i="9" s="1"/>
  <c r="BF161" i="9"/>
  <c r="DY161" i="9" s="1"/>
  <c r="BG161" i="9"/>
  <c r="DZ161" i="9"/>
  <c r="BH161" i="9"/>
  <c r="EA161" i="9" s="1"/>
  <c r="BF162" i="9"/>
  <c r="DY162" i="9" s="1"/>
  <c r="BG162" i="9"/>
  <c r="DZ162" i="9" s="1"/>
  <c r="BH162" i="9"/>
  <c r="EA162" i="9"/>
  <c r="BF163" i="9"/>
  <c r="DY163" i="9" s="1"/>
  <c r="BG163" i="9"/>
  <c r="DZ163" i="9" s="1"/>
  <c r="BH163" i="9"/>
  <c r="EA163" i="9" s="1"/>
  <c r="BF164" i="9"/>
  <c r="DY164" i="9"/>
  <c r="BG164" i="9"/>
  <c r="DZ164" i="9" s="1"/>
  <c r="BH164" i="9"/>
  <c r="EA164" i="9" s="1"/>
  <c r="BF165" i="9"/>
  <c r="DY165" i="9" s="1"/>
  <c r="BG165" i="9"/>
  <c r="DZ165" i="9"/>
  <c r="BH165" i="9"/>
  <c r="EA165" i="9" s="1"/>
  <c r="BF166" i="9"/>
  <c r="DY166" i="9" s="1"/>
  <c r="BG166" i="9"/>
  <c r="DZ166" i="9" s="1"/>
  <c r="BH166" i="9"/>
  <c r="EA166" i="9"/>
  <c r="BF167" i="9"/>
  <c r="DY167" i="9" s="1"/>
  <c r="BG167" i="9"/>
  <c r="DZ167" i="9" s="1"/>
  <c r="BH167" i="9"/>
  <c r="EA167" i="9" s="1"/>
  <c r="BF168" i="9"/>
  <c r="DY168" i="9"/>
  <c r="BG168" i="9"/>
  <c r="DZ168" i="9" s="1"/>
  <c r="BH168" i="9"/>
  <c r="EA168" i="9" s="1"/>
  <c r="BF169" i="9"/>
  <c r="DY169" i="9" s="1"/>
  <c r="BG169" i="9"/>
  <c r="DZ169" i="9"/>
  <c r="BH169" i="9"/>
  <c r="EA169" i="9" s="1"/>
  <c r="BF170" i="9"/>
  <c r="DY170" i="9" s="1"/>
  <c r="BG170" i="9"/>
  <c r="DZ170" i="9" s="1"/>
  <c r="BH170" i="9"/>
  <c r="EA170" i="9"/>
  <c r="BF171" i="9"/>
  <c r="DY171" i="9" s="1"/>
  <c r="BG171" i="9"/>
  <c r="DZ171" i="9" s="1"/>
  <c r="BH171" i="9"/>
  <c r="EA171" i="9" s="1"/>
  <c r="BF172" i="9"/>
  <c r="DY172" i="9"/>
  <c r="BG172" i="9"/>
  <c r="DZ172" i="9" s="1"/>
  <c r="BH172" i="9"/>
  <c r="EA172" i="9" s="1"/>
  <c r="BF173" i="9"/>
  <c r="DY173" i="9" s="1"/>
  <c r="BG173" i="9"/>
  <c r="DZ173" i="9"/>
  <c r="BH173" i="9"/>
  <c r="EA173" i="9" s="1"/>
  <c r="BF174" i="9"/>
  <c r="DY174" i="9" s="1"/>
  <c r="BG174" i="9"/>
  <c r="DZ174" i="9" s="1"/>
  <c r="BH174" i="9"/>
  <c r="EA174" i="9"/>
  <c r="BF175" i="9"/>
  <c r="DY175" i="9" s="1"/>
  <c r="BG175" i="9"/>
  <c r="DZ175" i="9" s="1"/>
  <c r="BH175" i="9"/>
  <c r="EA175" i="9" s="1"/>
  <c r="BF176" i="9"/>
  <c r="DY176" i="9"/>
  <c r="BG176" i="9"/>
  <c r="DZ176" i="9" s="1"/>
  <c r="BH176" i="9"/>
  <c r="EA176" i="9" s="1"/>
  <c r="BF177" i="9"/>
  <c r="DY177" i="9" s="1"/>
  <c r="BG177" i="9"/>
  <c r="DZ177" i="9"/>
  <c r="BH177" i="9"/>
  <c r="EA177" i="9" s="1"/>
  <c r="BF178" i="9"/>
  <c r="DY178" i="9" s="1"/>
  <c r="BG178" i="9"/>
  <c r="DZ178" i="9" s="1"/>
  <c r="BH178" i="9"/>
  <c r="EA178" i="9"/>
  <c r="BF179" i="9"/>
  <c r="DY179" i="9" s="1"/>
  <c r="BG179" i="9"/>
  <c r="DZ179" i="9" s="1"/>
  <c r="BH179" i="9"/>
  <c r="EA179" i="9" s="1"/>
  <c r="BF180" i="9"/>
  <c r="DY180" i="9"/>
  <c r="BG180" i="9"/>
  <c r="DZ180" i="9" s="1"/>
  <c r="BH180" i="9"/>
  <c r="EA180" i="9" s="1"/>
  <c r="BF181" i="9"/>
  <c r="DY181" i="9" s="1"/>
  <c r="BG181" i="9"/>
  <c r="DZ181" i="9"/>
  <c r="BH181" i="9"/>
  <c r="EA181" i="9" s="1"/>
  <c r="BF182" i="9"/>
  <c r="DY182" i="9" s="1"/>
  <c r="BG182" i="9"/>
  <c r="DZ182" i="9" s="1"/>
  <c r="BH182" i="9"/>
  <c r="EA182" i="9"/>
  <c r="BF183" i="9"/>
  <c r="DY183" i="9" s="1"/>
  <c r="BG183" i="9"/>
  <c r="DZ183" i="9" s="1"/>
  <c r="BH183" i="9"/>
  <c r="EA183" i="9" s="1"/>
  <c r="BF184" i="9"/>
  <c r="DY184" i="9"/>
  <c r="BG184" i="9"/>
  <c r="DZ184" i="9" s="1"/>
  <c r="BH184" i="9"/>
  <c r="EA184" i="9" s="1"/>
  <c r="BF185" i="9"/>
  <c r="DY185" i="9" s="1"/>
  <c r="BG185" i="9"/>
  <c r="DZ185" i="9"/>
  <c r="BH185" i="9"/>
  <c r="EA185" i="9" s="1"/>
  <c r="BF186" i="9"/>
  <c r="DY186" i="9" s="1"/>
  <c r="BG186" i="9"/>
  <c r="DZ186" i="9" s="1"/>
  <c r="BH186" i="9"/>
  <c r="EA186" i="9"/>
  <c r="BF187" i="9"/>
  <c r="DY187" i="9" s="1"/>
  <c r="BG187" i="9"/>
  <c r="DZ187" i="9" s="1"/>
  <c r="BH187" i="9"/>
  <c r="EA187" i="9" s="1"/>
  <c r="BF188" i="9"/>
  <c r="DY188" i="9"/>
  <c r="BG188" i="9"/>
  <c r="DZ188" i="9" s="1"/>
  <c r="BH188" i="9"/>
  <c r="EA188" i="9" s="1"/>
  <c r="BF189" i="9"/>
  <c r="DY189" i="9" s="1"/>
  <c r="BG189" i="9"/>
  <c r="DZ189" i="9"/>
  <c r="BH189" i="9"/>
  <c r="EA189" i="9" s="1"/>
  <c r="BF190" i="9"/>
  <c r="DY190" i="9" s="1"/>
  <c r="BG190" i="9"/>
  <c r="DZ190" i="9" s="1"/>
  <c r="BH190" i="9"/>
  <c r="EA190" i="9"/>
  <c r="BF191" i="9"/>
  <c r="DY191" i="9" s="1"/>
  <c r="BG191" i="9"/>
  <c r="DZ191" i="9" s="1"/>
  <c r="BH191" i="9"/>
  <c r="EA191" i="9" s="1"/>
  <c r="BF192" i="9"/>
  <c r="DY192" i="9"/>
  <c r="BG192" i="9"/>
  <c r="DZ192" i="9" s="1"/>
  <c r="BH192" i="9"/>
  <c r="EA192" i="9" s="1"/>
  <c r="BF193" i="9"/>
  <c r="DY193" i="9" s="1"/>
  <c r="BG193" i="9"/>
  <c r="DZ193" i="9"/>
  <c r="BH193" i="9"/>
  <c r="EA193" i="9" s="1"/>
  <c r="BF194" i="9"/>
  <c r="DY194" i="9" s="1"/>
  <c r="BG194" i="9"/>
  <c r="DZ194" i="9" s="1"/>
  <c r="BH194" i="9"/>
  <c r="EA194" i="9"/>
  <c r="BF195" i="9"/>
  <c r="DY195" i="9" s="1"/>
  <c r="BG195" i="9"/>
  <c r="DZ195" i="9" s="1"/>
  <c r="BH195" i="9"/>
  <c r="EA195" i="9" s="1"/>
  <c r="BF196" i="9"/>
  <c r="BF246" i="9" s="1"/>
  <c r="DY246" i="9" s="1"/>
  <c r="DY196" i="9"/>
  <c r="BG196" i="9"/>
  <c r="DZ196" i="9" s="1"/>
  <c r="BH196" i="9"/>
  <c r="BF197" i="9"/>
  <c r="DY197" i="9" s="1"/>
  <c r="BG197" i="9"/>
  <c r="DZ197" i="9"/>
  <c r="BH197" i="9"/>
  <c r="EA197" i="9" s="1"/>
  <c r="BF198" i="9"/>
  <c r="DY198" i="9" s="1"/>
  <c r="BG198" i="9"/>
  <c r="DZ198" i="9" s="1"/>
  <c r="BH198" i="9"/>
  <c r="EA198" i="9"/>
  <c r="BF199" i="9"/>
  <c r="DY199" i="9" s="1"/>
  <c r="BG199" i="9"/>
  <c r="DZ199" i="9" s="1"/>
  <c r="BH199" i="9"/>
  <c r="EA199" i="9" s="1"/>
  <c r="BF200" i="9"/>
  <c r="DY200" i="9"/>
  <c r="BG200" i="9"/>
  <c r="DZ200" i="9" s="1"/>
  <c r="BH200" i="9"/>
  <c r="EA200" i="9" s="1"/>
  <c r="BF201" i="9"/>
  <c r="DY201" i="9" s="1"/>
  <c r="BG201" i="9"/>
  <c r="DZ201" i="9"/>
  <c r="BH201" i="9"/>
  <c r="EA201" i="9" s="1"/>
  <c r="BF202" i="9"/>
  <c r="DY202" i="9" s="1"/>
  <c r="BG202" i="9"/>
  <c r="DZ202" i="9" s="1"/>
  <c r="BH202" i="9"/>
  <c r="EA202" i="9"/>
  <c r="BF203" i="9"/>
  <c r="DY203" i="9" s="1"/>
  <c r="BG203" i="9"/>
  <c r="DZ203" i="9" s="1"/>
  <c r="BH203" i="9"/>
  <c r="EA203" i="9" s="1"/>
  <c r="BF204" i="9"/>
  <c r="DY204" i="9"/>
  <c r="BG204" i="9"/>
  <c r="DZ204" i="9" s="1"/>
  <c r="BH204" i="9"/>
  <c r="EA204" i="9" s="1"/>
  <c r="BF205" i="9"/>
  <c r="DY205" i="9" s="1"/>
  <c r="BG205" i="9"/>
  <c r="DZ205" i="9"/>
  <c r="BH205" i="9"/>
  <c r="EA205" i="9" s="1"/>
  <c r="BF206" i="9"/>
  <c r="DY206" i="9" s="1"/>
  <c r="BG206" i="9"/>
  <c r="DZ206" i="9" s="1"/>
  <c r="BH206" i="9"/>
  <c r="EA206" i="9"/>
  <c r="BF207" i="9"/>
  <c r="DY207" i="9" s="1"/>
  <c r="BG207" i="9"/>
  <c r="BH207" i="9"/>
  <c r="EA207" i="9" s="1"/>
  <c r="BF208" i="9"/>
  <c r="DY208" i="9"/>
  <c r="BG208" i="9"/>
  <c r="DZ208" i="9" s="1"/>
  <c r="BH208" i="9"/>
  <c r="EA208" i="9" s="1"/>
  <c r="DY209" i="9"/>
  <c r="DZ209" i="9"/>
  <c r="EA209" i="9"/>
  <c r="BF210" i="9"/>
  <c r="DY210" i="9" s="1"/>
  <c r="BG210" i="9"/>
  <c r="DZ210" i="9"/>
  <c r="BH210" i="9"/>
  <c r="EA210" i="9" s="1"/>
  <c r="BF211" i="9"/>
  <c r="DY211" i="9"/>
  <c r="BG211" i="9"/>
  <c r="DZ211" i="9" s="1"/>
  <c r="BH211" i="9"/>
  <c r="EA211" i="9"/>
  <c r="DY212" i="9"/>
  <c r="DZ212" i="9"/>
  <c r="EA212" i="9"/>
  <c r="BF213" i="9"/>
  <c r="DY213" i="9"/>
  <c r="BG213" i="9"/>
  <c r="DZ213" i="9" s="1"/>
  <c r="BH213" i="9"/>
  <c r="EA213" i="9" s="1"/>
  <c r="BF214" i="9"/>
  <c r="DY214" i="9" s="1"/>
  <c r="BG214" i="9"/>
  <c r="DZ214" i="9"/>
  <c r="BH214" i="9"/>
  <c r="EA214" i="9" s="1"/>
  <c r="BF215" i="9"/>
  <c r="DY215" i="9" s="1"/>
  <c r="BG215" i="9"/>
  <c r="DZ215" i="9" s="1"/>
  <c r="BH215" i="9"/>
  <c r="EA215" i="9"/>
  <c r="BF216" i="9"/>
  <c r="DY216" i="9" s="1"/>
  <c r="BG216" i="9"/>
  <c r="DZ216" i="9" s="1"/>
  <c r="BH216" i="9"/>
  <c r="EA216" i="9" s="1"/>
  <c r="BF217" i="9"/>
  <c r="DY217" i="9"/>
  <c r="BG217" i="9"/>
  <c r="DZ217" i="9" s="1"/>
  <c r="BH217" i="9"/>
  <c r="EA217" i="9" s="1"/>
  <c r="BF218" i="9"/>
  <c r="DY218" i="9" s="1"/>
  <c r="BG218" i="9"/>
  <c r="DZ218" i="9"/>
  <c r="BH218" i="9"/>
  <c r="EA218" i="9" s="1"/>
  <c r="BF219" i="9"/>
  <c r="DY219" i="9" s="1"/>
  <c r="BG219" i="9"/>
  <c r="DZ219" i="9" s="1"/>
  <c r="BH219" i="9"/>
  <c r="EA219" i="9"/>
  <c r="BF220" i="9"/>
  <c r="DY220" i="9"/>
  <c r="BG220" i="9"/>
  <c r="DZ220" i="9"/>
  <c r="BH220" i="9"/>
  <c r="EA220" i="9"/>
  <c r="BF221" i="9"/>
  <c r="DY221" i="9"/>
  <c r="BG221" i="9"/>
  <c r="DZ221" i="9"/>
  <c r="BH221" i="9"/>
  <c r="EA221" i="9"/>
  <c r="BF222" i="9"/>
  <c r="DY222" i="9"/>
  <c r="BG222" i="9"/>
  <c r="DZ222" i="9"/>
  <c r="BH222" i="9"/>
  <c r="EA222" i="9"/>
  <c r="BF223" i="9"/>
  <c r="DY223" i="9"/>
  <c r="BG223" i="9"/>
  <c r="DZ223" i="9"/>
  <c r="BH223" i="9"/>
  <c r="EA223" i="9"/>
  <c r="BF224" i="9"/>
  <c r="DY224" i="9"/>
  <c r="BG224" i="9"/>
  <c r="DZ224" i="9"/>
  <c r="BH224" i="9"/>
  <c r="EA224" i="9"/>
  <c r="BF225" i="9"/>
  <c r="DY225" i="9"/>
  <c r="BG225" i="9"/>
  <c r="DZ225" i="9"/>
  <c r="BH225" i="9"/>
  <c r="EA225" i="9"/>
  <c r="BF226" i="9"/>
  <c r="DY226" i="9"/>
  <c r="BG226" i="9"/>
  <c r="DZ226" i="9"/>
  <c r="BH226" i="9"/>
  <c r="EA226" i="9"/>
  <c r="BF227" i="9"/>
  <c r="DY227" i="9"/>
  <c r="BG227" i="9"/>
  <c r="DZ227" i="9"/>
  <c r="BH227" i="9"/>
  <c r="EA227" i="9"/>
  <c r="BF228" i="9"/>
  <c r="DY228" i="9"/>
  <c r="BG228" i="9"/>
  <c r="DZ228" i="9"/>
  <c r="BH228" i="9"/>
  <c r="EA228" i="9"/>
  <c r="BF229" i="9"/>
  <c r="DY229" i="9"/>
  <c r="BG229" i="9"/>
  <c r="DZ229" i="9"/>
  <c r="BH229" i="9"/>
  <c r="EA229" i="9"/>
  <c r="BF230" i="9"/>
  <c r="DY230" i="9"/>
  <c r="BG230" i="9"/>
  <c r="DZ230" i="9"/>
  <c r="BH230" i="9"/>
  <c r="EA230" i="9"/>
  <c r="BF231" i="9"/>
  <c r="DY231" i="9"/>
  <c r="BG231" i="9"/>
  <c r="DZ231" i="9"/>
  <c r="BH231" i="9"/>
  <c r="EA231" i="9"/>
  <c r="BF232" i="9"/>
  <c r="DY232" i="9"/>
  <c r="BG232" i="9"/>
  <c r="DZ232" i="9"/>
  <c r="BH232" i="9"/>
  <c r="EA232" i="9"/>
  <c r="BF233" i="9"/>
  <c r="DY233" i="9"/>
  <c r="BG233" i="9"/>
  <c r="DZ233" i="9"/>
  <c r="BH233" i="9"/>
  <c r="EA233" i="9"/>
  <c r="BF234" i="9"/>
  <c r="DY234" i="9"/>
  <c r="BG234" i="9"/>
  <c r="DZ234" i="9"/>
  <c r="BH234" i="9"/>
  <c r="EA234" i="9"/>
  <c r="BF235" i="9"/>
  <c r="DY235" i="9"/>
  <c r="BG235" i="9"/>
  <c r="DZ235" i="9"/>
  <c r="BH235" i="9"/>
  <c r="EA235" i="9"/>
  <c r="BF236" i="9"/>
  <c r="DY236" i="9"/>
  <c r="BG236" i="9"/>
  <c r="DZ236" i="9"/>
  <c r="BH236" i="9"/>
  <c r="EA236" i="9"/>
  <c r="BF237" i="9"/>
  <c r="DY237" i="9"/>
  <c r="BG237" i="9"/>
  <c r="DZ237" i="9"/>
  <c r="BH237" i="9"/>
  <c r="EA237" i="9"/>
  <c r="BF238" i="9"/>
  <c r="DY238" i="9"/>
  <c r="BG238" i="9"/>
  <c r="DZ238" i="9"/>
  <c r="BH238" i="9"/>
  <c r="EA238" i="9"/>
  <c r="BF239" i="9"/>
  <c r="DY239" i="9"/>
  <c r="BG239" i="9"/>
  <c r="DZ239" i="9"/>
  <c r="BH239" i="9"/>
  <c r="EA239" i="9"/>
  <c r="BF240" i="9"/>
  <c r="DY240" i="9"/>
  <c r="BG240" i="9"/>
  <c r="DZ240" i="9"/>
  <c r="BH240" i="9"/>
  <c r="EA240" i="9"/>
  <c r="BF241" i="9"/>
  <c r="DY241" i="9"/>
  <c r="BG241" i="9"/>
  <c r="DZ241" i="9"/>
  <c r="BH241" i="9"/>
  <c r="EA241" i="9"/>
  <c r="BF242" i="9"/>
  <c r="DY242" i="9"/>
  <c r="BG242" i="9"/>
  <c r="DZ242" i="9"/>
  <c r="BH242" i="9"/>
  <c r="EA242" i="9"/>
  <c r="BF243" i="9"/>
  <c r="DY243" i="9"/>
  <c r="BG243" i="9"/>
  <c r="DZ243" i="9"/>
  <c r="BH243" i="9"/>
  <c r="EA243" i="9"/>
  <c r="BF244" i="9"/>
  <c r="DY244" i="9"/>
  <c r="BG244" i="9"/>
  <c r="DZ244" i="9"/>
  <c r="BH244" i="9"/>
  <c r="EA244" i="9"/>
  <c r="BF245" i="9"/>
  <c r="DY245" i="9"/>
  <c r="BG245" i="9"/>
  <c r="DZ245" i="9"/>
  <c r="BH245" i="9"/>
  <c r="EA245" i="9"/>
  <c r="BG129" i="9"/>
  <c r="DZ129" i="9"/>
  <c r="BH129" i="9"/>
  <c r="EA129" i="9" s="1"/>
  <c r="BF129" i="9"/>
  <c r="DY129" i="9"/>
  <c r="AY130" i="9"/>
  <c r="DV130" i="9" s="1"/>
  <c r="AZ130" i="9"/>
  <c r="BA130" i="9"/>
  <c r="DW130" i="9" s="1"/>
  <c r="BB130" i="9"/>
  <c r="DX130" i="9"/>
  <c r="AY131" i="9"/>
  <c r="DV131" i="9" s="1"/>
  <c r="AZ131" i="9"/>
  <c r="BA131" i="9"/>
  <c r="DW131" i="9"/>
  <c r="BB131" i="9"/>
  <c r="DX131" i="9" s="1"/>
  <c r="AY132" i="9"/>
  <c r="AZ132" i="9"/>
  <c r="DV132" i="9" s="1"/>
  <c r="BA132" i="9"/>
  <c r="DW132" i="9"/>
  <c r="BB132" i="9"/>
  <c r="DX132" i="9" s="1"/>
  <c r="AY133" i="9"/>
  <c r="AZ133" i="9"/>
  <c r="DV133" i="9"/>
  <c r="BA133" i="9"/>
  <c r="DW133" i="9" s="1"/>
  <c r="BB133" i="9"/>
  <c r="DX133" i="9"/>
  <c r="AY134" i="9"/>
  <c r="DV134" i="9" s="1"/>
  <c r="AZ134" i="9"/>
  <c r="BA134" i="9"/>
  <c r="DW134" i="9" s="1"/>
  <c r="BB134" i="9"/>
  <c r="DX134" i="9"/>
  <c r="AY135" i="9"/>
  <c r="DV135" i="9" s="1"/>
  <c r="AZ135" i="9"/>
  <c r="BA135" i="9"/>
  <c r="DW135" i="9"/>
  <c r="BB135" i="9"/>
  <c r="DX135" i="9" s="1"/>
  <c r="AY136" i="9"/>
  <c r="AZ136" i="9"/>
  <c r="DV136" i="9" s="1"/>
  <c r="BA136" i="9"/>
  <c r="DW136" i="9"/>
  <c r="BB136" i="9"/>
  <c r="DX136" i="9" s="1"/>
  <c r="AY137" i="9"/>
  <c r="AZ137" i="9"/>
  <c r="DV137" i="9"/>
  <c r="BA137" i="9"/>
  <c r="DW137" i="9" s="1"/>
  <c r="BB137" i="9"/>
  <c r="DX137" i="9"/>
  <c r="AY138" i="9"/>
  <c r="DV138" i="9" s="1"/>
  <c r="AZ138" i="9"/>
  <c r="BA138" i="9"/>
  <c r="DW138" i="9" s="1"/>
  <c r="BB138" i="9"/>
  <c r="DX138" i="9"/>
  <c r="AY139" i="9"/>
  <c r="DV139" i="9" s="1"/>
  <c r="AZ139" i="9"/>
  <c r="BA139" i="9"/>
  <c r="DW139" i="9"/>
  <c r="BB139" i="9"/>
  <c r="DX139" i="9" s="1"/>
  <c r="AY140" i="9"/>
  <c r="AZ140" i="9"/>
  <c r="DV140" i="9" s="1"/>
  <c r="BA140" i="9"/>
  <c r="DW140" i="9"/>
  <c r="BB140" i="9"/>
  <c r="DX140" i="9" s="1"/>
  <c r="AY141" i="9"/>
  <c r="AZ141" i="9"/>
  <c r="DV141" i="9"/>
  <c r="BA141" i="9"/>
  <c r="DW141" i="9" s="1"/>
  <c r="BB141" i="9"/>
  <c r="DX141" i="9"/>
  <c r="AY142" i="9"/>
  <c r="DV142" i="9" s="1"/>
  <c r="AZ142" i="9"/>
  <c r="BA142" i="9"/>
  <c r="DW142" i="9" s="1"/>
  <c r="BB142" i="9"/>
  <c r="DX142" i="9"/>
  <c r="AY143" i="9"/>
  <c r="DV143" i="9" s="1"/>
  <c r="AZ143" i="9"/>
  <c r="BA143" i="9"/>
  <c r="DW143" i="9"/>
  <c r="BB143" i="9"/>
  <c r="DX143" i="9" s="1"/>
  <c r="AY144" i="9"/>
  <c r="AZ144" i="9"/>
  <c r="DV144" i="9" s="1"/>
  <c r="BA144" i="9"/>
  <c r="DW144" i="9"/>
  <c r="BB144" i="9"/>
  <c r="DX144" i="9" s="1"/>
  <c r="AY145" i="9"/>
  <c r="AZ145" i="9"/>
  <c r="DV145" i="9"/>
  <c r="BA145" i="9"/>
  <c r="DW145" i="9" s="1"/>
  <c r="BB145" i="9"/>
  <c r="DX145" i="9"/>
  <c r="AY146" i="9"/>
  <c r="DV146" i="9" s="1"/>
  <c r="AZ146" i="9"/>
  <c r="BA146" i="9"/>
  <c r="DW146" i="9" s="1"/>
  <c r="BB146" i="9"/>
  <c r="DX146" i="9"/>
  <c r="AY147" i="9"/>
  <c r="DV147" i="9" s="1"/>
  <c r="AZ147" i="9"/>
  <c r="BA147" i="9"/>
  <c r="DW147" i="9"/>
  <c r="BB147" i="9"/>
  <c r="DX147" i="9" s="1"/>
  <c r="AY148" i="9"/>
  <c r="AZ148" i="9"/>
  <c r="DV148" i="9" s="1"/>
  <c r="BA148" i="9"/>
  <c r="DW148" i="9"/>
  <c r="BB148" i="9"/>
  <c r="DX148" i="9" s="1"/>
  <c r="AY149" i="9"/>
  <c r="AZ149" i="9"/>
  <c r="DV149" i="9"/>
  <c r="BA149" i="9"/>
  <c r="DW149" i="9" s="1"/>
  <c r="BB149" i="9"/>
  <c r="DX149" i="9"/>
  <c r="AY150" i="9"/>
  <c r="DV150" i="9" s="1"/>
  <c r="AZ150" i="9"/>
  <c r="BA150" i="9"/>
  <c r="DW150" i="9" s="1"/>
  <c r="BB150" i="9"/>
  <c r="DX150" i="9"/>
  <c r="AY151" i="9"/>
  <c r="DV151" i="9" s="1"/>
  <c r="AZ151" i="9"/>
  <c r="BA151" i="9"/>
  <c r="DW151" i="9"/>
  <c r="BB151" i="9"/>
  <c r="DX151" i="9" s="1"/>
  <c r="AY152" i="9"/>
  <c r="AZ152" i="9"/>
  <c r="DV152" i="9" s="1"/>
  <c r="BA152" i="9"/>
  <c r="DW152" i="9"/>
  <c r="BB152" i="9"/>
  <c r="DX152" i="9" s="1"/>
  <c r="AY153" i="9"/>
  <c r="AZ153" i="9"/>
  <c r="DV153" i="9"/>
  <c r="BA153" i="9"/>
  <c r="DW153" i="9" s="1"/>
  <c r="BB153" i="9"/>
  <c r="DX153" i="9"/>
  <c r="AY154" i="9"/>
  <c r="DV154" i="9" s="1"/>
  <c r="AZ154" i="9"/>
  <c r="BA154" i="9"/>
  <c r="DW154" i="9" s="1"/>
  <c r="BB154" i="9"/>
  <c r="DX154" i="9"/>
  <c r="AY155" i="9"/>
  <c r="DV155" i="9" s="1"/>
  <c r="AZ155" i="9"/>
  <c r="BA155" i="9"/>
  <c r="DW155" i="9"/>
  <c r="BB155" i="9"/>
  <c r="DX155" i="9" s="1"/>
  <c r="AY156" i="9"/>
  <c r="AZ156" i="9"/>
  <c r="DV156" i="9" s="1"/>
  <c r="BA156" i="9"/>
  <c r="DW156" i="9"/>
  <c r="BB156" i="9"/>
  <c r="DX156" i="9" s="1"/>
  <c r="AY157" i="9"/>
  <c r="AZ157" i="9"/>
  <c r="DV157" i="9"/>
  <c r="BA157" i="9"/>
  <c r="DW157" i="9" s="1"/>
  <c r="BB157" i="9"/>
  <c r="DX157" i="9"/>
  <c r="AY158" i="9"/>
  <c r="DV158" i="9" s="1"/>
  <c r="AZ158" i="9"/>
  <c r="BA158" i="9"/>
  <c r="DW158" i="9" s="1"/>
  <c r="BB158" i="9"/>
  <c r="DX158" i="9"/>
  <c r="AY159" i="9"/>
  <c r="DV159" i="9" s="1"/>
  <c r="AZ159" i="9"/>
  <c r="BA159" i="9"/>
  <c r="DW159" i="9"/>
  <c r="BB159" i="9"/>
  <c r="DX159" i="9" s="1"/>
  <c r="AY160" i="9"/>
  <c r="AZ160" i="9"/>
  <c r="DV160" i="9" s="1"/>
  <c r="BA160" i="9"/>
  <c r="DW160" i="9"/>
  <c r="BB160" i="9"/>
  <c r="DX160" i="9" s="1"/>
  <c r="AY161" i="9"/>
  <c r="AZ161" i="9"/>
  <c r="DV161" i="9"/>
  <c r="BA161" i="9"/>
  <c r="DW161" i="9" s="1"/>
  <c r="BB161" i="9"/>
  <c r="DX161" i="9"/>
  <c r="AY162" i="9"/>
  <c r="DV162" i="9" s="1"/>
  <c r="AZ162" i="9"/>
  <c r="BA162" i="9"/>
  <c r="DW162" i="9" s="1"/>
  <c r="BB162" i="9"/>
  <c r="DX162" i="9"/>
  <c r="AY163" i="9"/>
  <c r="DV163" i="9" s="1"/>
  <c r="AZ163" i="9"/>
  <c r="BA163" i="9"/>
  <c r="DW163" i="9"/>
  <c r="BB163" i="9"/>
  <c r="DX163" i="9" s="1"/>
  <c r="AY164" i="9"/>
  <c r="AZ164" i="9"/>
  <c r="DV164" i="9" s="1"/>
  <c r="BA164" i="9"/>
  <c r="DW164" i="9"/>
  <c r="BB164" i="9"/>
  <c r="DX164" i="9" s="1"/>
  <c r="AY165" i="9"/>
  <c r="AZ165" i="9"/>
  <c r="DV165" i="9"/>
  <c r="BA165" i="9"/>
  <c r="DW165" i="9" s="1"/>
  <c r="BB165" i="9"/>
  <c r="DX165" i="9"/>
  <c r="AY166" i="9"/>
  <c r="DV166" i="9" s="1"/>
  <c r="AZ166" i="9"/>
  <c r="BA166" i="9"/>
  <c r="DW166" i="9" s="1"/>
  <c r="BB166" i="9"/>
  <c r="DX166" i="9"/>
  <c r="AY167" i="9"/>
  <c r="DV167" i="9" s="1"/>
  <c r="AZ167" i="9"/>
  <c r="BA167" i="9"/>
  <c r="DW167" i="9"/>
  <c r="BB167" i="9"/>
  <c r="DX167" i="9" s="1"/>
  <c r="AY168" i="9"/>
  <c r="AZ168" i="9"/>
  <c r="DV168" i="9" s="1"/>
  <c r="BA168" i="9"/>
  <c r="DW168" i="9" s="1"/>
  <c r="BB168" i="9"/>
  <c r="DX168" i="9"/>
  <c r="AY169" i="9"/>
  <c r="AZ169" i="9"/>
  <c r="DV169" i="9"/>
  <c r="BA169" i="9"/>
  <c r="DW169" i="9" s="1"/>
  <c r="BB169" i="9"/>
  <c r="DX169" i="9"/>
  <c r="AY170" i="9"/>
  <c r="DV170" i="9" s="1"/>
  <c r="AZ170" i="9"/>
  <c r="BA170" i="9"/>
  <c r="DW170" i="9"/>
  <c r="BB170" i="9"/>
  <c r="DX170" i="9"/>
  <c r="AY171" i="9"/>
  <c r="AZ171" i="9"/>
  <c r="BA171" i="9"/>
  <c r="DW171" i="9"/>
  <c r="BB171" i="9"/>
  <c r="DX171" i="9" s="1"/>
  <c r="AY172" i="9"/>
  <c r="AZ172" i="9"/>
  <c r="DV172" i="9"/>
  <c r="BA172" i="9"/>
  <c r="DW172" i="9"/>
  <c r="BB172" i="9"/>
  <c r="DX172" i="9"/>
  <c r="AY173" i="9"/>
  <c r="AZ173" i="9"/>
  <c r="DV173" i="9"/>
  <c r="BA173" i="9"/>
  <c r="DW173" i="9" s="1"/>
  <c r="BB173" i="9"/>
  <c r="DX173" i="9"/>
  <c r="AY174" i="9"/>
  <c r="DV174" i="9" s="1"/>
  <c r="AZ174" i="9"/>
  <c r="BA174" i="9"/>
  <c r="DW174" i="9"/>
  <c r="BB174" i="9"/>
  <c r="DX174" i="9"/>
  <c r="AY175" i="9"/>
  <c r="AZ175" i="9"/>
  <c r="BA175" i="9"/>
  <c r="DW175" i="9"/>
  <c r="BB175" i="9"/>
  <c r="DX175" i="9" s="1"/>
  <c r="AY176" i="9"/>
  <c r="AZ176" i="9"/>
  <c r="DV176" i="9"/>
  <c r="BA176" i="9"/>
  <c r="DW176" i="9"/>
  <c r="BB176" i="9"/>
  <c r="DX176" i="9"/>
  <c r="AY177" i="9"/>
  <c r="AZ177" i="9"/>
  <c r="DV177" i="9"/>
  <c r="BA177" i="9"/>
  <c r="DW177" i="9" s="1"/>
  <c r="BB177" i="9"/>
  <c r="DX177" i="9"/>
  <c r="AY178" i="9"/>
  <c r="DV178" i="9" s="1"/>
  <c r="AZ178" i="9"/>
  <c r="BA178" i="9"/>
  <c r="DW178" i="9"/>
  <c r="BB178" i="9"/>
  <c r="DX178" i="9"/>
  <c r="AY179" i="9"/>
  <c r="AZ179" i="9"/>
  <c r="BA179" i="9"/>
  <c r="DW179" i="9"/>
  <c r="BB179" i="9"/>
  <c r="DX179" i="9" s="1"/>
  <c r="AY180" i="9"/>
  <c r="AZ180" i="9"/>
  <c r="DV180" i="9"/>
  <c r="BA180" i="9"/>
  <c r="DW180" i="9"/>
  <c r="BB180" i="9"/>
  <c r="DX180" i="9"/>
  <c r="AY181" i="9"/>
  <c r="AZ181" i="9"/>
  <c r="DV181" i="9"/>
  <c r="BA181" i="9"/>
  <c r="DW181" i="9" s="1"/>
  <c r="BB181" i="9"/>
  <c r="DX181" i="9"/>
  <c r="AY182" i="9"/>
  <c r="DV182" i="9" s="1"/>
  <c r="AZ182" i="9"/>
  <c r="BA182" i="9"/>
  <c r="DW182" i="9"/>
  <c r="BB182" i="9"/>
  <c r="DX182" i="9"/>
  <c r="AY183" i="9"/>
  <c r="AZ183" i="9"/>
  <c r="BA183" i="9"/>
  <c r="DW183" i="9"/>
  <c r="BB183" i="9"/>
  <c r="DX183" i="9" s="1"/>
  <c r="AY184" i="9"/>
  <c r="AZ184" i="9"/>
  <c r="DV184" i="9"/>
  <c r="BA184" i="9"/>
  <c r="DW184" i="9"/>
  <c r="BB184" i="9"/>
  <c r="DX184" i="9"/>
  <c r="AY185" i="9"/>
  <c r="AZ185" i="9"/>
  <c r="DV185" i="9"/>
  <c r="BA185" i="9"/>
  <c r="DW185" i="9" s="1"/>
  <c r="BB185" i="9"/>
  <c r="DX185" i="9"/>
  <c r="AY186" i="9"/>
  <c r="DV186" i="9" s="1"/>
  <c r="AZ186" i="9"/>
  <c r="BA186" i="9"/>
  <c r="DW186" i="9"/>
  <c r="BB186" i="9"/>
  <c r="DX186" i="9"/>
  <c r="AY187" i="9"/>
  <c r="AZ187" i="9"/>
  <c r="BA187" i="9"/>
  <c r="DW187" i="9"/>
  <c r="BB187" i="9"/>
  <c r="DX187" i="9" s="1"/>
  <c r="AY188" i="9"/>
  <c r="AZ188" i="9"/>
  <c r="DV188" i="9"/>
  <c r="BA188" i="9"/>
  <c r="DW188" i="9"/>
  <c r="BB188" i="9"/>
  <c r="DX188" i="9"/>
  <c r="AY189" i="9"/>
  <c r="AZ189" i="9"/>
  <c r="DV189" i="9"/>
  <c r="BA189" i="9"/>
  <c r="DW189" i="9" s="1"/>
  <c r="BB189" i="9"/>
  <c r="DX189" i="9"/>
  <c r="AY190" i="9"/>
  <c r="DV190" i="9" s="1"/>
  <c r="AZ190" i="9"/>
  <c r="BA190" i="9"/>
  <c r="DW190" i="9"/>
  <c r="BB190" i="9"/>
  <c r="DX190" i="9"/>
  <c r="AY191" i="9"/>
  <c r="AZ191" i="9"/>
  <c r="BA191" i="9"/>
  <c r="DW191" i="9"/>
  <c r="BB191" i="9"/>
  <c r="DX191" i="9" s="1"/>
  <c r="AY192" i="9"/>
  <c r="AZ192" i="9"/>
  <c r="DV192" i="9"/>
  <c r="BA192" i="9"/>
  <c r="DW192" i="9"/>
  <c r="BB192" i="9"/>
  <c r="DX192" i="9"/>
  <c r="AY193" i="9"/>
  <c r="AZ193" i="9"/>
  <c r="DV193" i="9"/>
  <c r="BA193" i="9"/>
  <c r="BB193" i="9"/>
  <c r="DX193" i="9"/>
  <c r="AY194" i="9"/>
  <c r="DV194" i="9" s="1"/>
  <c r="AZ194" i="9"/>
  <c r="BA194" i="9"/>
  <c r="DW194" i="9"/>
  <c r="BB194" i="9"/>
  <c r="DX194" i="9"/>
  <c r="AY195" i="9"/>
  <c r="AZ195" i="9"/>
  <c r="BA195" i="9"/>
  <c r="DW195" i="9"/>
  <c r="BB195" i="9"/>
  <c r="DX195" i="9" s="1"/>
  <c r="AY196" i="9"/>
  <c r="AZ196" i="9"/>
  <c r="AZ246" i="9" s="1"/>
  <c r="DV196" i="9"/>
  <c r="BA196" i="9"/>
  <c r="DW196" i="9"/>
  <c r="BB196" i="9"/>
  <c r="DX196" i="9"/>
  <c r="AY197" i="9"/>
  <c r="AZ197" i="9"/>
  <c r="DV197" i="9"/>
  <c r="BA197" i="9"/>
  <c r="DW197" i="9" s="1"/>
  <c r="BB197" i="9"/>
  <c r="DX197" i="9"/>
  <c r="AY198" i="9"/>
  <c r="AZ198" i="9"/>
  <c r="BA198" i="9"/>
  <c r="DW198" i="9"/>
  <c r="BB198" i="9"/>
  <c r="DX198" i="9"/>
  <c r="AY199" i="9"/>
  <c r="AZ199" i="9"/>
  <c r="BA199" i="9"/>
  <c r="DW199" i="9"/>
  <c r="BB199" i="9"/>
  <c r="DX199" i="9" s="1"/>
  <c r="AY200" i="9"/>
  <c r="AZ200" i="9"/>
  <c r="DV200" i="9"/>
  <c r="BA200" i="9"/>
  <c r="DW200" i="9"/>
  <c r="BB200" i="9"/>
  <c r="DX200" i="9"/>
  <c r="AY201" i="9"/>
  <c r="AZ201" i="9"/>
  <c r="DV201" i="9"/>
  <c r="BA201" i="9"/>
  <c r="DW201" i="9" s="1"/>
  <c r="BB201" i="9"/>
  <c r="DX201" i="9"/>
  <c r="AY202" i="9"/>
  <c r="DV202" i="9" s="1"/>
  <c r="AZ202" i="9"/>
  <c r="BA202" i="9"/>
  <c r="DW202" i="9"/>
  <c r="BB202" i="9"/>
  <c r="DX202" i="9"/>
  <c r="AY203" i="9"/>
  <c r="AZ203" i="9"/>
  <c r="BA203" i="9"/>
  <c r="DW203" i="9"/>
  <c r="BB203" i="9"/>
  <c r="DX203" i="9" s="1"/>
  <c r="AY204" i="9"/>
  <c r="AZ204" i="9"/>
  <c r="DV204" i="9"/>
  <c r="BA204" i="9"/>
  <c r="DW204" i="9"/>
  <c r="BB204" i="9"/>
  <c r="DX204" i="9"/>
  <c r="AY205" i="9"/>
  <c r="AZ205" i="9"/>
  <c r="DV205" i="9"/>
  <c r="BA205" i="9"/>
  <c r="BB205" i="9"/>
  <c r="DX205" i="9"/>
  <c r="AY206" i="9"/>
  <c r="DV206" i="9" s="1"/>
  <c r="AZ206" i="9"/>
  <c r="BA206" i="9"/>
  <c r="DW206" i="9"/>
  <c r="BB206" i="9"/>
  <c r="DX206" i="9"/>
  <c r="AY207" i="9"/>
  <c r="AZ207" i="9"/>
  <c r="BA207" i="9"/>
  <c r="DW207" i="9"/>
  <c r="BB207" i="9"/>
  <c r="AY208" i="9"/>
  <c r="AZ208" i="9"/>
  <c r="DV208" i="9"/>
  <c r="BA208" i="9"/>
  <c r="DW208" i="9"/>
  <c r="BB208" i="9"/>
  <c r="DX208" i="9"/>
  <c r="DW209" i="9"/>
  <c r="AY210" i="9"/>
  <c r="DV210" i="9" s="1"/>
  <c r="AZ210" i="9"/>
  <c r="BA210" i="9"/>
  <c r="DW210" i="9"/>
  <c r="BB210" i="9"/>
  <c r="DX210" i="9"/>
  <c r="AY211" i="9"/>
  <c r="AZ211" i="9"/>
  <c r="BA211" i="9"/>
  <c r="DW211" i="9"/>
  <c r="BB211" i="9"/>
  <c r="DX211" i="9" s="1"/>
  <c r="DW212" i="9"/>
  <c r="DX212" i="9"/>
  <c r="AY213" i="9"/>
  <c r="AZ213" i="9"/>
  <c r="DV213" i="9"/>
  <c r="BA213" i="9"/>
  <c r="DW213" i="9" s="1"/>
  <c r="BB213" i="9"/>
  <c r="DX213" i="9"/>
  <c r="AY214" i="9"/>
  <c r="DV214" i="9" s="1"/>
  <c r="AZ214" i="9"/>
  <c r="BA214" i="9"/>
  <c r="DW214" i="9" s="1"/>
  <c r="BB214" i="9"/>
  <c r="DX214" i="9"/>
  <c r="AY215" i="9"/>
  <c r="DV215" i="9" s="1"/>
  <c r="AZ215" i="9"/>
  <c r="BA215" i="9"/>
  <c r="DW215" i="9"/>
  <c r="BB215" i="9"/>
  <c r="DX215" i="9" s="1"/>
  <c r="AY216" i="9"/>
  <c r="AZ216" i="9"/>
  <c r="DV216" i="9" s="1"/>
  <c r="BA216" i="9"/>
  <c r="DW216" i="9"/>
  <c r="BB216" i="9"/>
  <c r="DX216" i="9" s="1"/>
  <c r="AY217" i="9"/>
  <c r="AZ217" i="9"/>
  <c r="DV217" i="9"/>
  <c r="BA217" i="9"/>
  <c r="DW217" i="9" s="1"/>
  <c r="BB217" i="9"/>
  <c r="DX217" i="9"/>
  <c r="AY218" i="9"/>
  <c r="DV218" i="9" s="1"/>
  <c r="AZ218" i="9"/>
  <c r="BA218" i="9"/>
  <c r="DW218" i="9" s="1"/>
  <c r="BB218" i="9"/>
  <c r="DX218" i="9"/>
  <c r="AY219" i="9"/>
  <c r="DV219" i="9" s="1"/>
  <c r="AZ219" i="9"/>
  <c r="BA219" i="9"/>
  <c r="DW219" i="9"/>
  <c r="BB219" i="9"/>
  <c r="DX219" i="9" s="1"/>
  <c r="AY220" i="9"/>
  <c r="AZ220" i="9"/>
  <c r="DV220" i="9" s="1"/>
  <c r="BA220" i="9"/>
  <c r="DW220" i="9"/>
  <c r="BB220" i="9"/>
  <c r="DX220" i="9" s="1"/>
  <c r="AY221" i="9"/>
  <c r="AZ221" i="9"/>
  <c r="DV221" i="9"/>
  <c r="BA221" i="9"/>
  <c r="DW221" i="9" s="1"/>
  <c r="BB221" i="9"/>
  <c r="DX221" i="9"/>
  <c r="AY222" i="9"/>
  <c r="DV222" i="9" s="1"/>
  <c r="AZ222" i="9"/>
  <c r="BA222" i="9"/>
  <c r="DW222" i="9" s="1"/>
  <c r="BB222" i="9"/>
  <c r="DX222" i="9"/>
  <c r="AY223" i="9"/>
  <c r="DV223" i="9" s="1"/>
  <c r="AZ223" i="9"/>
  <c r="BA223" i="9"/>
  <c r="DW223" i="9"/>
  <c r="BB223" i="9"/>
  <c r="DX223" i="9" s="1"/>
  <c r="AY224" i="9"/>
  <c r="AZ224" i="9"/>
  <c r="DV224" i="9" s="1"/>
  <c r="BA224" i="9"/>
  <c r="DW224" i="9"/>
  <c r="BB224" i="9"/>
  <c r="DX224" i="9" s="1"/>
  <c r="AY225" i="9"/>
  <c r="AZ225" i="9"/>
  <c r="DV225" i="9"/>
  <c r="BA225" i="9"/>
  <c r="DW225" i="9" s="1"/>
  <c r="BB225" i="9"/>
  <c r="DX225" i="9"/>
  <c r="AY226" i="9"/>
  <c r="DV226" i="9" s="1"/>
  <c r="AZ226" i="9"/>
  <c r="BA226" i="9"/>
  <c r="DW226" i="9" s="1"/>
  <c r="BB226" i="9"/>
  <c r="DX226" i="9"/>
  <c r="AY227" i="9"/>
  <c r="DV227" i="9" s="1"/>
  <c r="AZ227" i="9"/>
  <c r="BA227" i="9"/>
  <c r="DW227" i="9"/>
  <c r="BB227" i="9"/>
  <c r="DX227" i="9" s="1"/>
  <c r="AY228" i="9"/>
  <c r="AZ228" i="9"/>
  <c r="DV228" i="9" s="1"/>
  <c r="BA228" i="9"/>
  <c r="DW228" i="9"/>
  <c r="BB228" i="9"/>
  <c r="DX228" i="9" s="1"/>
  <c r="AY229" i="9"/>
  <c r="AZ229" i="9"/>
  <c r="DV229" i="9"/>
  <c r="BA229" i="9"/>
  <c r="DW229" i="9" s="1"/>
  <c r="BB229" i="9"/>
  <c r="DX229" i="9"/>
  <c r="AY230" i="9"/>
  <c r="DV230" i="9" s="1"/>
  <c r="AZ230" i="9"/>
  <c r="BA230" i="9"/>
  <c r="DW230" i="9" s="1"/>
  <c r="BB230" i="9"/>
  <c r="DX230" i="9"/>
  <c r="AY231" i="9"/>
  <c r="DV231" i="9" s="1"/>
  <c r="AZ231" i="9"/>
  <c r="BA231" i="9"/>
  <c r="DW231" i="9"/>
  <c r="BB231" i="9"/>
  <c r="DX231" i="9" s="1"/>
  <c r="AY232" i="9"/>
  <c r="AZ232" i="9"/>
  <c r="DV232" i="9" s="1"/>
  <c r="BA232" i="9"/>
  <c r="DW232" i="9"/>
  <c r="BB232" i="9"/>
  <c r="DX232" i="9" s="1"/>
  <c r="AY233" i="9"/>
  <c r="AZ233" i="9"/>
  <c r="DV233" i="9"/>
  <c r="BA233" i="9"/>
  <c r="DW233" i="9" s="1"/>
  <c r="BB233" i="9"/>
  <c r="DX233" i="9"/>
  <c r="AY234" i="9"/>
  <c r="DV234" i="9" s="1"/>
  <c r="AZ234" i="9"/>
  <c r="BA234" i="9"/>
  <c r="DW234" i="9" s="1"/>
  <c r="BB234" i="9"/>
  <c r="DX234" i="9"/>
  <c r="AY235" i="9"/>
  <c r="DV235" i="9" s="1"/>
  <c r="AZ235" i="9"/>
  <c r="BA235" i="9"/>
  <c r="DW235" i="9"/>
  <c r="BB235" i="9"/>
  <c r="DX235" i="9" s="1"/>
  <c r="AY236" i="9"/>
  <c r="AZ236" i="9"/>
  <c r="DV236" i="9" s="1"/>
  <c r="BA236" i="9"/>
  <c r="DW236" i="9"/>
  <c r="BB236" i="9"/>
  <c r="DX236" i="9" s="1"/>
  <c r="AY237" i="9"/>
  <c r="AZ237" i="9"/>
  <c r="DV237" i="9"/>
  <c r="BA237" i="9"/>
  <c r="DW237" i="9" s="1"/>
  <c r="BB237" i="9"/>
  <c r="DX237" i="9"/>
  <c r="AY238" i="9"/>
  <c r="DV238" i="9" s="1"/>
  <c r="AZ238" i="9"/>
  <c r="BA238" i="9"/>
  <c r="DW238" i="9" s="1"/>
  <c r="BB238" i="9"/>
  <c r="DX238" i="9"/>
  <c r="AY239" i="9"/>
  <c r="DV239" i="9" s="1"/>
  <c r="AZ239" i="9"/>
  <c r="BA239" i="9"/>
  <c r="DW239" i="9"/>
  <c r="BB239" i="9"/>
  <c r="DX239" i="9" s="1"/>
  <c r="AY240" i="9"/>
  <c r="AZ240" i="9"/>
  <c r="DV240" i="9" s="1"/>
  <c r="BA240" i="9"/>
  <c r="DW240" i="9"/>
  <c r="BB240" i="9"/>
  <c r="DX240" i="9" s="1"/>
  <c r="AY241" i="9"/>
  <c r="AZ241" i="9"/>
  <c r="DV241" i="9"/>
  <c r="BA241" i="9"/>
  <c r="DW241" i="9" s="1"/>
  <c r="BB241" i="9"/>
  <c r="DX241" i="9"/>
  <c r="AY242" i="9"/>
  <c r="DV242" i="9" s="1"/>
  <c r="AZ242" i="9"/>
  <c r="BA242" i="9"/>
  <c r="DW242" i="9" s="1"/>
  <c r="BB242" i="9"/>
  <c r="DX242" i="9"/>
  <c r="AY243" i="9"/>
  <c r="DV243" i="9" s="1"/>
  <c r="AZ243" i="9"/>
  <c r="BA243" i="9"/>
  <c r="DW243" i="9"/>
  <c r="BB243" i="9"/>
  <c r="DX243" i="9" s="1"/>
  <c r="AY244" i="9"/>
  <c r="AZ244" i="9"/>
  <c r="DV244" i="9" s="1"/>
  <c r="BA244" i="9"/>
  <c r="DW244" i="9"/>
  <c r="BB244" i="9"/>
  <c r="DX244" i="9" s="1"/>
  <c r="AY245" i="9"/>
  <c r="AZ245" i="9"/>
  <c r="DV245" i="9"/>
  <c r="BA245" i="9"/>
  <c r="DW245" i="9" s="1"/>
  <c r="BB245" i="9"/>
  <c r="DX245" i="9"/>
  <c r="AY246" i="9"/>
  <c r="BB246" i="9"/>
  <c r="DX246" i="9" s="1"/>
  <c r="BB129" i="9"/>
  <c r="DX129" i="9"/>
  <c r="BA129" i="9"/>
  <c r="DW129" i="9"/>
  <c r="AY129" i="9"/>
  <c r="AZ129" i="9"/>
  <c r="DV129" i="9"/>
  <c r="AS130" i="9"/>
  <c r="DT130" i="9" s="1"/>
  <c r="AT130" i="9"/>
  <c r="DU130" i="9"/>
  <c r="AS131" i="9"/>
  <c r="DT131" i="9" s="1"/>
  <c r="AT131" i="9"/>
  <c r="DU131" i="9"/>
  <c r="AS132" i="9"/>
  <c r="DT132" i="9" s="1"/>
  <c r="AT132" i="9"/>
  <c r="DU132" i="9"/>
  <c r="AS133" i="9"/>
  <c r="DT133" i="9" s="1"/>
  <c r="AT133" i="9"/>
  <c r="DU133" i="9"/>
  <c r="AS134" i="9"/>
  <c r="DT134" i="9" s="1"/>
  <c r="AT134" i="9"/>
  <c r="DU134" i="9"/>
  <c r="AS135" i="9"/>
  <c r="DT135" i="9" s="1"/>
  <c r="AT135" i="9"/>
  <c r="DU135" i="9"/>
  <c r="AS136" i="9"/>
  <c r="DT136" i="9" s="1"/>
  <c r="AT136" i="9"/>
  <c r="DU136" i="9"/>
  <c r="AS137" i="9"/>
  <c r="DT137" i="9" s="1"/>
  <c r="AT137" i="9"/>
  <c r="DU137" i="9"/>
  <c r="AS138" i="9"/>
  <c r="DT138" i="9" s="1"/>
  <c r="AT138" i="9"/>
  <c r="DU138" i="9"/>
  <c r="AS139" i="9"/>
  <c r="DT139" i="9" s="1"/>
  <c r="AT139" i="9"/>
  <c r="DU139" i="9"/>
  <c r="AS140" i="9"/>
  <c r="DT140" i="9" s="1"/>
  <c r="AT140" i="9"/>
  <c r="DU140" i="9"/>
  <c r="AS141" i="9"/>
  <c r="DT141" i="9" s="1"/>
  <c r="AT141" i="9"/>
  <c r="DU141" i="9"/>
  <c r="AS142" i="9"/>
  <c r="DT142" i="9" s="1"/>
  <c r="AT142" i="9"/>
  <c r="DU142" i="9"/>
  <c r="AS143" i="9"/>
  <c r="DT143" i="9" s="1"/>
  <c r="AT143" i="9"/>
  <c r="DU143" i="9"/>
  <c r="AS144" i="9"/>
  <c r="DT144" i="9" s="1"/>
  <c r="AT144" i="9"/>
  <c r="DU144" i="9"/>
  <c r="AS145" i="9"/>
  <c r="DT145" i="9" s="1"/>
  <c r="AT145" i="9"/>
  <c r="DU145" i="9"/>
  <c r="AS146" i="9"/>
  <c r="DT146" i="9" s="1"/>
  <c r="AT146" i="9"/>
  <c r="DU146" i="9"/>
  <c r="AS147" i="9"/>
  <c r="DT147" i="9" s="1"/>
  <c r="AT147" i="9"/>
  <c r="DU147" i="9"/>
  <c r="AS148" i="9"/>
  <c r="DT148" i="9" s="1"/>
  <c r="AT148" i="9"/>
  <c r="DU148" i="9"/>
  <c r="AS149" i="9"/>
  <c r="DT149" i="9" s="1"/>
  <c r="AT149" i="9"/>
  <c r="DU149" i="9"/>
  <c r="AS150" i="9"/>
  <c r="DT150" i="9" s="1"/>
  <c r="AT150" i="9"/>
  <c r="DU150" i="9"/>
  <c r="AS151" i="9"/>
  <c r="DT151" i="9" s="1"/>
  <c r="AT151" i="9"/>
  <c r="DU151" i="9"/>
  <c r="AS152" i="9"/>
  <c r="DT152" i="9" s="1"/>
  <c r="AT152" i="9"/>
  <c r="DU152" i="9"/>
  <c r="AS153" i="9"/>
  <c r="DT153" i="9" s="1"/>
  <c r="AT153" i="9"/>
  <c r="DU153" i="9"/>
  <c r="AS154" i="9"/>
  <c r="AT154" i="9"/>
  <c r="DU154" i="9"/>
  <c r="AS155" i="9"/>
  <c r="DT155" i="9" s="1"/>
  <c r="AT155" i="9"/>
  <c r="DU155" i="9"/>
  <c r="AS156" i="9"/>
  <c r="DT156" i="9" s="1"/>
  <c r="AT156" i="9"/>
  <c r="DU156" i="9"/>
  <c r="AS157" i="9"/>
  <c r="DT157" i="9" s="1"/>
  <c r="AT157" i="9"/>
  <c r="DU157" i="9"/>
  <c r="AS158" i="9"/>
  <c r="DT158" i="9" s="1"/>
  <c r="AT158" i="9"/>
  <c r="DU158" i="9"/>
  <c r="AS159" i="9"/>
  <c r="DT159" i="9" s="1"/>
  <c r="AT159" i="9"/>
  <c r="DU159" i="9"/>
  <c r="AS160" i="9"/>
  <c r="DT160" i="9" s="1"/>
  <c r="AT160" i="9"/>
  <c r="DU160" i="9"/>
  <c r="AS161" i="9"/>
  <c r="DT161" i="9" s="1"/>
  <c r="AT161" i="9"/>
  <c r="DU161" i="9"/>
  <c r="AS162" i="9"/>
  <c r="DT162" i="9" s="1"/>
  <c r="AT162" i="9"/>
  <c r="DU162" i="9"/>
  <c r="AS163" i="9"/>
  <c r="DT163" i="9" s="1"/>
  <c r="AT163" i="9"/>
  <c r="DU163" i="9"/>
  <c r="AS164" i="9"/>
  <c r="DT164" i="9" s="1"/>
  <c r="AT164" i="9"/>
  <c r="DU164" i="9"/>
  <c r="AS165" i="9"/>
  <c r="DT165" i="9" s="1"/>
  <c r="AT165" i="9"/>
  <c r="DU165" i="9"/>
  <c r="AS166" i="9"/>
  <c r="DT166" i="9" s="1"/>
  <c r="AT166" i="9"/>
  <c r="DU166" i="9"/>
  <c r="AS167" i="9"/>
  <c r="DT167" i="9" s="1"/>
  <c r="AT167" i="9"/>
  <c r="DU167" i="9"/>
  <c r="AS168" i="9"/>
  <c r="DT168" i="9" s="1"/>
  <c r="AT168" i="9"/>
  <c r="DU168" i="9"/>
  <c r="AS169" i="9"/>
  <c r="DT169" i="9" s="1"/>
  <c r="AT169" i="9"/>
  <c r="DU169" i="9"/>
  <c r="AS170" i="9"/>
  <c r="DT170" i="9" s="1"/>
  <c r="AT170" i="9"/>
  <c r="DU170" i="9"/>
  <c r="AS171" i="9"/>
  <c r="DT171" i="9" s="1"/>
  <c r="AT171" i="9"/>
  <c r="DU171" i="9"/>
  <c r="AS172" i="9"/>
  <c r="DT172" i="9" s="1"/>
  <c r="AT172" i="9"/>
  <c r="DU172" i="9"/>
  <c r="AS173" i="9"/>
  <c r="DT173" i="9" s="1"/>
  <c r="AT173" i="9"/>
  <c r="DU173" i="9"/>
  <c r="AS174" i="9"/>
  <c r="DT174" i="9" s="1"/>
  <c r="AT174" i="9"/>
  <c r="DU174" i="9"/>
  <c r="AS175" i="9"/>
  <c r="DT175" i="9" s="1"/>
  <c r="AT175" i="9"/>
  <c r="DU175" i="9"/>
  <c r="AS176" i="9"/>
  <c r="DT176" i="9" s="1"/>
  <c r="AT176" i="9"/>
  <c r="DU176" i="9"/>
  <c r="AS177" i="9"/>
  <c r="DT177" i="9" s="1"/>
  <c r="AT177" i="9"/>
  <c r="DU177" i="9"/>
  <c r="AS178" i="9"/>
  <c r="DT178" i="9" s="1"/>
  <c r="AT178" i="9"/>
  <c r="DU178" i="9"/>
  <c r="AS179" i="9"/>
  <c r="DT179" i="9" s="1"/>
  <c r="AT179" i="9"/>
  <c r="DU179" i="9"/>
  <c r="AS180" i="9"/>
  <c r="DT180" i="9" s="1"/>
  <c r="AT180" i="9"/>
  <c r="DU180" i="9"/>
  <c r="AS181" i="9"/>
  <c r="DT181" i="9" s="1"/>
  <c r="AT181" i="9"/>
  <c r="DU181" i="9"/>
  <c r="AS182" i="9"/>
  <c r="DT182" i="9" s="1"/>
  <c r="AT182" i="9"/>
  <c r="DU182" i="9"/>
  <c r="AS183" i="9"/>
  <c r="DT183" i="9" s="1"/>
  <c r="AT183" i="9"/>
  <c r="DU183" i="9"/>
  <c r="AS184" i="9"/>
  <c r="DT184" i="9" s="1"/>
  <c r="AT184" i="9"/>
  <c r="DU184" i="9"/>
  <c r="AS185" i="9"/>
  <c r="DT185" i="9" s="1"/>
  <c r="AT185" i="9"/>
  <c r="DU185" i="9"/>
  <c r="AS186" i="9"/>
  <c r="DT186" i="9" s="1"/>
  <c r="AT186" i="9"/>
  <c r="DU186" i="9"/>
  <c r="AS187" i="9"/>
  <c r="DT187" i="9" s="1"/>
  <c r="AT187" i="9"/>
  <c r="DU187" i="9"/>
  <c r="AS188" i="9"/>
  <c r="DT188" i="9" s="1"/>
  <c r="AT188" i="9"/>
  <c r="DU188" i="9"/>
  <c r="AS189" i="9"/>
  <c r="DT189" i="9" s="1"/>
  <c r="AT189" i="9"/>
  <c r="DU189" i="9"/>
  <c r="AS190" i="9"/>
  <c r="DT190" i="9" s="1"/>
  <c r="AT190" i="9"/>
  <c r="DU190" i="9"/>
  <c r="AS191" i="9"/>
  <c r="DT191" i="9" s="1"/>
  <c r="AT191" i="9"/>
  <c r="DU191" i="9"/>
  <c r="AS192" i="9"/>
  <c r="DT192" i="9" s="1"/>
  <c r="AT192" i="9"/>
  <c r="DU192" i="9"/>
  <c r="AS193" i="9"/>
  <c r="DT193" i="9" s="1"/>
  <c r="AT193" i="9"/>
  <c r="DU193" i="9"/>
  <c r="AS194" i="9"/>
  <c r="DT194" i="9" s="1"/>
  <c r="AT194" i="9"/>
  <c r="DU194" i="9"/>
  <c r="AS195" i="9"/>
  <c r="DT195" i="9" s="1"/>
  <c r="AT195" i="9"/>
  <c r="DU195" i="9"/>
  <c r="AS196" i="9"/>
  <c r="DT196" i="9" s="1"/>
  <c r="AT196" i="9"/>
  <c r="DU196" i="9"/>
  <c r="AS197" i="9"/>
  <c r="DT197" i="9" s="1"/>
  <c r="AT197" i="9"/>
  <c r="DU197" i="9"/>
  <c r="AS198" i="9"/>
  <c r="AT198" i="9"/>
  <c r="DU198" i="9"/>
  <c r="AS199" i="9"/>
  <c r="DT199" i="9" s="1"/>
  <c r="AT199" i="9"/>
  <c r="DU199" i="9"/>
  <c r="AS200" i="9"/>
  <c r="DT200" i="9" s="1"/>
  <c r="AT200" i="9"/>
  <c r="DU200" i="9"/>
  <c r="AS201" i="9"/>
  <c r="DT201" i="9" s="1"/>
  <c r="AT201" i="9"/>
  <c r="DU201" i="9"/>
  <c r="AS202" i="9"/>
  <c r="DT202" i="9" s="1"/>
  <c r="AT202" i="9"/>
  <c r="DU202" i="9"/>
  <c r="AS203" i="9"/>
  <c r="DT203" i="9" s="1"/>
  <c r="AT203" i="9"/>
  <c r="DU203" i="9"/>
  <c r="AS204" i="9"/>
  <c r="DT204" i="9" s="1"/>
  <c r="AT204" i="9"/>
  <c r="DU204" i="9"/>
  <c r="AS205" i="9"/>
  <c r="DT205" i="9" s="1"/>
  <c r="AT205" i="9"/>
  <c r="DU205" i="9"/>
  <c r="AS206" i="9"/>
  <c r="DT206" i="9" s="1"/>
  <c r="AT206" i="9"/>
  <c r="DU206" i="9"/>
  <c r="AS207" i="9"/>
  <c r="DT207" i="9" s="1"/>
  <c r="AT207" i="9"/>
  <c r="DU207" i="9"/>
  <c r="AS208" i="9"/>
  <c r="DT208" i="9" s="1"/>
  <c r="AT208" i="9"/>
  <c r="DU208" i="9"/>
  <c r="DT209" i="9"/>
  <c r="AS210" i="9"/>
  <c r="DT210" i="9"/>
  <c r="AT210" i="9"/>
  <c r="DU210" i="9" s="1"/>
  <c r="AS211" i="9"/>
  <c r="DT211" i="9"/>
  <c r="AT211" i="9"/>
  <c r="DU211" i="9" s="1"/>
  <c r="DT212" i="9"/>
  <c r="DU212" i="9"/>
  <c r="AS213" i="9"/>
  <c r="DT213" i="9" s="1"/>
  <c r="AT213" i="9"/>
  <c r="DU213" i="9"/>
  <c r="AS214" i="9"/>
  <c r="DT214" i="9" s="1"/>
  <c r="AT214" i="9"/>
  <c r="DU214" i="9"/>
  <c r="AS215" i="9"/>
  <c r="DT215" i="9" s="1"/>
  <c r="AT215" i="9"/>
  <c r="DU215" i="9"/>
  <c r="AS216" i="9"/>
  <c r="DT216" i="9" s="1"/>
  <c r="AT216" i="9"/>
  <c r="DU216" i="9"/>
  <c r="AS217" i="9"/>
  <c r="DT217" i="9" s="1"/>
  <c r="AT217" i="9"/>
  <c r="DU217" i="9"/>
  <c r="AS218" i="9"/>
  <c r="DT218" i="9" s="1"/>
  <c r="AT218" i="9"/>
  <c r="DU218" i="9"/>
  <c r="AS219" i="9"/>
  <c r="DT219" i="9" s="1"/>
  <c r="AT219" i="9"/>
  <c r="DU219" i="9"/>
  <c r="AS220" i="9"/>
  <c r="DT220" i="9" s="1"/>
  <c r="AT220" i="9"/>
  <c r="DU220" i="9"/>
  <c r="AS221" i="9"/>
  <c r="DT221" i="9" s="1"/>
  <c r="AT221" i="9"/>
  <c r="DU221" i="9"/>
  <c r="AS222" i="9"/>
  <c r="DT222" i="9" s="1"/>
  <c r="AT222" i="9"/>
  <c r="DU222" i="9"/>
  <c r="AS223" i="9"/>
  <c r="DT223" i="9" s="1"/>
  <c r="AT223" i="9"/>
  <c r="DU223" i="9"/>
  <c r="AS224" i="9"/>
  <c r="DT224" i="9" s="1"/>
  <c r="AT224" i="9"/>
  <c r="DU224" i="9"/>
  <c r="AS225" i="9"/>
  <c r="DT225" i="9" s="1"/>
  <c r="AT225" i="9"/>
  <c r="DU225" i="9"/>
  <c r="AS226" i="9"/>
  <c r="DT226" i="9" s="1"/>
  <c r="AT226" i="9"/>
  <c r="DU226" i="9"/>
  <c r="AS227" i="9"/>
  <c r="DT227" i="9" s="1"/>
  <c r="AT227" i="9"/>
  <c r="DU227" i="9"/>
  <c r="AS228" i="9"/>
  <c r="DT228" i="9" s="1"/>
  <c r="AT228" i="9"/>
  <c r="DU228" i="9"/>
  <c r="AS229" i="9"/>
  <c r="DT229" i="9" s="1"/>
  <c r="AT229" i="9"/>
  <c r="DU229" i="9"/>
  <c r="AS230" i="9"/>
  <c r="DT230" i="9" s="1"/>
  <c r="AT230" i="9"/>
  <c r="DU230" i="9"/>
  <c r="AS231" i="9"/>
  <c r="DT231" i="9" s="1"/>
  <c r="AT231" i="9"/>
  <c r="DU231" i="9"/>
  <c r="AS232" i="9"/>
  <c r="DT232" i="9" s="1"/>
  <c r="AT232" i="9"/>
  <c r="DU232" i="9"/>
  <c r="AS233" i="9"/>
  <c r="DT233" i="9" s="1"/>
  <c r="AT233" i="9"/>
  <c r="DU233" i="9"/>
  <c r="AS234" i="9"/>
  <c r="DT234" i="9" s="1"/>
  <c r="AT234" i="9"/>
  <c r="DU234" i="9"/>
  <c r="AS235" i="9"/>
  <c r="DT235" i="9" s="1"/>
  <c r="AT235" i="9"/>
  <c r="DU235" i="9"/>
  <c r="AS236" i="9"/>
  <c r="DT236" i="9" s="1"/>
  <c r="AT236" i="9"/>
  <c r="DU236" i="9"/>
  <c r="AS237" i="9"/>
  <c r="DT237" i="9" s="1"/>
  <c r="AT237" i="9"/>
  <c r="DU237" i="9"/>
  <c r="AS238" i="9"/>
  <c r="DT238" i="9" s="1"/>
  <c r="AT238" i="9"/>
  <c r="DU238" i="9"/>
  <c r="AS239" i="9"/>
  <c r="DT239" i="9" s="1"/>
  <c r="AT239" i="9"/>
  <c r="DU239" i="9"/>
  <c r="AS240" i="9"/>
  <c r="DT240" i="9" s="1"/>
  <c r="AT240" i="9"/>
  <c r="DU240" i="9"/>
  <c r="AS241" i="9"/>
  <c r="DT241" i="9" s="1"/>
  <c r="AT241" i="9"/>
  <c r="DU241" i="9"/>
  <c r="AS242" i="9"/>
  <c r="DT242" i="9" s="1"/>
  <c r="AT242" i="9"/>
  <c r="DU242" i="9"/>
  <c r="AS243" i="9"/>
  <c r="DT243" i="9" s="1"/>
  <c r="AT243" i="9"/>
  <c r="DU243" i="9"/>
  <c r="AS244" i="9"/>
  <c r="DT244" i="9" s="1"/>
  <c r="AT244" i="9"/>
  <c r="DU244" i="9"/>
  <c r="AS245" i="9"/>
  <c r="DT245" i="9" s="1"/>
  <c r="AT245" i="9"/>
  <c r="DU245" i="9"/>
  <c r="AT246" i="9"/>
  <c r="DU246" i="9"/>
  <c r="AT129" i="9"/>
  <c r="DU129" i="9"/>
  <c r="AS129" i="9"/>
  <c r="DT129" i="9" s="1"/>
  <c r="D130" i="9"/>
  <c r="DQ130" i="9" s="1"/>
  <c r="E130" i="9"/>
  <c r="F130" i="9"/>
  <c r="G130" i="9"/>
  <c r="H130" i="9"/>
  <c r="I130" i="9"/>
  <c r="J130" i="9"/>
  <c r="K130" i="9"/>
  <c r="L130" i="9"/>
  <c r="X130" i="9"/>
  <c r="Y130" i="9"/>
  <c r="DS130" i="9"/>
  <c r="D131" i="9"/>
  <c r="E131" i="9"/>
  <c r="F131" i="9"/>
  <c r="DQ131" i="9"/>
  <c r="G131" i="9"/>
  <c r="H131" i="9"/>
  <c r="I131" i="9"/>
  <c r="J131" i="9"/>
  <c r="K131" i="9"/>
  <c r="L131" i="9"/>
  <c r="X131" i="9"/>
  <c r="Y131" i="9"/>
  <c r="D132" i="9"/>
  <c r="E132" i="9"/>
  <c r="DQ132" i="9" s="1"/>
  <c r="F132" i="9"/>
  <c r="G132" i="9"/>
  <c r="H132" i="9"/>
  <c r="I132" i="9"/>
  <c r="J132" i="9"/>
  <c r="K132" i="9"/>
  <c r="L132" i="9"/>
  <c r="DR132" i="9"/>
  <c r="X132" i="9"/>
  <c r="Y132" i="9"/>
  <c r="D133" i="9"/>
  <c r="DQ133" i="9" s="1"/>
  <c r="E133" i="9"/>
  <c r="F133" i="9"/>
  <c r="G133" i="9"/>
  <c r="H133" i="9"/>
  <c r="I133" i="9"/>
  <c r="J133" i="9"/>
  <c r="K133" i="9"/>
  <c r="L133" i="9"/>
  <c r="X133" i="9"/>
  <c r="Y133" i="9"/>
  <c r="D134" i="9"/>
  <c r="E134" i="9"/>
  <c r="F134" i="9"/>
  <c r="G134" i="9"/>
  <c r="H134" i="9"/>
  <c r="DR134" i="9" s="1"/>
  <c r="I134" i="9"/>
  <c r="J134" i="9"/>
  <c r="K134" i="9"/>
  <c r="L134" i="9"/>
  <c r="X134" i="9"/>
  <c r="Y134" i="9"/>
  <c r="DS134" i="9"/>
  <c r="D135" i="9"/>
  <c r="E135" i="9"/>
  <c r="F135" i="9"/>
  <c r="DQ135" i="9"/>
  <c r="G135" i="9"/>
  <c r="H135" i="9"/>
  <c r="I135" i="9"/>
  <c r="J135" i="9"/>
  <c r="K135" i="9"/>
  <c r="L135" i="9"/>
  <c r="X135" i="9"/>
  <c r="Y135" i="9"/>
  <c r="D136" i="9"/>
  <c r="E136" i="9"/>
  <c r="DQ136" i="9" s="1"/>
  <c r="F136" i="9"/>
  <c r="G136" i="9"/>
  <c r="H136" i="9"/>
  <c r="I136" i="9"/>
  <c r="J136" i="9"/>
  <c r="K136" i="9"/>
  <c r="L136" i="9"/>
  <c r="DR136" i="9"/>
  <c r="X136" i="9"/>
  <c r="Y136" i="9"/>
  <c r="DS136" i="9"/>
  <c r="D137" i="9"/>
  <c r="DQ137" i="9" s="1"/>
  <c r="E137" i="9"/>
  <c r="F137" i="9"/>
  <c r="G137" i="9"/>
  <c r="H137" i="9"/>
  <c r="I137" i="9"/>
  <c r="J137" i="9"/>
  <c r="K137" i="9"/>
  <c r="L137" i="9"/>
  <c r="X137" i="9"/>
  <c r="Y137" i="9"/>
  <c r="D138" i="9"/>
  <c r="E138" i="9"/>
  <c r="F138" i="9"/>
  <c r="G138" i="9"/>
  <c r="H138" i="9"/>
  <c r="I138" i="9"/>
  <c r="J138" i="9"/>
  <c r="K138" i="9"/>
  <c r="L138" i="9"/>
  <c r="X138" i="9"/>
  <c r="Y138" i="9"/>
  <c r="DS138" i="9"/>
  <c r="D139" i="9"/>
  <c r="E139" i="9"/>
  <c r="F139" i="9"/>
  <c r="DQ139" i="9"/>
  <c r="G139" i="9"/>
  <c r="H139" i="9"/>
  <c r="I139" i="9"/>
  <c r="J139" i="9"/>
  <c r="K139" i="9"/>
  <c r="L139" i="9"/>
  <c r="X139" i="9"/>
  <c r="Y139" i="9"/>
  <c r="D140" i="9"/>
  <c r="E140" i="9"/>
  <c r="DQ140" i="9" s="1"/>
  <c r="F140" i="9"/>
  <c r="G140" i="9"/>
  <c r="H140" i="9"/>
  <c r="I140" i="9"/>
  <c r="J140" i="9"/>
  <c r="K140" i="9"/>
  <c r="L140" i="9"/>
  <c r="DR140" i="9"/>
  <c r="X140" i="9"/>
  <c r="Y140" i="9"/>
  <c r="D141" i="9"/>
  <c r="DQ141" i="9" s="1"/>
  <c r="E141" i="9"/>
  <c r="F141" i="9"/>
  <c r="G141" i="9"/>
  <c r="H141" i="9"/>
  <c r="I141" i="9"/>
  <c r="J141" i="9"/>
  <c r="K141" i="9"/>
  <c r="L141" i="9"/>
  <c r="X141" i="9"/>
  <c r="Y141" i="9"/>
  <c r="D142" i="9"/>
  <c r="E142" i="9"/>
  <c r="F142" i="9"/>
  <c r="G142" i="9"/>
  <c r="H142" i="9"/>
  <c r="DR142" i="9" s="1"/>
  <c r="I142" i="9"/>
  <c r="J142" i="9"/>
  <c r="K142" i="9"/>
  <c r="L142" i="9"/>
  <c r="X142" i="9"/>
  <c r="Y142" i="9"/>
  <c r="DS142" i="9"/>
  <c r="D143" i="9"/>
  <c r="E143" i="9"/>
  <c r="F143" i="9"/>
  <c r="DQ143" i="9"/>
  <c r="G143" i="9"/>
  <c r="H143" i="9"/>
  <c r="I143" i="9"/>
  <c r="J143" i="9"/>
  <c r="K143" i="9"/>
  <c r="L143" i="9"/>
  <c r="X143" i="9"/>
  <c r="Y143" i="9"/>
  <c r="D144" i="9"/>
  <c r="E144" i="9"/>
  <c r="DQ144" i="9" s="1"/>
  <c r="F144" i="9"/>
  <c r="G144" i="9"/>
  <c r="H144" i="9"/>
  <c r="I144" i="9"/>
  <c r="J144" i="9"/>
  <c r="K144" i="9"/>
  <c r="L144" i="9"/>
  <c r="DR144" i="9"/>
  <c r="X144" i="9"/>
  <c r="Y144" i="9"/>
  <c r="DS144" i="9"/>
  <c r="D145" i="9"/>
  <c r="DQ145" i="9" s="1"/>
  <c r="E145" i="9"/>
  <c r="F145" i="9"/>
  <c r="G145" i="9"/>
  <c r="H145" i="9"/>
  <c r="I145" i="9"/>
  <c r="J145" i="9"/>
  <c r="K145" i="9"/>
  <c r="L145" i="9"/>
  <c r="X145" i="9"/>
  <c r="Y145" i="9"/>
  <c r="D146" i="9"/>
  <c r="E146" i="9"/>
  <c r="F146" i="9"/>
  <c r="G146" i="9"/>
  <c r="H146" i="9"/>
  <c r="I146" i="9"/>
  <c r="J146" i="9"/>
  <c r="K146" i="9"/>
  <c r="L146" i="9"/>
  <c r="X146" i="9"/>
  <c r="Y146" i="9"/>
  <c r="DS146" i="9"/>
  <c r="D147" i="9"/>
  <c r="E147" i="9"/>
  <c r="F147" i="9"/>
  <c r="DQ147" i="9"/>
  <c r="G147" i="9"/>
  <c r="H147" i="9"/>
  <c r="I147" i="9"/>
  <c r="J147" i="9"/>
  <c r="K147" i="9"/>
  <c r="L147" i="9"/>
  <c r="X147" i="9"/>
  <c r="Y147" i="9"/>
  <c r="D148" i="9"/>
  <c r="E148" i="9"/>
  <c r="DQ148" i="9" s="1"/>
  <c r="F148" i="9"/>
  <c r="G148" i="9"/>
  <c r="H148" i="9"/>
  <c r="I148" i="9"/>
  <c r="J148" i="9"/>
  <c r="K148" i="9"/>
  <c r="L148" i="9"/>
  <c r="DR148" i="9"/>
  <c r="X148" i="9"/>
  <c r="Y148" i="9"/>
  <c r="DS148" i="9"/>
  <c r="D149" i="9"/>
  <c r="DQ149" i="9" s="1"/>
  <c r="E149" i="9"/>
  <c r="F149" i="9"/>
  <c r="G149" i="9"/>
  <c r="H149" i="9"/>
  <c r="I149" i="9"/>
  <c r="J149" i="9"/>
  <c r="K149" i="9"/>
  <c r="L149" i="9"/>
  <c r="X149" i="9"/>
  <c r="Y149" i="9"/>
  <c r="D150" i="9"/>
  <c r="E150" i="9"/>
  <c r="F150" i="9"/>
  <c r="G150" i="9"/>
  <c r="H150" i="9"/>
  <c r="DR150" i="9" s="1"/>
  <c r="I150" i="9"/>
  <c r="J150" i="9"/>
  <c r="K150" i="9"/>
  <c r="L150" i="9"/>
  <c r="X150" i="9"/>
  <c r="Y150" i="9"/>
  <c r="D151" i="9"/>
  <c r="E151" i="9"/>
  <c r="F151" i="9"/>
  <c r="DQ151" i="9"/>
  <c r="G151" i="9"/>
  <c r="H151" i="9"/>
  <c r="I151" i="9"/>
  <c r="J151" i="9"/>
  <c r="K151" i="9"/>
  <c r="L151" i="9"/>
  <c r="X151" i="9"/>
  <c r="Y151" i="9"/>
  <c r="D152" i="9"/>
  <c r="E152" i="9"/>
  <c r="DQ152" i="9" s="1"/>
  <c r="F152" i="9"/>
  <c r="G152" i="9"/>
  <c r="H152" i="9"/>
  <c r="I152" i="9"/>
  <c r="J152" i="9"/>
  <c r="K152" i="9"/>
  <c r="L152" i="9"/>
  <c r="DR152" i="9"/>
  <c r="X152" i="9"/>
  <c r="Y152" i="9"/>
  <c r="DS152" i="9"/>
  <c r="D153" i="9"/>
  <c r="DQ153" i="9" s="1"/>
  <c r="E153" i="9"/>
  <c r="F153" i="9"/>
  <c r="G153" i="9"/>
  <c r="H153" i="9"/>
  <c r="I153" i="9"/>
  <c r="J153" i="9"/>
  <c r="K153" i="9"/>
  <c r="L153" i="9"/>
  <c r="X153" i="9"/>
  <c r="Y153" i="9"/>
  <c r="D154" i="9"/>
  <c r="E154" i="9"/>
  <c r="F154" i="9"/>
  <c r="G154" i="9"/>
  <c r="H154" i="9"/>
  <c r="I154" i="9"/>
  <c r="J154" i="9"/>
  <c r="K154" i="9"/>
  <c r="L154" i="9"/>
  <c r="X154" i="9"/>
  <c r="Y154" i="9"/>
  <c r="DS154" i="9"/>
  <c r="D155" i="9"/>
  <c r="E155" i="9"/>
  <c r="F155" i="9"/>
  <c r="DQ155" i="9"/>
  <c r="G155" i="9"/>
  <c r="H155" i="9"/>
  <c r="I155" i="9"/>
  <c r="J155" i="9"/>
  <c r="K155" i="9"/>
  <c r="L155" i="9"/>
  <c r="X155" i="9"/>
  <c r="Y155" i="9"/>
  <c r="D156" i="9"/>
  <c r="E156" i="9"/>
  <c r="DQ156" i="9" s="1"/>
  <c r="F156" i="9"/>
  <c r="G156" i="9"/>
  <c r="H156" i="9"/>
  <c r="I156" i="9"/>
  <c r="J156" i="9"/>
  <c r="K156" i="9"/>
  <c r="L156" i="9"/>
  <c r="DR156" i="9"/>
  <c r="X156" i="9"/>
  <c r="Y156" i="9"/>
  <c r="DS156" i="9"/>
  <c r="D157" i="9"/>
  <c r="DQ157" i="9" s="1"/>
  <c r="E157" i="9"/>
  <c r="F157" i="9"/>
  <c r="G157" i="9"/>
  <c r="H157" i="9"/>
  <c r="I157" i="9"/>
  <c r="J157" i="9"/>
  <c r="K157" i="9"/>
  <c r="L157" i="9"/>
  <c r="X157" i="9"/>
  <c r="Y157" i="9"/>
  <c r="D158" i="9"/>
  <c r="E158" i="9"/>
  <c r="F158" i="9"/>
  <c r="G158" i="9"/>
  <c r="H158" i="9"/>
  <c r="DR158" i="9" s="1"/>
  <c r="I158" i="9"/>
  <c r="J158" i="9"/>
  <c r="K158" i="9"/>
  <c r="L158" i="9"/>
  <c r="X158" i="9"/>
  <c r="Y158" i="9"/>
  <c r="D159" i="9"/>
  <c r="E159" i="9"/>
  <c r="F159" i="9"/>
  <c r="DQ159" i="9"/>
  <c r="G159" i="9"/>
  <c r="H159" i="9"/>
  <c r="I159" i="9"/>
  <c r="J159" i="9"/>
  <c r="K159" i="9"/>
  <c r="L159" i="9"/>
  <c r="X159" i="9"/>
  <c r="Y159" i="9"/>
  <c r="D160" i="9"/>
  <c r="E160" i="9"/>
  <c r="DQ160" i="9" s="1"/>
  <c r="F160" i="9"/>
  <c r="G160" i="9"/>
  <c r="H160" i="9"/>
  <c r="I160" i="9"/>
  <c r="J160" i="9"/>
  <c r="K160" i="9"/>
  <c r="L160" i="9"/>
  <c r="DR160" i="9"/>
  <c r="X160" i="9"/>
  <c r="Y160" i="9"/>
  <c r="DS160" i="9"/>
  <c r="D161" i="9"/>
  <c r="DQ161" i="9" s="1"/>
  <c r="E161" i="9"/>
  <c r="F161" i="9"/>
  <c r="G161" i="9"/>
  <c r="H161" i="9"/>
  <c r="I161" i="9"/>
  <c r="J161" i="9"/>
  <c r="K161" i="9"/>
  <c r="L161" i="9"/>
  <c r="X161" i="9"/>
  <c r="Y161" i="9"/>
  <c r="D162" i="9"/>
  <c r="E162" i="9"/>
  <c r="F162" i="9"/>
  <c r="G162" i="9"/>
  <c r="H162" i="9"/>
  <c r="I162" i="9"/>
  <c r="J162" i="9"/>
  <c r="K162" i="9"/>
  <c r="L162" i="9"/>
  <c r="X162" i="9"/>
  <c r="Y162" i="9"/>
  <c r="DS162" i="9"/>
  <c r="D163" i="9"/>
  <c r="E163" i="9"/>
  <c r="F163" i="9"/>
  <c r="DQ163" i="9"/>
  <c r="G163" i="9"/>
  <c r="H163" i="9"/>
  <c r="I163" i="9"/>
  <c r="J163" i="9"/>
  <c r="K163" i="9"/>
  <c r="L163" i="9"/>
  <c r="X163" i="9"/>
  <c r="Y163" i="9"/>
  <c r="D164" i="9"/>
  <c r="E164" i="9"/>
  <c r="DQ164" i="9" s="1"/>
  <c r="F164" i="9"/>
  <c r="G164" i="9"/>
  <c r="H164" i="9"/>
  <c r="I164" i="9"/>
  <c r="J164" i="9"/>
  <c r="K164" i="9"/>
  <c r="L164" i="9"/>
  <c r="DR164" i="9"/>
  <c r="X164" i="9"/>
  <c r="Y164" i="9"/>
  <c r="DS164" i="9"/>
  <c r="D165" i="9"/>
  <c r="DQ165" i="9" s="1"/>
  <c r="E165" i="9"/>
  <c r="F165" i="9"/>
  <c r="G165" i="9"/>
  <c r="H165" i="9"/>
  <c r="I165" i="9"/>
  <c r="J165" i="9"/>
  <c r="K165" i="9"/>
  <c r="L165" i="9"/>
  <c r="X165" i="9"/>
  <c r="Y165" i="9"/>
  <c r="D166" i="9"/>
  <c r="E166" i="9"/>
  <c r="F166" i="9"/>
  <c r="G166" i="9"/>
  <c r="H166" i="9"/>
  <c r="I166" i="9"/>
  <c r="J166" i="9"/>
  <c r="K166" i="9"/>
  <c r="L166" i="9"/>
  <c r="X166" i="9"/>
  <c r="Y166" i="9"/>
  <c r="DS166" i="9"/>
  <c r="D167" i="9"/>
  <c r="E167" i="9"/>
  <c r="F167" i="9"/>
  <c r="DQ167" i="9"/>
  <c r="G167" i="9"/>
  <c r="H167" i="9"/>
  <c r="I167" i="9"/>
  <c r="J167" i="9"/>
  <c r="K167" i="9"/>
  <c r="L167" i="9"/>
  <c r="X167" i="9"/>
  <c r="Y167" i="9"/>
  <c r="D168" i="9"/>
  <c r="E168" i="9"/>
  <c r="DQ168" i="9" s="1"/>
  <c r="F168" i="9"/>
  <c r="G168" i="9"/>
  <c r="H168" i="9"/>
  <c r="I168" i="9"/>
  <c r="J168" i="9"/>
  <c r="K168" i="9"/>
  <c r="L168" i="9"/>
  <c r="DR168" i="9"/>
  <c r="X168" i="9"/>
  <c r="Y168" i="9"/>
  <c r="DS168" i="9"/>
  <c r="D169" i="9"/>
  <c r="DQ169" i="9" s="1"/>
  <c r="E169" i="9"/>
  <c r="F169" i="9"/>
  <c r="G169" i="9"/>
  <c r="H169" i="9"/>
  <c r="I169" i="9"/>
  <c r="J169" i="9"/>
  <c r="K169" i="9"/>
  <c r="L169" i="9"/>
  <c r="X169" i="9"/>
  <c r="Y169" i="9"/>
  <c r="D170" i="9"/>
  <c r="E170" i="9"/>
  <c r="F170" i="9"/>
  <c r="G170" i="9"/>
  <c r="H170" i="9"/>
  <c r="I170" i="9"/>
  <c r="J170" i="9"/>
  <c r="K170" i="9"/>
  <c r="L170" i="9"/>
  <c r="X170" i="9"/>
  <c r="Y170" i="9"/>
  <c r="DS170" i="9"/>
  <c r="D171" i="9"/>
  <c r="E171" i="9"/>
  <c r="F171" i="9"/>
  <c r="DQ171" i="9"/>
  <c r="G171" i="9"/>
  <c r="H171" i="9"/>
  <c r="I171" i="9"/>
  <c r="J171" i="9"/>
  <c r="K171" i="9"/>
  <c r="L171" i="9"/>
  <c r="X171" i="9"/>
  <c r="Y171" i="9"/>
  <c r="D172" i="9"/>
  <c r="E172" i="9"/>
  <c r="DQ172" i="9" s="1"/>
  <c r="F172" i="9"/>
  <c r="G172" i="9"/>
  <c r="H172" i="9"/>
  <c r="I172" i="9"/>
  <c r="J172" i="9"/>
  <c r="K172" i="9"/>
  <c r="L172" i="9"/>
  <c r="DR172" i="9"/>
  <c r="X172" i="9"/>
  <c r="Y172" i="9"/>
  <c r="DS172" i="9"/>
  <c r="D173" i="9"/>
  <c r="DQ173" i="9" s="1"/>
  <c r="E173" i="9"/>
  <c r="F173" i="9"/>
  <c r="G173" i="9"/>
  <c r="H173" i="9"/>
  <c r="I173" i="9"/>
  <c r="J173" i="9"/>
  <c r="K173" i="9"/>
  <c r="L173" i="9"/>
  <c r="X173" i="9"/>
  <c r="Y173" i="9"/>
  <c r="D174" i="9"/>
  <c r="E174" i="9"/>
  <c r="F174" i="9"/>
  <c r="G174" i="9"/>
  <c r="H174" i="9"/>
  <c r="I174" i="9"/>
  <c r="J174" i="9"/>
  <c r="K174" i="9"/>
  <c r="L174" i="9"/>
  <c r="X174" i="9"/>
  <c r="Y174" i="9"/>
  <c r="DS174" i="9"/>
  <c r="D175" i="9"/>
  <c r="E175" i="9"/>
  <c r="F175" i="9"/>
  <c r="DQ175" i="9"/>
  <c r="G175" i="9"/>
  <c r="H175" i="9"/>
  <c r="I175" i="9"/>
  <c r="J175" i="9"/>
  <c r="K175" i="9"/>
  <c r="L175" i="9"/>
  <c r="X175" i="9"/>
  <c r="Y175" i="9"/>
  <c r="D176" i="9"/>
  <c r="E176" i="9"/>
  <c r="DQ176" i="9" s="1"/>
  <c r="F176" i="9"/>
  <c r="G176" i="9"/>
  <c r="H176" i="9"/>
  <c r="I176" i="9"/>
  <c r="J176" i="9"/>
  <c r="K176" i="9"/>
  <c r="L176" i="9"/>
  <c r="DR176" i="9"/>
  <c r="X176" i="9"/>
  <c r="Y176" i="9"/>
  <c r="DS176" i="9"/>
  <c r="D177" i="9"/>
  <c r="DQ177" i="9" s="1"/>
  <c r="E177" i="9"/>
  <c r="F177" i="9"/>
  <c r="G177" i="9"/>
  <c r="H177" i="9"/>
  <c r="I177" i="9"/>
  <c r="J177" i="9"/>
  <c r="K177" i="9"/>
  <c r="L177" i="9"/>
  <c r="X177" i="9"/>
  <c r="Y177" i="9"/>
  <c r="D178" i="9"/>
  <c r="E178" i="9"/>
  <c r="F178" i="9"/>
  <c r="G178" i="9"/>
  <c r="H178" i="9"/>
  <c r="I178" i="9"/>
  <c r="J178" i="9"/>
  <c r="K178" i="9"/>
  <c r="L178" i="9"/>
  <c r="X178" i="9"/>
  <c r="Y178" i="9"/>
  <c r="DS178" i="9"/>
  <c r="D179" i="9"/>
  <c r="E179" i="9"/>
  <c r="F179" i="9"/>
  <c r="DQ179" i="9"/>
  <c r="G179" i="9"/>
  <c r="H179" i="9"/>
  <c r="I179" i="9"/>
  <c r="J179" i="9"/>
  <c r="K179" i="9"/>
  <c r="L179" i="9"/>
  <c r="X179" i="9"/>
  <c r="Y179" i="9"/>
  <c r="D180" i="9"/>
  <c r="E180" i="9"/>
  <c r="DQ180" i="9" s="1"/>
  <c r="F180" i="9"/>
  <c r="G180" i="9"/>
  <c r="H180" i="9"/>
  <c r="I180" i="9"/>
  <c r="J180" i="9"/>
  <c r="K180" i="9"/>
  <c r="L180" i="9"/>
  <c r="DR180" i="9"/>
  <c r="X180" i="9"/>
  <c r="Y180" i="9"/>
  <c r="DS180" i="9"/>
  <c r="D181" i="9"/>
  <c r="DQ181" i="9" s="1"/>
  <c r="E181" i="9"/>
  <c r="F181" i="9"/>
  <c r="G181" i="9"/>
  <c r="H181" i="9"/>
  <c r="I181" i="9"/>
  <c r="J181" i="9"/>
  <c r="K181" i="9"/>
  <c r="L181" i="9"/>
  <c r="X181" i="9"/>
  <c r="Y181" i="9"/>
  <c r="D182" i="9"/>
  <c r="E182" i="9"/>
  <c r="F182" i="9"/>
  <c r="G182" i="9"/>
  <c r="H182" i="9"/>
  <c r="I182" i="9"/>
  <c r="J182" i="9"/>
  <c r="K182" i="9"/>
  <c r="L182" i="9"/>
  <c r="X182" i="9"/>
  <c r="Y182" i="9"/>
  <c r="DS182" i="9"/>
  <c r="D183" i="9"/>
  <c r="E183" i="9"/>
  <c r="F183" i="9"/>
  <c r="DQ183" i="9"/>
  <c r="G183" i="9"/>
  <c r="H183" i="9"/>
  <c r="I183" i="9"/>
  <c r="J183" i="9"/>
  <c r="K183" i="9"/>
  <c r="L183" i="9"/>
  <c r="X183" i="9"/>
  <c r="Y183" i="9"/>
  <c r="D184" i="9"/>
  <c r="E184" i="9"/>
  <c r="DQ184" i="9" s="1"/>
  <c r="F184" i="9"/>
  <c r="G184" i="9"/>
  <c r="H184" i="9"/>
  <c r="I184" i="9"/>
  <c r="J184" i="9"/>
  <c r="K184" i="9"/>
  <c r="L184" i="9"/>
  <c r="DR184" i="9"/>
  <c r="X184" i="9"/>
  <c r="Y184" i="9"/>
  <c r="DS184" i="9"/>
  <c r="D185" i="9"/>
  <c r="DQ185" i="9" s="1"/>
  <c r="E185" i="9"/>
  <c r="F185" i="9"/>
  <c r="G185" i="9"/>
  <c r="H185" i="9"/>
  <c r="I185" i="9"/>
  <c r="J185" i="9"/>
  <c r="K185" i="9"/>
  <c r="L185" i="9"/>
  <c r="X185" i="9"/>
  <c r="Y185" i="9"/>
  <c r="D186" i="9"/>
  <c r="E186" i="9"/>
  <c r="F186" i="9"/>
  <c r="G186" i="9"/>
  <c r="H186" i="9"/>
  <c r="I186" i="9"/>
  <c r="J186" i="9"/>
  <c r="K186" i="9"/>
  <c r="L186" i="9"/>
  <c r="DR186" i="9"/>
  <c r="X186" i="9"/>
  <c r="Y186" i="9"/>
  <c r="DS186" i="9"/>
  <c r="D187" i="9"/>
  <c r="DQ187" i="9" s="1"/>
  <c r="E187" i="9"/>
  <c r="F187" i="9"/>
  <c r="G187" i="9"/>
  <c r="H187" i="9"/>
  <c r="I187" i="9"/>
  <c r="J187" i="9"/>
  <c r="K187" i="9"/>
  <c r="L187" i="9"/>
  <c r="X187" i="9"/>
  <c r="Y187" i="9"/>
  <c r="D188" i="9"/>
  <c r="E188" i="9"/>
  <c r="DQ188" i="9" s="1"/>
  <c r="F188" i="9"/>
  <c r="G188" i="9"/>
  <c r="H188" i="9"/>
  <c r="DR188" i="9" s="1"/>
  <c r="I188" i="9"/>
  <c r="J188" i="9"/>
  <c r="K188" i="9"/>
  <c r="L188" i="9"/>
  <c r="X188" i="9"/>
  <c r="Y188" i="9"/>
  <c r="DS188" i="9"/>
  <c r="D189" i="9"/>
  <c r="E189" i="9"/>
  <c r="F189" i="9"/>
  <c r="DQ189" i="9"/>
  <c r="G189" i="9"/>
  <c r="H189" i="9"/>
  <c r="I189" i="9"/>
  <c r="J189" i="9"/>
  <c r="K189" i="9"/>
  <c r="L189" i="9"/>
  <c r="X189" i="9"/>
  <c r="Y189" i="9"/>
  <c r="D190" i="9"/>
  <c r="E190" i="9"/>
  <c r="F190" i="9"/>
  <c r="G190" i="9"/>
  <c r="H190" i="9"/>
  <c r="I190" i="9"/>
  <c r="J190" i="9"/>
  <c r="K190" i="9"/>
  <c r="L190" i="9"/>
  <c r="X190" i="9"/>
  <c r="Y190" i="9"/>
  <c r="D191" i="9"/>
  <c r="E191" i="9"/>
  <c r="F191" i="9"/>
  <c r="DQ191" i="9"/>
  <c r="G191" i="9"/>
  <c r="H191" i="9"/>
  <c r="I191" i="9"/>
  <c r="J191" i="9"/>
  <c r="K191" i="9"/>
  <c r="L191" i="9"/>
  <c r="X191" i="9"/>
  <c r="Y191" i="9"/>
  <c r="D192" i="9"/>
  <c r="E192" i="9"/>
  <c r="DQ192" i="9" s="1"/>
  <c r="F192" i="9"/>
  <c r="G192" i="9"/>
  <c r="H192" i="9"/>
  <c r="I192" i="9"/>
  <c r="J192" i="9"/>
  <c r="K192" i="9"/>
  <c r="L192" i="9"/>
  <c r="DR192" i="9"/>
  <c r="X192" i="9"/>
  <c r="Y192" i="9"/>
  <c r="DS192" i="9"/>
  <c r="D193" i="9"/>
  <c r="E193" i="9"/>
  <c r="F193" i="9"/>
  <c r="G193" i="9"/>
  <c r="H193" i="9"/>
  <c r="I193" i="9"/>
  <c r="J193" i="9"/>
  <c r="K193" i="9"/>
  <c r="K246" i="9" s="1"/>
  <c r="L193" i="9"/>
  <c r="X193" i="9"/>
  <c r="Y193" i="9"/>
  <c r="D194" i="9"/>
  <c r="E194" i="9"/>
  <c r="DQ194" i="9" s="1"/>
  <c r="F194" i="9"/>
  <c r="G194" i="9"/>
  <c r="H194" i="9"/>
  <c r="I194" i="9"/>
  <c r="J194" i="9"/>
  <c r="K194" i="9"/>
  <c r="L194" i="9"/>
  <c r="DR194" i="9"/>
  <c r="X194" i="9"/>
  <c r="Y194" i="9"/>
  <c r="DS194" i="9"/>
  <c r="D195" i="9"/>
  <c r="DQ195" i="9" s="1"/>
  <c r="E195" i="9"/>
  <c r="F195" i="9"/>
  <c r="G195" i="9"/>
  <c r="H195" i="9"/>
  <c r="I195" i="9"/>
  <c r="J195" i="9"/>
  <c r="K195" i="9"/>
  <c r="L195" i="9"/>
  <c r="X195" i="9"/>
  <c r="Y195" i="9"/>
  <c r="D196" i="9"/>
  <c r="E196" i="9"/>
  <c r="DQ196" i="9" s="1"/>
  <c r="F196" i="9"/>
  <c r="G196" i="9"/>
  <c r="H196" i="9"/>
  <c r="I196" i="9"/>
  <c r="J196" i="9"/>
  <c r="K196" i="9"/>
  <c r="L196" i="9"/>
  <c r="L246" i="9" s="1"/>
  <c r="X196" i="9"/>
  <c r="Y196" i="9"/>
  <c r="DS196" i="9"/>
  <c r="D197" i="9"/>
  <c r="E197" i="9"/>
  <c r="F197" i="9"/>
  <c r="DQ197" i="9"/>
  <c r="G197" i="9"/>
  <c r="H197" i="9"/>
  <c r="I197" i="9"/>
  <c r="J197" i="9"/>
  <c r="K197" i="9"/>
  <c r="L197" i="9"/>
  <c r="X197" i="9"/>
  <c r="Y197" i="9"/>
  <c r="D198" i="9"/>
  <c r="E198" i="9"/>
  <c r="F198" i="9"/>
  <c r="G198" i="9"/>
  <c r="H198" i="9"/>
  <c r="I198" i="9"/>
  <c r="J198" i="9"/>
  <c r="K198" i="9"/>
  <c r="L198" i="9"/>
  <c r="X198" i="9"/>
  <c r="Y198" i="9"/>
  <c r="DS198" i="9"/>
  <c r="D199" i="9"/>
  <c r="E199" i="9"/>
  <c r="F199" i="9"/>
  <c r="DQ199" i="9"/>
  <c r="G199" i="9"/>
  <c r="H199" i="9"/>
  <c r="I199" i="9"/>
  <c r="J199" i="9"/>
  <c r="K199" i="9"/>
  <c r="L199" i="9"/>
  <c r="X199" i="9"/>
  <c r="Y199" i="9"/>
  <c r="D200" i="9"/>
  <c r="E200" i="9"/>
  <c r="DQ200" i="9" s="1"/>
  <c r="F200" i="9"/>
  <c r="G200" i="9"/>
  <c r="H200" i="9"/>
  <c r="I200" i="9"/>
  <c r="J200" i="9"/>
  <c r="K200" i="9"/>
  <c r="L200" i="9"/>
  <c r="DR200" i="9"/>
  <c r="X200" i="9"/>
  <c r="Y200" i="9"/>
  <c r="DS200" i="9"/>
  <c r="D201" i="9"/>
  <c r="DQ201" i="9" s="1"/>
  <c r="E201" i="9"/>
  <c r="F201" i="9"/>
  <c r="G201" i="9"/>
  <c r="H201" i="9"/>
  <c r="I201" i="9"/>
  <c r="J201" i="9"/>
  <c r="K201" i="9"/>
  <c r="L201" i="9"/>
  <c r="X201" i="9"/>
  <c r="Y201" i="9"/>
  <c r="D202" i="9"/>
  <c r="E202" i="9"/>
  <c r="DQ202" i="9" s="1"/>
  <c r="F202" i="9"/>
  <c r="G202" i="9"/>
  <c r="H202" i="9"/>
  <c r="I202" i="9"/>
  <c r="J202" i="9"/>
  <c r="K202" i="9"/>
  <c r="L202" i="9"/>
  <c r="DR202" i="9"/>
  <c r="X202" i="9"/>
  <c r="Y202" i="9"/>
  <c r="DS202" i="9"/>
  <c r="D203" i="9"/>
  <c r="DQ203" i="9" s="1"/>
  <c r="E203" i="9"/>
  <c r="F203" i="9"/>
  <c r="G203" i="9"/>
  <c r="H203" i="9"/>
  <c r="I203" i="9"/>
  <c r="J203" i="9"/>
  <c r="K203" i="9"/>
  <c r="L203" i="9"/>
  <c r="X203" i="9"/>
  <c r="Y203" i="9"/>
  <c r="D204" i="9"/>
  <c r="E204" i="9"/>
  <c r="DQ204" i="9" s="1"/>
  <c r="F204" i="9"/>
  <c r="G204" i="9"/>
  <c r="H204" i="9"/>
  <c r="DR204" i="9" s="1"/>
  <c r="I204" i="9"/>
  <c r="J204" i="9"/>
  <c r="K204" i="9"/>
  <c r="L204" i="9"/>
  <c r="X204" i="9"/>
  <c r="Y204" i="9"/>
  <c r="DS204" i="9"/>
  <c r="D205" i="9"/>
  <c r="E205" i="9"/>
  <c r="F205" i="9"/>
  <c r="DQ205" i="9"/>
  <c r="G205" i="9"/>
  <c r="H205" i="9"/>
  <c r="I205" i="9"/>
  <c r="J205" i="9"/>
  <c r="K205" i="9"/>
  <c r="L205" i="9"/>
  <c r="X205" i="9"/>
  <c r="Y205" i="9"/>
  <c r="D206" i="9"/>
  <c r="E206" i="9"/>
  <c r="F206" i="9"/>
  <c r="G206" i="9"/>
  <c r="H206" i="9"/>
  <c r="I206" i="9"/>
  <c r="J206" i="9"/>
  <c r="K206" i="9"/>
  <c r="L206" i="9"/>
  <c r="X206" i="9"/>
  <c r="Y206" i="9"/>
  <c r="D207" i="9"/>
  <c r="E207" i="9"/>
  <c r="F207" i="9"/>
  <c r="DQ207" i="9"/>
  <c r="G207" i="9"/>
  <c r="H207" i="9"/>
  <c r="I207" i="9"/>
  <c r="J207" i="9"/>
  <c r="K207" i="9"/>
  <c r="L207" i="9"/>
  <c r="X207" i="9"/>
  <c r="Y207" i="9"/>
  <c r="D208" i="9"/>
  <c r="E208" i="9"/>
  <c r="F208" i="9"/>
  <c r="G208" i="9"/>
  <c r="H208" i="9"/>
  <c r="I208" i="9"/>
  <c r="J208" i="9"/>
  <c r="K208" i="9"/>
  <c r="L208" i="9"/>
  <c r="DR208" i="9"/>
  <c r="X208" i="9"/>
  <c r="Y208" i="9"/>
  <c r="DS208" i="9"/>
  <c r="DQ209" i="9"/>
  <c r="D210" i="9"/>
  <c r="E210" i="9"/>
  <c r="F210" i="9"/>
  <c r="G210" i="9"/>
  <c r="H210" i="9"/>
  <c r="I210" i="9"/>
  <c r="J210" i="9"/>
  <c r="K210" i="9"/>
  <c r="L210" i="9"/>
  <c r="X210" i="9"/>
  <c r="Y210" i="9"/>
  <c r="DS210" i="9"/>
  <c r="D211" i="9"/>
  <c r="E211" i="9"/>
  <c r="F211" i="9"/>
  <c r="DQ211" i="9"/>
  <c r="G211" i="9"/>
  <c r="H211" i="9"/>
  <c r="I211" i="9"/>
  <c r="J211" i="9"/>
  <c r="DR211" i="9" s="1"/>
  <c r="K211" i="9"/>
  <c r="L211" i="9"/>
  <c r="X211" i="9"/>
  <c r="DS211" i="9" s="1"/>
  <c r="Y211" i="9"/>
  <c r="DS212" i="9"/>
  <c r="D213" i="9"/>
  <c r="E213" i="9"/>
  <c r="DQ213" i="9" s="1"/>
  <c r="F213" i="9"/>
  <c r="G213" i="9"/>
  <c r="H213" i="9"/>
  <c r="I213" i="9"/>
  <c r="J213" i="9"/>
  <c r="K213" i="9"/>
  <c r="L213" i="9"/>
  <c r="DR213" i="9"/>
  <c r="X213" i="9"/>
  <c r="Y213" i="9"/>
  <c r="DS213" i="9"/>
  <c r="D214" i="9"/>
  <c r="DQ214" i="9" s="1"/>
  <c r="E214" i="9"/>
  <c r="F214" i="9"/>
  <c r="G214" i="9"/>
  <c r="H214" i="9"/>
  <c r="I214" i="9"/>
  <c r="J214" i="9"/>
  <c r="K214" i="9"/>
  <c r="L214" i="9"/>
  <c r="X214" i="9"/>
  <c r="Y214" i="9"/>
  <c r="D215" i="9"/>
  <c r="E215" i="9"/>
  <c r="F215" i="9"/>
  <c r="G215" i="9"/>
  <c r="H215" i="9"/>
  <c r="I215" i="9"/>
  <c r="J215" i="9"/>
  <c r="K215" i="9"/>
  <c r="L215" i="9"/>
  <c r="X215" i="9"/>
  <c r="Y215" i="9"/>
  <c r="DS215" i="9"/>
  <c r="D216" i="9"/>
  <c r="E216" i="9"/>
  <c r="F216" i="9"/>
  <c r="DQ216" i="9"/>
  <c r="G216" i="9"/>
  <c r="H216" i="9"/>
  <c r="I216" i="9"/>
  <c r="J216" i="9"/>
  <c r="K216" i="9"/>
  <c r="L216" i="9"/>
  <c r="X216" i="9"/>
  <c r="DS216" i="9" s="1"/>
  <c r="Y216" i="9"/>
  <c r="D217" i="9"/>
  <c r="E217" i="9"/>
  <c r="F217" i="9"/>
  <c r="G217" i="9"/>
  <c r="H217" i="9"/>
  <c r="I217" i="9"/>
  <c r="J217" i="9"/>
  <c r="K217" i="9"/>
  <c r="L217" i="9"/>
  <c r="DR217" i="9"/>
  <c r="X217" i="9"/>
  <c r="Y217" i="9"/>
  <c r="D218" i="9"/>
  <c r="DQ218" i="9" s="1"/>
  <c r="E218" i="9"/>
  <c r="F218" i="9"/>
  <c r="G218" i="9"/>
  <c r="H218" i="9"/>
  <c r="I218" i="9"/>
  <c r="J218" i="9"/>
  <c r="K218" i="9"/>
  <c r="L218" i="9"/>
  <c r="X218" i="9"/>
  <c r="Y218" i="9"/>
  <c r="D219" i="9"/>
  <c r="E219" i="9"/>
  <c r="DQ219" i="9" s="1"/>
  <c r="F219" i="9"/>
  <c r="G219" i="9"/>
  <c r="H219" i="9"/>
  <c r="I219" i="9"/>
  <c r="J219" i="9"/>
  <c r="K219" i="9"/>
  <c r="L219" i="9"/>
  <c r="DR219" i="9"/>
  <c r="X219" i="9"/>
  <c r="Y219" i="9"/>
  <c r="DS219" i="9"/>
  <c r="D220" i="9"/>
  <c r="DQ220" i="9" s="1"/>
  <c r="E220" i="9"/>
  <c r="F220" i="9"/>
  <c r="G220" i="9"/>
  <c r="H220" i="9"/>
  <c r="I220" i="9"/>
  <c r="J220" i="9"/>
  <c r="K220" i="9"/>
  <c r="L220" i="9"/>
  <c r="X220" i="9"/>
  <c r="Y220" i="9"/>
  <c r="D221" i="9"/>
  <c r="E221" i="9"/>
  <c r="DQ221" i="9" s="1"/>
  <c r="F221" i="9"/>
  <c r="G221" i="9"/>
  <c r="H221" i="9"/>
  <c r="I221" i="9"/>
  <c r="J221" i="9"/>
  <c r="K221" i="9"/>
  <c r="L221" i="9"/>
  <c r="X221" i="9"/>
  <c r="Y221" i="9"/>
  <c r="DS221" i="9"/>
  <c r="D222" i="9"/>
  <c r="E222" i="9"/>
  <c r="F222" i="9"/>
  <c r="DQ222" i="9"/>
  <c r="G222" i="9"/>
  <c r="H222" i="9"/>
  <c r="I222" i="9"/>
  <c r="J222" i="9"/>
  <c r="K222" i="9"/>
  <c r="L222" i="9"/>
  <c r="X222" i="9"/>
  <c r="Y222" i="9"/>
  <c r="D223" i="9"/>
  <c r="E223" i="9"/>
  <c r="F223" i="9"/>
  <c r="G223" i="9"/>
  <c r="H223" i="9"/>
  <c r="I223" i="9"/>
  <c r="J223" i="9"/>
  <c r="K223" i="9"/>
  <c r="L223" i="9"/>
  <c r="X223" i="9"/>
  <c r="Y223" i="9"/>
  <c r="DS223" i="9"/>
  <c r="D224" i="9"/>
  <c r="E224" i="9"/>
  <c r="F224" i="9"/>
  <c r="DQ224" i="9"/>
  <c r="G224" i="9"/>
  <c r="H224" i="9"/>
  <c r="I224" i="9"/>
  <c r="J224" i="9"/>
  <c r="K224" i="9"/>
  <c r="L224" i="9"/>
  <c r="X224" i="9"/>
  <c r="Y224" i="9"/>
  <c r="D225" i="9"/>
  <c r="E225" i="9"/>
  <c r="DQ225" i="9" s="1"/>
  <c r="F225" i="9"/>
  <c r="G225" i="9"/>
  <c r="H225" i="9"/>
  <c r="I225" i="9"/>
  <c r="J225" i="9"/>
  <c r="K225" i="9"/>
  <c r="L225" i="9"/>
  <c r="DR225" i="9"/>
  <c r="X225" i="9"/>
  <c r="Y225" i="9"/>
  <c r="D226" i="9"/>
  <c r="DQ226" i="9" s="1"/>
  <c r="E226" i="9"/>
  <c r="F226" i="9"/>
  <c r="G226" i="9"/>
  <c r="H226" i="9"/>
  <c r="I226" i="9"/>
  <c r="J226" i="9"/>
  <c r="K226" i="9"/>
  <c r="L226" i="9"/>
  <c r="X226" i="9"/>
  <c r="Y226" i="9"/>
  <c r="D227" i="9"/>
  <c r="E227" i="9"/>
  <c r="F227" i="9"/>
  <c r="G227" i="9"/>
  <c r="H227" i="9"/>
  <c r="I227" i="9"/>
  <c r="J227" i="9"/>
  <c r="K227" i="9"/>
  <c r="L227" i="9"/>
  <c r="X227" i="9"/>
  <c r="Y227" i="9"/>
  <c r="DS227" i="9"/>
  <c r="D228" i="9"/>
  <c r="E228" i="9"/>
  <c r="F228" i="9"/>
  <c r="DQ228" i="9"/>
  <c r="G228" i="9"/>
  <c r="H228" i="9"/>
  <c r="I228" i="9"/>
  <c r="J228" i="9"/>
  <c r="K228" i="9"/>
  <c r="L228" i="9"/>
  <c r="X228" i="9"/>
  <c r="Y228" i="9"/>
  <c r="D229" i="9"/>
  <c r="E229" i="9"/>
  <c r="DQ229" i="9" s="1"/>
  <c r="F229" i="9"/>
  <c r="G229" i="9"/>
  <c r="H229" i="9"/>
  <c r="I229" i="9"/>
  <c r="J229" i="9"/>
  <c r="K229" i="9"/>
  <c r="L229" i="9"/>
  <c r="DR229" i="9"/>
  <c r="X229" i="9"/>
  <c r="Y229" i="9"/>
  <c r="DS229" i="9"/>
  <c r="D230" i="9"/>
  <c r="DQ230" i="9" s="1"/>
  <c r="E230" i="9"/>
  <c r="F230" i="9"/>
  <c r="G230" i="9"/>
  <c r="H230" i="9"/>
  <c r="I230" i="9"/>
  <c r="J230" i="9"/>
  <c r="K230" i="9"/>
  <c r="L230" i="9"/>
  <c r="X230" i="9"/>
  <c r="Y230" i="9"/>
  <c r="D231" i="9"/>
  <c r="E231" i="9"/>
  <c r="F231" i="9"/>
  <c r="G231" i="9"/>
  <c r="H231" i="9"/>
  <c r="I231" i="9"/>
  <c r="J231" i="9"/>
  <c r="K231" i="9"/>
  <c r="L231" i="9"/>
  <c r="X231" i="9"/>
  <c r="Y231" i="9"/>
  <c r="DS231" i="9"/>
  <c r="D232" i="9"/>
  <c r="E232" i="9"/>
  <c r="F232" i="9"/>
  <c r="DQ232" i="9"/>
  <c r="G232" i="9"/>
  <c r="H232" i="9"/>
  <c r="I232" i="9"/>
  <c r="J232" i="9"/>
  <c r="K232" i="9"/>
  <c r="L232" i="9"/>
  <c r="X232" i="9"/>
  <c r="DS232" i="9" s="1"/>
  <c r="Y232" i="9"/>
  <c r="D233" i="9"/>
  <c r="E233" i="9"/>
  <c r="F233" i="9"/>
  <c r="G233" i="9"/>
  <c r="H233" i="9"/>
  <c r="I233" i="9"/>
  <c r="J233" i="9"/>
  <c r="K233" i="9"/>
  <c r="L233" i="9"/>
  <c r="DR233" i="9"/>
  <c r="X233" i="9"/>
  <c r="Y233" i="9"/>
  <c r="D234" i="9"/>
  <c r="DQ234" i="9" s="1"/>
  <c r="E234" i="9"/>
  <c r="F234" i="9"/>
  <c r="G234" i="9"/>
  <c r="H234" i="9"/>
  <c r="I234" i="9"/>
  <c r="J234" i="9"/>
  <c r="K234" i="9"/>
  <c r="L234" i="9"/>
  <c r="X234" i="9"/>
  <c r="Y234" i="9"/>
  <c r="D235" i="9"/>
  <c r="E235" i="9"/>
  <c r="DQ235" i="9" s="1"/>
  <c r="F235" i="9"/>
  <c r="G235" i="9"/>
  <c r="H235" i="9"/>
  <c r="I235" i="9"/>
  <c r="J235" i="9"/>
  <c r="K235" i="9"/>
  <c r="L235" i="9"/>
  <c r="DR235" i="9"/>
  <c r="X235" i="9"/>
  <c r="Y235" i="9"/>
  <c r="DS235" i="9"/>
  <c r="D236" i="9"/>
  <c r="DQ236" i="9" s="1"/>
  <c r="E236" i="9"/>
  <c r="F236" i="9"/>
  <c r="G236" i="9"/>
  <c r="H236" i="9"/>
  <c r="I236" i="9"/>
  <c r="J236" i="9"/>
  <c r="K236" i="9"/>
  <c r="L236" i="9"/>
  <c r="X236" i="9"/>
  <c r="Y236" i="9"/>
  <c r="D237" i="9"/>
  <c r="E237" i="9"/>
  <c r="F237" i="9"/>
  <c r="DQ237" i="9"/>
  <c r="G237" i="9"/>
  <c r="H237" i="9"/>
  <c r="I237" i="9"/>
  <c r="J237" i="9"/>
  <c r="K237" i="9"/>
  <c r="L237" i="9"/>
  <c r="X237" i="9"/>
  <c r="DS237" i="9" s="1"/>
  <c r="Y237" i="9"/>
  <c r="D238" i="9"/>
  <c r="E238" i="9"/>
  <c r="DQ238" i="9" s="1"/>
  <c r="F238" i="9"/>
  <c r="G238" i="9"/>
  <c r="H238" i="9"/>
  <c r="I238" i="9"/>
  <c r="J238" i="9"/>
  <c r="K238" i="9"/>
  <c r="L238" i="9"/>
  <c r="X238" i="9"/>
  <c r="Y238" i="9"/>
  <c r="DS238" i="9"/>
  <c r="D239" i="9"/>
  <c r="E239" i="9"/>
  <c r="F239" i="9"/>
  <c r="DQ239" i="9"/>
  <c r="G239" i="9"/>
  <c r="H239" i="9"/>
  <c r="I239" i="9"/>
  <c r="J239" i="9"/>
  <c r="K239" i="9"/>
  <c r="L239" i="9"/>
  <c r="X239" i="9"/>
  <c r="Y239" i="9"/>
  <c r="DS239" i="9" s="1"/>
  <c r="D240" i="9"/>
  <c r="E240" i="9"/>
  <c r="F240" i="9"/>
  <c r="DQ240" i="9" s="1"/>
  <c r="G240" i="9"/>
  <c r="H240" i="9"/>
  <c r="I240" i="9"/>
  <c r="J240" i="9"/>
  <c r="K240" i="9"/>
  <c r="L240" i="9"/>
  <c r="DR240" i="9"/>
  <c r="X240" i="9"/>
  <c r="DS240" i="9" s="1"/>
  <c r="Y240" i="9"/>
  <c r="D241" i="9"/>
  <c r="DQ241" i="9" s="1"/>
  <c r="E241" i="9"/>
  <c r="F241" i="9"/>
  <c r="G241" i="9"/>
  <c r="H241" i="9"/>
  <c r="I241" i="9"/>
  <c r="J241" i="9"/>
  <c r="K241" i="9"/>
  <c r="L241" i="9"/>
  <c r="X241" i="9"/>
  <c r="Y241" i="9"/>
  <c r="DS241" i="9"/>
  <c r="D242" i="9"/>
  <c r="E242" i="9"/>
  <c r="F242" i="9"/>
  <c r="DQ242" i="9"/>
  <c r="G242" i="9"/>
  <c r="H242" i="9"/>
  <c r="DR242" i="9" s="1"/>
  <c r="I242" i="9"/>
  <c r="J242" i="9"/>
  <c r="K242" i="9"/>
  <c r="L242" i="9"/>
  <c r="X242" i="9"/>
  <c r="DS242" i="9" s="1"/>
  <c r="Y242" i="9"/>
  <c r="D243" i="9"/>
  <c r="E243" i="9"/>
  <c r="DQ243" i="9" s="1"/>
  <c r="F243" i="9"/>
  <c r="G243" i="9"/>
  <c r="H243" i="9"/>
  <c r="I243" i="9"/>
  <c r="J243" i="9"/>
  <c r="K243" i="9"/>
  <c r="L243" i="9"/>
  <c r="X243" i="9"/>
  <c r="DS243" i="9" s="1"/>
  <c r="Y243" i="9"/>
  <c r="D244" i="9"/>
  <c r="E244" i="9"/>
  <c r="DQ244" i="9" s="1"/>
  <c r="F244" i="9"/>
  <c r="G244" i="9"/>
  <c r="H244" i="9"/>
  <c r="I244" i="9"/>
  <c r="J244" i="9"/>
  <c r="K244" i="9"/>
  <c r="L244" i="9"/>
  <c r="DR244" i="9"/>
  <c r="X244" i="9"/>
  <c r="Y244" i="9"/>
  <c r="DS244" i="9"/>
  <c r="D245" i="9"/>
  <c r="DQ245" i="9" s="1"/>
  <c r="E245" i="9"/>
  <c r="F245" i="9"/>
  <c r="G245" i="9"/>
  <c r="H245" i="9"/>
  <c r="I245" i="9"/>
  <c r="J245" i="9"/>
  <c r="K245" i="9"/>
  <c r="L245" i="9"/>
  <c r="X245" i="9"/>
  <c r="DS245" i="9" s="1"/>
  <c r="Y245" i="9"/>
  <c r="E246" i="9"/>
  <c r="F246" i="9"/>
  <c r="I246" i="9"/>
  <c r="J246" i="9"/>
  <c r="X246" i="9"/>
  <c r="Y246" i="9"/>
  <c r="X129" i="9"/>
  <c r="Y129" i="9"/>
  <c r="DS129" i="9"/>
  <c r="G129" i="9"/>
  <c r="H129" i="9"/>
  <c r="I129" i="9"/>
  <c r="J129" i="9"/>
  <c r="K129" i="9"/>
  <c r="L129" i="9"/>
  <c r="DR128" i="9"/>
  <c r="B31" i="37"/>
  <c r="C31" i="37"/>
  <c r="D31" i="37" s="1"/>
  <c r="E31" i="37" s="1"/>
  <c r="F31" i="37" s="1"/>
  <c r="G31" i="37" s="1"/>
  <c r="H31" i="37" s="1"/>
  <c r="I31" i="37" s="1"/>
  <c r="J31" i="37" s="1"/>
  <c r="K31" i="37" s="1"/>
  <c r="L31" i="37" s="1"/>
  <c r="M31" i="37" s="1"/>
  <c r="N31" i="37" s="1"/>
  <c r="O31" i="37" s="1"/>
  <c r="P31" i="37" s="1"/>
  <c r="Q31" i="37" s="1"/>
  <c r="R31" i="37" s="1"/>
  <c r="S31" i="37"/>
  <c r="T31" i="37" s="1"/>
  <c r="U31" i="37" s="1"/>
  <c r="V31" i="37" s="1"/>
  <c r="W31" i="37" s="1"/>
  <c r="X31" i="37" s="1"/>
  <c r="Y31" i="37" s="1"/>
  <c r="D29" i="10" a="1"/>
  <c r="D97" i="10" s="1"/>
  <c r="F55" i="10"/>
  <c r="D55" i="10"/>
  <c r="D154" i="10" s="1"/>
  <c r="D153" i="10" s="1"/>
  <c r="E51" i="10"/>
  <c r="K50" i="10"/>
  <c r="L29" i="10" a="1"/>
  <c r="L50" i="10" s="1"/>
  <c r="L51" i="10"/>
  <c r="M55" i="10"/>
  <c r="M154" i="10" s="1"/>
  <c r="N51" i="10"/>
  <c r="O55" i="10"/>
  <c r="O154" i="10" s="1"/>
  <c r="F97" i="10"/>
  <c r="E94" i="10"/>
  <c r="M94" i="10"/>
  <c r="O94" i="10"/>
  <c r="E99" i="10"/>
  <c r="L99" i="10"/>
  <c r="O99" i="10"/>
  <c r="D113" i="10"/>
  <c r="E106" i="10"/>
  <c r="I106" i="10"/>
  <c r="M106" i="10"/>
  <c r="O106" i="10"/>
  <c r="D108" i="10"/>
  <c r="F109" i="10"/>
  <c r="D109" i="10"/>
  <c r="M109" i="10"/>
  <c r="F110" i="10"/>
  <c r="E110" i="10"/>
  <c r="J110" i="10"/>
  <c r="O110" i="10"/>
  <c r="B148" i="10"/>
  <c r="C148" i="10"/>
  <c r="B149" i="10"/>
  <c r="C149" i="10"/>
  <c r="B150" i="10"/>
  <c r="C150" i="10"/>
  <c r="B151" i="10"/>
  <c r="C151" i="10"/>
  <c r="B152" i="10"/>
  <c r="C152" i="10"/>
  <c r="B153" i="10"/>
  <c r="C153" i="10"/>
  <c r="B154" i="10"/>
  <c r="C154" i="10"/>
  <c r="B155" i="10"/>
  <c r="C155" i="10"/>
  <c r="B156" i="10"/>
  <c r="C156" i="10"/>
  <c r="B157" i="10"/>
  <c r="C157" i="10"/>
  <c r="B158" i="10"/>
  <c r="C158" i="10"/>
  <c r="B159" i="10"/>
  <c r="C159" i="10"/>
  <c r="B160" i="10"/>
  <c r="C160" i="10"/>
  <c r="B161" i="10"/>
  <c r="C161" i="10"/>
  <c r="B162" i="10"/>
  <c r="C162" i="10"/>
  <c r="B163" i="10"/>
  <c r="C163" i="10"/>
  <c r="B164" i="10"/>
  <c r="C164" i="10"/>
  <c r="B165" i="10"/>
  <c r="C165" i="10"/>
  <c r="B166" i="10"/>
  <c r="C166" i="10"/>
  <c r="B167" i="10"/>
  <c r="C167" i="10"/>
  <c r="B168" i="10"/>
  <c r="C168" i="10"/>
  <c r="B169" i="10"/>
  <c r="C169" i="10"/>
  <c r="B170" i="10"/>
  <c r="C170" i="10"/>
  <c r="B171" i="10"/>
  <c r="C171" i="10"/>
  <c r="B172" i="10"/>
  <c r="C172" i="10"/>
  <c r="B173" i="10"/>
  <c r="C173" i="10"/>
  <c r="B174" i="10"/>
  <c r="C174" i="10"/>
  <c r="B175" i="10"/>
  <c r="C175" i="10"/>
  <c r="B176" i="10"/>
  <c r="C176" i="10"/>
  <c r="B177" i="10"/>
  <c r="C177" i="10"/>
  <c r="B178" i="10"/>
  <c r="C178" i="10"/>
  <c r="B179" i="10"/>
  <c r="C179" i="10"/>
  <c r="B180" i="10"/>
  <c r="C180" i="10"/>
  <c r="B181" i="10"/>
  <c r="C181" i="10"/>
  <c r="B182" i="10"/>
  <c r="C182" i="10"/>
  <c r="B183" i="10"/>
  <c r="C183" i="10"/>
  <c r="B184" i="10"/>
  <c r="C184" i="10"/>
  <c r="B185" i="10"/>
  <c r="C185" i="10"/>
  <c r="B186" i="10"/>
  <c r="C186" i="10"/>
  <c r="B187" i="10"/>
  <c r="C187" i="10"/>
  <c r="B188" i="10"/>
  <c r="C188" i="10"/>
  <c r="B189" i="10"/>
  <c r="C189" i="10"/>
  <c r="B190" i="10"/>
  <c r="C190" i="10"/>
  <c r="B191" i="10"/>
  <c r="C191" i="10"/>
  <c r="B192" i="10"/>
  <c r="C192" i="10"/>
  <c r="B193" i="10"/>
  <c r="C193" i="10"/>
  <c r="B194" i="10"/>
  <c r="C194" i="10"/>
  <c r="B195" i="10"/>
  <c r="C195" i="10"/>
  <c r="B196" i="10"/>
  <c r="C196" i="10"/>
  <c r="B197" i="10"/>
  <c r="C197" i="10"/>
  <c r="B198" i="10"/>
  <c r="C198" i="10"/>
  <c r="B199" i="10"/>
  <c r="C199" i="10"/>
  <c r="B200" i="10"/>
  <c r="C200" i="10"/>
  <c r="B201" i="10"/>
  <c r="C201" i="10"/>
  <c r="B202" i="10"/>
  <c r="C202" i="10"/>
  <c r="B203" i="10"/>
  <c r="C203" i="10"/>
  <c r="B204" i="10"/>
  <c r="C204" i="10"/>
  <c r="B205" i="10"/>
  <c r="C205" i="10"/>
  <c r="B206" i="10"/>
  <c r="C206" i="10"/>
  <c r="B207" i="10"/>
  <c r="C207" i="10"/>
  <c r="B208" i="10"/>
  <c r="C208" i="10"/>
  <c r="B209" i="10"/>
  <c r="C209" i="10"/>
  <c r="B210" i="10"/>
  <c r="C210" i="10"/>
  <c r="B211" i="10"/>
  <c r="C211" i="10"/>
  <c r="B212" i="10"/>
  <c r="C212" i="10"/>
  <c r="B213" i="10"/>
  <c r="C213" i="10"/>
  <c r="B214" i="10"/>
  <c r="C214" i="10"/>
  <c r="B215" i="10"/>
  <c r="C215" i="10"/>
  <c r="B147" i="10"/>
  <c r="C147" i="10"/>
  <c r="F31" i="10"/>
  <c r="E31" i="10"/>
  <c r="K31" i="10"/>
  <c r="L31" i="10"/>
  <c r="O31" i="10"/>
  <c r="F32" i="10"/>
  <c r="E32" i="10"/>
  <c r="S32" i="10" s="1"/>
  <c r="K32" i="10"/>
  <c r="L32" i="10"/>
  <c r="O32" i="10"/>
  <c r="F33" i="10"/>
  <c r="E33" i="10"/>
  <c r="K33" i="10"/>
  <c r="L33" i="10"/>
  <c r="O33" i="10"/>
  <c r="F34" i="10"/>
  <c r="E34" i="10"/>
  <c r="K34" i="10"/>
  <c r="L34" i="10"/>
  <c r="O34" i="10"/>
  <c r="F35" i="10"/>
  <c r="E35" i="10"/>
  <c r="K35" i="10"/>
  <c r="L35" i="10"/>
  <c r="O35" i="10"/>
  <c r="F36" i="10"/>
  <c r="E36" i="10"/>
  <c r="S36" i="10" s="1"/>
  <c r="K36" i="10"/>
  <c r="L36" i="10"/>
  <c r="O36" i="10"/>
  <c r="F37" i="10"/>
  <c r="E37" i="10"/>
  <c r="K37" i="10"/>
  <c r="L37" i="10"/>
  <c r="O37" i="10"/>
  <c r="F38" i="10"/>
  <c r="E38" i="10"/>
  <c r="K38" i="10"/>
  <c r="L38" i="10"/>
  <c r="O38" i="10"/>
  <c r="F39" i="10"/>
  <c r="E39" i="10"/>
  <c r="K39" i="10"/>
  <c r="L39" i="10"/>
  <c r="O39" i="10"/>
  <c r="F40" i="10"/>
  <c r="E40" i="10"/>
  <c r="S40" i="10" s="1"/>
  <c r="K40" i="10"/>
  <c r="L40" i="10"/>
  <c r="O40" i="10"/>
  <c r="F41" i="10"/>
  <c r="E41" i="10"/>
  <c r="K41" i="10"/>
  <c r="L41" i="10"/>
  <c r="O41" i="10"/>
  <c r="F42" i="10"/>
  <c r="E42" i="10"/>
  <c r="K42" i="10"/>
  <c r="L42" i="10"/>
  <c r="O42" i="10"/>
  <c r="F43" i="10"/>
  <c r="E43" i="10"/>
  <c r="K43" i="10"/>
  <c r="L43" i="10"/>
  <c r="O43" i="10"/>
  <c r="F44" i="10"/>
  <c r="E44" i="10"/>
  <c r="S44" i="10" s="1"/>
  <c r="K44" i="10"/>
  <c r="L44" i="10"/>
  <c r="O44" i="10"/>
  <c r="F45" i="10"/>
  <c r="E45" i="10"/>
  <c r="K45" i="10"/>
  <c r="L45" i="10"/>
  <c r="O45" i="10"/>
  <c r="F46" i="10"/>
  <c r="E46" i="10"/>
  <c r="K46" i="10"/>
  <c r="L46" i="10"/>
  <c r="O46" i="10"/>
  <c r="F47" i="10"/>
  <c r="E47" i="10"/>
  <c r="K47" i="10"/>
  <c r="L47" i="10"/>
  <c r="O47" i="10"/>
  <c r="F48" i="10"/>
  <c r="E48" i="10"/>
  <c r="S48" i="10" s="1"/>
  <c r="K48" i="10"/>
  <c r="L48" i="10"/>
  <c r="O48" i="10"/>
  <c r="F49" i="10"/>
  <c r="E49" i="10"/>
  <c r="K49" i="10"/>
  <c r="L49" i="10"/>
  <c r="O49" i="10"/>
  <c r="F52" i="10"/>
  <c r="E52" i="10"/>
  <c r="G52" i="10"/>
  <c r="L52" i="10"/>
  <c r="O52" i="10"/>
  <c r="F53" i="10"/>
  <c r="E53" i="10"/>
  <c r="G53" i="10"/>
  <c r="L53" i="10"/>
  <c r="O53" i="10"/>
  <c r="F54" i="10"/>
  <c r="E54" i="10"/>
  <c r="S54" i="10" s="1"/>
  <c r="G54" i="10"/>
  <c r="L54" i="10"/>
  <c r="O54" i="10"/>
  <c r="F56" i="10"/>
  <c r="E56" i="10"/>
  <c r="I56" i="10"/>
  <c r="L56" i="10"/>
  <c r="O56" i="10"/>
  <c r="F57" i="10"/>
  <c r="E57" i="10"/>
  <c r="I57" i="10"/>
  <c r="L57" i="10"/>
  <c r="O57" i="10"/>
  <c r="F58" i="10"/>
  <c r="E58" i="10"/>
  <c r="I58" i="10"/>
  <c r="L58" i="10"/>
  <c r="O58" i="10"/>
  <c r="F59" i="10"/>
  <c r="E59" i="10"/>
  <c r="S59" i="10" s="1"/>
  <c r="I59" i="10"/>
  <c r="L59" i="10"/>
  <c r="O59" i="10"/>
  <c r="F60" i="10"/>
  <c r="E60" i="10"/>
  <c r="I60" i="10"/>
  <c r="L60" i="10"/>
  <c r="O60" i="10"/>
  <c r="F61" i="10"/>
  <c r="E61" i="10"/>
  <c r="I61" i="10"/>
  <c r="L61" i="10"/>
  <c r="O61" i="10"/>
  <c r="F62" i="10"/>
  <c r="E62" i="10"/>
  <c r="I62" i="10"/>
  <c r="L62" i="10"/>
  <c r="O62" i="10"/>
  <c r="F63" i="10"/>
  <c r="E63" i="10"/>
  <c r="S63" i="10" s="1"/>
  <c r="I63" i="10"/>
  <c r="L63" i="10"/>
  <c r="O63" i="10"/>
  <c r="F64" i="10"/>
  <c r="E64" i="10"/>
  <c r="I64" i="10"/>
  <c r="L64" i="10"/>
  <c r="O64" i="10"/>
  <c r="F65" i="10"/>
  <c r="E65" i="10"/>
  <c r="I65" i="10"/>
  <c r="L65" i="10"/>
  <c r="O65" i="10"/>
  <c r="F66" i="10"/>
  <c r="E66" i="10"/>
  <c r="I66" i="10"/>
  <c r="L66" i="10"/>
  <c r="O66" i="10"/>
  <c r="F67" i="10"/>
  <c r="E67" i="10"/>
  <c r="S67" i="10" s="1"/>
  <c r="I67" i="10"/>
  <c r="L67" i="10"/>
  <c r="O67" i="10"/>
  <c r="F68" i="10"/>
  <c r="E68" i="10"/>
  <c r="I68" i="10"/>
  <c r="L68" i="10"/>
  <c r="O68" i="10"/>
  <c r="F69" i="10"/>
  <c r="E69" i="10"/>
  <c r="I69" i="10"/>
  <c r="L69" i="10"/>
  <c r="O69" i="10"/>
  <c r="F70" i="10"/>
  <c r="E70" i="10"/>
  <c r="I70" i="10"/>
  <c r="L70" i="10"/>
  <c r="O70" i="10"/>
  <c r="F71" i="10"/>
  <c r="E71" i="10"/>
  <c r="S71" i="10" s="1"/>
  <c r="I71" i="10"/>
  <c r="L71" i="10"/>
  <c r="O71" i="10"/>
  <c r="F72" i="10"/>
  <c r="E72" i="10"/>
  <c r="I72" i="10"/>
  <c r="L72" i="10"/>
  <c r="O72" i="10"/>
  <c r="F73" i="10"/>
  <c r="E73" i="10"/>
  <c r="I73" i="10"/>
  <c r="L73" i="10"/>
  <c r="O73" i="10"/>
  <c r="F74" i="10"/>
  <c r="E74" i="10"/>
  <c r="I74" i="10"/>
  <c r="L74" i="10"/>
  <c r="O74" i="10"/>
  <c r="F75" i="10"/>
  <c r="E75" i="10"/>
  <c r="S75" i="10" s="1"/>
  <c r="I75" i="10"/>
  <c r="L75" i="10"/>
  <c r="O75" i="10"/>
  <c r="F76" i="10"/>
  <c r="E76" i="10"/>
  <c r="I76" i="10"/>
  <c r="L76" i="10"/>
  <c r="O76" i="10"/>
  <c r="F77" i="10"/>
  <c r="E77" i="10"/>
  <c r="I77" i="10"/>
  <c r="L77" i="10"/>
  <c r="O77" i="10"/>
  <c r="F78" i="10"/>
  <c r="E78" i="10"/>
  <c r="I78" i="10"/>
  <c r="L78" i="10"/>
  <c r="O78" i="10"/>
  <c r="F79" i="10"/>
  <c r="E79" i="10"/>
  <c r="S79" i="10" s="1"/>
  <c r="I79" i="10"/>
  <c r="L79" i="10"/>
  <c r="O79" i="10"/>
  <c r="F80" i="10"/>
  <c r="E80" i="10"/>
  <c r="I80" i="10"/>
  <c r="L80" i="10"/>
  <c r="O80" i="10"/>
  <c r="F81" i="10"/>
  <c r="E81" i="10"/>
  <c r="H81" i="10"/>
  <c r="J81" i="10"/>
  <c r="M81" i="10"/>
  <c r="O81" i="10"/>
  <c r="F82" i="10"/>
  <c r="D82" i="10"/>
  <c r="S82" i="10" s="1"/>
  <c r="E82" i="10"/>
  <c r="H82" i="10"/>
  <c r="J82" i="10"/>
  <c r="M82" i="10"/>
  <c r="O82" i="10"/>
  <c r="F83" i="10"/>
  <c r="D83" i="10"/>
  <c r="E83" i="10"/>
  <c r="H83" i="10"/>
  <c r="J83" i="10"/>
  <c r="L83" i="10"/>
  <c r="N83" i="10"/>
  <c r="F84" i="10"/>
  <c r="D84" i="10"/>
  <c r="E84" i="10"/>
  <c r="S84" i="10"/>
  <c r="H84" i="10"/>
  <c r="J84" i="10"/>
  <c r="M84" i="10"/>
  <c r="O84" i="10"/>
  <c r="F85" i="10"/>
  <c r="D85" i="10"/>
  <c r="E85" i="10"/>
  <c r="H85" i="10"/>
  <c r="J85" i="10"/>
  <c r="L85" i="10"/>
  <c r="N85" i="10"/>
  <c r="F86" i="10"/>
  <c r="D86" i="10"/>
  <c r="S86" i="10" s="1"/>
  <c r="E86" i="10"/>
  <c r="H86" i="10"/>
  <c r="J86" i="10"/>
  <c r="M86" i="10"/>
  <c r="O86" i="10"/>
  <c r="F87" i="10"/>
  <c r="S87" i="10" s="1"/>
  <c r="D87" i="10"/>
  <c r="E87" i="10"/>
  <c r="H87" i="10"/>
  <c r="J87" i="10"/>
  <c r="L87" i="10"/>
  <c r="N87" i="10"/>
  <c r="F88" i="10"/>
  <c r="D88" i="10"/>
  <c r="E88" i="10"/>
  <c r="S88" i="10"/>
  <c r="H88" i="10"/>
  <c r="J88" i="10"/>
  <c r="M88" i="10"/>
  <c r="O88" i="10"/>
  <c r="F89" i="10"/>
  <c r="D89" i="10"/>
  <c r="E89" i="10"/>
  <c r="H89" i="10"/>
  <c r="J89" i="10"/>
  <c r="L89" i="10"/>
  <c r="N89" i="10"/>
  <c r="F90" i="10"/>
  <c r="D90" i="10"/>
  <c r="S90" i="10" s="1"/>
  <c r="E90" i="10"/>
  <c r="H90" i="10"/>
  <c r="J90" i="10"/>
  <c r="M90" i="10"/>
  <c r="O90" i="10"/>
  <c r="F91" i="10"/>
  <c r="D91" i="10"/>
  <c r="E91" i="10"/>
  <c r="H91" i="10"/>
  <c r="J91" i="10"/>
  <c r="L91" i="10"/>
  <c r="N91" i="10"/>
  <c r="F92" i="10"/>
  <c r="D92" i="10"/>
  <c r="E92" i="10"/>
  <c r="S92" i="10"/>
  <c r="H92" i="10"/>
  <c r="J92" i="10"/>
  <c r="M92" i="10"/>
  <c r="O92" i="10"/>
  <c r="F93" i="10"/>
  <c r="S93" i="10" s="1"/>
  <c r="D93" i="10"/>
  <c r="E93" i="10"/>
  <c r="H93" i="10"/>
  <c r="J93" i="10"/>
  <c r="L93" i="10"/>
  <c r="N93" i="10"/>
  <c r="F95" i="10"/>
  <c r="D95" i="10"/>
  <c r="S95" i="10" s="1"/>
  <c r="E95" i="10"/>
  <c r="H95" i="10"/>
  <c r="J95" i="10"/>
  <c r="M95" i="10"/>
  <c r="O95" i="10"/>
  <c r="F96" i="10"/>
  <c r="S96" i="10" s="1"/>
  <c r="D96" i="10"/>
  <c r="E96" i="10"/>
  <c r="H96" i="10"/>
  <c r="J96" i="10"/>
  <c r="L96" i="10"/>
  <c r="N96" i="10"/>
  <c r="F98" i="10"/>
  <c r="D98" i="10"/>
  <c r="E98" i="10"/>
  <c r="S98" i="10"/>
  <c r="H98" i="10"/>
  <c r="J98" i="10"/>
  <c r="M98" i="10"/>
  <c r="O98" i="10"/>
  <c r="F100" i="10"/>
  <c r="S100" i="10" s="1"/>
  <c r="D100" i="10"/>
  <c r="E100" i="10"/>
  <c r="H100" i="10"/>
  <c r="J100" i="10"/>
  <c r="L100" i="10"/>
  <c r="N100" i="10"/>
  <c r="F101" i="10"/>
  <c r="D101" i="10"/>
  <c r="S101" i="10" s="1"/>
  <c r="E101" i="10"/>
  <c r="H101" i="10"/>
  <c r="J101" i="10"/>
  <c r="M101" i="10"/>
  <c r="O101" i="10"/>
  <c r="F102" i="10"/>
  <c r="D102" i="10"/>
  <c r="E102" i="10"/>
  <c r="H102" i="10"/>
  <c r="J102" i="10"/>
  <c r="L102" i="10"/>
  <c r="N102" i="10"/>
  <c r="F103" i="10"/>
  <c r="D103" i="10"/>
  <c r="E103" i="10"/>
  <c r="S103" i="10"/>
  <c r="H103" i="10"/>
  <c r="J103" i="10"/>
  <c r="M103" i="10"/>
  <c r="O103" i="10"/>
  <c r="F104" i="10"/>
  <c r="S104" i="10" s="1"/>
  <c r="D104" i="10"/>
  <c r="E104" i="10"/>
  <c r="H104" i="10"/>
  <c r="J104" i="10"/>
  <c r="L104" i="10"/>
  <c r="N104" i="10"/>
  <c r="F105" i="10"/>
  <c r="D105" i="10"/>
  <c r="S105" i="10" s="1"/>
  <c r="E105" i="10"/>
  <c r="H105" i="10"/>
  <c r="J105" i="10"/>
  <c r="M105" i="10"/>
  <c r="O105" i="10"/>
  <c r="F107" i="10"/>
  <c r="S107" i="10" s="1"/>
  <c r="D107" i="10"/>
  <c r="E107" i="10"/>
  <c r="H107" i="10"/>
  <c r="J107" i="10"/>
  <c r="L107" i="10"/>
  <c r="N107" i="10"/>
  <c r="F111" i="10"/>
  <c r="D111" i="10"/>
  <c r="E111" i="10"/>
  <c r="S111" i="10"/>
  <c r="H111" i="10"/>
  <c r="J111" i="10"/>
  <c r="M111" i="10"/>
  <c r="O111" i="10"/>
  <c r="F112" i="10"/>
  <c r="D112" i="10"/>
  <c r="E112" i="10"/>
  <c r="H112" i="10"/>
  <c r="J112" i="10"/>
  <c r="L112" i="10"/>
  <c r="N112" i="10"/>
  <c r="F114" i="10"/>
  <c r="D114" i="10"/>
  <c r="S114" i="10" s="1"/>
  <c r="E114" i="10"/>
  <c r="H114" i="10"/>
  <c r="J114" i="10"/>
  <c r="M114" i="10"/>
  <c r="O114" i="10"/>
  <c r="F115" i="10"/>
  <c r="D115" i="10"/>
  <c r="E115" i="10"/>
  <c r="H115" i="10"/>
  <c r="J115" i="10"/>
  <c r="L115" i="10"/>
  <c r="N115" i="10"/>
  <c r="F116" i="10"/>
  <c r="D116" i="10"/>
  <c r="E116" i="10"/>
  <c r="S116" i="10"/>
  <c r="H116" i="10"/>
  <c r="J116" i="10"/>
  <c r="M116" i="10"/>
  <c r="O116" i="10"/>
  <c r="F117" i="10"/>
  <c r="S117" i="10" s="1"/>
  <c r="D117" i="10"/>
  <c r="E117" i="10"/>
  <c r="H117" i="10"/>
  <c r="J117" i="10"/>
  <c r="L117" i="10"/>
  <c r="N117" i="10"/>
  <c r="F118" i="10"/>
  <c r="D118" i="10"/>
  <c r="S118" i="10" s="1"/>
  <c r="E118" i="10"/>
  <c r="H118" i="10"/>
  <c r="J118" i="10"/>
  <c r="M118" i="10"/>
  <c r="O118" i="10"/>
  <c r="F119" i="10"/>
  <c r="S119" i="10" s="1"/>
  <c r="D119" i="10"/>
  <c r="E119" i="10"/>
  <c r="H119" i="10"/>
  <c r="J119" i="10"/>
  <c r="L119" i="10"/>
  <c r="N119" i="10"/>
  <c r="F120" i="10"/>
  <c r="D120" i="10"/>
  <c r="E120" i="10"/>
  <c r="S120" i="10"/>
  <c r="H120" i="10"/>
  <c r="J120" i="10"/>
  <c r="M120" i="10"/>
  <c r="O120" i="10"/>
  <c r="F121" i="10"/>
  <c r="D121" i="10"/>
  <c r="E121" i="10"/>
  <c r="H121" i="10"/>
  <c r="J121" i="10"/>
  <c r="L121" i="10"/>
  <c r="N121" i="10"/>
  <c r="F122" i="10"/>
  <c r="D122" i="10"/>
  <c r="S122" i="10" s="1"/>
  <c r="E122" i="10"/>
  <c r="H122" i="10"/>
  <c r="J122" i="10"/>
  <c r="M122" i="10"/>
  <c r="O122" i="10"/>
  <c r="F123" i="10"/>
  <c r="D123" i="10"/>
  <c r="E123" i="10"/>
  <c r="H123" i="10"/>
  <c r="J123" i="10"/>
  <c r="L123" i="10"/>
  <c r="N123" i="10"/>
  <c r="F124" i="10"/>
  <c r="D124" i="10"/>
  <c r="E124" i="10"/>
  <c r="S124" i="10"/>
  <c r="H124" i="10"/>
  <c r="J124" i="10"/>
  <c r="M124" i="10"/>
  <c r="O124" i="10"/>
  <c r="F125" i="10"/>
  <c r="S125" i="10" s="1"/>
  <c r="D125" i="10"/>
  <c r="E125" i="10"/>
  <c r="H125" i="10"/>
  <c r="J125" i="10"/>
  <c r="L125" i="10"/>
  <c r="N125" i="10"/>
  <c r="F126" i="10"/>
  <c r="D126" i="10"/>
  <c r="S126" i="10" s="1"/>
  <c r="E126" i="10"/>
  <c r="H126" i="10"/>
  <c r="J126" i="10"/>
  <c r="M126" i="10"/>
  <c r="O126" i="10"/>
  <c r="F127" i="10"/>
  <c r="S127" i="10" s="1"/>
  <c r="D127" i="10"/>
  <c r="E127" i="10"/>
  <c r="H127" i="10"/>
  <c r="K127" i="10"/>
  <c r="J127" i="10"/>
  <c r="M127" i="10"/>
  <c r="O127" i="10"/>
  <c r="F128" i="10"/>
  <c r="S128" i="10" s="1"/>
  <c r="D128" i="10"/>
  <c r="E128" i="10"/>
  <c r="H128" i="10"/>
  <c r="K128" i="10"/>
  <c r="J128" i="10"/>
  <c r="M128" i="10"/>
  <c r="O128" i="10"/>
  <c r="F129" i="10"/>
  <c r="S129" i="10" s="1"/>
  <c r="D129" i="10"/>
  <c r="E129" i="10"/>
  <c r="H129" i="10"/>
  <c r="J129" i="10"/>
  <c r="L129" i="10"/>
  <c r="N129" i="10"/>
  <c r="F130" i="10"/>
  <c r="D130" i="10"/>
  <c r="E130" i="10"/>
  <c r="S130" i="10"/>
  <c r="H130" i="10"/>
  <c r="J130" i="10"/>
  <c r="M130" i="10"/>
  <c r="O130" i="10"/>
  <c r="F131" i="10"/>
  <c r="D131" i="10"/>
  <c r="E131" i="10"/>
  <c r="H131" i="10"/>
  <c r="U131" i="10" s="1"/>
  <c r="K131" i="10"/>
  <c r="J131" i="10"/>
  <c r="M131" i="10"/>
  <c r="O131" i="10"/>
  <c r="F132" i="10"/>
  <c r="D132" i="10"/>
  <c r="E132" i="10"/>
  <c r="G132" i="10"/>
  <c r="U132" i="10" s="1"/>
  <c r="H132" i="10"/>
  <c r="I132" i="10"/>
  <c r="K132" i="10"/>
  <c r="J132" i="10"/>
  <c r="M132" i="10"/>
  <c r="O132" i="10"/>
  <c r="F133" i="10"/>
  <c r="S133" i="10" s="1"/>
  <c r="D133" i="10"/>
  <c r="E133" i="10"/>
  <c r="G133" i="10"/>
  <c r="U133" i="10" s="1"/>
  <c r="H133" i="10"/>
  <c r="I133" i="10"/>
  <c r="K133" i="10"/>
  <c r="T133" i="10"/>
  <c r="J133" i="10"/>
  <c r="M133" i="10"/>
  <c r="O133" i="10"/>
  <c r="F134" i="10"/>
  <c r="S134" i="10" s="1"/>
  <c r="D134" i="10"/>
  <c r="E134" i="10"/>
  <c r="G134" i="10"/>
  <c r="U134" i="10" s="1"/>
  <c r="H134" i="10"/>
  <c r="I134" i="10"/>
  <c r="K134" i="10"/>
  <c r="T134" i="10"/>
  <c r="J134" i="10"/>
  <c r="M134" i="10"/>
  <c r="O134" i="10"/>
  <c r="F135" i="10"/>
  <c r="D135" i="10"/>
  <c r="E135" i="10"/>
  <c r="G135" i="10"/>
  <c r="H135" i="10"/>
  <c r="I135" i="10"/>
  <c r="J135" i="10"/>
  <c r="L135" i="10"/>
  <c r="N135" i="10"/>
  <c r="F136" i="10"/>
  <c r="D136" i="10"/>
  <c r="S136" i="10" s="1"/>
  <c r="E136" i="10"/>
  <c r="G136" i="10"/>
  <c r="H136" i="10"/>
  <c r="T136" i="10" s="1"/>
  <c r="I136" i="10"/>
  <c r="J136" i="10"/>
  <c r="U136" i="10"/>
  <c r="M136" i="10"/>
  <c r="O136" i="10"/>
  <c r="F137" i="10"/>
  <c r="S137" i="10" s="1"/>
  <c r="D137" i="10"/>
  <c r="E137" i="10"/>
  <c r="G137" i="10"/>
  <c r="H137" i="10"/>
  <c r="I137" i="10"/>
  <c r="J137" i="10"/>
  <c r="L137" i="10"/>
  <c r="N137" i="10"/>
  <c r="F138" i="10"/>
  <c r="D138" i="10"/>
  <c r="E138" i="10"/>
  <c r="S138" i="10"/>
  <c r="G138" i="10"/>
  <c r="H138" i="10"/>
  <c r="I138" i="10"/>
  <c r="J138" i="10"/>
  <c r="U138" i="10"/>
  <c r="M138" i="10"/>
  <c r="O138" i="10"/>
  <c r="F139" i="10"/>
  <c r="D139" i="10"/>
  <c r="E139" i="10"/>
  <c r="G139" i="10"/>
  <c r="H139" i="10"/>
  <c r="I139" i="10"/>
  <c r="J139" i="10"/>
  <c r="U139" i="10" s="1"/>
  <c r="L139" i="10"/>
  <c r="N139" i="10"/>
  <c r="F140" i="10"/>
  <c r="D140" i="10"/>
  <c r="S140" i="10" s="1"/>
  <c r="E140" i="10"/>
  <c r="G140" i="10"/>
  <c r="H140" i="10"/>
  <c r="T140" i="10" s="1"/>
  <c r="I140" i="10"/>
  <c r="J140" i="10"/>
  <c r="U140" i="10"/>
  <c r="M140" i="10"/>
  <c r="O140" i="10"/>
  <c r="F141" i="10"/>
  <c r="S141" i="10" s="1"/>
  <c r="D141" i="10"/>
  <c r="E141" i="10"/>
  <c r="G141" i="10"/>
  <c r="H141" i="10"/>
  <c r="I141" i="10"/>
  <c r="J141" i="10"/>
  <c r="L141" i="10"/>
  <c r="N141" i="10"/>
  <c r="F142" i="10"/>
  <c r="D142" i="10"/>
  <c r="E142" i="10"/>
  <c r="S142" i="10"/>
  <c r="G142" i="10"/>
  <c r="H142" i="10"/>
  <c r="I142" i="10"/>
  <c r="J142" i="10"/>
  <c r="U142" i="10"/>
  <c r="M142" i="10"/>
  <c r="O142" i="10"/>
  <c r="F143" i="10"/>
  <c r="D143" i="10"/>
  <c r="E143" i="10"/>
  <c r="G143" i="10"/>
  <c r="H143" i="10"/>
  <c r="I143" i="10"/>
  <c r="J143" i="10"/>
  <c r="U143" i="10" s="1"/>
  <c r="L143" i="10"/>
  <c r="N143" i="10"/>
  <c r="F144" i="10"/>
  <c r="D144" i="10"/>
  <c r="S144" i="10" s="1"/>
  <c r="E144" i="10"/>
  <c r="G144" i="10"/>
  <c r="H144" i="10"/>
  <c r="I144" i="10"/>
  <c r="K144" i="10"/>
  <c r="J144" i="10"/>
  <c r="L144" i="10"/>
  <c r="N144" i="10"/>
  <c r="F145" i="10"/>
  <c r="D145" i="10"/>
  <c r="S145" i="10" s="1"/>
  <c r="E145" i="10"/>
  <c r="G145" i="10"/>
  <c r="H145" i="10"/>
  <c r="I145" i="10"/>
  <c r="K145" i="10"/>
  <c r="T145" i="10" s="1"/>
  <c r="J145" i="10"/>
  <c r="U145" i="10" s="1"/>
  <c r="L145" i="10"/>
  <c r="N145" i="10"/>
  <c r="F146" i="10"/>
  <c r="D146" i="10"/>
  <c r="S146" i="10" s="1"/>
  <c r="E146" i="10"/>
  <c r="G146" i="10"/>
  <c r="H146" i="10"/>
  <c r="I146" i="10"/>
  <c r="K146" i="10"/>
  <c r="J146" i="10"/>
  <c r="L146" i="10"/>
  <c r="N146" i="10"/>
  <c r="M30" i="10"/>
  <c r="O30" i="10"/>
  <c r="E30" i="10"/>
  <c r="G30" i="10"/>
  <c r="H30" i="10"/>
  <c r="I30" i="10"/>
  <c r="J30" i="10"/>
  <c r="U30" i="10" s="1"/>
  <c r="F30" i="10"/>
  <c r="K30" i="10"/>
  <c r="T30" i="10"/>
  <c r="D30" i="10"/>
  <c r="S30" i="10"/>
  <c r="M29" i="10"/>
  <c r="O29" i="10"/>
  <c r="G29" i="10"/>
  <c r="H29" i="10"/>
  <c r="I29" i="10"/>
  <c r="J29" i="10"/>
  <c r="K29" i="10"/>
  <c r="D29" i="10"/>
  <c r="E29" i="10"/>
  <c r="F29" i="10"/>
  <c r="C146" i="10"/>
  <c r="A31" i="10"/>
  <c r="B31" i="10"/>
  <c r="C31" i="10"/>
  <c r="A32" i="10"/>
  <c r="B32" i="10"/>
  <c r="C32" i="10"/>
  <c r="A33" i="10"/>
  <c r="B33" i="10"/>
  <c r="C33" i="10"/>
  <c r="A34" i="10"/>
  <c r="B34" i="10"/>
  <c r="C34" i="10"/>
  <c r="A35" i="10"/>
  <c r="B35" i="10"/>
  <c r="C35" i="10"/>
  <c r="A36" i="10"/>
  <c r="B36" i="10"/>
  <c r="C36" i="10"/>
  <c r="A37" i="10"/>
  <c r="B37" i="10"/>
  <c r="C37" i="10"/>
  <c r="A38" i="10"/>
  <c r="B38" i="10"/>
  <c r="C38" i="10"/>
  <c r="A39" i="10"/>
  <c r="B39" i="10"/>
  <c r="C39" i="10"/>
  <c r="A40" i="10"/>
  <c r="B40" i="10"/>
  <c r="C40" i="10"/>
  <c r="A41" i="10"/>
  <c r="B41" i="10"/>
  <c r="C41" i="10"/>
  <c r="A42" i="10"/>
  <c r="B42" i="10"/>
  <c r="C42" i="10"/>
  <c r="A43" i="10"/>
  <c r="B43" i="10"/>
  <c r="C43" i="10"/>
  <c r="A44" i="10"/>
  <c r="B44" i="10"/>
  <c r="C44" i="10"/>
  <c r="A45" i="10"/>
  <c r="B45" i="10"/>
  <c r="C45" i="10"/>
  <c r="A46" i="10"/>
  <c r="B46" i="10"/>
  <c r="C46" i="10"/>
  <c r="A47" i="10"/>
  <c r="B47" i="10"/>
  <c r="C47" i="10"/>
  <c r="A48" i="10"/>
  <c r="B48" i="10"/>
  <c r="C48" i="10"/>
  <c r="A49" i="10"/>
  <c r="B49" i="10"/>
  <c r="C49" i="10"/>
  <c r="A50" i="10"/>
  <c r="B50" i="10"/>
  <c r="C50" i="10"/>
  <c r="A51" i="10"/>
  <c r="B51" i="10"/>
  <c r="C51" i="10"/>
  <c r="A52" i="10"/>
  <c r="B52" i="10"/>
  <c r="C52" i="10"/>
  <c r="B53" i="10"/>
  <c r="C53" i="10"/>
  <c r="A54" i="10"/>
  <c r="B54" i="10"/>
  <c r="C54" i="10"/>
  <c r="A55" i="10"/>
  <c r="B55" i="10"/>
  <c r="C55" i="10"/>
  <c r="B56" i="10"/>
  <c r="C56" i="10"/>
  <c r="A57" i="10"/>
  <c r="B57" i="10"/>
  <c r="C57" i="10"/>
  <c r="A58" i="10"/>
  <c r="B58" i="10"/>
  <c r="C58" i="10"/>
  <c r="B59" i="10"/>
  <c r="C59" i="10"/>
  <c r="A60" i="10"/>
  <c r="B60" i="10"/>
  <c r="C60" i="10"/>
  <c r="A61" i="10"/>
  <c r="B61" i="10"/>
  <c r="C61" i="10"/>
  <c r="B62" i="10"/>
  <c r="C62" i="10"/>
  <c r="A63" i="10"/>
  <c r="B63" i="10"/>
  <c r="C63" i="10"/>
  <c r="A64" i="10"/>
  <c r="B64" i="10"/>
  <c r="C64" i="10"/>
  <c r="B65" i="10"/>
  <c r="C65" i="10"/>
  <c r="A66" i="10"/>
  <c r="B66" i="10"/>
  <c r="C66" i="10"/>
  <c r="A67" i="10"/>
  <c r="B67" i="10"/>
  <c r="C67" i="10"/>
  <c r="B68" i="10"/>
  <c r="C68" i="10"/>
  <c r="A69" i="10"/>
  <c r="B69" i="10"/>
  <c r="C69" i="10"/>
  <c r="A70" i="10"/>
  <c r="B70" i="10"/>
  <c r="C70" i="10"/>
  <c r="A71" i="10"/>
  <c r="B71" i="10"/>
  <c r="C71" i="10"/>
  <c r="A72" i="10"/>
  <c r="B72" i="10"/>
  <c r="C72" i="10"/>
  <c r="A73" i="10"/>
  <c r="B73" i="10"/>
  <c r="C73" i="10"/>
  <c r="A74" i="10"/>
  <c r="B74" i="10"/>
  <c r="C74" i="10"/>
  <c r="A75" i="10"/>
  <c r="B75" i="10"/>
  <c r="C75" i="10"/>
  <c r="A76" i="10"/>
  <c r="B76" i="10"/>
  <c r="C76" i="10"/>
  <c r="A77" i="10"/>
  <c r="B77" i="10"/>
  <c r="C77" i="10"/>
  <c r="A78" i="10"/>
  <c r="B78" i="10"/>
  <c r="C78" i="10"/>
  <c r="A79" i="10"/>
  <c r="B79" i="10"/>
  <c r="C79" i="10"/>
  <c r="A80" i="10"/>
  <c r="B80" i="10"/>
  <c r="C80" i="10"/>
  <c r="A81" i="10"/>
  <c r="B81" i="10"/>
  <c r="C81" i="10"/>
  <c r="A82" i="10"/>
  <c r="B82" i="10"/>
  <c r="C82" i="10"/>
  <c r="A83" i="10"/>
  <c r="B83" i="10"/>
  <c r="C83" i="10"/>
  <c r="A84" i="10"/>
  <c r="B84" i="10"/>
  <c r="C84" i="10"/>
  <c r="A85" i="10"/>
  <c r="B85" i="10"/>
  <c r="C85" i="10"/>
  <c r="A86" i="10"/>
  <c r="B86" i="10"/>
  <c r="C86" i="10"/>
  <c r="A87" i="10"/>
  <c r="B87" i="10"/>
  <c r="C87" i="10"/>
  <c r="A88" i="10"/>
  <c r="B88" i="10"/>
  <c r="C88" i="10"/>
  <c r="A89" i="10"/>
  <c r="B89" i="10"/>
  <c r="C89" i="10"/>
  <c r="A90" i="10"/>
  <c r="B90" i="10"/>
  <c r="C90" i="10"/>
  <c r="A91" i="10"/>
  <c r="B91" i="10"/>
  <c r="C91" i="10"/>
  <c r="A92" i="10"/>
  <c r="B92" i="10"/>
  <c r="C92" i="10"/>
  <c r="A93" i="10"/>
  <c r="B93" i="10"/>
  <c r="C93" i="10"/>
  <c r="A94" i="10"/>
  <c r="B94" i="10"/>
  <c r="C94" i="10"/>
  <c r="A95" i="10"/>
  <c r="B95" i="10"/>
  <c r="C95" i="10"/>
  <c r="A96" i="10"/>
  <c r="B96" i="10"/>
  <c r="C96" i="10"/>
  <c r="A97" i="10"/>
  <c r="B97" i="10"/>
  <c r="C97" i="10"/>
  <c r="A98" i="10"/>
  <c r="B98" i="10"/>
  <c r="C98" i="10"/>
  <c r="A99" i="10"/>
  <c r="B99" i="10"/>
  <c r="C99" i="10"/>
  <c r="A100" i="10"/>
  <c r="B100" i="10"/>
  <c r="C100" i="10"/>
  <c r="A101" i="10"/>
  <c r="B101" i="10"/>
  <c r="C101" i="10"/>
  <c r="A102" i="10"/>
  <c r="B102" i="10"/>
  <c r="C102" i="10"/>
  <c r="A103" i="10"/>
  <c r="B103" i="10"/>
  <c r="C103" i="10"/>
  <c r="A104" i="10"/>
  <c r="B104" i="10"/>
  <c r="C104" i="10"/>
  <c r="A105" i="10"/>
  <c r="B105" i="10"/>
  <c r="C105" i="10"/>
  <c r="A106" i="10"/>
  <c r="B106" i="10"/>
  <c r="C106" i="10"/>
  <c r="A107" i="10"/>
  <c r="B107" i="10"/>
  <c r="C107" i="10"/>
  <c r="A108" i="10"/>
  <c r="B108" i="10"/>
  <c r="C108" i="10"/>
  <c r="A109" i="10"/>
  <c r="B109" i="10"/>
  <c r="C109" i="10"/>
  <c r="A110" i="10"/>
  <c r="B110" i="10"/>
  <c r="C110" i="10"/>
  <c r="A111" i="10"/>
  <c r="B111" i="10"/>
  <c r="C111" i="10"/>
  <c r="A112" i="10"/>
  <c r="B112" i="10"/>
  <c r="C112" i="10"/>
  <c r="A113" i="10"/>
  <c r="B113" i="10"/>
  <c r="C113" i="10"/>
  <c r="A114" i="10"/>
  <c r="B114" i="10"/>
  <c r="C114" i="10"/>
  <c r="A115" i="10"/>
  <c r="B115" i="10"/>
  <c r="C115" i="10"/>
  <c r="A116" i="10"/>
  <c r="B116" i="10"/>
  <c r="C116" i="10"/>
  <c r="A117" i="10"/>
  <c r="B117" i="10"/>
  <c r="C117" i="10"/>
  <c r="A118" i="10"/>
  <c r="B118" i="10"/>
  <c r="C118" i="10"/>
  <c r="A119" i="10"/>
  <c r="B119" i="10"/>
  <c r="C119" i="10"/>
  <c r="A120" i="10"/>
  <c r="B120" i="10"/>
  <c r="C120" i="10"/>
  <c r="A121" i="10"/>
  <c r="B121" i="10"/>
  <c r="C121" i="10"/>
  <c r="A122" i="10"/>
  <c r="B122" i="10"/>
  <c r="C122" i="10"/>
  <c r="A123" i="10"/>
  <c r="B123" i="10"/>
  <c r="C123" i="10"/>
  <c r="A124" i="10"/>
  <c r="B124" i="10"/>
  <c r="C124" i="10"/>
  <c r="A125" i="10"/>
  <c r="B125" i="10"/>
  <c r="C125" i="10"/>
  <c r="A126" i="10"/>
  <c r="B126" i="10"/>
  <c r="C126" i="10"/>
  <c r="A127" i="10"/>
  <c r="B127" i="10"/>
  <c r="C127" i="10"/>
  <c r="A128" i="10"/>
  <c r="B128" i="10"/>
  <c r="C128" i="10"/>
  <c r="A129" i="10"/>
  <c r="B129" i="10"/>
  <c r="C129" i="10"/>
  <c r="A130" i="10"/>
  <c r="B130" i="10"/>
  <c r="C130" i="10"/>
  <c r="A131" i="10"/>
  <c r="B131" i="10"/>
  <c r="C131" i="10"/>
  <c r="A132" i="10"/>
  <c r="B132" i="10"/>
  <c r="C132" i="10"/>
  <c r="A133" i="10"/>
  <c r="B133" i="10"/>
  <c r="C133" i="10"/>
  <c r="A134" i="10"/>
  <c r="B134" i="10"/>
  <c r="C134" i="10"/>
  <c r="A135" i="10"/>
  <c r="B135" i="10"/>
  <c r="C135" i="10"/>
  <c r="A136" i="10"/>
  <c r="B136" i="10"/>
  <c r="C136" i="10"/>
  <c r="A137" i="10"/>
  <c r="B137" i="10"/>
  <c r="C137" i="10"/>
  <c r="A138" i="10"/>
  <c r="B138" i="10"/>
  <c r="C138" i="10"/>
  <c r="A139" i="10"/>
  <c r="B139" i="10"/>
  <c r="C139" i="10"/>
  <c r="A140" i="10"/>
  <c r="B140" i="10"/>
  <c r="C140" i="10"/>
  <c r="A141" i="10"/>
  <c r="B141" i="10"/>
  <c r="C141" i="10"/>
  <c r="A142" i="10"/>
  <c r="B142" i="10"/>
  <c r="C142" i="10"/>
  <c r="A143" i="10"/>
  <c r="B143" i="10"/>
  <c r="C143" i="10"/>
  <c r="A144" i="10"/>
  <c r="B144" i="10"/>
  <c r="C144" i="10"/>
  <c r="A145" i="10"/>
  <c r="B145" i="10"/>
  <c r="C145" i="10"/>
  <c r="C30" i="10"/>
  <c r="B30" i="10"/>
  <c r="A30" i="10"/>
  <c r="D28" i="10"/>
  <c r="E253" i="9"/>
  <c r="E252" i="9"/>
  <c r="F253" i="9"/>
  <c r="F252" i="9"/>
  <c r="G253" i="9"/>
  <c r="H253" i="9"/>
  <c r="I253" i="9"/>
  <c r="I252" i="9" s="1"/>
  <c r="J253" i="9"/>
  <c r="K253" i="9"/>
  <c r="K252" i="9" s="1"/>
  <c r="L253" i="9"/>
  <c r="L252" i="9" s="1"/>
  <c r="M253" i="9"/>
  <c r="M252" i="9" s="1"/>
  <c r="N253" i="9"/>
  <c r="O253" i="9"/>
  <c r="O252" i="9" s="1"/>
  <c r="P253" i="9"/>
  <c r="P252" i="9" s="1"/>
  <c r="Q253" i="9"/>
  <c r="Q252" i="9" s="1"/>
  <c r="R253" i="9"/>
  <c r="R252" i="9" s="1"/>
  <c r="S253" i="9"/>
  <c r="S252" i="9" s="1"/>
  <c r="T253" i="9"/>
  <c r="T252" i="9" s="1"/>
  <c r="U253" i="9"/>
  <c r="U252" i="9" s="1"/>
  <c r="V253" i="9"/>
  <c r="V252" i="9" s="1"/>
  <c r="W253" i="9"/>
  <c r="W252" i="9" s="1"/>
  <c r="X253" i="9"/>
  <c r="Y253" i="9"/>
  <c r="Y252" i="9" s="1"/>
  <c r="Z253" i="9"/>
  <c r="Z252" i="9" s="1"/>
  <c r="AA253" i="9"/>
  <c r="AA252" i="9" s="1"/>
  <c r="AB253" i="9"/>
  <c r="AB252" i="9" s="1"/>
  <c r="AC253" i="9"/>
  <c r="AD253" i="9"/>
  <c r="AD252" i="9"/>
  <c r="AE253" i="9"/>
  <c r="AE252" i="9"/>
  <c r="AF253" i="9"/>
  <c r="AF252" i="9"/>
  <c r="AG253" i="9"/>
  <c r="AG252" i="9"/>
  <c r="AH253" i="9"/>
  <c r="AH252" i="9"/>
  <c r="AI253" i="9"/>
  <c r="AI252" i="9"/>
  <c r="AJ253" i="9"/>
  <c r="AJ252" i="9"/>
  <c r="AK253" i="9"/>
  <c r="AK252" i="9"/>
  <c r="AL253" i="9"/>
  <c r="AL252" i="9"/>
  <c r="AM253" i="9"/>
  <c r="AM252" i="9"/>
  <c r="AN253" i="9"/>
  <c r="AN252" i="9"/>
  <c r="AO253" i="9"/>
  <c r="AO252" i="9"/>
  <c r="AP253" i="9"/>
  <c r="AP252" i="9"/>
  <c r="AQ253" i="9"/>
  <c r="AQ252" i="9"/>
  <c r="AR253" i="9"/>
  <c r="AR252" i="9"/>
  <c r="AT253" i="9"/>
  <c r="DU253" i="9" s="1"/>
  <c r="AU253" i="9"/>
  <c r="AU252" i="9" s="1"/>
  <c r="AV253" i="9"/>
  <c r="AV252" i="9" s="1"/>
  <c r="AW253" i="9"/>
  <c r="AW252" i="9" s="1"/>
  <c r="AX253" i="9"/>
  <c r="AX252" i="9" s="1"/>
  <c r="AY253" i="9"/>
  <c r="DV253" i="9" s="1"/>
  <c r="AZ253" i="9"/>
  <c r="AZ252" i="9"/>
  <c r="BA253" i="9"/>
  <c r="BB253" i="9"/>
  <c r="DX253" i="9" s="1"/>
  <c r="BC253" i="9"/>
  <c r="BC252" i="9" s="1"/>
  <c r="BD253" i="9"/>
  <c r="BD252" i="9" s="1"/>
  <c r="BE253" i="9"/>
  <c r="BE252" i="9" s="1"/>
  <c r="BF253" i="9"/>
  <c r="DY253" i="9" s="1"/>
  <c r="BG253" i="9"/>
  <c r="BH253" i="9"/>
  <c r="EA253" i="9"/>
  <c r="BI253" i="9"/>
  <c r="BI252" i="9"/>
  <c r="BJ253" i="9"/>
  <c r="BJ252" i="9"/>
  <c r="BK253" i="9"/>
  <c r="BK252" i="9"/>
  <c r="BL253" i="9"/>
  <c r="BL252" i="9"/>
  <c r="BM253" i="9"/>
  <c r="BM252" i="9"/>
  <c r="BN253" i="9"/>
  <c r="BN252" i="9"/>
  <c r="BO253" i="9"/>
  <c r="BP253" i="9"/>
  <c r="BP252" i="9" s="1"/>
  <c r="BQ253" i="9"/>
  <c r="BQ252" i="9" s="1"/>
  <c r="BR253" i="9"/>
  <c r="BR252" i="9" s="1"/>
  <c r="BS253" i="9"/>
  <c r="EL253" i="9" s="1"/>
  <c r="BT253" i="9"/>
  <c r="EM253" i="9"/>
  <c r="BU253" i="9"/>
  <c r="BV253" i="9"/>
  <c r="BV252" i="9" s="1"/>
  <c r="BW253" i="9"/>
  <c r="BX253" i="9"/>
  <c r="BX252" i="9"/>
  <c r="EC252" i="9" s="1"/>
  <c r="BY253" i="9"/>
  <c r="BZ253" i="9"/>
  <c r="BZ252" i="9" s="1"/>
  <c r="CA253" i="9"/>
  <c r="CA252" i="9" s="1"/>
  <c r="CC253" i="9"/>
  <c r="CD253" i="9"/>
  <c r="CD252" i="9" s="1"/>
  <c r="CE253" i="9"/>
  <c r="CF253" i="9"/>
  <c r="CG253" i="9"/>
  <c r="CG252" i="9" s="1"/>
  <c r="CH253" i="9"/>
  <c r="CH252" i="9" s="1"/>
  <c r="CI253" i="9"/>
  <c r="CJ253" i="9"/>
  <c r="CJ252" i="9" s="1"/>
  <c r="CK253" i="9"/>
  <c r="CK252" i="9" s="1"/>
  <c r="CL253" i="9"/>
  <c r="CL252" i="9" s="1"/>
  <c r="CM253" i="9"/>
  <c r="CN253" i="9"/>
  <c r="CN252" i="9" s="1"/>
  <c r="CO253" i="9"/>
  <c r="CO252" i="9" s="1"/>
  <c r="CP253" i="9"/>
  <c r="CP252" i="9" s="1"/>
  <c r="CQ253" i="9"/>
  <c r="CQ252" i="9" s="1"/>
  <c r="CR253" i="9"/>
  <c r="CR252" i="9" s="1"/>
  <c r="CS253" i="9"/>
  <c r="CS252" i="9" s="1"/>
  <c r="CT253" i="9"/>
  <c r="CT252" i="9" s="1"/>
  <c r="CU253" i="9"/>
  <c r="CU252" i="9" s="1"/>
  <c r="CV253" i="9"/>
  <c r="CV252" i="9" s="1"/>
  <c r="CW253" i="9"/>
  <c r="CW252" i="9" s="1"/>
  <c r="CX253" i="9"/>
  <c r="CX252" i="9" s="1"/>
  <c r="CY253" i="9"/>
  <c r="CY252" i="9" s="1"/>
  <c r="CZ253" i="9"/>
  <c r="CZ252" i="9" s="1"/>
  <c r="DA253" i="9"/>
  <c r="DA252" i="9" s="1"/>
  <c r="DB253" i="9"/>
  <c r="DB252" i="9" s="1"/>
  <c r="DC253" i="9"/>
  <c r="DC252" i="9" s="1"/>
  <c r="DD253" i="9"/>
  <c r="DD252" i="9" s="1"/>
  <c r="DE253" i="9"/>
  <c r="DE252" i="9" s="1"/>
  <c r="DF253" i="9"/>
  <c r="DF252" i="9" s="1"/>
  <c r="DG253" i="9"/>
  <c r="DG252" i="9" s="1"/>
  <c r="DH253" i="9"/>
  <c r="DH252" i="9" s="1"/>
  <c r="DI253" i="9"/>
  <c r="DI252" i="9" s="1"/>
  <c r="DJ253" i="9"/>
  <c r="DJ252" i="9" s="1"/>
  <c r="DK253" i="9"/>
  <c r="DK252" i="9" s="1"/>
  <c r="DL253" i="9"/>
  <c r="DL252" i="9" s="1"/>
  <c r="DM253" i="9"/>
  <c r="DM252" i="9" s="1"/>
  <c r="DN253" i="9"/>
  <c r="DN252" i="9"/>
  <c r="DO253" i="9"/>
  <c r="DO252" i="9"/>
  <c r="D253" i="9"/>
  <c r="D252" i="9"/>
  <c r="DQ252" i="9" s="1"/>
  <c r="B254" i="9"/>
  <c r="B255" i="9"/>
  <c r="B256" i="9"/>
  <c r="B257" i="9"/>
  <c r="B258" i="9"/>
  <c r="B259" i="9"/>
  <c r="B260" i="9"/>
  <c r="B261" i="9"/>
  <c r="B262" i="9"/>
  <c r="B263" i="9"/>
  <c r="B264" i="9"/>
  <c r="B265" i="9"/>
  <c r="B266" i="9"/>
  <c r="B267" i="9"/>
  <c r="B268" i="9"/>
  <c r="B269" i="9"/>
  <c r="B270" i="9"/>
  <c r="B271" i="9"/>
  <c r="B272" i="9"/>
  <c r="B273" i="9"/>
  <c r="B274" i="9"/>
  <c r="B275" i="9"/>
  <c r="B276" i="9"/>
  <c r="B277" i="9"/>
  <c r="B278" i="9"/>
  <c r="B279" i="9"/>
  <c r="B280" i="9"/>
  <c r="B281" i="9"/>
  <c r="B282" i="9"/>
  <c r="B283" i="9"/>
  <c r="B284" i="9"/>
  <c r="B285" i="9"/>
  <c r="B286" i="9"/>
  <c r="B287" i="9"/>
  <c r="B288" i="9"/>
  <c r="B289" i="9"/>
  <c r="B290" i="9"/>
  <c r="B291" i="9"/>
  <c r="B292" i="9"/>
  <c r="B293" i="9"/>
  <c r="B294" i="9"/>
  <c r="B295" i="9"/>
  <c r="B296" i="9"/>
  <c r="B297" i="9"/>
  <c r="B298" i="9"/>
  <c r="B299" i="9"/>
  <c r="B300" i="9"/>
  <c r="B301" i="9"/>
  <c r="B302" i="9"/>
  <c r="B303" i="9"/>
  <c r="B304" i="9"/>
  <c r="B305" i="9"/>
  <c r="B306" i="9"/>
  <c r="B307" i="9"/>
  <c r="B308" i="9"/>
  <c r="B309" i="9"/>
  <c r="B310" i="9"/>
  <c r="B311" i="9"/>
  <c r="B312" i="9"/>
  <c r="B313" i="9"/>
  <c r="B314" i="9"/>
  <c r="B246" i="9"/>
  <c r="B247" i="9"/>
  <c r="B248" i="9"/>
  <c r="B249" i="9"/>
  <c r="B250" i="9"/>
  <c r="B251" i="9"/>
  <c r="B252" i="9"/>
  <c r="B253" i="9"/>
  <c r="A130" i="9"/>
  <c r="B130" i="9"/>
  <c r="A131" i="9"/>
  <c r="B131" i="9"/>
  <c r="A132" i="9"/>
  <c r="B132" i="9"/>
  <c r="A133" i="9"/>
  <c r="B133" i="9"/>
  <c r="A134" i="9"/>
  <c r="B134" i="9"/>
  <c r="A135" i="9"/>
  <c r="B135" i="9"/>
  <c r="A136" i="9"/>
  <c r="B136" i="9"/>
  <c r="A137" i="9"/>
  <c r="B137" i="9"/>
  <c r="A138" i="9"/>
  <c r="B138" i="9"/>
  <c r="A139" i="9"/>
  <c r="B139" i="9"/>
  <c r="A140" i="9"/>
  <c r="B140" i="9"/>
  <c r="A141" i="9"/>
  <c r="B141" i="9"/>
  <c r="A142" i="9"/>
  <c r="B142" i="9"/>
  <c r="A143" i="9"/>
  <c r="B143" i="9"/>
  <c r="A144" i="9"/>
  <c r="B144" i="9"/>
  <c r="A145" i="9"/>
  <c r="B145" i="9"/>
  <c r="A146" i="9"/>
  <c r="B146" i="9"/>
  <c r="A147" i="9"/>
  <c r="B147" i="9"/>
  <c r="A148" i="9"/>
  <c r="B148" i="9"/>
  <c r="A149" i="9"/>
  <c r="B149" i="9"/>
  <c r="A150" i="9"/>
  <c r="B150" i="9"/>
  <c r="A151" i="9"/>
  <c r="B151" i="9"/>
  <c r="A152" i="9"/>
  <c r="B152" i="9"/>
  <c r="A153" i="9"/>
  <c r="B153" i="9"/>
  <c r="A154" i="9"/>
  <c r="B154" i="9"/>
  <c r="A155" i="9"/>
  <c r="B155" i="9"/>
  <c r="A156" i="9"/>
  <c r="B156" i="9"/>
  <c r="A157" i="9"/>
  <c r="B157" i="9"/>
  <c r="A158" i="9"/>
  <c r="B158" i="9"/>
  <c r="A159" i="9"/>
  <c r="B159" i="9"/>
  <c r="A160" i="9"/>
  <c r="B160" i="9"/>
  <c r="A161" i="9"/>
  <c r="B161" i="9"/>
  <c r="A162" i="9"/>
  <c r="B162" i="9"/>
  <c r="A163" i="9"/>
  <c r="B163" i="9"/>
  <c r="A164" i="9"/>
  <c r="B164" i="9"/>
  <c r="A165" i="9"/>
  <c r="B165" i="9"/>
  <c r="A166" i="9"/>
  <c r="B166" i="9"/>
  <c r="A167" i="9"/>
  <c r="B167" i="9"/>
  <c r="A168" i="9"/>
  <c r="B168" i="9"/>
  <c r="A169" i="9"/>
  <c r="B169" i="9"/>
  <c r="A170" i="9"/>
  <c r="B170" i="9"/>
  <c r="A171" i="9"/>
  <c r="B171" i="9"/>
  <c r="A172" i="9"/>
  <c r="B172" i="9"/>
  <c r="A173" i="9"/>
  <c r="B173" i="9"/>
  <c r="A174" i="9"/>
  <c r="B174" i="9"/>
  <c r="A175" i="9"/>
  <c r="B175" i="9"/>
  <c r="A176" i="9"/>
  <c r="B176" i="9"/>
  <c r="A177" i="9"/>
  <c r="B177" i="9"/>
  <c r="A178" i="9"/>
  <c r="B178" i="9"/>
  <c r="A179" i="9"/>
  <c r="B179" i="9"/>
  <c r="A180" i="9"/>
  <c r="B180" i="9"/>
  <c r="A181" i="9"/>
  <c r="B181" i="9"/>
  <c r="A182" i="9"/>
  <c r="B182" i="9"/>
  <c r="A183" i="9"/>
  <c r="B183" i="9"/>
  <c r="A184" i="9"/>
  <c r="B184" i="9"/>
  <c r="A185" i="9"/>
  <c r="B185" i="9"/>
  <c r="A186" i="9"/>
  <c r="B186" i="9"/>
  <c r="A187" i="9"/>
  <c r="B187" i="9"/>
  <c r="A188" i="9"/>
  <c r="B188" i="9"/>
  <c r="A189" i="9"/>
  <c r="B189" i="9"/>
  <c r="A190" i="9"/>
  <c r="B190" i="9"/>
  <c r="A191" i="9"/>
  <c r="B191" i="9"/>
  <c r="A192" i="9"/>
  <c r="B192" i="9"/>
  <c r="A193" i="9"/>
  <c r="B193" i="9"/>
  <c r="A194" i="9"/>
  <c r="B194" i="9"/>
  <c r="A195" i="9"/>
  <c r="B195" i="9"/>
  <c r="A196" i="9"/>
  <c r="B196" i="9"/>
  <c r="A197" i="9"/>
  <c r="B197" i="9"/>
  <c r="A198" i="9"/>
  <c r="B198" i="9"/>
  <c r="A199" i="9"/>
  <c r="B199" i="9"/>
  <c r="A200" i="9"/>
  <c r="B200" i="9"/>
  <c r="A201" i="9"/>
  <c r="B201" i="9"/>
  <c r="A202" i="9"/>
  <c r="B202" i="9"/>
  <c r="A203" i="9"/>
  <c r="B203" i="9"/>
  <c r="A204" i="9"/>
  <c r="B204" i="9"/>
  <c r="A205" i="9"/>
  <c r="B205" i="9"/>
  <c r="A206" i="9"/>
  <c r="B206" i="9"/>
  <c r="A207" i="9"/>
  <c r="B207" i="9"/>
  <c r="A208" i="9"/>
  <c r="B208" i="9"/>
  <c r="A209" i="9"/>
  <c r="B209" i="9"/>
  <c r="A210" i="9"/>
  <c r="B210" i="9"/>
  <c r="A211" i="9"/>
  <c r="B211" i="9"/>
  <c r="A212" i="9"/>
  <c r="B212" i="9"/>
  <c r="A213" i="9"/>
  <c r="B213" i="9"/>
  <c r="A214" i="9"/>
  <c r="B214" i="9"/>
  <c r="A215" i="9"/>
  <c r="B215" i="9"/>
  <c r="A216" i="9"/>
  <c r="B216" i="9"/>
  <c r="A217" i="9"/>
  <c r="B217" i="9"/>
  <c r="A218" i="9"/>
  <c r="B218" i="9"/>
  <c r="A219" i="9"/>
  <c r="B219" i="9"/>
  <c r="A220" i="9"/>
  <c r="B220" i="9"/>
  <c r="A221" i="9"/>
  <c r="B221" i="9"/>
  <c r="A222" i="9"/>
  <c r="B222" i="9"/>
  <c r="A223" i="9"/>
  <c r="B223" i="9"/>
  <c r="A224" i="9"/>
  <c r="B224" i="9"/>
  <c r="A225" i="9"/>
  <c r="B225" i="9"/>
  <c r="A226" i="9"/>
  <c r="B226" i="9"/>
  <c r="A227" i="9"/>
  <c r="B227" i="9"/>
  <c r="A228" i="9"/>
  <c r="B228" i="9"/>
  <c r="A229" i="9"/>
  <c r="B229" i="9"/>
  <c r="A230" i="9"/>
  <c r="B230" i="9"/>
  <c r="A231" i="9"/>
  <c r="B231" i="9"/>
  <c r="A232" i="9"/>
  <c r="B232" i="9"/>
  <c r="A233" i="9"/>
  <c r="B233" i="9"/>
  <c r="A234" i="9"/>
  <c r="B234" i="9"/>
  <c r="A235" i="9"/>
  <c r="B235" i="9"/>
  <c r="A236" i="9"/>
  <c r="B236" i="9"/>
  <c r="A237" i="9"/>
  <c r="B237" i="9"/>
  <c r="A238" i="9"/>
  <c r="B238" i="9"/>
  <c r="A239" i="9"/>
  <c r="B239" i="9"/>
  <c r="A240" i="9"/>
  <c r="B240" i="9"/>
  <c r="A241" i="9"/>
  <c r="B241" i="9"/>
  <c r="A242" i="9"/>
  <c r="B242" i="9"/>
  <c r="A243" i="9"/>
  <c r="B243" i="9"/>
  <c r="A244" i="9"/>
  <c r="B244" i="9"/>
  <c r="A245" i="9"/>
  <c r="B245" i="9"/>
  <c r="B129" i="9"/>
  <c r="A129" i="9"/>
  <c r="C256" i="9"/>
  <c r="C257" i="9"/>
  <c r="C258" i="9"/>
  <c r="C259" i="9"/>
  <c r="C260" i="9"/>
  <c r="C261" i="9"/>
  <c r="C262" i="9"/>
  <c r="C263" i="9"/>
  <c r="C264" i="9"/>
  <c r="C265" i="9"/>
  <c r="C266" i="9"/>
  <c r="C267" i="9"/>
  <c r="C268" i="9"/>
  <c r="C269" i="9"/>
  <c r="C270" i="9"/>
  <c r="C271" i="9"/>
  <c r="C272" i="9"/>
  <c r="C273" i="9"/>
  <c r="C274" i="9"/>
  <c r="C275" i="9"/>
  <c r="C276" i="9"/>
  <c r="C277" i="9"/>
  <c r="C278" i="9"/>
  <c r="C279" i="9"/>
  <c r="C280" i="9"/>
  <c r="C281" i="9"/>
  <c r="C282" i="9"/>
  <c r="C283" i="9"/>
  <c r="C284" i="9"/>
  <c r="C285" i="9"/>
  <c r="C286" i="9"/>
  <c r="C287" i="9"/>
  <c r="C288" i="9"/>
  <c r="C289" i="9"/>
  <c r="C290" i="9"/>
  <c r="C291" i="9"/>
  <c r="C292" i="9"/>
  <c r="C293" i="9"/>
  <c r="C294" i="9"/>
  <c r="C295" i="9"/>
  <c r="C296" i="9"/>
  <c r="C297" i="9"/>
  <c r="C298" i="9"/>
  <c r="C299" i="9"/>
  <c r="C300" i="9"/>
  <c r="C301" i="9"/>
  <c r="C302" i="9"/>
  <c r="C303" i="9"/>
  <c r="C304" i="9"/>
  <c r="C305" i="9"/>
  <c r="C306" i="9"/>
  <c r="C307" i="9"/>
  <c r="C308" i="9"/>
  <c r="C309" i="9"/>
  <c r="C310" i="9"/>
  <c r="C311" i="9"/>
  <c r="C312" i="9"/>
  <c r="C313" i="9"/>
  <c r="C314" i="9"/>
  <c r="C246" i="9"/>
  <c r="C247" i="9"/>
  <c r="C248" i="9"/>
  <c r="C249" i="9"/>
  <c r="C250" i="9"/>
  <c r="C251" i="9"/>
  <c r="C252" i="9"/>
  <c r="C253" i="9"/>
  <c r="C254" i="9"/>
  <c r="C255" i="9"/>
  <c r="DP130" i="9"/>
  <c r="DP131" i="9"/>
  <c r="DP132" i="9"/>
  <c r="DP133" i="9"/>
  <c r="DP134" i="9"/>
  <c r="DP135" i="9"/>
  <c r="DP136" i="9"/>
  <c r="DP137" i="9"/>
  <c r="DP138" i="9"/>
  <c r="DP139" i="9"/>
  <c r="DP140" i="9"/>
  <c r="DP141" i="9"/>
  <c r="DP142" i="9"/>
  <c r="DP143" i="9"/>
  <c r="DP144" i="9"/>
  <c r="DP145" i="9"/>
  <c r="DP146" i="9"/>
  <c r="DP147" i="9"/>
  <c r="DP148" i="9"/>
  <c r="DP149" i="9"/>
  <c r="DP150" i="9"/>
  <c r="DP151" i="9"/>
  <c r="DP152" i="9"/>
  <c r="DP153" i="9"/>
  <c r="DP154" i="9"/>
  <c r="DP155" i="9"/>
  <c r="DP156" i="9"/>
  <c r="DP157" i="9"/>
  <c r="DP158" i="9"/>
  <c r="DP159" i="9"/>
  <c r="DP160" i="9"/>
  <c r="DP161" i="9"/>
  <c r="DP162" i="9"/>
  <c r="DP163" i="9"/>
  <c r="DP164" i="9"/>
  <c r="DP165" i="9"/>
  <c r="DP166" i="9"/>
  <c r="DP167" i="9"/>
  <c r="DP168" i="9"/>
  <c r="DP169" i="9"/>
  <c r="DP170" i="9"/>
  <c r="DP171" i="9"/>
  <c r="DP172" i="9"/>
  <c r="DP173" i="9"/>
  <c r="DP174" i="9"/>
  <c r="DP175" i="9"/>
  <c r="DP176" i="9"/>
  <c r="DP177" i="9"/>
  <c r="DP178" i="9"/>
  <c r="DP179" i="9"/>
  <c r="DP180" i="9"/>
  <c r="DP181" i="9"/>
  <c r="DP182" i="9"/>
  <c r="DP183" i="9"/>
  <c r="DP184" i="9"/>
  <c r="DP185" i="9"/>
  <c r="DP186" i="9"/>
  <c r="DP187" i="9"/>
  <c r="DP188" i="9"/>
  <c r="DP189" i="9"/>
  <c r="DP190" i="9"/>
  <c r="DP191" i="9"/>
  <c r="DP192" i="9"/>
  <c r="DP193" i="9"/>
  <c r="DP194" i="9"/>
  <c r="DP195" i="9"/>
  <c r="DP196" i="9"/>
  <c r="DP197" i="9"/>
  <c r="DP198" i="9"/>
  <c r="DP199" i="9"/>
  <c r="DP200" i="9"/>
  <c r="DP201" i="9"/>
  <c r="DP202" i="9"/>
  <c r="DP203" i="9"/>
  <c r="DP204" i="9"/>
  <c r="DP205" i="9"/>
  <c r="DP206" i="9"/>
  <c r="DP207" i="9"/>
  <c r="DP208" i="9"/>
  <c r="DP209" i="9"/>
  <c r="DP210" i="9"/>
  <c r="DP211" i="9"/>
  <c r="DP212" i="9"/>
  <c r="DP213" i="9"/>
  <c r="DP214" i="9"/>
  <c r="DP215" i="9"/>
  <c r="DP216" i="9"/>
  <c r="DP217" i="9"/>
  <c r="DP218" i="9"/>
  <c r="DP219" i="9"/>
  <c r="DP220" i="9"/>
  <c r="DP221" i="9"/>
  <c r="DP222" i="9"/>
  <c r="DP223" i="9"/>
  <c r="DP224" i="9"/>
  <c r="DP225" i="9"/>
  <c r="DP226" i="9"/>
  <c r="DP227" i="9"/>
  <c r="DP228" i="9"/>
  <c r="DP229" i="9"/>
  <c r="DP230" i="9"/>
  <c r="DP231" i="9"/>
  <c r="DP232" i="9"/>
  <c r="DP233" i="9"/>
  <c r="DP234" i="9"/>
  <c r="DP235" i="9"/>
  <c r="DP236" i="9"/>
  <c r="DP237" i="9"/>
  <c r="DP238" i="9"/>
  <c r="DP239" i="9"/>
  <c r="DP240" i="9"/>
  <c r="DP241" i="9"/>
  <c r="DP242" i="9"/>
  <c r="DP243" i="9"/>
  <c r="DP244" i="9"/>
  <c r="DP245" i="9"/>
  <c r="E129" i="9"/>
  <c r="F129" i="9"/>
  <c r="DP129" i="9"/>
  <c r="D129" i="9"/>
  <c r="DQ129" i="9"/>
  <c r="C130" i="9"/>
  <c r="C131" i="9"/>
  <c r="C132" i="9"/>
  <c r="C133" i="9"/>
  <c r="C134" i="9"/>
  <c r="C135" i="9"/>
  <c r="C136" i="9"/>
  <c r="C137" i="9"/>
  <c r="C138" i="9"/>
  <c r="C139" i="9"/>
  <c r="C140" i="9"/>
  <c r="C141" i="9"/>
  <c r="C142" i="9"/>
  <c r="C143" i="9"/>
  <c r="C144" i="9"/>
  <c r="C145" i="9"/>
  <c r="C146" i="9"/>
  <c r="C147" i="9"/>
  <c r="C148" i="9"/>
  <c r="C149" i="9"/>
  <c r="C150" i="9"/>
  <c r="C151" i="9"/>
  <c r="C152" i="9"/>
  <c r="C153" i="9"/>
  <c r="C154" i="9"/>
  <c r="C155" i="9"/>
  <c r="C156" i="9"/>
  <c r="C157" i="9"/>
  <c r="C158" i="9"/>
  <c r="C159" i="9"/>
  <c r="C160" i="9"/>
  <c r="C161" i="9"/>
  <c r="C162" i="9"/>
  <c r="C163" i="9"/>
  <c r="C164" i="9"/>
  <c r="C165" i="9"/>
  <c r="C166" i="9"/>
  <c r="C167" i="9"/>
  <c r="C168" i="9"/>
  <c r="C169" i="9"/>
  <c r="C170" i="9"/>
  <c r="C171" i="9"/>
  <c r="C172" i="9"/>
  <c r="C173" i="9"/>
  <c r="C174" i="9"/>
  <c r="C175" i="9"/>
  <c r="C176" i="9"/>
  <c r="C177" i="9"/>
  <c r="C178" i="9"/>
  <c r="C179" i="9"/>
  <c r="C180" i="9"/>
  <c r="C181" i="9"/>
  <c r="C182" i="9"/>
  <c r="C183" i="9"/>
  <c r="C184" i="9"/>
  <c r="C185" i="9"/>
  <c r="C186" i="9"/>
  <c r="C187" i="9"/>
  <c r="C188" i="9"/>
  <c r="C189" i="9"/>
  <c r="C190" i="9"/>
  <c r="C191" i="9"/>
  <c r="C192" i="9"/>
  <c r="C193" i="9"/>
  <c r="C194" i="9"/>
  <c r="C195" i="9"/>
  <c r="C196" i="9"/>
  <c r="C197" i="9"/>
  <c r="C198" i="9"/>
  <c r="C199" i="9"/>
  <c r="C200" i="9"/>
  <c r="C201" i="9"/>
  <c r="C202" i="9"/>
  <c r="C203" i="9"/>
  <c r="C204" i="9"/>
  <c r="C205" i="9"/>
  <c r="C206" i="9"/>
  <c r="C207" i="9"/>
  <c r="C208" i="9"/>
  <c r="C209" i="9"/>
  <c r="C210" i="9"/>
  <c r="C211" i="9"/>
  <c r="C212" i="9"/>
  <c r="C213" i="9"/>
  <c r="C214" i="9"/>
  <c r="C215" i="9"/>
  <c r="C216" i="9"/>
  <c r="C217" i="9"/>
  <c r="C218" i="9"/>
  <c r="C219" i="9"/>
  <c r="C220" i="9"/>
  <c r="C221" i="9"/>
  <c r="C222" i="9"/>
  <c r="C223" i="9"/>
  <c r="C224" i="9"/>
  <c r="C225" i="9"/>
  <c r="C226" i="9"/>
  <c r="C227" i="9"/>
  <c r="C228" i="9"/>
  <c r="C229" i="9"/>
  <c r="C230" i="9"/>
  <c r="C231" i="9"/>
  <c r="C232" i="9"/>
  <c r="C233" i="9"/>
  <c r="C234" i="9"/>
  <c r="C235" i="9"/>
  <c r="C236" i="9"/>
  <c r="C237" i="9"/>
  <c r="C238" i="9"/>
  <c r="C239" i="9"/>
  <c r="C240" i="9"/>
  <c r="C241" i="9"/>
  <c r="C242" i="9"/>
  <c r="C243" i="9"/>
  <c r="C244" i="9"/>
  <c r="C245" i="9"/>
  <c r="C129" i="9"/>
  <c r="AF128" i="40"/>
  <c r="DQ6" i="9" s="1"/>
  <c r="DR6" i="9" s="1"/>
  <c r="AF129" i="40"/>
  <c r="DQ7" i="9"/>
  <c r="DR7" i="9" s="1"/>
  <c r="AF130" i="40"/>
  <c r="DQ8" i="9" s="1"/>
  <c r="DR8" i="9"/>
  <c r="AF131" i="40"/>
  <c r="DQ9" i="9"/>
  <c r="DR9" i="9" s="1"/>
  <c r="AF132" i="40"/>
  <c r="DQ10" i="9" s="1"/>
  <c r="DR10" i="9" s="1"/>
  <c r="AF133" i="40"/>
  <c r="DQ11" i="9"/>
  <c r="DR11" i="9" s="1"/>
  <c r="AF134" i="40"/>
  <c r="DQ12" i="9" s="1"/>
  <c r="DR12" i="9" s="1"/>
  <c r="AF135" i="40"/>
  <c r="DQ13" i="9"/>
  <c r="DR13" i="9" s="1"/>
  <c r="AF136" i="40"/>
  <c r="DQ14" i="9" s="1"/>
  <c r="DR14" i="9" s="1"/>
  <c r="AF137" i="40"/>
  <c r="DQ15" i="9"/>
  <c r="DR15" i="9" s="1"/>
  <c r="AF138" i="40"/>
  <c r="DQ16" i="9" s="1"/>
  <c r="DR16" i="9" s="1"/>
  <c r="AF139" i="40"/>
  <c r="DQ17" i="9"/>
  <c r="DR17" i="9" s="1"/>
  <c r="AF140" i="40"/>
  <c r="DQ18" i="9" s="1"/>
  <c r="DR18" i="9" s="1"/>
  <c r="AF141" i="40"/>
  <c r="DQ19" i="9"/>
  <c r="DR19" i="9" s="1"/>
  <c r="AF142" i="40"/>
  <c r="DQ20" i="9" s="1"/>
  <c r="DR20" i="9" s="1"/>
  <c r="AF143" i="40"/>
  <c r="DQ21" i="9"/>
  <c r="DR21" i="9" s="1"/>
  <c r="AF144" i="40"/>
  <c r="DQ22" i="9" s="1"/>
  <c r="DR22" i="9" s="1"/>
  <c r="AF145" i="40"/>
  <c r="DQ23" i="9"/>
  <c r="DR23" i="9" s="1"/>
  <c r="AF146" i="40"/>
  <c r="DQ24" i="9" s="1"/>
  <c r="DR24" i="9"/>
  <c r="AF147" i="40"/>
  <c r="DQ25" i="9"/>
  <c r="DR25" i="9" s="1"/>
  <c r="AF148" i="40"/>
  <c r="DQ26" i="9" s="1"/>
  <c r="DR26" i="9" s="1"/>
  <c r="AF149" i="40"/>
  <c r="DQ27" i="9"/>
  <c r="DR27" i="9" s="1"/>
  <c r="AF150" i="40"/>
  <c r="DQ28" i="9" s="1"/>
  <c r="DR28" i="9" s="1"/>
  <c r="AF151" i="40"/>
  <c r="DQ29" i="9"/>
  <c r="DR29" i="9" s="1"/>
  <c r="AF152" i="40"/>
  <c r="AF153" i="40"/>
  <c r="DQ31" i="9"/>
  <c r="DR31" i="9" s="1"/>
  <c r="AF154" i="40"/>
  <c r="DQ32" i="9" s="1"/>
  <c r="DR32" i="9" s="1"/>
  <c r="AF155" i="40"/>
  <c r="DQ33" i="9"/>
  <c r="DR33" i="9" s="1"/>
  <c r="AF156" i="40"/>
  <c r="DQ34" i="9" s="1"/>
  <c r="DR34" i="9" s="1"/>
  <c r="AF157" i="40"/>
  <c r="DQ35" i="9"/>
  <c r="DR35" i="9" s="1"/>
  <c r="AF158" i="40"/>
  <c r="DQ36" i="9" s="1"/>
  <c r="DR36" i="9" s="1"/>
  <c r="AF159" i="40"/>
  <c r="DQ37" i="9"/>
  <c r="DR37" i="9" s="1"/>
  <c r="AF160" i="40"/>
  <c r="DQ38" i="9" s="1"/>
  <c r="DR38" i="9" s="1"/>
  <c r="AF161" i="40"/>
  <c r="DQ39" i="9"/>
  <c r="DR39" i="9" s="1"/>
  <c r="AF162" i="40"/>
  <c r="DQ40" i="9" s="1"/>
  <c r="DR40" i="9"/>
  <c r="AF163" i="40"/>
  <c r="DQ41" i="9"/>
  <c r="DR41" i="9" s="1"/>
  <c r="AF164" i="40"/>
  <c r="DQ42" i="9" s="1"/>
  <c r="DR42" i="9" s="1"/>
  <c r="AF165" i="40"/>
  <c r="DQ43" i="9"/>
  <c r="DR43" i="9" s="1"/>
  <c r="AF166" i="40"/>
  <c r="DQ44" i="9" s="1"/>
  <c r="DR44" i="9" s="1"/>
  <c r="AF167" i="40"/>
  <c r="DQ45" i="9"/>
  <c r="DR45" i="9" s="1"/>
  <c r="AF168" i="40"/>
  <c r="DQ46" i="9" s="1"/>
  <c r="DR46" i="9" s="1"/>
  <c r="AF169" i="40"/>
  <c r="DQ47" i="9"/>
  <c r="DR47" i="9" s="1"/>
  <c r="AF170" i="40"/>
  <c r="DQ48" i="9" s="1"/>
  <c r="DR48" i="9" s="1"/>
  <c r="AF171" i="40"/>
  <c r="DQ49" i="9"/>
  <c r="DR49" i="9" s="1"/>
  <c r="AF172" i="40"/>
  <c r="DQ50" i="9" s="1"/>
  <c r="DR50" i="9" s="1"/>
  <c r="AF173" i="40"/>
  <c r="DQ51" i="9"/>
  <c r="DR51" i="9" s="1"/>
  <c r="AF174" i="40"/>
  <c r="DQ52" i="9" s="1"/>
  <c r="DR52" i="9" s="1"/>
  <c r="AF175" i="40"/>
  <c r="DQ53" i="9"/>
  <c r="DR53" i="9" s="1"/>
  <c r="AF176" i="40"/>
  <c r="DQ54" i="9" s="1"/>
  <c r="DR54" i="9" s="1"/>
  <c r="AF177" i="40"/>
  <c r="DQ55" i="9"/>
  <c r="DR55" i="9" s="1"/>
  <c r="AF178" i="40"/>
  <c r="DQ56" i="9" s="1"/>
  <c r="DR56" i="9"/>
  <c r="AF179" i="40"/>
  <c r="DQ57" i="9"/>
  <c r="DR57" i="9" s="1"/>
  <c r="AF180" i="40"/>
  <c r="DQ58" i="9" s="1"/>
  <c r="DR58" i="9" s="1"/>
  <c r="AF181" i="40"/>
  <c r="DQ59" i="9"/>
  <c r="DR59" i="9" s="1"/>
  <c r="AF182" i="40"/>
  <c r="DQ60" i="9" s="1"/>
  <c r="DR60" i="9" s="1"/>
  <c r="AF183" i="40"/>
  <c r="DQ61" i="9"/>
  <c r="DR61" i="9" s="1"/>
  <c r="AF184" i="40"/>
  <c r="DQ62" i="9" s="1"/>
  <c r="DR62" i="9" s="1"/>
  <c r="AF185" i="40"/>
  <c r="DQ63" i="9"/>
  <c r="DR63" i="9" s="1"/>
  <c r="AF186" i="40"/>
  <c r="DQ64" i="9" s="1"/>
  <c r="DR64" i="9" s="1"/>
  <c r="AF187" i="40"/>
  <c r="DQ65" i="9"/>
  <c r="DR65" i="9" s="1"/>
  <c r="AF188" i="40"/>
  <c r="DQ66" i="9" s="1"/>
  <c r="DR66" i="9" s="1"/>
  <c r="AF189" i="40"/>
  <c r="DQ67" i="9"/>
  <c r="DR67" i="9" s="1"/>
  <c r="AF190" i="40"/>
  <c r="DQ68" i="9" s="1"/>
  <c r="DR68" i="9" s="1"/>
  <c r="AF191" i="40"/>
  <c r="DQ69" i="9"/>
  <c r="DR69" i="9" s="1"/>
  <c r="AF192" i="40"/>
  <c r="DQ70" i="9" s="1"/>
  <c r="DR70" i="9" s="1"/>
  <c r="AF193" i="40"/>
  <c r="DQ71" i="9"/>
  <c r="DR71" i="9" s="1"/>
  <c r="AF194" i="40"/>
  <c r="DQ72" i="9" s="1"/>
  <c r="DR72" i="9"/>
  <c r="AF195" i="40"/>
  <c r="DQ73" i="9"/>
  <c r="DR73" i="9" s="1"/>
  <c r="AF196" i="40"/>
  <c r="AF197" i="40"/>
  <c r="DQ75" i="9"/>
  <c r="DR75" i="9" s="1"/>
  <c r="AF198" i="40"/>
  <c r="DQ76" i="9" s="1"/>
  <c r="DR76" i="9" s="1"/>
  <c r="AF199" i="40"/>
  <c r="DQ77" i="9"/>
  <c r="DR77" i="9" s="1"/>
  <c r="AF200" i="40"/>
  <c r="DQ78" i="9" s="1"/>
  <c r="DR78" i="9" s="1"/>
  <c r="AF201" i="40"/>
  <c r="DQ79" i="9"/>
  <c r="DR79" i="9" s="1"/>
  <c r="AF202" i="40"/>
  <c r="DQ80" i="9" s="1"/>
  <c r="DR80" i="9" s="1"/>
  <c r="AF203" i="40"/>
  <c r="DQ81" i="9"/>
  <c r="DR81" i="9" s="1"/>
  <c r="AF204" i="40"/>
  <c r="DQ82" i="9" s="1"/>
  <c r="DR82" i="9" s="1"/>
  <c r="AF205" i="40"/>
  <c r="DQ83" i="9"/>
  <c r="DR83" i="9" s="1"/>
  <c r="AF206" i="40"/>
  <c r="DQ84" i="9" s="1"/>
  <c r="DR84" i="9" s="1"/>
  <c r="AF207" i="40"/>
  <c r="DQ85" i="9"/>
  <c r="DR85" i="9" s="1"/>
  <c r="AF208" i="40"/>
  <c r="DQ86" i="9" s="1"/>
  <c r="DR86" i="9" s="1"/>
  <c r="AF209" i="40"/>
  <c r="DQ87" i="9"/>
  <c r="DR87" i="9" s="1"/>
  <c r="AF210" i="40"/>
  <c r="DQ88" i="9" s="1"/>
  <c r="DR88" i="9"/>
  <c r="AF211" i="40"/>
  <c r="DQ89" i="9"/>
  <c r="DR89" i="9" s="1"/>
  <c r="AF212" i="40"/>
  <c r="DQ90" i="9" s="1"/>
  <c r="DR90" i="9" s="1"/>
  <c r="AF213" i="40"/>
  <c r="DQ91" i="9"/>
  <c r="DR91" i="9" s="1"/>
  <c r="AF214" i="40"/>
  <c r="DQ92" i="9" s="1"/>
  <c r="DR92" i="9" s="1"/>
  <c r="AF215" i="40"/>
  <c r="DQ93" i="9"/>
  <c r="DR93" i="9" s="1"/>
  <c r="AF216" i="40"/>
  <c r="DQ94" i="9" s="1"/>
  <c r="DR94" i="9" s="1"/>
  <c r="AF217" i="40"/>
  <c r="DQ95" i="9"/>
  <c r="DR95" i="9" s="1"/>
  <c r="AF218" i="40"/>
  <c r="DQ96" i="9" s="1"/>
  <c r="DR96" i="9" s="1"/>
  <c r="AF219" i="40"/>
  <c r="DQ97" i="9"/>
  <c r="DR97" i="9" s="1"/>
  <c r="AF220" i="40"/>
  <c r="DQ98" i="9" s="1"/>
  <c r="DR98" i="9" s="1"/>
  <c r="AF221" i="40"/>
  <c r="DQ99" i="9"/>
  <c r="DR99" i="9" s="1"/>
  <c r="AF222" i="40"/>
  <c r="DQ100" i="9" s="1"/>
  <c r="DR100" i="9" s="1"/>
  <c r="AF223" i="40"/>
  <c r="DQ101" i="9"/>
  <c r="DR101" i="9" s="1"/>
  <c r="AF224" i="40"/>
  <c r="DQ102" i="9" s="1"/>
  <c r="DR102" i="9" s="1"/>
  <c r="AF225" i="40"/>
  <c r="DQ103" i="9"/>
  <c r="DR103" i="9" s="1"/>
  <c r="AF226" i="40"/>
  <c r="DQ104" i="9" s="1"/>
  <c r="DR104" i="9"/>
  <c r="AF227" i="40"/>
  <c r="DQ105" i="9"/>
  <c r="DR105" i="9" s="1"/>
  <c r="AF228" i="40"/>
  <c r="DQ106" i="9" s="1"/>
  <c r="DR106" i="9" s="1"/>
  <c r="AF229" i="40"/>
  <c r="DQ107" i="9"/>
  <c r="DR107" i="9" s="1"/>
  <c r="AF230" i="40"/>
  <c r="DQ108" i="9" s="1"/>
  <c r="DR108" i="9" s="1"/>
  <c r="AF231" i="40"/>
  <c r="DQ109" i="9"/>
  <c r="DR109" i="9" s="1"/>
  <c r="AF232" i="40"/>
  <c r="DQ110" i="9" s="1"/>
  <c r="DR110" i="9" s="1"/>
  <c r="AF233" i="40"/>
  <c r="DQ111" i="9"/>
  <c r="DR111" i="9" s="1"/>
  <c r="AF234" i="40"/>
  <c r="DQ112" i="9" s="1"/>
  <c r="DR112" i="9" s="1"/>
  <c r="AF235" i="40"/>
  <c r="DQ113" i="9"/>
  <c r="DR113" i="9" s="1"/>
  <c r="AF236" i="40"/>
  <c r="DQ114" i="9" s="1"/>
  <c r="DR114" i="9" s="1"/>
  <c r="AF237" i="40"/>
  <c r="DQ115" i="9"/>
  <c r="DR115" i="9" s="1"/>
  <c r="AF238" i="40"/>
  <c r="DQ116" i="9" s="1"/>
  <c r="DR116" i="9" s="1"/>
  <c r="AF239" i="40"/>
  <c r="DQ117" i="9"/>
  <c r="DR117" i="9" s="1"/>
  <c r="AF240" i="40"/>
  <c r="DQ118" i="9" s="1"/>
  <c r="DR118" i="9" s="1"/>
  <c r="AF241" i="40"/>
  <c r="DQ119" i="9"/>
  <c r="DR119" i="9" s="1"/>
  <c r="AF242" i="40"/>
  <c r="DQ120" i="9" s="1"/>
  <c r="DR120" i="9"/>
  <c r="AF243" i="40"/>
  <c r="DQ121" i="9"/>
  <c r="DR121" i="9" s="1"/>
  <c r="AF244" i="40"/>
  <c r="DQ122" i="9" s="1"/>
  <c r="DR122" i="9" s="1"/>
  <c r="AF123" i="40"/>
  <c r="AF245" i="40"/>
  <c r="DQ123" i="9" s="1"/>
  <c r="DR123" i="9" s="1"/>
  <c r="AF127" i="40"/>
  <c r="DQ5" i="9"/>
  <c r="DR5" i="9" s="1"/>
  <c r="AU40" i="18"/>
  <c r="AN40" i="18"/>
  <c r="AG40" i="18"/>
  <c r="A69" i="42"/>
  <c r="A102" i="42"/>
  <c r="B102" i="42"/>
  <c r="A70" i="42"/>
  <c r="A103" i="42" s="1"/>
  <c r="B103" i="42"/>
  <c r="A71" i="42"/>
  <c r="A104" i="42"/>
  <c r="B104" i="42"/>
  <c r="A72" i="42"/>
  <c r="A105" i="42" s="1"/>
  <c r="B105" i="42"/>
  <c r="A73" i="42"/>
  <c r="A106" i="42"/>
  <c r="B106" i="42"/>
  <c r="A74" i="42"/>
  <c r="A107" i="42" s="1"/>
  <c r="B107" i="42"/>
  <c r="A75" i="42"/>
  <c r="A108" i="42"/>
  <c r="B108" i="42"/>
  <c r="A76" i="42"/>
  <c r="A109" i="42" s="1"/>
  <c r="B109" i="42"/>
  <c r="A77" i="42"/>
  <c r="A110" i="42"/>
  <c r="B110" i="42"/>
  <c r="A78" i="42"/>
  <c r="A111" i="42" s="1"/>
  <c r="B111" i="42"/>
  <c r="A79" i="42"/>
  <c r="A112" i="42"/>
  <c r="B112" i="42"/>
  <c r="A80" i="42"/>
  <c r="A113" i="42" s="1"/>
  <c r="B113" i="42"/>
  <c r="A81" i="42"/>
  <c r="A114" i="42"/>
  <c r="B114" i="42"/>
  <c r="A82" i="42"/>
  <c r="A115" i="42" s="1"/>
  <c r="B115" i="42"/>
  <c r="A83" i="42"/>
  <c r="A116" i="42"/>
  <c r="B116" i="42"/>
  <c r="A84" i="42"/>
  <c r="A117" i="42" s="1"/>
  <c r="B117" i="42"/>
  <c r="A85" i="42"/>
  <c r="A118" i="42"/>
  <c r="B118" i="42"/>
  <c r="A86" i="42"/>
  <c r="A119" i="42" s="1"/>
  <c r="B119" i="42"/>
  <c r="A87" i="42"/>
  <c r="A120" i="42"/>
  <c r="B120" i="42"/>
  <c r="A88" i="42"/>
  <c r="A121" i="42" s="1"/>
  <c r="B121" i="42"/>
  <c r="A89" i="42"/>
  <c r="A122" i="42"/>
  <c r="B122" i="42"/>
  <c r="A90" i="42"/>
  <c r="A123" i="42" s="1"/>
  <c r="B123" i="42"/>
  <c r="A91" i="42"/>
  <c r="A124" i="42"/>
  <c r="B124" i="42"/>
  <c r="A92" i="42"/>
  <c r="A125" i="42" s="1"/>
  <c r="B125" i="42"/>
  <c r="A93" i="42"/>
  <c r="A126" i="42"/>
  <c r="B126" i="42"/>
  <c r="A94" i="42"/>
  <c r="A127" i="42" s="1"/>
  <c r="B94" i="42"/>
  <c r="B38" i="42"/>
  <c r="B39" i="42"/>
  <c r="B40" i="42"/>
  <c r="B41" i="42"/>
  <c r="B42" i="42"/>
  <c r="B43" i="42"/>
  <c r="B44" i="42"/>
  <c r="B45" i="42"/>
  <c r="E152" i="40"/>
  <c r="E253" i="40"/>
  <c r="E252" i="40" s="1"/>
  <c r="E147" i="40"/>
  <c r="E148" i="40"/>
  <c r="F152" i="40"/>
  <c r="F253" i="40" s="1"/>
  <c r="F147" i="40"/>
  <c r="F148" i="40"/>
  <c r="F252" i="40"/>
  <c r="G152" i="40"/>
  <c r="G253" i="40"/>
  <c r="G147" i="40"/>
  <c r="G148" i="40"/>
  <c r="H152" i="40"/>
  <c r="H253" i="40" s="1"/>
  <c r="H252" i="40" s="1"/>
  <c r="H147" i="40"/>
  <c r="H148" i="40"/>
  <c r="I152" i="40"/>
  <c r="I253" i="40"/>
  <c r="I252" i="40" s="1"/>
  <c r="I147" i="40"/>
  <c r="I148" i="40"/>
  <c r="J152" i="40"/>
  <c r="J253" i="40" s="1"/>
  <c r="J147" i="40"/>
  <c r="J148" i="40"/>
  <c r="J252" i="40"/>
  <c r="K152" i="40"/>
  <c r="K253" i="40"/>
  <c r="K147" i="40"/>
  <c r="K148" i="40"/>
  <c r="L152" i="40"/>
  <c r="L253" i="40" s="1"/>
  <c r="L252" i="40" s="1"/>
  <c r="L147" i="40"/>
  <c r="L148" i="40"/>
  <c r="M152" i="40"/>
  <c r="M253" i="40"/>
  <c r="M252" i="40" s="1"/>
  <c r="M147" i="40"/>
  <c r="M148" i="40"/>
  <c r="N152" i="40"/>
  <c r="N147" i="40"/>
  <c r="N148" i="40"/>
  <c r="O152" i="40"/>
  <c r="O253" i="40"/>
  <c r="O252" i="40" s="1"/>
  <c r="O147" i="40"/>
  <c r="O148" i="40"/>
  <c r="P152" i="40"/>
  <c r="P253" i="40" s="1"/>
  <c r="P252" i="40" s="1"/>
  <c r="P147" i="40"/>
  <c r="P148" i="40"/>
  <c r="Q152" i="40"/>
  <c r="Q253" i="40"/>
  <c r="Q252" i="40" s="1"/>
  <c r="Q147" i="40"/>
  <c r="Q148" i="40"/>
  <c r="R152" i="40"/>
  <c r="R253" i="40" s="1"/>
  <c r="R147" i="40"/>
  <c r="R148" i="40"/>
  <c r="R252" i="40"/>
  <c r="S152" i="40"/>
  <c r="S253" i="40"/>
  <c r="S252" i="40" s="1"/>
  <c r="S147" i="40"/>
  <c r="S148" i="40"/>
  <c r="T152" i="40"/>
  <c r="T253" i="40" s="1"/>
  <c r="T147" i="40"/>
  <c r="T148" i="40"/>
  <c r="U152" i="40"/>
  <c r="U253" i="40"/>
  <c r="U252" i="40" s="1"/>
  <c r="U147" i="40"/>
  <c r="U148" i="40"/>
  <c r="V152" i="40"/>
  <c r="V253" i="40" s="1"/>
  <c r="V147" i="40"/>
  <c r="V148" i="40"/>
  <c r="V252" i="40"/>
  <c r="W152" i="40"/>
  <c r="W253" i="40"/>
  <c r="W147" i="40"/>
  <c r="W148" i="40"/>
  <c r="X152" i="40"/>
  <c r="X253" i="40" s="1"/>
  <c r="X252" i="40" s="1"/>
  <c r="X147" i="40"/>
  <c r="X148" i="40"/>
  <c r="Y152" i="40"/>
  <c r="Y253" i="40"/>
  <c r="Y252" i="40" s="1"/>
  <c r="Y147" i="40"/>
  <c r="Y148" i="40"/>
  <c r="Z152" i="40"/>
  <c r="Z253" i="40" s="1"/>
  <c r="Z147" i="40"/>
  <c r="Z148" i="40"/>
  <c r="Z252" i="40"/>
  <c r="AA152" i="40"/>
  <c r="AA253" i="40"/>
  <c r="AA147" i="40"/>
  <c r="AA148" i="40"/>
  <c r="AB152" i="40"/>
  <c r="AB253" i="40" s="1"/>
  <c r="AB252" i="40" s="1"/>
  <c r="AB147" i="40"/>
  <c r="AB148" i="40"/>
  <c r="AC152" i="40"/>
  <c r="AC253" i="40"/>
  <c r="AC252" i="40" s="1"/>
  <c r="AC147" i="40"/>
  <c r="AC148" i="40"/>
  <c r="AD152" i="40"/>
  <c r="AD147" i="40"/>
  <c r="AD148" i="40"/>
  <c r="AE152" i="40"/>
  <c r="AE253" i="40"/>
  <c r="AE252" i="40" s="1"/>
  <c r="AE147" i="40"/>
  <c r="AE148" i="40"/>
  <c r="AG30" i="40"/>
  <c r="AG25" i="40"/>
  <c r="AG147" i="40"/>
  <c r="AH147" i="40" s="1"/>
  <c r="AG26" i="40"/>
  <c r="AG148" i="40"/>
  <c r="D152" i="40"/>
  <c r="D253" i="40" s="1"/>
  <c r="D147" i="40"/>
  <c r="D148" i="40"/>
  <c r="D252" i="40"/>
  <c r="AJ253" i="40"/>
  <c r="AG116" i="40"/>
  <c r="AG238" i="40" s="1"/>
  <c r="AH238" i="40" s="1"/>
  <c r="N238" i="40"/>
  <c r="E210" i="40"/>
  <c r="F210" i="40"/>
  <c r="G203" i="40"/>
  <c r="G210" i="40"/>
  <c r="H203" i="40"/>
  <c r="H210" i="40"/>
  <c r="I203" i="40"/>
  <c r="I210" i="40"/>
  <c r="J203" i="40"/>
  <c r="J210" i="40"/>
  <c r="K203" i="40"/>
  <c r="K210" i="40"/>
  <c r="L203" i="40"/>
  <c r="L210" i="40"/>
  <c r="M203" i="40"/>
  <c r="M210" i="40"/>
  <c r="N203" i="40"/>
  <c r="N210" i="40"/>
  <c r="O203" i="40"/>
  <c r="O210" i="40"/>
  <c r="P203" i="40"/>
  <c r="P210" i="40"/>
  <c r="Q203" i="40"/>
  <c r="Q210" i="40"/>
  <c r="R203" i="40"/>
  <c r="R210" i="40"/>
  <c r="S203" i="40"/>
  <c r="S210" i="40"/>
  <c r="T203" i="40"/>
  <c r="T210" i="40"/>
  <c r="U203" i="40"/>
  <c r="U210" i="40"/>
  <c r="V203" i="40"/>
  <c r="V210" i="40"/>
  <c r="W203" i="40"/>
  <c r="W210" i="40"/>
  <c r="X203" i="40"/>
  <c r="X210" i="40"/>
  <c r="Y203" i="40"/>
  <c r="Y210" i="40"/>
  <c r="Z203" i="40"/>
  <c r="Z210" i="40"/>
  <c r="AA203" i="40"/>
  <c r="AA210" i="40"/>
  <c r="AB203" i="40"/>
  <c r="AB210" i="40"/>
  <c r="AC203" i="40"/>
  <c r="AC210" i="40"/>
  <c r="AD203" i="40"/>
  <c r="AD210" i="40"/>
  <c r="AE203" i="40"/>
  <c r="AE210" i="40"/>
  <c r="AG81" i="40"/>
  <c r="AG203" i="40" s="1"/>
  <c r="AG88" i="40"/>
  <c r="G205" i="40"/>
  <c r="H205" i="40"/>
  <c r="I205" i="40"/>
  <c r="J205" i="40"/>
  <c r="K205" i="40"/>
  <c r="L205" i="40"/>
  <c r="M205" i="40"/>
  <c r="N205" i="40"/>
  <c r="O205" i="40"/>
  <c r="P205" i="40"/>
  <c r="Q205" i="40"/>
  <c r="R205" i="40"/>
  <c r="S205" i="40"/>
  <c r="T205" i="40"/>
  <c r="U205" i="40"/>
  <c r="V205" i="40"/>
  <c r="W205" i="40"/>
  <c r="X205" i="40"/>
  <c r="Y205" i="40"/>
  <c r="Z205" i="40"/>
  <c r="AA205" i="40"/>
  <c r="AB205" i="40"/>
  <c r="AC205" i="40"/>
  <c r="AD205" i="40"/>
  <c r="AE205" i="40"/>
  <c r="AG83" i="40"/>
  <c r="G206" i="40"/>
  <c r="H206" i="40"/>
  <c r="I206" i="40"/>
  <c r="J206" i="40"/>
  <c r="K206" i="40"/>
  <c r="L206" i="40"/>
  <c r="M206" i="40"/>
  <c r="N206" i="40"/>
  <c r="O206" i="40"/>
  <c r="P206" i="40"/>
  <c r="Q206" i="40"/>
  <c r="R206" i="40"/>
  <c r="S206" i="40"/>
  <c r="T206" i="40"/>
  <c r="U206" i="40"/>
  <c r="V206" i="40"/>
  <c r="W206" i="40"/>
  <c r="X206" i="40"/>
  <c r="Y206" i="40"/>
  <c r="Z206" i="40"/>
  <c r="AA206" i="40"/>
  <c r="AB206" i="40"/>
  <c r="AC206" i="40"/>
  <c r="AD206" i="40"/>
  <c r="AE206" i="40"/>
  <c r="AG84" i="40"/>
  <c r="AG206" i="40" s="1"/>
  <c r="G207" i="40"/>
  <c r="H207" i="40"/>
  <c r="I207" i="40"/>
  <c r="J207" i="40"/>
  <c r="K207" i="40"/>
  <c r="L207" i="40"/>
  <c r="M207" i="40"/>
  <c r="N207" i="40"/>
  <c r="O207" i="40"/>
  <c r="P207" i="40"/>
  <c r="Q207" i="40"/>
  <c r="R207" i="40"/>
  <c r="S207" i="40"/>
  <c r="T207" i="40"/>
  <c r="U207" i="40"/>
  <c r="V207" i="40"/>
  <c r="W207" i="40"/>
  <c r="X207" i="40"/>
  <c r="Y207" i="40"/>
  <c r="Z207" i="40"/>
  <c r="AA207" i="40"/>
  <c r="AB207" i="40"/>
  <c r="AC207" i="40"/>
  <c r="AD207" i="40"/>
  <c r="AE207" i="40"/>
  <c r="AG85" i="40"/>
  <c r="D204" i="40"/>
  <c r="E204" i="40"/>
  <c r="F204" i="40"/>
  <c r="AP249" i="40"/>
  <c r="AQ249" i="40"/>
  <c r="AP250" i="40"/>
  <c r="AQ250" i="40"/>
  <c r="AP251" i="40"/>
  <c r="AQ251" i="40"/>
  <c r="AQ248" i="40"/>
  <c r="AP248" i="40"/>
  <c r="AG72" i="40"/>
  <c r="AG194" i="40" s="1"/>
  <c r="AG69" i="40"/>
  <c r="AG74" i="40"/>
  <c r="AG196" i="40"/>
  <c r="AF246" i="40"/>
  <c r="AE194" i="40"/>
  <c r="AE246" i="40" s="1"/>
  <c r="AE191" i="40"/>
  <c r="AE196" i="40"/>
  <c r="AD194" i="40"/>
  <c r="AD191" i="40"/>
  <c r="AD246" i="40" s="1"/>
  <c r="AD196" i="40"/>
  <c r="AC194" i="40"/>
  <c r="AC191" i="40"/>
  <c r="AC246" i="40"/>
  <c r="AC196" i="40"/>
  <c r="AB194" i="40"/>
  <c r="AB246" i="40" s="1"/>
  <c r="AB191" i="40"/>
  <c r="AB196" i="40"/>
  <c r="AA194" i="40"/>
  <c r="AA246" i="40" s="1"/>
  <c r="AA191" i="40"/>
  <c r="AA196" i="40"/>
  <c r="Z194" i="40"/>
  <c r="Z191" i="40"/>
  <c r="Z246" i="40" s="1"/>
  <c r="Z196" i="40"/>
  <c r="Y194" i="40"/>
  <c r="Y191" i="40"/>
  <c r="Y246" i="40"/>
  <c r="Y196" i="40"/>
  <c r="X194" i="40"/>
  <c r="X246" i="40" s="1"/>
  <c r="X191" i="40"/>
  <c r="X196" i="40"/>
  <c r="W194" i="40"/>
  <c r="W246" i="40" s="1"/>
  <c r="W191" i="40"/>
  <c r="W196" i="40"/>
  <c r="V194" i="40"/>
  <c r="V191" i="40"/>
  <c r="V246" i="40" s="1"/>
  <c r="V196" i="40"/>
  <c r="U194" i="40"/>
  <c r="U191" i="40"/>
  <c r="U246" i="40"/>
  <c r="U196" i="40"/>
  <c r="T194" i="40"/>
  <c r="T246" i="40" s="1"/>
  <c r="T191" i="40"/>
  <c r="T196" i="40"/>
  <c r="S194" i="40"/>
  <c r="S246" i="40" s="1"/>
  <c r="S191" i="40"/>
  <c r="S196" i="40"/>
  <c r="R194" i="40"/>
  <c r="R191" i="40"/>
  <c r="R246" i="40" s="1"/>
  <c r="R196" i="40"/>
  <c r="Q194" i="40"/>
  <c r="Q191" i="40"/>
  <c r="Q246" i="40"/>
  <c r="Q196" i="40"/>
  <c r="P194" i="40"/>
  <c r="P246" i="40" s="1"/>
  <c r="P191" i="40"/>
  <c r="P196" i="40"/>
  <c r="O194" i="40"/>
  <c r="O246" i="40" s="1"/>
  <c r="O191" i="40"/>
  <c r="O196" i="40"/>
  <c r="N194" i="40"/>
  <c r="N191" i="40"/>
  <c r="N246" i="40" s="1"/>
  <c r="N196" i="40"/>
  <c r="M194" i="40"/>
  <c r="M191" i="40"/>
  <c r="M246" i="40"/>
  <c r="M196" i="40"/>
  <c r="L194" i="40"/>
  <c r="L246" i="40" s="1"/>
  <c r="L191" i="40"/>
  <c r="L196" i="40"/>
  <c r="K194" i="40"/>
  <c r="K246" i="40" s="1"/>
  <c r="K191" i="40"/>
  <c r="K196" i="40"/>
  <c r="J194" i="40"/>
  <c r="J191" i="40"/>
  <c r="J246" i="40" s="1"/>
  <c r="J196" i="40"/>
  <c r="I194" i="40"/>
  <c r="I191" i="40"/>
  <c r="I246" i="40"/>
  <c r="I196" i="40"/>
  <c r="H191" i="40"/>
  <c r="H246" i="40"/>
  <c r="G194" i="40"/>
  <c r="G191" i="40"/>
  <c r="G246" i="40"/>
  <c r="G196" i="40"/>
  <c r="F194" i="40"/>
  <c r="F191" i="40"/>
  <c r="F246" i="40" s="1"/>
  <c r="F196" i="40"/>
  <c r="E194" i="40"/>
  <c r="E246" i="40" s="1"/>
  <c r="E191" i="40"/>
  <c r="E196" i="40"/>
  <c r="AK247" i="40"/>
  <c r="AJ247" i="40"/>
  <c r="AK246" i="40"/>
  <c r="AJ246" i="40"/>
  <c r="T41" i="18"/>
  <c r="U41" i="18"/>
  <c r="V41" i="18"/>
  <c r="S41" i="18"/>
  <c r="B46" i="42"/>
  <c r="B47" i="42"/>
  <c r="B48" i="42"/>
  <c r="B49" i="42"/>
  <c r="B50" i="42"/>
  <c r="B51" i="42"/>
  <c r="B52" i="42"/>
  <c r="B53" i="42"/>
  <c r="B54" i="42"/>
  <c r="B55" i="42"/>
  <c r="B56" i="42"/>
  <c r="B57" i="42"/>
  <c r="B58" i="42"/>
  <c r="B59" i="42"/>
  <c r="B60" i="42"/>
  <c r="B61" i="42"/>
  <c r="B62" i="42"/>
  <c r="B63" i="42"/>
  <c r="B64" i="42"/>
  <c r="A39" i="42"/>
  <c r="A40" i="42"/>
  <c r="A41" i="42"/>
  <c r="A42" i="42"/>
  <c r="A43" i="42"/>
  <c r="A44" i="42"/>
  <c r="A45" i="42"/>
  <c r="A46" i="42"/>
  <c r="A47" i="42"/>
  <c r="A48" i="42"/>
  <c r="A49" i="42"/>
  <c r="A50" i="42"/>
  <c r="A51" i="42"/>
  <c r="A52" i="42"/>
  <c r="A53" i="42"/>
  <c r="A54" i="42"/>
  <c r="A55" i="42"/>
  <c r="A56" i="42"/>
  <c r="A57" i="42"/>
  <c r="A58" i="42"/>
  <c r="A59" i="42"/>
  <c r="A60" i="42"/>
  <c r="A61" i="42"/>
  <c r="A62" i="42"/>
  <c r="A63" i="42"/>
  <c r="A64" i="42"/>
  <c r="A38" i="42"/>
  <c r="B101" i="42"/>
  <c r="A68" i="42"/>
  <c r="A101" i="42" s="1"/>
  <c r="AG5" i="40"/>
  <c r="AG6" i="40"/>
  <c r="AG7" i="40"/>
  <c r="AG8" i="40"/>
  <c r="AG9" i="40"/>
  <c r="AG10" i="40"/>
  <c r="AG11" i="40"/>
  <c r="AG12" i="40"/>
  <c r="AG13" i="40"/>
  <c r="AG14" i="40"/>
  <c r="AG15" i="40"/>
  <c r="AG16" i="40"/>
  <c r="AG17" i="40"/>
  <c r="AG18" i="40"/>
  <c r="AG19" i="40"/>
  <c r="AG20" i="40"/>
  <c r="AG21" i="40"/>
  <c r="AG22" i="40"/>
  <c r="AG23" i="40"/>
  <c r="AG24" i="40"/>
  <c r="AG27" i="40"/>
  <c r="AG149" i="40" s="1"/>
  <c r="AH149" i="40" s="1"/>
  <c r="AG28" i="40"/>
  <c r="AG29" i="40"/>
  <c r="AG31" i="40"/>
  <c r="AG32" i="40"/>
  <c r="AG154" i="40" s="1"/>
  <c r="AH154" i="40" s="1"/>
  <c r="AG33" i="40"/>
  <c r="AG34" i="40"/>
  <c r="AG35" i="40"/>
  <c r="AG36" i="40"/>
  <c r="AG158" i="40" s="1"/>
  <c r="AH158" i="40" s="1"/>
  <c r="AG37" i="40"/>
  <c r="AG38" i="40"/>
  <c r="AG39" i="40"/>
  <c r="AG40" i="40"/>
  <c r="AG162" i="40" s="1"/>
  <c r="AH162" i="40" s="1"/>
  <c r="AG41" i="40"/>
  <c r="AG42" i="40"/>
  <c r="AG43" i="40"/>
  <c r="AG44" i="40"/>
  <c r="AG166" i="40" s="1"/>
  <c r="AH166" i="40" s="1"/>
  <c r="AG45" i="40"/>
  <c r="AG46" i="40"/>
  <c r="AG47" i="40"/>
  <c r="AG48" i="40"/>
  <c r="AG170" i="40" s="1"/>
  <c r="AH170" i="40" s="1"/>
  <c r="AG49" i="40"/>
  <c r="AG50" i="40"/>
  <c r="AG51" i="40"/>
  <c r="AG52" i="40"/>
  <c r="AG174" i="40" s="1"/>
  <c r="AH174" i="40" s="1"/>
  <c r="AG53" i="40"/>
  <c r="AG54" i="40"/>
  <c r="AG55" i="40"/>
  <c r="AG56" i="40"/>
  <c r="AG178" i="40" s="1"/>
  <c r="AH178" i="40" s="1"/>
  <c r="AG57" i="40"/>
  <c r="AG58" i="40"/>
  <c r="AG59" i="40"/>
  <c r="AG60" i="40"/>
  <c r="AG182" i="40" s="1"/>
  <c r="AH182" i="40" s="1"/>
  <c r="AG61" i="40"/>
  <c r="AG62" i="40"/>
  <c r="AG63" i="40"/>
  <c r="AG64" i="40"/>
  <c r="AG186" i="40" s="1"/>
  <c r="AH186" i="40" s="1"/>
  <c r="AG65" i="40"/>
  <c r="AG66" i="40"/>
  <c r="AG67" i="40"/>
  <c r="AG68" i="40"/>
  <c r="AG190" i="40" s="1"/>
  <c r="AH190" i="40" s="1"/>
  <c r="AG70" i="40"/>
  <c r="AG71" i="40"/>
  <c r="AG73" i="40"/>
  <c r="AG75" i="40"/>
  <c r="AG197" i="40" s="1"/>
  <c r="AH197" i="40" s="1"/>
  <c r="AG76" i="40"/>
  <c r="AG77" i="40"/>
  <c r="AG78" i="40"/>
  <c r="AG79" i="40"/>
  <c r="AG201" i="40" s="1"/>
  <c r="AH201" i="40" s="1"/>
  <c r="AG80" i="40"/>
  <c r="AG82" i="40"/>
  <c r="AH82" i="40" s="1"/>
  <c r="AG86" i="40"/>
  <c r="AG87" i="40"/>
  <c r="AG89" i="40"/>
  <c r="AG90" i="40"/>
  <c r="AH90" i="40" s="1"/>
  <c r="AG91" i="40"/>
  <c r="AG92" i="40"/>
  <c r="AG93" i="40"/>
  <c r="AG94" i="40"/>
  <c r="AH94" i="40" s="1"/>
  <c r="AG95" i="40"/>
  <c r="AG96" i="40"/>
  <c r="AG97" i="40"/>
  <c r="AG98" i="40"/>
  <c r="AH98" i="40" s="1"/>
  <c r="AG99" i="40"/>
  <c r="AG100" i="40"/>
  <c r="AG101" i="40"/>
  <c r="AG102" i="40"/>
  <c r="AH102" i="40" s="1"/>
  <c r="AG103" i="40"/>
  <c r="AG104" i="40"/>
  <c r="AG105" i="40"/>
  <c r="AG106" i="40"/>
  <c r="AH106" i="40" s="1"/>
  <c r="AG107" i="40"/>
  <c r="AG108" i="40"/>
  <c r="AG109" i="40"/>
  <c r="AG110" i="40"/>
  <c r="AH110" i="40" s="1"/>
  <c r="AG111" i="40"/>
  <c r="AG112" i="40"/>
  <c r="AG113" i="40"/>
  <c r="AG114" i="40"/>
  <c r="AH114" i="40" s="1"/>
  <c r="AG115" i="40"/>
  <c r="AG117" i="40"/>
  <c r="AG239" i="40" s="1"/>
  <c r="AH239" i="40" s="1"/>
  <c r="AG118" i="40"/>
  <c r="AG119" i="40"/>
  <c r="AG120" i="40"/>
  <c r="AG121" i="40"/>
  <c r="AG243" i="40" s="1"/>
  <c r="AH243" i="40" s="1"/>
  <c r="AG122" i="40"/>
  <c r="AE245" i="40"/>
  <c r="AD245" i="40"/>
  <c r="AC245" i="40"/>
  <c r="AB245" i="40"/>
  <c r="AA245" i="40"/>
  <c r="Z245" i="40"/>
  <c r="Y245" i="40"/>
  <c r="X245" i="40"/>
  <c r="W245" i="40"/>
  <c r="V245" i="40"/>
  <c r="U245" i="40"/>
  <c r="T245" i="40"/>
  <c r="S245" i="40"/>
  <c r="R245" i="40"/>
  <c r="Q245" i="40"/>
  <c r="P245" i="40"/>
  <c r="O245" i="40"/>
  <c r="N245" i="40"/>
  <c r="M245" i="40"/>
  <c r="L245" i="40"/>
  <c r="K245" i="40"/>
  <c r="J245" i="40"/>
  <c r="I245" i="40"/>
  <c r="H245" i="40"/>
  <c r="G245" i="40"/>
  <c r="F245" i="40"/>
  <c r="E245" i="40"/>
  <c r="D245" i="40"/>
  <c r="AG244" i="40"/>
  <c r="AE244" i="40"/>
  <c r="AD244" i="40"/>
  <c r="AC244" i="40"/>
  <c r="AB244" i="40"/>
  <c r="AA244" i="40"/>
  <c r="Z244" i="40"/>
  <c r="Y244" i="40"/>
  <c r="X244" i="40"/>
  <c r="W244" i="40"/>
  <c r="V244" i="40"/>
  <c r="U244" i="40"/>
  <c r="T244" i="40"/>
  <c r="S244" i="40"/>
  <c r="R244" i="40"/>
  <c r="Q244" i="40"/>
  <c r="P244" i="40"/>
  <c r="O244" i="40"/>
  <c r="N244" i="40"/>
  <c r="AH244" i="40" s="1"/>
  <c r="M244" i="40"/>
  <c r="L244" i="40"/>
  <c r="K244" i="40"/>
  <c r="J244" i="40"/>
  <c r="I244" i="40"/>
  <c r="H244" i="40"/>
  <c r="G244" i="40"/>
  <c r="F244" i="40"/>
  <c r="E244" i="40"/>
  <c r="D244" i="40"/>
  <c r="AE243" i="40"/>
  <c r="AD243" i="40"/>
  <c r="AC243" i="40"/>
  <c r="AB243" i="40"/>
  <c r="AA243" i="40"/>
  <c r="Z243" i="40"/>
  <c r="Y243" i="40"/>
  <c r="X243" i="40"/>
  <c r="W243" i="40"/>
  <c r="V243" i="40"/>
  <c r="U243" i="40"/>
  <c r="T243" i="40"/>
  <c r="S243" i="40"/>
  <c r="R243" i="40"/>
  <c r="Q243" i="40"/>
  <c r="P243" i="40"/>
  <c r="O243" i="40"/>
  <c r="N243" i="40"/>
  <c r="M243" i="40"/>
  <c r="L243" i="40"/>
  <c r="K243" i="40"/>
  <c r="J243" i="40"/>
  <c r="I243" i="40"/>
  <c r="H243" i="40"/>
  <c r="G243" i="40"/>
  <c r="F243" i="40"/>
  <c r="E243" i="40"/>
  <c r="D243" i="40"/>
  <c r="AG242" i="40"/>
  <c r="AH242" i="40" s="1"/>
  <c r="AE242" i="40"/>
  <c r="AD242" i="40"/>
  <c r="AC242" i="40"/>
  <c r="AB242" i="40"/>
  <c r="AA242" i="40"/>
  <c r="Z242" i="40"/>
  <c r="Y242" i="40"/>
  <c r="X242" i="40"/>
  <c r="W242" i="40"/>
  <c r="V242" i="40"/>
  <c r="U242" i="40"/>
  <c r="T242" i="40"/>
  <c r="S242" i="40"/>
  <c r="R242" i="40"/>
  <c r="Q242" i="40"/>
  <c r="P242" i="40"/>
  <c r="O242" i="40"/>
  <c r="N242" i="40"/>
  <c r="M242" i="40"/>
  <c r="L242" i="40"/>
  <c r="K242" i="40"/>
  <c r="J242" i="40"/>
  <c r="I242" i="40"/>
  <c r="H242" i="40"/>
  <c r="G242" i="40"/>
  <c r="F242" i="40"/>
  <c r="E242" i="40"/>
  <c r="D242" i="40"/>
  <c r="AE241" i="40"/>
  <c r="AD241" i="40"/>
  <c r="AC241" i="40"/>
  <c r="AB241" i="40"/>
  <c r="AA241" i="40"/>
  <c r="Z241" i="40"/>
  <c r="Y241" i="40"/>
  <c r="X241" i="40"/>
  <c r="W241" i="40"/>
  <c r="V241" i="40"/>
  <c r="U241" i="40"/>
  <c r="T241" i="40"/>
  <c r="S241" i="40"/>
  <c r="R241" i="40"/>
  <c r="Q241" i="40"/>
  <c r="P241" i="40"/>
  <c r="O241" i="40"/>
  <c r="N241" i="40"/>
  <c r="M241" i="40"/>
  <c r="L241" i="40"/>
  <c r="K241" i="40"/>
  <c r="J241" i="40"/>
  <c r="I241" i="40"/>
  <c r="H241" i="40"/>
  <c r="G241" i="40"/>
  <c r="F241" i="40"/>
  <c r="E241" i="40"/>
  <c r="D241" i="40"/>
  <c r="AG240" i="40"/>
  <c r="AE240" i="40"/>
  <c r="AD240" i="40"/>
  <c r="AC240" i="40"/>
  <c r="AB240" i="40"/>
  <c r="AA240" i="40"/>
  <c r="Z240" i="40"/>
  <c r="Y240" i="40"/>
  <c r="X240" i="40"/>
  <c r="W240" i="40"/>
  <c r="V240" i="40"/>
  <c r="U240" i="40"/>
  <c r="T240" i="40"/>
  <c r="S240" i="40"/>
  <c r="R240" i="40"/>
  <c r="Q240" i="40"/>
  <c r="P240" i="40"/>
  <c r="O240" i="40"/>
  <c r="N240" i="40"/>
  <c r="M240" i="40"/>
  <c r="L240" i="40"/>
  <c r="K240" i="40"/>
  <c r="J240" i="40"/>
  <c r="I240" i="40"/>
  <c r="H240" i="40"/>
  <c r="G240" i="40"/>
  <c r="F240" i="40"/>
  <c r="E240" i="40"/>
  <c r="D240" i="40"/>
  <c r="AE239" i="40"/>
  <c r="AD239" i="40"/>
  <c r="AC239" i="40"/>
  <c r="AB239" i="40"/>
  <c r="AA239" i="40"/>
  <c r="Z239" i="40"/>
  <c r="Y239" i="40"/>
  <c r="X239" i="40"/>
  <c r="W239" i="40"/>
  <c r="V239" i="40"/>
  <c r="U239" i="40"/>
  <c r="T239" i="40"/>
  <c r="S239" i="40"/>
  <c r="R239" i="40"/>
  <c r="Q239" i="40"/>
  <c r="P239" i="40"/>
  <c r="O239" i="40"/>
  <c r="N239" i="40"/>
  <c r="M239" i="40"/>
  <c r="L239" i="40"/>
  <c r="K239" i="40"/>
  <c r="J239" i="40"/>
  <c r="I239" i="40"/>
  <c r="H239" i="40"/>
  <c r="G239" i="40"/>
  <c r="F239" i="40"/>
  <c r="E239" i="40"/>
  <c r="D239" i="40"/>
  <c r="AE238" i="40"/>
  <c r="AD238" i="40"/>
  <c r="AC238" i="40"/>
  <c r="AB238" i="40"/>
  <c r="AA238" i="40"/>
  <c r="Z238" i="40"/>
  <c r="Y238" i="40"/>
  <c r="X238" i="40"/>
  <c r="W238" i="40"/>
  <c r="V238" i="40"/>
  <c r="U238" i="40"/>
  <c r="T238" i="40"/>
  <c r="S238" i="40"/>
  <c r="R238" i="40"/>
  <c r="Q238" i="40"/>
  <c r="P238" i="40"/>
  <c r="O238" i="40"/>
  <c r="M238" i="40"/>
  <c r="L238" i="40"/>
  <c r="K238" i="40"/>
  <c r="J238" i="40"/>
  <c r="I238" i="40"/>
  <c r="H238" i="40"/>
  <c r="G238" i="40"/>
  <c r="F238" i="40"/>
  <c r="E238" i="40"/>
  <c r="D238" i="40"/>
  <c r="AG237" i="40"/>
  <c r="AE237" i="40"/>
  <c r="AD237" i="40"/>
  <c r="AC237" i="40"/>
  <c r="AB237" i="40"/>
  <c r="AA237" i="40"/>
  <c r="Z237" i="40"/>
  <c r="Y237" i="40"/>
  <c r="X237" i="40"/>
  <c r="W237" i="40"/>
  <c r="V237" i="40"/>
  <c r="U237" i="40"/>
  <c r="T237" i="40"/>
  <c r="S237" i="40"/>
  <c r="R237" i="40"/>
  <c r="Q237" i="40"/>
  <c r="P237" i="40"/>
  <c r="O237" i="40"/>
  <c r="N237" i="40"/>
  <c r="M237" i="40"/>
  <c r="L237" i="40"/>
  <c r="K237" i="40"/>
  <c r="J237" i="40"/>
  <c r="I237" i="40"/>
  <c r="H237" i="40"/>
  <c r="G237" i="40"/>
  <c r="F237" i="40"/>
  <c r="E237" i="40"/>
  <c r="D237" i="40"/>
  <c r="AG236" i="40"/>
  <c r="AE236" i="40"/>
  <c r="AD236" i="40"/>
  <c r="AC236" i="40"/>
  <c r="AB236" i="40"/>
  <c r="AA236" i="40"/>
  <c r="Z236" i="40"/>
  <c r="Y236" i="40"/>
  <c r="X236" i="40"/>
  <c r="W236" i="40"/>
  <c r="V236" i="40"/>
  <c r="U236" i="40"/>
  <c r="T236" i="40"/>
  <c r="S236" i="40"/>
  <c r="R236" i="40"/>
  <c r="Q236" i="40"/>
  <c r="P236" i="40"/>
  <c r="O236" i="40"/>
  <c r="N236" i="40"/>
  <c r="M236" i="40"/>
  <c r="L236" i="40"/>
  <c r="K236" i="40"/>
  <c r="J236" i="40"/>
  <c r="I236" i="40"/>
  <c r="H236" i="40"/>
  <c r="G236" i="40"/>
  <c r="F236" i="40"/>
  <c r="E236" i="40"/>
  <c r="D236" i="40"/>
  <c r="AG235" i="40"/>
  <c r="AE235" i="40"/>
  <c r="AD235" i="40"/>
  <c r="AC235" i="40"/>
  <c r="AB235" i="40"/>
  <c r="AA235" i="40"/>
  <c r="Z235" i="40"/>
  <c r="Y235" i="40"/>
  <c r="X235" i="40"/>
  <c r="W235" i="40"/>
  <c r="V235" i="40"/>
  <c r="U235" i="40"/>
  <c r="T235" i="40"/>
  <c r="S235" i="40"/>
  <c r="R235" i="40"/>
  <c r="Q235" i="40"/>
  <c r="P235" i="40"/>
  <c r="O235" i="40"/>
  <c r="N235" i="40"/>
  <c r="M235" i="40"/>
  <c r="L235" i="40"/>
  <c r="K235" i="40"/>
  <c r="J235" i="40"/>
  <c r="I235" i="40"/>
  <c r="H235" i="40"/>
  <c r="G235" i="40"/>
  <c r="F235" i="40"/>
  <c r="E235" i="40"/>
  <c r="D235" i="40"/>
  <c r="AG234" i="40"/>
  <c r="AE234" i="40"/>
  <c r="AD234" i="40"/>
  <c r="AC234" i="40"/>
  <c r="AB234" i="40"/>
  <c r="AA234" i="40"/>
  <c r="Z234" i="40"/>
  <c r="Y234" i="40"/>
  <c r="X234" i="40"/>
  <c r="W234" i="40"/>
  <c r="V234" i="40"/>
  <c r="U234" i="40"/>
  <c r="T234" i="40"/>
  <c r="S234" i="40"/>
  <c r="R234" i="40"/>
  <c r="Q234" i="40"/>
  <c r="P234" i="40"/>
  <c r="O234" i="40"/>
  <c r="N234" i="40"/>
  <c r="AH234" i="40" s="1"/>
  <c r="M234" i="40"/>
  <c r="L234" i="40"/>
  <c r="K234" i="40"/>
  <c r="J234" i="40"/>
  <c r="I234" i="40"/>
  <c r="H234" i="40"/>
  <c r="G234" i="40"/>
  <c r="F234" i="40"/>
  <c r="E234" i="40"/>
  <c r="D234" i="40"/>
  <c r="AG233" i="40"/>
  <c r="AE233" i="40"/>
  <c r="AD233" i="40"/>
  <c r="AC233" i="40"/>
  <c r="AB233" i="40"/>
  <c r="AA233" i="40"/>
  <c r="Z233" i="40"/>
  <c r="Y233" i="40"/>
  <c r="X233" i="40"/>
  <c r="W233" i="40"/>
  <c r="V233" i="40"/>
  <c r="U233" i="40"/>
  <c r="T233" i="40"/>
  <c r="S233" i="40"/>
  <c r="R233" i="40"/>
  <c r="Q233" i="40"/>
  <c r="P233" i="40"/>
  <c r="O233" i="40"/>
  <c r="N233" i="40"/>
  <c r="M233" i="40"/>
  <c r="L233" i="40"/>
  <c r="K233" i="40"/>
  <c r="J233" i="40"/>
  <c r="I233" i="40"/>
  <c r="H233" i="40"/>
  <c r="G233" i="40"/>
  <c r="F233" i="40"/>
  <c r="E233" i="40"/>
  <c r="D233" i="40"/>
  <c r="AG232" i="40"/>
  <c r="AE232" i="40"/>
  <c r="AD232" i="40"/>
  <c r="AC232" i="40"/>
  <c r="AB232" i="40"/>
  <c r="AA232" i="40"/>
  <c r="Z232" i="40"/>
  <c r="Y232" i="40"/>
  <c r="X232" i="40"/>
  <c r="W232" i="40"/>
  <c r="V232" i="40"/>
  <c r="U232" i="40"/>
  <c r="T232" i="40"/>
  <c r="S232" i="40"/>
  <c r="R232" i="40"/>
  <c r="Q232" i="40"/>
  <c r="P232" i="40"/>
  <c r="O232" i="40"/>
  <c r="N232" i="40"/>
  <c r="M232" i="40"/>
  <c r="L232" i="40"/>
  <c r="K232" i="40"/>
  <c r="J232" i="40"/>
  <c r="I232" i="40"/>
  <c r="H232" i="40"/>
  <c r="G232" i="40"/>
  <c r="F232" i="40"/>
  <c r="E232" i="40"/>
  <c r="D232" i="40"/>
  <c r="AG231" i="40"/>
  <c r="AE231" i="40"/>
  <c r="AD231" i="40"/>
  <c r="AC231" i="40"/>
  <c r="AB231" i="40"/>
  <c r="AA231" i="40"/>
  <c r="Z231" i="40"/>
  <c r="Y231" i="40"/>
  <c r="X231" i="40"/>
  <c r="W231" i="40"/>
  <c r="V231" i="40"/>
  <c r="U231" i="40"/>
  <c r="T231" i="40"/>
  <c r="S231" i="40"/>
  <c r="R231" i="40"/>
  <c r="Q231" i="40"/>
  <c r="P231" i="40"/>
  <c r="O231" i="40"/>
  <c r="N231" i="40"/>
  <c r="M231" i="40"/>
  <c r="L231" i="40"/>
  <c r="K231" i="40"/>
  <c r="J231" i="40"/>
  <c r="I231" i="40"/>
  <c r="H231" i="40"/>
  <c r="G231" i="40"/>
  <c r="F231" i="40"/>
  <c r="E231" i="40"/>
  <c r="D231" i="40"/>
  <c r="AG230" i="40"/>
  <c r="AE230" i="40"/>
  <c r="AD230" i="40"/>
  <c r="AC230" i="40"/>
  <c r="AB230" i="40"/>
  <c r="AA230" i="40"/>
  <c r="Z230" i="40"/>
  <c r="Y230" i="40"/>
  <c r="X230" i="40"/>
  <c r="W230" i="40"/>
  <c r="V230" i="40"/>
  <c r="U230" i="40"/>
  <c r="T230" i="40"/>
  <c r="S230" i="40"/>
  <c r="R230" i="40"/>
  <c r="Q230" i="40"/>
  <c r="P230" i="40"/>
  <c r="O230" i="40"/>
  <c r="N230" i="40"/>
  <c r="AH230" i="40" s="1"/>
  <c r="M230" i="40"/>
  <c r="L230" i="40"/>
  <c r="K230" i="40"/>
  <c r="J230" i="40"/>
  <c r="I230" i="40"/>
  <c r="H230" i="40"/>
  <c r="G230" i="40"/>
  <c r="F230" i="40"/>
  <c r="E230" i="40"/>
  <c r="D230" i="40"/>
  <c r="AG229" i="40"/>
  <c r="AE229" i="40"/>
  <c r="AD229" i="40"/>
  <c r="AC229" i="40"/>
  <c r="AB229" i="40"/>
  <c r="AA229" i="40"/>
  <c r="Z229" i="40"/>
  <c r="Y229" i="40"/>
  <c r="X229" i="40"/>
  <c r="W229" i="40"/>
  <c r="V229" i="40"/>
  <c r="U229" i="40"/>
  <c r="T229" i="40"/>
  <c r="S229" i="40"/>
  <c r="R229" i="40"/>
  <c r="Q229" i="40"/>
  <c r="P229" i="40"/>
  <c r="O229" i="40"/>
  <c r="N229" i="40"/>
  <c r="M229" i="40"/>
  <c r="L229" i="40"/>
  <c r="K229" i="40"/>
  <c r="J229" i="40"/>
  <c r="I229" i="40"/>
  <c r="H229" i="40"/>
  <c r="G229" i="40"/>
  <c r="F229" i="40"/>
  <c r="E229" i="40"/>
  <c r="D229" i="40"/>
  <c r="AG228" i="40"/>
  <c r="AE228" i="40"/>
  <c r="AD228" i="40"/>
  <c r="AC228" i="40"/>
  <c r="AB228" i="40"/>
  <c r="AA228" i="40"/>
  <c r="Z228" i="40"/>
  <c r="Y228" i="40"/>
  <c r="X228" i="40"/>
  <c r="W228" i="40"/>
  <c r="V228" i="40"/>
  <c r="U228" i="40"/>
  <c r="T228" i="40"/>
  <c r="S228" i="40"/>
  <c r="R228" i="40"/>
  <c r="Q228" i="40"/>
  <c r="P228" i="40"/>
  <c r="O228" i="40"/>
  <c r="N228" i="40"/>
  <c r="M228" i="40"/>
  <c r="L228" i="40"/>
  <c r="K228" i="40"/>
  <c r="J228" i="40"/>
  <c r="I228" i="40"/>
  <c r="H228" i="40"/>
  <c r="G228" i="40"/>
  <c r="F228" i="40"/>
  <c r="E228" i="40"/>
  <c r="D228" i="40"/>
  <c r="AG227" i="40"/>
  <c r="AE227" i="40"/>
  <c r="AD227" i="40"/>
  <c r="AC227" i="40"/>
  <c r="AB227" i="40"/>
  <c r="AA227" i="40"/>
  <c r="Z227" i="40"/>
  <c r="Y227" i="40"/>
  <c r="X227" i="40"/>
  <c r="W227" i="40"/>
  <c r="V227" i="40"/>
  <c r="U227" i="40"/>
  <c r="T227" i="40"/>
  <c r="S227" i="40"/>
  <c r="R227" i="40"/>
  <c r="Q227" i="40"/>
  <c r="P227" i="40"/>
  <c r="O227" i="40"/>
  <c r="N227" i="40"/>
  <c r="M227" i="40"/>
  <c r="L227" i="40"/>
  <c r="K227" i="40"/>
  <c r="J227" i="40"/>
  <c r="I227" i="40"/>
  <c r="H227" i="40"/>
  <c r="G227" i="40"/>
  <c r="F227" i="40"/>
  <c r="E227" i="40"/>
  <c r="D227" i="40"/>
  <c r="AG226" i="40"/>
  <c r="AE226" i="40"/>
  <c r="AD226" i="40"/>
  <c r="AC226" i="40"/>
  <c r="AB226" i="40"/>
  <c r="AA226" i="40"/>
  <c r="Z226" i="40"/>
  <c r="Y226" i="40"/>
  <c r="X226" i="40"/>
  <c r="W226" i="40"/>
  <c r="V226" i="40"/>
  <c r="U226" i="40"/>
  <c r="T226" i="40"/>
  <c r="S226" i="40"/>
  <c r="R226" i="40"/>
  <c r="Q226" i="40"/>
  <c r="P226" i="40"/>
  <c r="O226" i="40"/>
  <c r="N226" i="40"/>
  <c r="AH226" i="40" s="1"/>
  <c r="M226" i="40"/>
  <c r="L226" i="40"/>
  <c r="K226" i="40"/>
  <c r="J226" i="40"/>
  <c r="I226" i="40"/>
  <c r="H226" i="40"/>
  <c r="G226" i="40"/>
  <c r="F226" i="40"/>
  <c r="E226" i="40"/>
  <c r="D226" i="40"/>
  <c r="AG225" i="40"/>
  <c r="AE225" i="40"/>
  <c r="AD225" i="40"/>
  <c r="AC225" i="40"/>
  <c r="AB225" i="40"/>
  <c r="AA225" i="40"/>
  <c r="Z225" i="40"/>
  <c r="Y225" i="40"/>
  <c r="X225" i="40"/>
  <c r="W225" i="40"/>
  <c r="V225" i="40"/>
  <c r="U225" i="40"/>
  <c r="T225" i="40"/>
  <c r="S225" i="40"/>
  <c r="R225" i="40"/>
  <c r="Q225" i="40"/>
  <c r="P225" i="40"/>
  <c r="O225" i="40"/>
  <c r="N225" i="40"/>
  <c r="M225" i="40"/>
  <c r="L225" i="40"/>
  <c r="K225" i="40"/>
  <c r="J225" i="40"/>
  <c r="I225" i="40"/>
  <c r="H225" i="40"/>
  <c r="G225" i="40"/>
  <c r="F225" i="40"/>
  <c r="E225" i="40"/>
  <c r="D225" i="40"/>
  <c r="AG224" i="40"/>
  <c r="AE224" i="40"/>
  <c r="AD224" i="40"/>
  <c r="AC224" i="40"/>
  <c r="AB224" i="40"/>
  <c r="AA224" i="40"/>
  <c r="Z224" i="40"/>
  <c r="Y224" i="40"/>
  <c r="X224" i="40"/>
  <c r="W224" i="40"/>
  <c r="V224" i="40"/>
  <c r="U224" i="40"/>
  <c r="T224" i="40"/>
  <c r="S224" i="40"/>
  <c r="R224" i="40"/>
  <c r="Q224" i="40"/>
  <c r="P224" i="40"/>
  <c r="O224" i="40"/>
  <c r="N224" i="40"/>
  <c r="M224" i="40"/>
  <c r="L224" i="40"/>
  <c r="K224" i="40"/>
  <c r="J224" i="40"/>
  <c r="I224" i="40"/>
  <c r="H224" i="40"/>
  <c r="G224" i="40"/>
  <c r="F224" i="40"/>
  <c r="E224" i="40"/>
  <c r="D224" i="40"/>
  <c r="AG223" i="40"/>
  <c r="AE223" i="40"/>
  <c r="AD223" i="40"/>
  <c r="AC223" i="40"/>
  <c r="AB223" i="40"/>
  <c r="AA223" i="40"/>
  <c r="Z223" i="40"/>
  <c r="Y223" i="40"/>
  <c r="X223" i="40"/>
  <c r="W223" i="40"/>
  <c r="V223" i="40"/>
  <c r="U223" i="40"/>
  <c r="T223" i="40"/>
  <c r="S223" i="40"/>
  <c r="R223" i="40"/>
  <c r="Q223" i="40"/>
  <c r="P223" i="40"/>
  <c r="O223" i="40"/>
  <c r="N223" i="40"/>
  <c r="M223" i="40"/>
  <c r="L223" i="40"/>
  <c r="K223" i="40"/>
  <c r="J223" i="40"/>
  <c r="I223" i="40"/>
  <c r="H223" i="40"/>
  <c r="G223" i="40"/>
  <c r="F223" i="40"/>
  <c r="E223" i="40"/>
  <c r="D223" i="40"/>
  <c r="AG222" i="40"/>
  <c r="AE222" i="40"/>
  <c r="AD222" i="40"/>
  <c r="AC222" i="40"/>
  <c r="AB222" i="40"/>
  <c r="AA222" i="40"/>
  <c r="Z222" i="40"/>
  <c r="Y222" i="40"/>
  <c r="X222" i="40"/>
  <c r="W222" i="40"/>
  <c r="V222" i="40"/>
  <c r="U222" i="40"/>
  <c r="T222" i="40"/>
  <c r="S222" i="40"/>
  <c r="R222" i="40"/>
  <c r="Q222" i="40"/>
  <c r="P222" i="40"/>
  <c r="O222" i="40"/>
  <c r="N222" i="40"/>
  <c r="AH222" i="40" s="1"/>
  <c r="M222" i="40"/>
  <c r="L222" i="40"/>
  <c r="K222" i="40"/>
  <c r="J222" i="40"/>
  <c r="I222" i="40"/>
  <c r="H222" i="40"/>
  <c r="G222" i="40"/>
  <c r="F222" i="40"/>
  <c r="E222" i="40"/>
  <c r="D222" i="40"/>
  <c r="AG221" i="40"/>
  <c r="AE221" i="40"/>
  <c r="AD221" i="40"/>
  <c r="AC221" i="40"/>
  <c r="AB221" i="40"/>
  <c r="AA221" i="40"/>
  <c r="Z221" i="40"/>
  <c r="Y221" i="40"/>
  <c r="X221" i="40"/>
  <c r="W221" i="40"/>
  <c r="V221" i="40"/>
  <c r="U221" i="40"/>
  <c r="T221" i="40"/>
  <c r="S221" i="40"/>
  <c r="R221" i="40"/>
  <c r="Q221" i="40"/>
  <c r="P221" i="40"/>
  <c r="O221" i="40"/>
  <c r="N221" i="40"/>
  <c r="M221" i="40"/>
  <c r="L221" i="40"/>
  <c r="K221" i="40"/>
  <c r="J221" i="40"/>
  <c r="I221" i="40"/>
  <c r="H221" i="40"/>
  <c r="G221" i="40"/>
  <c r="F221" i="40"/>
  <c r="E221" i="40"/>
  <c r="D221" i="40"/>
  <c r="AG220" i="40"/>
  <c r="AE220" i="40"/>
  <c r="AD220" i="40"/>
  <c r="AC220" i="40"/>
  <c r="AB220" i="40"/>
  <c r="AA220" i="40"/>
  <c r="Z220" i="40"/>
  <c r="Y220" i="40"/>
  <c r="X220" i="40"/>
  <c r="W220" i="40"/>
  <c r="V220" i="40"/>
  <c r="U220" i="40"/>
  <c r="T220" i="40"/>
  <c r="S220" i="40"/>
  <c r="R220" i="40"/>
  <c r="Q220" i="40"/>
  <c r="P220" i="40"/>
  <c r="O220" i="40"/>
  <c r="N220" i="40"/>
  <c r="M220" i="40"/>
  <c r="L220" i="40"/>
  <c r="K220" i="40"/>
  <c r="J220" i="40"/>
  <c r="I220" i="40"/>
  <c r="H220" i="40"/>
  <c r="G220" i="40"/>
  <c r="F220" i="40"/>
  <c r="E220" i="40"/>
  <c r="D220" i="40"/>
  <c r="AG219" i="40"/>
  <c r="AE219" i="40"/>
  <c r="AD219" i="40"/>
  <c r="AC219" i="40"/>
  <c r="AB219" i="40"/>
  <c r="AA219" i="40"/>
  <c r="Z219" i="40"/>
  <c r="Y219" i="40"/>
  <c r="X219" i="40"/>
  <c r="W219" i="40"/>
  <c r="V219" i="40"/>
  <c r="U219" i="40"/>
  <c r="T219" i="40"/>
  <c r="S219" i="40"/>
  <c r="R219" i="40"/>
  <c r="Q219" i="40"/>
  <c r="P219" i="40"/>
  <c r="O219" i="40"/>
  <c r="N219" i="40"/>
  <c r="M219" i="40"/>
  <c r="L219" i="40"/>
  <c r="K219" i="40"/>
  <c r="J219" i="40"/>
  <c r="I219" i="40"/>
  <c r="H219" i="40"/>
  <c r="G219" i="40"/>
  <c r="F219" i="40"/>
  <c r="E219" i="40"/>
  <c r="D219" i="40"/>
  <c r="AG218" i="40"/>
  <c r="AE218" i="40"/>
  <c r="AD218" i="40"/>
  <c r="AC218" i="40"/>
  <c r="AB218" i="40"/>
  <c r="AA218" i="40"/>
  <c r="Z218" i="40"/>
  <c r="Y218" i="40"/>
  <c r="X218" i="40"/>
  <c r="W218" i="40"/>
  <c r="V218" i="40"/>
  <c r="U218" i="40"/>
  <c r="T218" i="40"/>
  <c r="S218" i="40"/>
  <c r="R218" i="40"/>
  <c r="Q218" i="40"/>
  <c r="P218" i="40"/>
  <c r="O218" i="40"/>
  <c r="N218" i="40"/>
  <c r="AH218" i="40" s="1"/>
  <c r="M218" i="40"/>
  <c r="L218" i="40"/>
  <c r="K218" i="40"/>
  <c r="J218" i="40"/>
  <c r="I218" i="40"/>
  <c r="H218" i="40"/>
  <c r="G218" i="40"/>
  <c r="F218" i="40"/>
  <c r="E218" i="40"/>
  <c r="D218" i="40"/>
  <c r="AG217" i="40"/>
  <c r="AE217" i="40"/>
  <c r="AD217" i="40"/>
  <c r="AC217" i="40"/>
  <c r="AB217" i="40"/>
  <c r="AA217" i="40"/>
  <c r="Z217" i="40"/>
  <c r="Y217" i="40"/>
  <c r="X217" i="40"/>
  <c r="W217" i="40"/>
  <c r="V217" i="40"/>
  <c r="U217" i="40"/>
  <c r="T217" i="40"/>
  <c r="S217" i="40"/>
  <c r="R217" i="40"/>
  <c r="Q217" i="40"/>
  <c r="P217" i="40"/>
  <c r="O217" i="40"/>
  <c r="N217" i="40"/>
  <c r="M217" i="40"/>
  <c r="L217" i="40"/>
  <c r="K217" i="40"/>
  <c r="J217" i="40"/>
  <c r="I217" i="40"/>
  <c r="H217" i="40"/>
  <c r="G217" i="40"/>
  <c r="F217" i="40"/>
  <c r="E217" i="40"/>
  <c r="D217" i="40"/>
  <c r="AG216" i="40"/>
  <c r="AE216" i="40"/>
  <c r="AD216" i="40"/>
  <c r="AC216" i="40"/>
  <c r="AB216" i="40"/>
  <c r="AA216" i="40"/>
  <c r="Z216" i="40"/>
  <c r="Y216" i="40"/>
  <c r="X216" i="40"/>
  <c r="W216" i="40"/>
  <c r="V216" i="40"/>
  <c r="U216" i="40"/>
  <c r="T216" i="40"/>
  <c r="S216" i="40"/>
  <c r="R216" i="40"/>
  <c r="Q216" i="40"/>
  <c r="P216" i="40"/>
  <c r="O216" i="40"/>
  <c r="N216" i="40"/>
  <c r="M216" i="40"/>
  <c r="L216" i="40"/>
  <c r="K216" i="40"/>
  <c r="J216" i="40"/>
  <c r="I216" i="40"/>
  <c r="H216" i="40"/>
  <c r="G216" i="40"/>
  <c r="F216" i="40"/>
  <c r="E216" i="40"/>
  <c r="D216" i="40"/>
  <c r="AG215" i="40"/>
  <c r="AE215" i="40"/>
  <c r="AD215" i="40"/>
  <c r="AC215" i="40"/>
  <c r="AB215" i="40"/>
  <c r="AA215" i="40"/>
  <c r="Z215" i="40"/>
  <c r="Y215" i="40"/>
  <c r="X215" i="40"/>
  <c r="W215" i="40"/>
  <c r="V215" i="40"/>
  <c r="U215" i="40"/>
  <c r="T215" i="40"/>
  <c r="S215" i="40"/>
  <c r="R215" i="40"/>
  <c r="Q215" i="40"/>
  <c r="P215" i="40"/>
  <c r="O215" i="40"/>
  <c r="N215" i="40"/>
  <c r="M215" i="40"/>
  <c r="L215" i="40"/>
  <c r="K215" i="40"/>
  <c r="J215" i="40"/>
  <c r="I215" i="40"/>
  <c r="H215" i="40"/>
  <c r="G215" i="40"/>
  <c r="F215" i="40"/>
  <c r="E215" i="40"/>
  <c r="D215" i="40"/>
  <c r="AG214" i="40"/>
  <c r="AE214" i="40"/>
  <c r="AD214" i="40"/>
  <c r="AC214" i="40"/>
  <c r="AB214" i="40"/>
  <c r="AA214" i="40"/>
  <c r="Z214" i="40"/>
  <c r="Y214" i="40"/>
  <c r="X214" i="40"/>
  <c r="W214" i="40"/>
  <c r="V214" i="40"/>
  <c r="U214" i="40"/>
  <c r="T214" i="40"/>
  <c r="S214" i="40"/>
  <c r="R214" i="40"/>
  <c r="Q214" i="40"/>
  <c r="P214" i="40"/>
  <c r="O214" i="40"/>
  <c r="N214" i="40"/>
  <c r="AH214" i="40" s="1"/>
  <c r="M214" i="40"/>
  <c r="L214" i="40"/>
  <c r="K214" i="40"/>
  <c r="J214" i="40"/>
  <c r="I214" i="40"/>
  <c r="H214" i="40"/>
  <c r="G214" i="40"/>
  <c r="F214" i="40"/>
  <c r="E214" i="40"/>
  <c r="D214" i="40"/>
  <c r="AG213" i="40"/>
  <c r="AE213" i="40"/>
  <c r="AD213" i="40"/>
  <c r="AC213" i="40"/>
  <c r="AB213" i="40"/>
  <c r="AA213" i="40"/>
  <c r="Z213" i="40"/>
  <c r="Y213" i="40"/>
  <c r="X213" i="40"/>
  <c r="W213" i="40"/>
  <c r="V213" i="40"/>
  <c r="U213" i="40"/>
  <c r="T213" i="40"/>
  <c r="S213" i="40"/>
  <c r="R213" i="40"/>
  <c r="Q213" i="40"/>
  <c r="P213" i="40"/>
  <c r="O213" i="40"/>
  <c r="N213" i="40"/>
  <c r="M213" i="40"/>
  <c r="L213" i="40"/>
  <c r="K213" i="40"/>
  <c r="J213" i="40"/>
  <c r="I213" i="40"/>
  <c r="H213" i="40"/>
  <c r="G213" i="40"/>
  <c r="F213" i="40"/>
  <c r="E213" i="40"/>
  <c r="D213" i="40"/>
  <c r="AG212" i="40"/>
  <c r="AE212" i="40"/>
  <c r="AD212" i="40"/>
  <c r="AC212" i="40"/>
  <c r="AB212" i="40"/>
  <c r="AA212" i="40"/>
  <c r="Z212" i="40"/>
  <c r="Y212" i="40"/>
  <c r="X212" i="40"/>
  <c r="W212" i="40"/>
  <c r="V212" i="40"/>
  <c r="U212" i="40"/>
  <c r="T212" i="40"/>
  <c r="S212" i="40"/>
  <c r="R212" i="40"/>
  <c r="Q212" i="40"/>
  <c r="P212" i="40"/>
  <c r="O212" i="40"/>
  <c r="N212" i="40"/>
  <c r="M212" i="40"/>
  <c r="L212" i="40"/>
  <c r="K212" i="40"/>
  <c r="J212" i="40"/>
  <c r="I212" i="40"/>
  <c r="H212" i="40"/>
  <c r="G212" i="40"/>
  <c r="F212" i="40"/>
  <c r="E212" i="40"/>
  <c r="D212" i="40"/>
  <c r="AG211" i="40"/>
  <c r="AE211" i="40"/>
  <c r="AD211" i="40"/>
  <c r="AC211" i="40"/>
  <c r="AB211" i="40"/>
  <c r="AA211" i="40"/>
  <c r="Z211" i="40"/>
  <c r="Y211" i="40"/>
  <c r="X211" i="40"/>
  <c r="W211" i="40"/>
  <c r="V211" i="40"/>
  <c r="U211" i="40"/>
  <c r="T211" i="40"/>
  <c r="S211" i="40"/>
  <c r="R211" i="40"/>
  <c r="Q211" i="40"/>
  <c r="P211" i="40"/>
  <c r="O211" i="40"/>
  <c r="N211" i="40"/>
  <c r="M211" i="40"/>
  <c r="L211" i="40"/>
  <c r="K211" i="40"/>
  <c r="J211" i="40"/>
  <c r="I211" i="40"/>
  <c r="H211" i="40"/>
  <c r="G211" i="40"/>
  <c r="F211" i="40"/>
  <c r="E211" i="40"/>
  <c r="D211" i="40"/>
  <c r="AG209" i="40"/>
  <c r="AH209" i="40" s="1"/>
  <c r="AE209" i="40"/>
  <c r="AD209" i="40"/>
  <c r="AC209" i="40"/>
  <c r="AB209" i="40"/>
  <c r="AA209" i="40"/>
  <c r="Z209" i="40"/>
  <c r="Y209" i="40"/>
  <c r="X209" i="40"/>
  <c r="W209" i="40"/>
  <c r="V209" i="40"/>
  <c r="U209" i="40"/>
  <c r="T209" i="40"/>
  <c r="S209" i="40"/>
  <c r="R209" i="40"/>
  <c r="Q209" i="40"/>
  <c r="P209" i="40"/>
  <c r="O209" i="40"/>
  <c r="N209" i="40"/>
  <c r="M209" i="40"/>
  <c r="L209" i="40"/>
  <c r="K209" i="40"/>
  <c r="J209" i="40"/>
  <c r="I209" i="40"/>
  <c r="H209" i="40"/>
  <c r="G209" i="40"/>
  <c r="F209" i="40"/>
  <c r="E209" i="40"/>
  <c r="D209" i="40"/>
  <c r="AG208" i="40"/>
  <c r="AE208" i="40"/>
  <c r="AD208" i="40"/>
  <c r="AC208" i="40"/>
  <c r="AB208" i="40"/>
  <c r="AA208" i="40"/>
  <c r="Z208" i="40"/>
  <c r="Y208" i="40"/>
  <c r="X208" i="40"/>
  <c r="W208" i="40"/>
  <c r="V208" i="40"/>
  <c r="U208" i="40"/>
  <c r="T208" i="40"/>
  <c r="S208" i="40"/>
  <c r="R208" i="40"/>
  <c r="Q208" i="40"/>
  <c r="P208" i="40"/>
  <c r="O208" i="40"/>
  <c r="N208" i="40"/>
  <c r="M208" i="40"/>
  <c r="L208" i="40"/>
  <c r="K208" i="40"/>
  <c r="J208" i="40"/>
  <c r="I208" i="40"/>
  <c r="H208" i="40"/>
  <c r="G208" i="40"/>
  <c r="F208" i="40"/>
  <c r="E208" i="40"/>
  <c r="D208" i="40"/>
  <c r="AG204" i="40"/>
  <c r="AE204" i="40"/>
  <c r="AD204" i="40"/>
  <c r="AC204" i="40"/>
  <c r="AB204" i="40"/>
  <c r="AA204" i="40"/>
  <c r="Z204" i="40"/>
  <c r="Y204" i="40"/>
  <c r="X204" i="40"/>
  <c r="W204" i="40"/>
  <c r="V204" i="40"/>
  <c r="U204" i="40"/>
  <c r="T204" i="40"/>
  <c r="S204" i="40"/>
  <c r="R204" i="40"/>
  <c r="Q204" i="40"/>
  <c r="P204" i="40"/>
  <c r="O204" i="40"/>
  <c r="N204" i="40"/>
  <c r="M204" i="40"/>
  <c r="L204" i="40"/>
  <c r="K204" i="40"/>
  <c r="J204" i="40"/>
  <c r="I204" i="40"/>
  <c r="H204" i="40"/>
  <c r="G204" i="40"/>
  <c r="AG202" i="40"/>
  <c r="AE202" i="40"/>
  <c r="AD202" i="40"/>
  <c r="AC202" i="40"/>
  <c r="AB202" i="40"/>
  <c r="AA202" i="40"/>
  <c r="Z202" i="40"/>
  <c r="Y202" i="40"/>
  <c r="X202" i="40"/>
  <c r="W202" i="40"/>
  <c r="V202" i="40"/>
  <c r="U202" i="40"/>
  <c r="T202" i="40"/>
  <c r="S202" i="40"/>
  <c r="R202" i="40"/>
  <c r="Q202" i="40"/>
  <c r="P202" i="40"/>
  <c r="O202" i="40"/>
  <c r="N202" i="40"/>
  <c r="AH202" i="40" s="1"/>
  <c r="M202" i="40"/>
  <c r="L202" i="40"/>
  <c r="K202" i="40"/>
  <c r="J202" i="40"/>
  <c r="I202" i="40"/>
  <c r="H202" i="40"/>
  <c r="G202" i="40"/>
  <c r="F202" i="40"/>
  <c r="E202" i="40"/>
  <c r="D202" i="40"/>
  <c r="AE201" i="40"/>
  <c r="AD201" i="40"/>
  <c r="AC201" i="40"/>
  <c r="AB201" i="40"/>
  <c r="AA201" i="40"/>
  <c r="Z201" i="40"/>
  <c r="Y201" i="40"/>
  <c r="X201" i="40"/>
  <c r="W201" i="40"/>
  <c r="V201" i="40"/>
  <c r="U201" i="40"/>
  <c r="T201" i="40"/>
  <c r="S201" i="40"/>
  <c r="R201" i="40"/>
  <c r="Q201" i="40"/>
  <c r="P201" i="40"/>
  <c r="O201" i="40"/>
  <c r="N201" i="40"/>
  <c r="M201" i="40"/>
  <c r="L201" i="40"/>
  <c r="K201" i="40"/>
  <c r="J201" i="40"/>
  <c r="I201" i="40"/>
  <c r="H201" i="40"/>
  <c r="G201" i="40"/>
  <c r="F201" i="40"/>
  <c r="E201" i="40"/>
  <c r="D201" i="40"/>
  <c r="AG200" i="40"/>
  <c r="AE200" i="40"/>
  <c r="AD200" i="40"/>
  <c r="AC200" i="40"/>
  <c r="AB200" i="40"/>
  <c r="AA200" i="40"/>
  <c r="Z200" i="40"/>
  <c r="Y200" i="40"/>
  <c r="X200" i="40"/>
  <c r="W200" i="40"/>
  <c r="V200" i="40"/>
  <c r="U200" i="40"/>
  <c r="T200" i="40"/>
  <c r="S200" i="40"/>
  <c r="R200" i="40"/>
  <c r="Q200" i="40"/>
  <c r="P200" i="40"/>
  <c r="O200" i="40"/>
  <c r="N200" i="40"/>
  <c r="M200" i="40"/>
  <c r="L200" i="40"/>
  <c r="K200" i="40"/>
  <c r="J200" i="40"/>
  <c r="I200" i="40"/>
  <c r="H200" i="40"/>
  <c r="G200" i="40"/>
  <c r="F200" i="40"/>
  <c r="E200" i="40"/>
  <c r="D200" i="40"/>
  <c r="AE199" i="40"/>
  <c r="AD199" i="40"/>
  <c r="AC199" i="40"/>
  <c r="AB199" i="40"/>
  <c r="AA199" i="40"/>
  <c r="Z199" i="40"/>
  <c r="Y199" i="40"/>
  <c r="X199" i="40"/>
  <c r="W199" i="40"/>
  <c r="V199" i="40"/>
  <c r="U199" i="40"/>
  <c r="T199" i="40"/>
  <c r="S199" i="40"/>
  <c r="R199" i="40"/>
  <c r="Q199" i="40"/>
  <c r="P199" i="40"/>
  <c r="O199" i="40"/>
  <c r="N199" i="40"/>
  <c r="M199" i="40"/>
  <c r="L199" i="40"/>
  <c r="K199" i="40"/>
  <c r="J199" i="40"/>
  <c r="I199" i="40"/>
  <c r="H199" i="40"/>
  <c r="G199" i="40"/>
  <c r="F199" i="40"/>
  <c r="E199" i="40"/>
  <c r="D199" i="40"/>
  <c r="AG198" i="40"/>
  <c r="AE198" i="40"/>
  <c r="AD198" i="40"/>
  <c r="AC198" i="40"/>
  <c r="AB198" i="40"/>
  <c r="AA198" i="40"/>
  <c r="Z198" i="40"/>
  <c r="Y198" i="40"/>
  <c r="X198" i="40"/>
  <c r="W198" i="40"/>
  <c r="V198" i="40"/>
  <c r="U198" i="40"/>
  <c r="T198" i="40"/>
  <c r="S198" i="40"/>
  <c r="R198" i="40"/>
  <c r="Q198" i="40"/>
  <c r="P198" i="40"/>
  <c r="O198" i="40"/>
  <c r="N198" i="40"/>
  <c r="AH198" i="40" s="1"/>
  <c r="M198" i="40"/>
  <c r="L198" i="40"/>
  <c r="K198" i="40"/>
  <c r="J198" i="40"/>
  <c r="I198" i="40"/>
  <c r="H198" i="40"/>
  <c r="G198" i="40"/>
  <c r="F198" i="40"/>
  <c r="E198" i="40"/>
  <c r="D198" i="40"/>
  <c r="AE197" i="40"/>
  <c r="AD197" i="40"/>
  <c r="AC197" i="40"/>
  <c r="AB197" i="40"/>
  <c r="AA197" i="40"/>
  <c r="Z197" i="40"/>
  <c r="Y197" i="40"/>
  <c r="X197" i="40"/>
  <c r="W197" i="40"/>
  <c r="V197" i="40"/>
  <c r="U197" i="40"/>
  <c r="T197" i="40"/>
  <c r="S197" i="40"/>
  <c r="R197" i="40"/>
  <c r="Q197" i="40"/>
  <c r="P197" i="40"/>
  <c r="O197" i="40"/>
  <c r="N197" i="40"/>
  <c r="M197" i="40"/>
  <c r="L197" i="40"/>
  <c r="K197" i="40"/>
  <c r="J197" i="40"/>
  <c r="I197" i="40"/>
  <c r="H197" i="40"/>
  <c r="G197" i="40"/>
  <c r="F197" i="40"/>
  <c r="E197" i="40"/>
  <c r="D197" i="40"/>
  <c r="AG195" i="40"/>
  <c r="AH195" i="40" s="1"/>
  <c r="AE195" i="40"/>
  <c r="AD195" i="40"/>
  <c r="AC195" i="40"/>
  <c r="AB195" i="40"/>
  <c r="AA195" i="40"/>
  <c r="Z195" i="40"/>
  <c r="Y195" i="40"/>
  <c r="X195" i="40"/>
  <c r="W195" i="40"/>
  <c r="V195" i="40"/>
  <c r="U195" i="40"/>
  <c r="T195" i="40"/>
  <c r="S195" i="40"/>
  <c r="R195" i="40"/>
  <c r="Q195" i="40"/>
  <c r="P195" i="40"/>
  <c r="O195" i="40"/>
  <c r="N195" i="40"/>
  <c r="M195" i="40"/>
  <c r="L195" i="40"/>
  <c r="K195" i="40"/>
  <c r="J195" i="40"/>
  <c r="I195" i="40"/>
  <c r="H195" i="40"/>
  <c r="G195" i="40"/>
  <c r="F195" i="40"/>
  <c r="E195" i="40"/>
  <c r="D195" i="40"/>
  <c r="AE193" i="40"/>
  <c r="AD193" i="40"/>
  <c r="AC193" i="40"/>
  <c r="AB193" i="40"/>
  <c r="AA193" i="40"/>
  <c r="Z193" i="40"/>
  <c r="Y193" i="40"/>
  <c r="X193" i="40"/>
  <c r="W193" i="40"/>
  <c r="V193" i="40"/>
  <c r="U193" i="40"/>
  <c r="T193" i="40"/>
  <c r="S193" i="40"/>
  <c r="R193" i="40"/>
  <c r="Q193" i="40"/>
  <c r="P193" i="40"/>
  <c r="O193" i="40"/>
  <c r="N193" i="40"/>
  <c r="M193" i="40"/>
  <c r="L193" i="40"/>
  <c r="K193" i="40"/>
  <c r="J193" i="40"/>
  <c r="I193" i="40"/>
  <c r="H193" i="40"/>
  <c r="G193" i="40"/>
  <c r="F193" i="40"/>
  <c r="E193" i="40"/>
  <c r="D193" i="40"/>
  <c r="AG192" i="40"/>
  <c r="AE192" i="40"/>
  <c r="AD192" i="40"/>
  <c r="AC192" i="40"/>
  <c r="AB192" i="40"/>
  <c r="AA192" i="40"/>
  <c r="Z192" i="40"/>
  <c r="Y192" i="40"/>
  <c r="X192" i="40"/>
  <c r="W192" i="40"/>
  <c r="V192" i="40"/>
  <c r="U192" i="40"/>
  <c r="T192" i="40"/>
  <c r="S192" i="40"/>
  <c r="R192" i="40"/>
  <c r="Q192" i="40"/>
  <c r="P192" i="40"/>
  <c r="O192" i="40"/>
  <c r="N192" i="40"/>
  <c r="M192" i="40"/>
  <c r="L192" i="40"/>
  <c r="K192" i="40"/>
  <c r="J192" i="40"/>
  <c r="I192" i="40"/>
  <c r="H192" i="40"/>
  <c r="G192" i="40"/>
  <c r="F192" i="40"/>
  <c r="E192" i="40"/>
  <c r="D192" i="40"/>
  <c r="AE190" i="40"/>
  <c r="AD190" i="40"/>
  <c r="AC190" i="40"/>
  <c r="AB190" i="40"/>
  <c r="AA190" i="40"/>
  <c r="Z190" i="40"/>
  <c r="Y190" i="40"/>
  <c r="X190" i="40"/>
  <c r="W190" i="40"/>
  <c r="V190" i="40"/>
  <c r="U190" i="40"/>
  <c r="T190" i="40"/>
  <c r="S190" i="40"/>
  <c r="R190" i="40"/>
  <c r="Q190" i="40"/>
  <c r="P190" i="40"/>
  <c r="O190" i="40"/>
  <c r="N190" i="40"/>
  <c r="M190" i="40"/>
  <c r="L190" i="40"/>
  <c r="K190" i="40"/>
  <c r="J190" i="40"/>
  <c r="I190" i="40"/>
  <c r="H190" i="40"/>
  <c r="G190" i="40"/>
  <c r="F190" i="40"/>
  <c r="E190" i="40"/>
  <c r="D190" i="40"/>
  <c r="AG189" i="40"/>
  <c r="AH189" i="40" s="1"/>
  <c r="AE189" i="40"/>
  <c r="AD189" i="40"/>
  <c r="AC189" i="40"/>
  <c r="AB189" i="40"/>
  <c r="AA189" i="40"/>
  <c r="Z189" i="40"/>
  <c r="Y189" i="40"/>
  <c r="X189" i="40"/>
  <c r="W189" i="40"/>
  <c r="V189" i="40"/>
  <c r="U189" i="40"/>
  <c r="T189" i="40"/>
  <c r="S189" i="40"/>
  <c r="R189" i="40"/>
  <c r="Q189" i="40"/>
  <c r="P189" i="40"/>
  <c r="O189" i="40"/>
  <c r="N189" i="40"/>
  <c r="M189" i="40"/>
  <c r="L189" i="40"/>
  <c r="K189" i="40"/>
  <c r="J189" i="40"/>
  <c r="I189" i="40"/>
  <c r="H189" i="40"/>
  <c r="G189" i="40"/>
  <c r="F189" i="40"/>
  <c r="E189" i="40"/>
  <c r="D189" i="40"/>
  <c r="AE188" i="40"/>
  <c r="AD188" i="40"/>
  <c r="AC188" i="40"/>
  <c r="AB188" i="40"/>
  <c r="AA188" i="40"/>
  <c r="Z188" i="40"/>
  <c r="Y188" i="40"/>
  <c r="X188" i="40"/>
  <c r="W188" i="40"/>
  <c r="V188" i="40"/>
  <c r="U188" i="40"/>
  <c r="T188" i="40"/>
  <c r="S188" i="40"/>
  <c r="R188" i="40"/>
  <c r="Q188" i="40"/>
  <c r="P188" i="40"/>
  <c r="O188" i="40"/>
  <c r="N188" i="40"/>
  <c r="M188" i="40"/>
  <c r="L188" i="40"/>
  <c r="K188" i="40"/>
  <c r="J188" i="40"/>
  <c r="I188" i="40"/>
  <c r="H188" i="40"/>
  <c r="G188" i="40"/>
  <c r="F188" i="40"/>
  <c r="E188" i="40"/>
  <c r="D188" i="40"/>
  <c r="AG187" i="40"/>
  <c r="AE187" i="40"/>
  <c r="AD187" i="40"/>
  <c r="AC187" i="40"/>
  <c r="AB187" i="40"/>
  <c r="AA187" i="40"/>
  <c r="Z187" i="40"/>
  <c r="Y187" i="40"/>
  <c r="X187" i="40"/>
  <c r="W187" i="40"/>
  <c r="V187" i="40"/>
  <c r="U187" i="40"/>
  <c r="T187" i="40"/>
  <c r="S187" i="40"/>
  <c r="R187" i="40"/>
  <c r="Q187" i="40"/>
  <c r="P187" i="40"/>
  <c r="O187" i="40"/>
  <c r="N187" i="40"/>
  <c r="M187" i="40"/>
  <c r="L187" i="40"/>
  <c r="K187" i="40"/>
  <c r="J187" i="40"/>
  <c r="I187" i="40"/>
  <c r="H187" i="40"/>
  <c r="G187" i="40"/>
  <c r="F187" i="40"/>
  <c r="E187" i="40"/>
  <c r="D187" i="40"/>
  <c r="AE186" i="40"/>
  <c r="AD186" i="40"/>
  <c r="AC186" i="40"/>
  <c r="AB186" i="40"/>
  <c r="AA186" i="40"/>
  <c r="Z186" i="40"/>
  <c r="Y186" i="40"/>
  <c r="X186" i="40"/>
  <c r="W186" i="40"/>
  <c r="V186" i="40"/>
  <c r="U186" i="40"/>
  <c r="T186" i="40"/>
  <c r="S186" i="40"/>
  <c r="R186" i="40"/>
  <c r="Q186" i="40"/>
  <c r="P186" i="40"/>
  <c r="O186" i="40"/>
  <c r="N186" i="40"/>
  <c r="M186" i="40"/>
  <c r="L186" i="40"/>
  <c r="K186" i="40"/>
  <c r="J186" i="40"/>
  <c r="I186" i="40"/>
  <c r="H186" i="40"/>
  <c r="G186" i="40"/>
  <c r="F186" i="40"/>
  <c r="E186" i="40"/>
  <c r="D186" i="40"/>
  <c r="AG185" i="40"/>
  <c r="AH185" i="40" s="1"/>
  <c r="AE185" i="40"/>
  <c r="AD185" i="40"/>
  <c r="AC185" i="40"/>
  <c r="AB185" i="40"/>
  <c r="AA185" i="40"/>
  <c r="Z185" i="40"/>
  <c r="Y185" i="40"/>
  <c r="X185" i="40"/>
  <c r="W185" i="40"/>
  <c r="V185" i="40"/>
  <c r="U185" i="40"/>
  <c r="T185" i="40"/>
  <c r="S185" i="40"/>
  <c r="R185" i="40"/>
  <c r="Q185" i="40"/>
  <c r="P185" i="40"/>
  <c r="O185" i="40"/>
  <c r="N185" i="40"/>
  <c r="M185" i="40"/>
  <c r="L185" i="40"/>
  <c r="K185" i="40"/>
  <c r="J185" i="40"/>
  <c r="I185" i="40"/>
  <c r="H185" i="40"/>
  <c r="G185" i="40"/>
  <c r="F185" i="40"/>
  <c r="E185" i="40"/>
  <c r="D185" i="40"/>
  <c r="AE184" i="40"/>
  <c r="AD184" i="40"/>
  <c r="AC184" i="40"/>
  <c r="AB184" i="40"/>
  <c r="AA184" i="40"/>
  <c r="Z184" i="40"/>
  <c r="Y184" i="40"/>
  <c r="X184" i="40"/>
  <c r="W184" i="40"/>
  <c r="V184" i="40"/>
  <c r="U184" i="40"/>
  <c r="T184" i="40"/>
  <c r="S184" i="40"/>
  <c r="R184" i="40"/>
  <c r="Q184" i="40"/>
  <c r="P184" i="40"/>
  <c r="O184" i="40"/>
  <c r="N184" i="40"/>
  <c r="M184" i="40"/>
  <c r="L184" i="40"/>
  <c r="K184" i="40"/>
  <c r="J184" i="40"/>
  <c r="I184" i="40"/>
  <c r="H184" i="40"/>
  <c r="G184" i="40"/>
  <c r="F184" i="40"/>
  <c r="E184" i="40"/>
  <c r="D184" i="40"/>
  <c r="AG183" i="40"/>
  <c r="AH183" i="40" s="1"/>
  <c r="AE183" i="40"/>
  <c r="AD183" i="40"/>
  <c r="AC183" i="40"/>
  <c r="AB183" i="40"/>
  <c r="AA183" i="40"/>
  <c r="Z183" i="40"/>
  <c r="Y183" i="40"/>
  <c r="X183" i="40"/>
  <c r="W183" i="40"/>
  <c r="V183" i="40"/>
  <c r="U183" i="40"/>
  <c r="T183" i="40"/>
  <c r="S183" i="40"/>
  <c r="R183" i="40"/>
  <c r="Q183" i="40"/>
  <c r="P183" i="40"/>
  <c r="O183" i="40"/>
  <c r="N183" i="40"/>
  <c r="M183" i="40"/>
  <c r="L183" i="40"/>
  <c r="K183" i="40"/>
  <c r="J183" i="40"/>
  <c r="I183" i="40"/>
  <c r="H183" i="40"/>
  <c r="G183" i="40"/>
  <c r="F183" i="40"/>
  <c r="E183" i="40"/>
  <c r="D183" i="40"/>
  <c r="AE182" i="40"/>
  <c r="AD182" i="40"/>
  <c r="AC182" i="40"/>
  <c r="AB182" i="40"/>
  <c r="AA182" i="40"/>
  <c r="Z182" i="40"/>
  <c r="Y182" i="40"/>
  <c r="X182" i="40"/>
  <c r="W182" i="40"/>
  <c r="V182" i="40"/>
  <c r="U182" i="40"/>
  <c r="T182" i="40"/>
  <c r="S182" i="40"/>
  <c r="R182" i="40"/>
  <c r="Q182" i="40"/>
  <c r="P182" i="40"/>
  <c r="O182" i="40"/>
  <c r="N182" i="40"/>
  <c r="M182" i="40"/>
  <c r="L182" i="40"/>
  <c r="K182" i="40"/>
  <c r="J182" i="40"/>
  <c r="I182" i="40"/>
  <c r="H182" i="40"/>
  <c r="G182" i="40"/>
  <c r="F182" i="40"/>
  <c r="E182" i="40"/>
  <c r="D182" i="40"/>
  <c r="AG181" i="40"/>
  <c r="AH181" i="40" s="1"/>
  <c r="AE181" i="40"/>
  <c r="AD181" i="40"/>
  <c r="AC181" i="40"/>
  <c r="AB181" i="40"/>
  <c r="AA181" i="40"/>
  <c r="Z181" i="40"/>
  <c r="Y181" i="40"/>
  <c r="X181" i="40"/>
  <c r="W181" i="40"/>
  <c r="V181" i="40"/>
  <c r="U181" i="40"/>
  <c r="T181" i="40"/>
  <c r="S181" i="40"/>
  <c r="R181" i="40"/>
  <c r="Q181" i="40"/>
  <c r="P181" i="40"/>
  <c r="O181" i="40"/>
  <c r="N181" i="40"/>
  <c r="M181" i="40"/>
  <c r="L181" i="40"/>
  <c r="K181" i="40"/>
  <c r="J181" i="40"/>
  <c r="I181" i="40"/>
  <c r="H181" i="40"/>
  <c r="G181" i="40"/>
  <c r="F181" i="40"/>
  <c r="E181" i="40"/>
  <c r="D181" i="40"/>
  <c r="AE180" i="40"/>
  <c r="AD180" i="40"/>
  <c r="AC180" i="40"/>
  <c r="AB180" i="40"/>
  <c r="AA180" i="40"/>
  <c r="Z180" i="40"/>
  <c r="Y180" i="40"/>
  <c r="X180" i="40"/>
  <c r="W180" i="40"/>
  <c r="V180" i="40"/>
  <c r="U180" i="40"/>
  <c r="T180" i="40"/>
  <c r="S180" i="40"/>
  <c r="R180" i="40"/>
  <c r="Q180" i="40"/>
  <c r="P180" i="40"/>
  <c r="O180" i="40"/>
  <c r="N180" i="40"/>
  <c r="M180" i="40"/>
  <c r="L180" i="40"/>
  <c r="K180" i="40"/>
  <c r="J180" i="40"/>
  <c r="I180" i="40"/>
  <c r="H180" i="40"/>
  <c r="G180" i="40"/>
  <c r="F180" i="40"/>
  <c r="E180" i="40"/>
  <c r="D180" i="40"/>
  <c r="AG179" i="40"/>
  <c r="AE179" i="40"/>
  <c r="AD179" i="40"/>
  <c r="AC179" i="40"/>
  <c r="AB179" i="40"/>
  <c r="AA179" i="40"/>
  <c r="Z179" i="40"/>
  <c r="Y179" i="40"/>
  <c r="X179" i="40"/>
  <c r="W179" i="40"/>
  <c r="V179" i="40"/>
  <c r="U179" i="40"/>
  <c r="T179" i="40"/>
  <c r="S179" i="40"/>
  <c r="R179" i="40"/>
  <c r="Q179" i="40"/>
  <c r="P179" i="40"/>
  <c r="O179" i="40"/>
  <c r="N179" i="40"/>
  <c r="M179" i="40"/>
  <c r="L179" i="40"/>
  <c r="K179" i="40"/>
  <c r="J179" i="40"/>
  <c r="I179" i="40"/>
  <c r="H179" i="40"/>
  <c r="G179" i="40"/>
  <c r="F179" i="40"/>
  <c r="E179" i="40"/>
  <c r="D179" i="40"/>
  <c r="AE178" i="40"/>
  <c r="AD178" i="40"/>
  <c r="AC178" i="40"/>
  <c r="AB178" i="40"/>
  <c r="AA178" i="40"/>
  <c r="Z178" i="40"/>
  <c r="Y178" i="40"/>
  <c r="X178" i="40"/>
  <c r="W178" i="40"/>
  <c r="V178" i="40"/>
  <c r="U178" i="40"/>
  <c r="T178" i="40"/>
  <c r="S178" i="40"/>
  <c r="R178" i="40"/>
  <c r="Q178" i="40"/>
  <c r="P178" i="40"/>
  <c r="O178" i="40"/>
  <c r="N178" i="40"/>
  <c r="M178" i="40"/>
  <c r="L178" i="40"/>
  <c r="K178" i="40"/>
  <c r="J178" i="40"/>
  <c r="I178" i="40"/>
  <c r="H178" i="40"/>
  <c r="G178" i="40"/>
  <c r="F178" i="40"/>
  <c r="E178" i="40"/>
  <c r="D178" i="40"/>
  <c r="AG177" i="40"/>
  <c r="AH177" i="40" s="1"/>
  <c r="AE177" i="40"/>
  <c r="AD177" i="40"/>
  <c r="AC177" i="40"/>
  <c r="AB177" i="40"/>
  <c r="AA177" i="40"/>
  <c r="Z177" i="40"/>
  <c r="Y177" i="40"/>
  <c r="X177" i="40"/>
  <c r="W177" i="40"/>
  <c r="V177" i="40"/>
  <c r="U177" i="40"/>
  <c r="T177" i="40"/>
  <c r="S177" i="40"/>
  <c r="R177" i="40"/>
  <c r="Q177" i="40"/>
  <c r="P177" i="40"/>
  <c r="O177" i="40"/>
  <c r="N177" i="40"/>
  <c r="M177" i="40"/>
  <c r="L177" i="40"/>
  <c r="K177" i="40"/>
  <c r="J177" i="40"/>
  <c r="I177" i="40"/>
  <c r="H177" i="40"/>
  <c r="G177" i="40"/>
  <c r="F177" i="40"/>
  <c r="E177" i="40"/>
  <c r="D177" i="40"/>
  <c r="AE176" i="40"/>
  <c r="AD176" i="40"/>
  <c r="AC176" i="40"/>
  <c r="AB176" i="40"/>
  <c r="AA176" i="40"/>
  <c r="Z176" i="40"/>
  <c r="Y176" i="40"/>
  <c r="X176" i="40"/>
  <c r="W176" i="40"/>
  <c r="V176" i="40"/>
  <c r="U176" i="40"/>
  <c r="T176" i="40"/>
  <c r="S176" i="40"/>
  <c r="R176" i="40"/>
  <c r="Q176" i="40"/>
  <c r="P176" i="40"/>
  <c r="O176" i="40"/>
  <c r="N176" i="40"/>
  <c r="M176" i="40"/>
  <c r="L176" i="40"/>
  <c r="K176" i="40"/>
  <c r="J176" i="40"/>
  <c r="I176" i="40"/>
  <c r="H176" i="40"/>
  <c r="G176" i="40"/>
  <c r="F176" i="40"/>
  <c r="E176" i="40"/>
  <c r="D176" i="40"/>
  <c r="AG175" i="40"/>
  <c r="AH175" i="40" s="1"/>
  <c r="AE175" i="40"/>
  <c r="AD175" i="40"/>
  <c r="AC175" i="40"/>
  <c r="AB175" i="40"/>
  <c r="AA175" i="40"/>
  <c r="Z175" i="40"/>
  <c r="Y175" i="40"/>
  <c r="X175" i="40"/>
  <c r="W175" i="40"/>
  <c r="V175" i="40"/>
  <c r="U175" i="40"/>
  <c r="T175" i="40"/>
  <c r="S175" i="40"/>
  <c r="R175" i="40"/>
  <c r="Q175" i="40"/>
  <c r="P175" i="40"/>
  <c r="O175" i="40"/>
  <c r="N175" i="40"/>
  <c r="M175" i="40"/>
  <c r="L175" i="40"/>
  <c r="K175" i="40"/>
  <c r="J175" i="40"/>
  <c r="I175" i="40"/>
  <c r="H175" i="40"/>
  <c r="G175" i="40"/>
  <c r="F175" i="40"/>
  <c r="E175" i="40"/>
  <c r="D175" i="40"/>
  <c r="AE174" i="40"/>
  <c r="AD174" i="40"/>
  <c r="AC174" i="40"/>
  <c r="AB174" i="40"/>
  <c r="AA174" i="40"/>
  <c r="Z174" i="40"/>
  <c r="Y174" i="40"/>
  <c r="X174" i="40"/>
  <c r="W174" i="40"/>
  <c r="V174" i="40"/>
  <c r="U174" i="40"/>
  <c r="T174" i="40"/>
  <c r="S174" i="40"/>
  <c r="R174" i="40"/>
  <c r="Q174" i="40"/>
  <c r="P174" i="40"/>
  <c r="O174" i="40"/>
  <c r="N174" i="40"/>
  <c r="M174" i="40"/>
  <c r="L174" i="40"/>
  <c r="K174" i="40"/>
  <c r="J174" i="40"/>
  <c r="I174" i="40"/>
  <c r="H174" i="40"/>
  <c r="G174" i="40"/>
  <c r="F174" i="40"/>
  <c r="E174" i="40"/>
  <c r="D174" i="40"/>
  <c r="AG173" i="40"/>
  <c r="AH173" i="40" s="1"/>
  <c r="AE173" i="40"/>
  <c r="AD173" i="40"/>
  <c r="AC173" i="40"/>
  <c r="AB173" i="40"/>
  <c r="AA173" i="40"/>
  <c r="Z173" i="40"/>
  <c r="Y173" i="40"/>
  <c r="X173" i="40"/>
  <c r="W173" i="40"/>
  <c r="V173" i="40"/>
  <c r="U173" i="40"/>
  <c r="T173" i="40"/>
  <c r="S173" i="40"/>
  <c r="R173" i="40"/>
  <c r="Q173" i="40"/>
  <c r="P173" i="40"/>
  <c r="O173" i="40"/>
  <c r="N173" i="40"/>
  <c r="M173" i="40"/>
  <c r="L173" i="40"/>
  <c r="K173" i="40"/>
  <c r="J173" i="40"/>
  <c r="I173" i="40"/>
  <c r="H173" i="40"/>
  <c r="G173" i="40"/>
  <c r="F173" i="40"/>
  <c r="E173" i="40"/>
  <c r="D173" i="40"/>
  <c r="AE172" i="40"/>
  <c r="AD172" i="40"/>
  <c r="AC172" i="40"/>
  <c r="AB172" i="40"/>
  <c r="AA172" i="40"/>
  <c r="Z172" i="40"/>
  <c r="Y172" i="40"/>
  <c r="X172" i="40"/>
  <c r="W172" i="40"/>
  <c r="V172" i="40"/>
  <c r="U172" i="40"/>
  <c r="T172" i="40"/>
  <c r="S172" i="40"/>
  <c r="R172" i="40"/>
  <c r="Q172" i="40"/>
  <c r="P172" i="40"/>
  <c r="O172" i="40"/>
  <c r="N172" i="40"/>
  <c r="M172" i="40"/>
  <c r="L172" i="40"/>
  <c r="K172" i="40"/>
  <c r="J172" i="40"/>
  <c r="I172" i="40"/>
  <c r="H172" i="40"/>
  <c r="G172" i="40"/>
  <c r="F172" i="40"/>
  <c r="E172" i="40"/>
  <c r="D172" i="40"/>
  <c r="AG171" i="40"/>
  <c r="AE171" i="40"/>
  <c r="AD171" i="40"/>
  <c r="AC171" i="40"/>
  <c r="AB171" i="40"/>
  <c r="AA171" i="40"/>
  <c r="Z171" i="40"/>
  <c r="Y171" i="40"/>
  <c r="X171" i="40"/>
  <c r="W171" i="40"/>
  <c r="V171" i="40"/>
  <c r="U171" i="40"/>
  <c r="T171" i="40"/>
  <c r="S171" i="40"/>
  <c r="R171" i="40"/>
  <c r="Q171" i="40"/>
  <c r="P171" i="40"/>
  <c r="O171" i="40"/>
  <c r="N171" i="40"/>
  <c r="M171" i="40"/>
  <c r="L171" i="40"/>
  <c r="K171" i="40"/>
  <c r="J171" i="40"/>
  <c r="I171" i="40"/>
  <c r="H171" i="40"/>
  <c r="G171" i="40"/>
  <c r="F171" i="40"/>
  <c r="E171" i="40"/>
  <c r="D171" i="40"/>
  <c r="AE170" i="40"/>
  <c r="AD170" i="40"/>
  <c r="AC170" i="40"/>
  <c r="AB170" i="40"/>
  <c r="AA170" i="40"/>
  <c r="Z170" i="40"/>
  <c r="Y170" i="40"/>
  <c r="X170" i="40"/>
  <c r="W170" i="40"/>
  <c r="V170" i="40"/>
  <c r="U170" i="40"/>
  <c r="T170" i="40"/>
  <c r="S170" i="40"/>
  <c r="R170" i="40"/>
  <c r="Q170" i="40"/>
  <c r="P170" i="40"/>
  <c r="O170" i="40"/>
  <c r="N170" i="40"/>
  <c r="M170" i="40"/>
  <c r="L170" i="40"/>
  <c r="K170" i="40"/>
  <c r="J170" i="40"/>
  <c r="I170" i="40"/>
  <c r="H170" i="40"/>
  <c r="G170" i="40"/>
  <c r="F170" i="40"/>
  <c r="E170" i="40"/>
  <c r="D170" i="40"/>
  <c r="AG169" i="40"/>
  <c r="AH169" i="40" s="1"/>
  <c r="AE169" i="40"/>
  <c r="AD169" i="40"/>
  <c r="AC169" i="40"/>
  <c r="AB169" i="40"/>
  <c r="AA169" i="40"/>
  <c r="Z169" i="40"/>
  <c r="Y169" i="40"/>
  <c r="X169" i="40"/>
  <c r="W169" i="40"/>
  <c r="V169" i="40"/>
  <c r="U169" i="40"/>
  <c r="T169" i="40"/>
  <c r="S169" i="40"/>
  <c r="R169" i="40"/>
  <c r="Q169" i="40"/>
  <c r="P169" i="40"/>
  <c r="O169" i="40"/>
  <c r="N169" i="40"/>
  <c r="M169" i="40"/>
  <c r="L169" i="40"/>
  <c r="K169" i="40"/>
  <c r="J169" i="40"/>
  <c r="I169" i="40"/>
  <c r="H169" i="40"/>
  <c r="G169" i="40"/>
  <c r="F169" i="40"/>
  <c r="E169" i="40"/>
  <c r="D169" i="40"/>
  <c r="AE168" i="40"/>
  <c r="AD168" i="40"/>
  <c r="AC168" i="40"/>
  <c r="AB168" i="40"/>
  <c r="AA168" i="40"/>
  <c r="Z168" i="40"/>
  <c r="Y168" i="40"/>
  <c r="X168" i="40"/>
  <c r="W168" i="40"/>
  <c r="V168" i="40"/>
  <c r="U168" i="40"/>
  <c r="T168" i="40"/>
  <c r="S168" i="40"/>
  <c r="R168" i="40"/>
  <c r="Q168" i="40"/>
  <c r="P168" i="40"/>
  <c r="O168" i="40"/>
  <c r="N168" i="40"/>
  <c r="M168" i="40"/>
  <c r="L168" i="40"/>
  <c r="K168" i="40"/>
  <c r="J168" i="40"/>
  <c r="I168" i="40"/>
  <c r="H168" i="40"/>
  <c r="G168" i="40"/>
  <c r="F168" i="40"/>
  <c r="E168" i="40"/>
  <c r="D168" i="40"/>
  <c r="AG167" i="40"/>
  <c r="AH167" i="40" s="1"/>
  <c r="AE167" i="40"/>
  <c r="AD167" i="40"/>
  <c r="AC167" i="40"/>
  <c r="AB167" i="40"/>
  <c r="AA167" i="40"/>
  <c r="Z167" i="40"/>
  <c r="Y167" i="40"/>
  <c r="X167" i="40"/>
  <c r="W167" i="40"/>
  <c r="V167" i="40"/>
  <c r="U167" i="40"/>
  <c r="T167" i="40"/>
  <c r="S167" i="40"/>
  <c r="R167" i="40"/>
  <c r="Q167" i="40"/>
  <c r="P167" i="40"/>
  <c r="O167" i="40"/>
  <c r="N167" i="40"/>
  <c r="M167" i="40"/>
  <c r="L167" i="40"/>
  <c r="K167" i="40"/>
  <c r="J167" i="40"/>
  <c r="I167" i="40"/>
  <c r="H167" i="40"/>
  <c r="G167" i="40"/>
  <c r="F167" i="40"/>
  <c r="E167" i="40"/>
  <c r="D167" i="40"/>
  <c r="AE166" i="40"/>
  <c r="AD166" i="40"/>
  <c r="AC166" i="40"/>
  <c r="AB166" i="40"/>
  <c r="AA166" i="40"/>
  <c r="Z166" i="40"/>
  <c r="Y166" i="40"/>
  <c r="X166" i="40"/>
  <c r="W166" i="40"/>
  <c r="V166" i="40"/>
  <c r="U166" i="40"/>
  <c r="T166" i="40"/>
  <c r="S166" i="40"/>
  <c r="R166" i="40"/>
  <c r="Q166" i="40"/>
  <c r="P166" i="40"/>
  <c r="O166" i="40"/>
  <c r="N166" i="40"/>
  <c r="M166" i="40"/>
  <c r="L166" i="40"/>
  <c r="K166" i="40"/>
  <c r="J166" i="40"/>
  <c r="I166" i="40"/>
  <c r="H166" i="40"/>
  <c r="G166" i="40"/>
  <c r="F166" i="40"/>
  <c r="E166" i="40"/>
  <c r="D166" i="40"/>
  <c r="AG165" i="40"/>
  <c r="AH165" i="40" s="1"/>
  <c r="AE165" i="40"/>
  <c r="AD165" i="40"/>
  <c r="AC165" i="40"/>
  <c r="AB165" i="40"/>
  <c r="AA165" i="40"/>
  <c r="Z165" i="40"/>
  <c r="Y165" i="40"/>
  <c r="X165" i="40"/>
  <c r="W165" i="40"/>
  <c r="V165" i="40"/>
  <c r="U165" i="40"/>
  <c r="T165" i="40"/>
  <c r="S165" i="40"/>
  <c r="R165" i="40"/>
  <c r="Q165" i="40"/>
  <c r="P165" i="40"/>
  <c r="O165" i="40"/>
  <c r="N165" i="40"/>
  <c r="M165" i="40"/>
  <c r="L165" i="40"/>
  <c r="K165" i="40"/>
  <c r="J165" i="40"/>
  <c r="I165" i="40"/>
  <c r="H165" i="40"/>
  <c r="G165" i="40"/>
  <c r="F165" i="40"/>
  <c r="E165" i="40"/>
  <c r="D165" i="40"/>
  <c r="AE164" i="40"/>
  <c r="AD164" i="40"/>
  <c r="AC164" i="40"/>
  <c r="AB164" i="40"/>
  <c r="AA164" i="40"/>
  <c r="Z164" i="40"/>
  <c r="Y164" i="40"/>
  <c r="X164" i="40"/>
  <c r="W164" i="40"/>
  <c r="V164" i="40"/>
  <c r="U164" i="40"/>
  <c r="T164" i="40"/>
  <c r="S164" i="40"/>
  <c r="R164" i="40"/>
  <c r="Q164" i="40"/>
  <c r="P164" i="40"/>
  <c r="O164" i="40"/>
  <c r="N164" i="40"/>
  <c r="M164" i="40"/>
  <c r="L164" i="40"/>
  <c r="K164" i="40"/>
  <c r="J164" i="40"/>
  <c r="I164" i="40"/>
  <c r="H164" i="40"/>
  <c r="G164" i="40"/>
  <c r="F164" i="40"/>
  <c r="E164" i="40"/>
  <c r="D164" i="40"/>
  <c r="AG163" i="40"/>
  <c r="AE163" i="40"/>
  <c r="AD163" i="40"/>
  <c r="AC163" i="40"/>
  <c r="AB163" i="40"/>
  <c r="AA163" i="40"/>
  <c r="Z163" i="40"/>
  <c r="Y163" i="40"/>
  <c r="X163" i="40"/>
  <c r="W163" i="40"/>
  <c r="V163" i="40"/>
  <c r="U163" i="40"/>
  <c r="T163" i="40"/>
  <c r="S163" i="40"/>
  <c r="R163" i="40"/>
  <c r="Q163" i="40"/>
  <c r="P163" i="40"/>
  <c r="O163" i="40"/>
  <c r="N163" i="40"/>
  <c r="M163" i="40"/>
  <c r="L163" i="40"/>
  <c r="K163" i="40"/>
  <c r="J163" i="40"/>
  <c r="I163" i="40"/>
  <c r="H163" i="40"/>
  <c r="G163" i="40"/>
  <c r="F163" i="40"/>
  <c r="E163" i="40"/>
  <c r="D163" i="40"/>
  <c r="AE162" i="40"/>
  <c r="AD162" i="40"/>
  <c r="AC162" i="40"/>
  <c r="AB162" i="40"/>
  <c r="AA162" i="40"/>
  <c r="Z162" i="40"/>
  <c r="Y162" i="40"/>
  <c r="X162" i="40"/>
  <c r="W162" i="40"/>
  <c r="V162" i="40"/>
  <c r="U162" i="40"/>
  <c r="T162" i="40"/>
  <c r="S162" i="40"/>
  <c r="R162" i="40"/>
  <c r="Q162" i="40"/>
  <c r="P162" i="40"/>
  <c r="O162" i="40"/>
  <c r="N162" i="40"/>
  <c r="M162" i="40"/>
  <c r="L162" i="40"/>
  <c r="K162" i="40"/>
  <c r="J162" i="40"/>
  <c r="I162" i="40"/>
  <c r="H162" i="40"/>
  <c r="G162" i="40"/>
  <c r="F162" i="40"/>
  <c r="E162" i="40"/>
  <c r="D162" i="40"/>
  <c r="AG161" i="40"/>
  <c r="AH161" i="40" s="1"/>
  <c r="AE161" i="40"/>
  <c r="AD161" i="40"/>
  <c r="AC161" i="40"/>
  <c r="AB161" i="40"/>
  <c r="AA161" i="40"/>
  <c r="Z161" i="40"/>
  <c r="Y161" i="40"/>
  <c r="X161" i="40"/>
  <c r="W161" i="40"/>
  <c r="V161" i="40"/>
  <c r="U161" i="40"/>
  <c r="T161" i="40"/>
  <c r="S161" i="40"/>
  <c r="R161" i="40"/>
  <c r="Q161" i="40"/>
  <c r="P161" i="40"/>
  <c r="O161" i="40"/>
  <c r="N161" i="40"/>
  <c r="M161" i="40"/>
  <c r="L161" i="40"/>
  <c r="K161" i="40"/>
  <c r="J161" i="40"/>
  <c r="I161" i="40"/>
  <c r="H161" i="40"/>
  <c r="G161" i="40"/>
  <c r="F161" i="40"/>
  <c r="E161" i="40"/>
  <c r="D161" i="40"/>
  <c r="AE160" i="40"/>
  <c r="AD160" i="40"/>
  <c r="AC160" i="40"/>
  <c r="AB160" i="40"/>
  <c r="AA160" i="40"/>
  <c r="Z160" i="40"/>
  <c r="Y160" i="40"/>
  <c r="X160" i="40"/>
  <c r="W160" i="40"/>
  <c r="V160" i="40"/>
  <c r="U160" i="40"/>
  <c r="T160" i="40"/>
  <c r="S160" i="40"/>
  <c r="R160" i="40"/>
  <c r="Q160" i="40"/>
  <c r="P160" i="40"/>
  <c r="O160" i="40"/>
  <c r="N160" i="40"/>
  <c r="M160" i="40"/>
  <c r="L160" i="40"/>
  <c r="K160" i="40"/>
  <c r="J160" i="40"/>
  <c r="I160" i="40"/>
  <c r="H160" i="40"/>
  <c r="G160" i="40"/>
  <c r="F160" i="40"/>
  <c r="E160" i="40"/>
  <c r="D160" i="40"/>
  <c r="AG159" i="40"/>
  <c r="AH159" i="40" s="1"/>
  <c r="AE159" i="40"/>
  <c r="AD159" i="40"/>
  <c r="AC159" i="40"/>
  <c r="AB159" i="40"/>
  <c r="AA159" i="40"/>
  <c r="Z159" i="40"/>
  <c r="Y159" i="40"/>
  <c r="X159" i="40"/>
  <c r="W159" i="40"/>
  <c r="V159" i="40"/>
  <c r="U159" i="40"/>
  <c r="T159" i="40"/>
  <c r="S159" i="40"/>
  <c r="R159" i="40"/>
  <c r="Q159" i="40"/>
  <c r="P159" i="40"/>
  <c r="O159" i="40"/>
  <c r="N159" i="40"/>
  <c r="M159" i="40"/>
  <c r="L159" i="40"/>
  <c r="K159" i="40"/>
  <c r="J159" i="40"/>
  <c r="I159" i="40"/>
  <c r="H159" i="40"/>
  <c r="G159" i="40"/>
  <c r="F159" i="40"/>
  <c r="E159" i="40"/>
  <c r="D159" i="40"/>
  <c r="AE158" i="40"/>
  <c r="AD158" i="40"/>
  <c r="AC158" i="40"/>
  <c r="AB158" i="40"/>
  <c r="AA158" i="40"/>
  <c r="Z158" i="40"/>
  <c r="Y158" i="40"/>
  <c r="X158" i="40"/>
  <c r="W158" i="40"/>
  <c r="V158" i="40"/>
  <c r="U158" i="40"/>
  <c r="T158" i="40"/>
  <c r="S158" i="40"/>
  <c r="R158" i="40"/>
  <c r="Q158" i="40"/>
  <c r="P158" i="40"/>
  <c r="O158" i="40"/>
  <c r="N158" i="40"/>
  <c r="M158" i="40"/>
  <c r="L158" i="40"/>
  <c r="K158" i="40"/>
  <c r="J158" i="40"/>
  <c r="I158" i="40"/>
  <c r="H158" i="40"/>
  <c r="G158" i="40"/>
  <c r="F158" i="40"/>
  <c r="E158" i="40"/>
  <c r="D158" i="40"/>
  <c r="AG157" i="40"/>
  <c r="AH157" i="40" s="1"/>
  <c r="AE157" i="40"/>
  <c r="AD157" i="40"/>
  <c r="AC157" i="40"/>
  <c r="AB157" i="40"/>
  <c r="AA157" i="40"/>
  <c r="Z157" i="40"/>
  <c r="Y157" i="40"/>
  <c r="X157" i="40"/>
  <c r="W157" i="40"/>
  <c r="V157" i="40"/>
  <c r="U157" i="40"/>
  <c r="T157" i="40"/>
  <c r="S157" i="40"/>
  <c r="R157" i="40"/>
  <c r="Q157" i="40"/>
  <c r="P157" i="40"/>
  <c r="O157" i="40"/>
  <c r="N157" i="40"/>
  <c r="M157" i="40"/>
  <c r="L157" i="40"/>
  <c r="K157" i="40"/>
  <c r="J157" i="40"/>
  <c r="I157" i="40"/>
  <c r="H157" i="40"/>
  <c r="G157" i="40"/>
  <c r="F157" i="40"/>
  <c r="E157" i="40"/>
  <c r="D157" i="40"/>
  <c r="AE156" i="40"/>
  <c r="AD156" i="40"/>
  <c r="AC156" i="40"/>
  <c r="AB156" i="40"/>
  <c r="AA156" i="40"/>
  <c r="Z156" i="40"/>
  <c r="Y156" i="40"/>
  <c r="X156" i="40"/>
  <c r="W156" i="40"/>
  <c r="V156" i="40"/>
  <c r="U156" i="40"/>
  <c r="T156" i="40"/>
  <c r="S156" i="40"/>
  <c r="R156" i="40"/>
  <c r="Q156" i="40"/>
  <c r="P156" i="40"/>
  <c r="O156" i="40"/>
  <c r="N156" i="40"/>
  <c r="M156" i="40"/>
  <c r="L156" i="40"/>
  <c r="K156" i="40"/>
  <c r="J156" i="40"/>
  <c r="I156" i="40"/>
  <c r="H156" i="40"/>
  <c r="G156" i="40"/>
  <c r="F156" i="40"/>
  <c r="E156" i="40"/>
  <c r="D156" i="40"/>
  <c r="AG155" i="40"/>
  <c r="AE155" i="40"/>
  <c r="AD155" i="40"/>
  <c r="AC155" i="40"/>
  <c r="AB155" i="40"/>
  <c r="AA155" i="40"/>
  <c r="Z155" i="40"/>
  <c r="Y155" i="40"/>
  <c r="X155" i="40"/>
  <c r="W155" i="40"/>
  <c r="V155" i="40"/>
  <c r="U155" i="40"/>
  <c r="T155" i="40"/>
  <c r="S155" i="40"/>
  <c r="R155" i="40"/>
  <c r="Q155" i="40"/>
  <c r="P155" i="40"/>
  <c r="O155" i="40"/>
  <c r="N155" i="40"/>
  <c r="M155" i="40"/>
  <c r="L155" i="40"/>
  <c r="K155" i="40"/>
  <c r="J155" i="40"/>
  <c r="I155" i="40"/>
  <c r="H155" i="40"/>
  <c r="G155" i="40"/>
  <c r="F155" i="40"/>
  <c r="E155" i="40"/>
  <c r="D155" i="40"/>
  <c r="AE154" i="40"/>
  <c r="AD154" i="40"/>
  <c r="AC154" i="40"/>
  <c r="AB154" i="40"/>
  <c r="AA154" i="40"/>
  <c r="Z154" i="40"/>
  <c r="Y154" i="40"/>
  <c r="X154" i="40"/>
  <c r="W154" i="40"/>
  <c r="V154" i="40"/>
  <c r="U154" i="40"/>
  <c r="T154" i="40"/>
  <c r="S154" i="40"/>
  <c r="R154" i="40"/>
  <c r="Q154" i="40"/>
  <c r="P154" i="40"/>
  <c r="O154" i="40"/>
  <c r="N154" i="40"/>
  <c r="M154" i="40"/>
  <c r="L154" i="40"/>
  <c r="K154" i="40"/>
  <c r="J154" i="40"/>
  <c r="I154" i="40"/>
  <c r="H154" i="40"/>
  <c r="G154" i="40"/>
  <c r="F154" i="40"/>
  <c r="E154" i="40"/>
  <c r="D154" i="40"/>
  <c r="AG153" i="40"/>
  <c r="AH153" i="40" s="1"/>
  <c r="AE153" i="40"/>
  <c r="AD153" i="40"/>
  <c r="AC153" i="40"/>
  <c r="AB153" i="40"/>
  <c r="AA153" i="40"/>
  <c r="Z153" i="40"/>
  <c r="Y153" i="40"/>
  <c r="X153" i="40"/>
  <c r="W153" i="40"/>
  <c r="V153" i="40"/>
  <c r="U153" i="40"/>
  <c r="T153" i="40"/>
  <c r="S153" i="40"/>
  <c r="R153" i="40"/>
  <c r="Q153" i="40"/>
  <c r="P153" i="40"/>
  <c r="O153" i="40"/>
  <c r="N153" i="40"/>
  <c r="M153" i="40"/>
  <c r="L153" i="40"/>
  <c r="K153" i="40"/>
  <c r="J153" i="40"/>
  <c r="I153" i="40"/>
  <c r="H153" i="40"/>
  <c r="G153" i="40"/>
  <c r="F153" i="40"/>
  <c r="E153" i="40"/>
  <c r="D153" i="40"/>
  <c r="AE151" i="40"/>
  <c r="AD151" i="40"/>
  <c r="AC151" i="40"/>
  <c r="AB151" i="40"/>
  <c r="AA151" i="40"/>
  <c r="Z151" i="40"/>
  <c r="Y151" i="40"/>
  <c r="X151" i="40"/>
  <c r="W151" i="40"/>
  <c r="V151" i="40"/>
  <c r="U151" i="40"/>
  <c r="T151" i="40"/>
  <c r="S151" i="40"/>
  <c r="R151" i="40"/>
  <c r="Q151" i="40"/>
  <c r="P151" i="40"/>
  <c r="O151" i="40"/>
  <c r="N151" i="40"/>
  <c r="M151" i="40"/>
  <c r="L151" i="40"/>
  <c r="K151" i="40"/>
  <c r="J151" i="40"/>
  <c r="I151" i="40"/>
  <c r="H151" i="40"/>
  <c r="G151" i="40"/>
  <c r="F151" i="40"/>
  <c r="E151" i="40"/>
  <c r="D151" i="40"/>
  <c r="AG150" i="40"/>
  <c r="AE150" i="40"/>
  <c r="AD150" i="40"/>
  <c r="AC150" i="40"/>
  <c r="AB150" i="40"/>
  <c r="AA150" i="40"/>
  <c r="Z150" i="40"/>
  <c r="Y150" i="40"/>
  <c r="X150" i="40"/>
  <c r="W150" i="40"/>
  <c r="V150" i="40"/>
  <c r="U150" i="40"/>
  <c r="T150" i="40"/>
  <c r="S150" i="40"/>
  <c r="R150" i="40"/>
  <c r="Q150" i="40"/>
  <c r="P150" i="40"/>
  <c r="O150" i="40"/>
  <c r="N150" i="40"/>
  <c r="AH150" i="40" s="1"/>
  <c r="M150" i="40"/>
  <c r="L150" i="40"/>
  <c r="K150" i="40"/>
  <c r="J150" i="40"/>
  <c r="I150" i="40"/>
  <c r="H150" i="40"/>
  <c r="G150" i="40"/>
  <c r="F150" i="40"/>
  <c r="E150" i="40"/>
  <c r="D150" i="40"/>
  <c r="AE149" i="40"/>
  <c r="AD149" i="40"/>
  <c r="AC149" i="40"/>
  <c r="AB149" i="40"/>
  <c r="AA149" i="40"/>
  <c r="Z149" i="40"/>
  <c r="Y149" i="40"/>
  <c r="X149" i="40"/>
  <c r="W149" i="40"/>
  <c r="V149" i="40"/>
  <c r="U149" i="40"/>
  <c r="T149" i="40"/>
  <c r="S149" i="40"/>
  <c r="R149" i="40"/>
  <c r="Q149" i="40"/>
  <c r="P149" i="40"/>
  <c r="O149" i="40"/>
  <c r="N149" i="40"/>
  <c r="M149" i="40"/>
  <c r="L149" i="40"/>
  <c r="K149" i="40"/>
  <c r="J149" i="40"/>
  <c r="I149" i="40"/>
  <c r="H149" i="40"/>
  <c r="G149" i="40"/>
  <c r="F149" i="40"/>
  <c r="E149" i="40"/>
  <c r="D149" i="40"/>
  <c r="AG146" i="40"/>
  <c r="AH146" i="40" s="1"/>
  <c r="AE146" i="40"/>
  <c r="AD146" i="40"/>
  <c r="AC146" i="40"/>
  <c r="AB146" i="40"/>
  <c r="AA146" i="40"/>
  <c r="Z146" i="40"/>
  <c r="Y146" i="40"/>
  <c r="X146" i="40"/>
  <c r="W146" i="40"/>
  <c r="V146" i="40"/>
  <c r="U146" i="40"/>
  <c r="T146" i="40"/>
  <c r="S146" i="40"/>
  <c r="R146" i="40"/>
  <c r="Q146" i="40"/>
  <c r="P146" i="40"/>
  <c r="O146" i="40"/>
  <c r="N146" i="40"/>
  <c r="M146" i="40"/>
  <c r="L146" i="40"/>
  <c r="K146" i="40"/>
  <c r="J146" i="40"/>
  <c r="I146" i="40"/>
  <c r="H146" i="40"/>
  <c r="G146" i="40"/>
  <c r="F146" i="40"/>
  <c r="E146" i="40"/>
  <c r="D146" i="40"/>
  <c r="AE145" i="40"/>
  <c r="AD145" i="40"/>
  <c r="AC145" i="40"/>
  <c r="AB145" i="40"/>
  <c r="AA145" i="40"/>
  <c r="Z145" i="40"/>
  <c r="Y145" i="40"/>
  <c r="X145" i="40"/>
  <c r="W145" i="40"/>
  <c r="V145" i="40"/>
  <c r="U145" i="40"/>
  <c r="T145" i="40"/>
  <c r="S145" i="40"/>
  <c r="R145" i="40"/>
  <c r="Q145" i="40"/>
  <c r="P145" i="40"/>
  <c r="O145" i="40"/>
  <c r="N145" i="40"/>
  <c r="M145" i="40"/>
  <c r="L145" i="40"/>
  <c r="K145" i="40"/>
  <c r="J145" i="40"/>
  <c r="I145" i="40"/>
  <c r="H145" i="40"/>
  <c r="G145" i="40"/>
  <c r="F145" i="40"/>
  <c r="E145" i="40"/>
  <c r="D145" i="40"/>
  <c r="AG144" i="40"/>
  <c r="AE144" i="40"/>
  <c r="AD144" i="40"/>
  <c r="AC144" i="40"/>
  <c r="AB144" i="40"/>
  <c r="AA144" i="40"/>
  <c r="Z144" i="40"/>
  <c r="Y144" i="40"/>
  <c r="X144" i="40"/>
  <c r="W144" i="40"/>
  <c r="V144" i="40"/>
  <c r="U144" i="40"/>
  <c r="T144" i="40"/>
  <c r="S144" i="40"/>
  <c r="R144" i="40"/>
  <c r="Q144" i="40"/>
  <c r="P144" i="40"/>
  <c r="O144" i="40"/>
  <c r="N144" i="40"/>
  <c r="M144" i="40"/>
  <c r="L144" i="40"/>
  <c r="K144" i="40"/>
  <c r="J144" i="40"/>
  <c r="I144" i="40"/>
  <c r="H144" i="40"/>
  <c r="G144" i="40"/>
  <c r="F144" i="40"/>
  <c r="E144" i="40"/>
  <c r="D144" i="40"/>
  <c r="AG143" i="40"/>
  <c r="AE143" i="40"/>
  <c r="AD143" i="40"/>
  <c r="AC143" i="40"/>
  <c r="AB143" i="40"/>
  <c r="AA143" i="40"/>
  <c r="Z143" i="40"/>
  <c r="Y143" i="40"/>
  <c r="X143" i="40"/>
  <c r="W143" i="40"/>
  <c r="V143" i="40"/>
  <c r="U143" i="40"/>
  <c r="T143" i="40"/>
  <c r="S143" i="40"/>
  <c r="R143" i="40"/>
  <c r="Q143" i="40"/>
  <c r="P143" i="40"/>
  <c r="O143" i="40"/>
  <c r="N143" i="40"/>
  <c r="M143" i="40"/>
  <c r="L143" i="40"/>
  <c r="K143" i="40"/>
  <c r="J143" i="40"/>
  <c r="I143" i="40"/>
  <c r="H143" i="40"/>
  <c r="G143" i="40"/>
  <c r="F143" i="40"/>
  <c r="E143" i="40"/>
  <c r="D143" i="40"/>
  <c r="AG142" i="40"/>
  <c r="AH142" i="40" s="1"/>
  <c r="AE142" i="40"/>
  <c r="AD142" i="40"/>
  <c r="AC142" i="40"/>
  <c r="AB142" i="40"/>
  <c r="AA142" i="40"/>
  <c r="Z142" i="40"/>
  <c r="Y142" i="40"/>
  <c r="X142" i="40"/>
  <c r="W142" i="40"/>
  <c r="V142" i="40"/>
  <c r="U142" i="40"/>
  <c r="T142" i="40"/>
  <c r="S142" i="40"/>
  <c r="R142" i="40"/>
  <c r="Q142" i="40"/>
  <c r="P142" i="40"/>
  <c r="O142" i="40"/>
  <c r="N142" i="40"/>
  <c r="M142" i="40"/>
  <c r="L142" i="40"/>
  <c r="K142" i="40"/>
  <c r="J142" i="40"/>
  <c r="I142" i="40"/>
  <c r="H142" i="40"/>
  <c r="G142" i="40"/>
  <c r="F142" i="40"/>
  <c r="E142" i="40"/>
  <c r="D142" i="40"/>
  <c r="AE141" i="40"/>
  <c r="AD141" i="40"/>
  <c r="AC141" i="40"/>
  <c r="AB141" i="40"/>
  <c r="AA141" i="40"/>
  <c r="Z141" i="40"/>
  <c r="Y141" i="40"/>
  <c r="X141" i="40"/>
  <c r="W141" i="40"/>
  <c r="V141" i="40"/>
  <c r="U141" i="40"/>
  <c r="T141" i="40"/>
  <c r="S141" i="40"/>
  <c r="R141" i="40"/>
  <c r="Q141" i="40"/>
  <c r="P141" i="40"/>
  <c r="O141" i="40"/>
  <c r="N141" i="40"/>
  <c r="M141" i="40"/>
  <c r="L141" i="40"/>
  <c r="K141" i="40"/>
  <c r="J141" i="40"/>
  <c r="I141" i="40"/>
  <c r="H141" i="40"/>
  <c r="G141" i="40"/>
  <c r="F141" i="40"/>
  <c r="E141" i="40"/>
  <c r="D141" i="40"/>
  <c r="AG140" i="40"/>
  <c r="AE140" i="40"/>
  <c r="AD140" i="40"/>
  <c r="AC140" i="40"/>
  <c r="AB140" i="40"/>
  <c r="AA140" i="40"/>
  <c r="Z140" i="40"/>
  <c r="Y140" i="40"/>
  <c r="X140" i="40"/>
  <c r="W140" i="40"/>
  <c r="V140" i="40"/>
  <c r="U140" i="40"/>
  <c r="T140" i="40"/>
  <c r="S140" i="40"/>
  <c r="R140" i="40"/>
  <c r="Q140" i="40"/>
  <c r="P140" i="40"/>
  <c r="O140" i="40"/>
  <c r="N140" i="40"/>
  <c r="AH140" i="40" s="1"/>
  <c r="M140" i="40"/>
  <c r="L140" i="40"/>
  <c r="K140" i="40"/>
  <c r="J140" i="40"/>
  <c r="I140" i="40"/>
  <c r="H140" i="40"/>
  <c r="G140" i="40"/>
  <c r="F140" i="40"/>
  <c r="E140" i="40"/>
  <c r="D140" i="40"/>
  <c r="AG139" i="40"/>
  <c r="AE139" i="40"/>
  <c r="AD139" i="40"/>
  <c r="AC139" i="40"/>
  <c r="AB139" i="40"/>
  <c r="AA139" i="40"/>
  <c r="Z139" i="40"/>
  <c r="Y139" i="40"/>
  <c r="X139" i="40"/>
  <c r="W139" i="40"/>
  <c r="V139" i="40"/>
  <c r="U139" i="40"/>
  <c r="T139" i="40"/>
  <c r="S139" i="40"/>
  <c r="R139" i="40"/>
  <c r="Q139" i="40"/>
  <c r="P139" i="40"/>
  <c r="O139" i="40"/>
  <c r="N139" i="40"/>
  <c r="M139" i="40"/>
  <c r="L139" i="40"/>
  <c r="K139" i="40"/>
  <c r="J139" i="40"/>
  <c r="I139" i="40"/>
  <c r="H139" i="40"/>
  <c r="G139" i="40"/>
  <c r="F139" i="40"/>
  <c r="E139" i="40"/>
  <c r="D139" i="40"/>
  <c r="AG138" i="40"/>
  <c r="AH138" i="40" s="1"/>
  <c r="AE138" i="40"/>
  <c r="AD138" i="40"/>
  <c r="AC138" i="40"/>
  <c r="AB138" i="40"/>
  <c r="AA138" i="40"/>
  <c r="Z138" i="40"/>
  <c r="Y138" i="40"/>
  <c r="X138" i="40"/>
  <c r="W138" i="40"/>
  <c r="V138" i="40"/>
  <c r="U138" i="40"/>
  <c r="T138" i="40"/>
  <c r="S138" i="40"/>
  <c r="R138" i="40"/>
  <c r="Q138" i="40"/>
  <c r="P138" i="40"/>
  <c r="O138" i="40"/>
  <c r="N138" i="40"/>
  <c r="M138" i="40"/>
  <c r="L138" i="40"/>
  <c r="K138" i="40"/>
  <c r="J138" i="40"/>
  <c r="I138" i="40"/>
  <c r="H138" i="40"/>
  <c r="G138" i="40"/>
  <c r="F138" i="40"/>
  <c r="E138" i="40"/>
  <c r="D138" i="40"/>
  <c r="AE137" i="40"/>
  <c r="AD137" i="40"/>
  <c r="AC137" i="40"/>
  <c r="AB137" i="40"/>
  <c r="AA137" i="40"/>
  <c r="Z137" i="40"/>
  <c r="Y137" i="40"/>
  <c r="X137" i="40"/>
  <c r="W137" i="40"/>
  <c r="V137" i="40"/>
  <c r="U137" i="40"/>
  <c r="T137" i="40"/>
  <c r="S137" i="40"/>
  <c r="R137" i="40"/>
  <c r="Q137" i="40"/>
  <c r="P137" i="40"/>
  <c r="O137" i="40"/>
  <c r="N137" i="40"/>
  <c r="M137" i="40"/>
  <c r="L137" i="40"/>
  <c r="K137" i="40"/>
  <c r="J137" i="40"/>
  <c r="I137" i="40"/>
  <c r="H137" i="40"/>
  <c r="G137" i="40"/>
  <c r="F137" i="40"/>
  <c r="E137" i="40"/>
  <c r="D137" i="40"/>
  <c r="AG136" i="40"/>
  <c r="AE136" i="40"/>
  <c r="AD136" i="40"/>
  <c r="AC136" i="40"/>
  <c r="AB136" i="40"/>
  <c r="AA136" i="40"/>
  <c r="Z136" i="40"/>
  <c r="Y136" i="40"/>
  <c r="X136" i="40"/>
  <c r="W136" i="40"/>
  <c r="V136" i="40"/>
  <c r="U136" i="40"/>
  <c r="T136" i="40"/>
  <c r="S136" i="40"/>
  <c r="R136" i="40"/>
  <c r="Q136" i="40"/>
  <c r="P136" i="40"/>
  <c r="O136" i="40"/>
  <c r="N136" i="40"/>
  <c r="M136" i="40"/>
  <c r="L136" i="40"/>
  <c r="K136" i="40"/>
  <c r="J136" i="40"/>
  <c r="I136" i="40"/>
  <c r="H136" i="40"/>
  <c r="G136" i="40"/>
  <c r="F136" i="40"/>
  <c r="E136" i="40"/>
  <c r="D136" i="40"/>
  <c r="AG135" i="40"/>
  <c r="AE135" i="40"/>
  <c r="AD135" i="40"/>
  <c r="AC135" i="40"/>
  <c r="AB135" i="40"/>
  <c r="AA135" i="40"/>
  <c r="Z135" i="40"/>
  <c r="Y135" i="40"/>
  <c r="X135" i="40"/>
  <c r="W135" i="40"/>
  <c r="V135" i="40"/>
  <c r="U135" i="40"/>
  <c r="T135" i="40"/>
  <c r="S135" i="40"/>
  <c r="R135" i="40"/>
  <c r="Q135" i="40"/>
  <c r="P135" i="40"/>
  <c r="O135" i="40"/>
  <c r="N135" i="40"/>
  <c r="M135" i="40"/>
  <c r="L135" i="40"/>
  <c r="K135" i="40"/>
  <c r="J135" i="40"/>
  <c r="I135" i="40"/>
  <c r="H135" i="40"/>
  <c r="G135" i="40"/>
  <c r="F135" i="40"/>
  <c r="E135" i="40"/>
  <c r="D135" i="40"/>
  <c r="AG134" i="40"/>
  <c r="AH134" i="40" s="1"/>
  <c r="AE134" i="40"/>
  <c r="AD134" i="40"/>
  <c r="AC134" i="40"/>
  <c r="AB134" i="40"/>
  <c r="AA134" i="40"/>
  <c r="Z134" i="40"/>
  <c r="Y134" i="40"/>
  <c r="X134" i="40"/>
  <c r="W134" i="40"/>
  <c r="V134" i="40"/>
  <c r="U134" i="40"/>
  <c r="T134" i="40"/>
  <c r="S134" i="40"/>
  <c r="R134" i="40"/>
  <c r="Q134" i="40"/>
  <c r="P134" i="40"/>
  <c r="O134" i="40"/>
  <c r="N134" i="40"/>
  <c r="M134" i="40"/>
  <c r="L134" i="40"/>
  <c r="K134" i="40"/>
  <c r="J134" i="40"/>
  <c r="I134" i="40"/>
  <c r="H134" i="40"/>
  <c r="G134" i="40"/>
  <c r="F134" i="40"/>
  <c r="E134" i="40"/>
  <c r="D134" i="40"/>
  <c r="AE133" i="40"/>
  <c r="AD133" i="40"/>
  <c r="AC133" i="40"/>
  <c r="AB133" i="40"/>
  <c r="AA133" i="40"/>
  <c r="Z133" i="40"/>
  <c r="Y133" i="40"/>
  <c r="X133" i="40"/>
  <c r="W133" i="40"/>
  <c r="V133" i="40"/>
  <c r="U133" i="40"/>
  <c r="T133" i="40"/>
  <c r="S133" i="40"/>
  <c r="R133" i="40"/>
  <c r="Q133" i="40"/>
  <c r="P133" i="40"/>
  <c r="O133" i="40"/>
  <c r="N133" i="40"/>
  <c r="M133" i="40"/>
  <c r="L133" i="40"/>
  <c r="K133" i="40"/>
  <c r="J133" i="40"/>
  <c r="I133" i="40"/>
  <c r="H133" i="40"/>
  <c r="G133" i="40"/>
  <c r="F133" i="40"/>
  <c r="E133" i="40"/>
  <c r="D133" i="40"/>
  <c r="AG132" i="40"/>
  <c r="AE132" i="40"/>
  <c r="AD132" i="40"/>
  <c r="AC132" i="40"/>
  <c r="AB132" i="40"/>
  <c r="AA132" i="40"/>
  <c r="Z132" i="40"/>
  <c r="Y132" i="40"/>
  <c r="X132" i="40"/>
  <c r="W132" i="40"/>
  <c r="V132" i="40"/>
  <c r="U132" i="40"/>
  <c r="T132" i="40"/>
  <c r="S132" i="40"/>
  <c r="R132" i="40"/>
  <c r="Q132" i="40"/>
  <c r="P132" i="40"/>
  <c r="O132" i="40"/>
  <c r="N132" i="40"/>
  <c r="M132" i="40"/>
  <c r="L132" i="40"/>
  <c r="K132" i="40"/>
  <c r="J132" i="40"/>
  <c r="I132" i="40"/>
  <c r="H132" i="40"/>
  <c r="G132" i="40"/>
  <c r="F132" i="40"/>
  <c r="E132" i="40"/>
  <c r="D132" i="40"/>
  <c r="AG131" i="40"/>
  <c r="AE131" i="40"/>
  <c r="AD131" i="40"/>
  <c r="AC131" i="40"/>
  <c r="AB131" i="40"/>
  <c r="AA131" i="40"/>
  <c r="Z131" i="40"/>
  <c r="Y131" i="40"/>
  <c r="X131" i="40"/>
  <c r="W131" i="40"/>
  <c r="V131" i="40"/>
  <c r="U131" i="40"/>
  <c r="T131" i="40"/>
  <c r="S131" i="40"/>
  <c r="R131" i="40"/>
  <c r="Q131" i="40"/>
  <c r="P131" i="40"/>
  <c r="O131" i="40"/>
  <c r="N131" i="40"/>
  <c r="M131" i="40"/>
  <c r="L131" i="40"/>
  <c r="K131" i="40"/>
  <c r="J131" i="40"/>
  <c r="I131" i="40"/>
  <c r="H131" i="40"/>
  <c r="G131" i="40"/>
  <c r="F131" i="40"/>
  <c r="E131" i="40"/>
  <c r="D131" i="40"/>
  <c r="AG130" i="40"/>
  <c r="AH130" i="40" s="1"/>
  <c r="AE130" i="40"/>
  <c r="AD130" i="40"/>
  <c r="AC130" i="40"/>
  <c r="AB130" i="40"/>
  <c r="AA130" i="40"/>
  <c r="Z130" i="40"/>
  <c r="Y130" i="40"/>
  <c r="X130" i="40"/>
  <c r="W130" i="40"/>
  <c r="V130" i="40"/>
  <c r="U130" i="40"/>
  <c r="T130" i="40"/>
  <c r="S130" i="40"/>
  <c r="R130" i="40"/>
  <c r="Q130" i="40"/>
  <c r="P130" i="40"/>
  <c r="O130" i="40"/>
  <c r="N130" i="40"/>
  <c r="M130" i="40"/>
  <c r="L130" i="40"/>
  <c r="K130" i="40"/>
  <c r="J130" i="40"/>
  <c r="I130" i="40"/>
  <c r="H130" i="40"/>
  <c r="G130" i="40"/>
  <c r="F130" i="40"/>
  <c r="E130" i="40"/>
  <c r="D130" i="40"/>
  <c r="AE129" i="40"/>
  <c r="AD129" i="40"/>
  <c r="AC129" i="40"/>
  <c r="AB129" i="40"/>
  <c r="AA129" i="40"/>
  <c r="Z129" i="40"/>
  <c r="Y129" i="40"/>
  <c r="X129" i="40"/>
  <c r="W129" i="40"/>
  <c r="V129" i="40"/>
  <c r="U129" i="40"/>
  <c r="T129" i="40"/>
  <c r="S129" i="40"/>
  <c r="R129" i="40"/>
  <c r="Q129" i="40"/>
  <c r="P129" i="40"/>
  <c r="O129" i="40"/>
  <c r="N129" i="40"/>
  <c r="M129" i="40"/>
  <c r="L129" i="40"/>
  <c r="K129" i="40"/>
  <c r="J129" i="40"/>
  <c r="I129" i="40"/>
  <c r="H129" i="40"/>
  <c r="G129" i="40"/>
  <c r="F129" i="40"/>
  <c r="E129" i="40"/>
  <c r="D129" i="40"/>
  <c r="AG128" i="40"/>
  <c r="AE128" i="40"/>
  <c r="AD128" i="40"/>
  <c r="AC128" i="40"/>
  <c r="AB128" i="40"/>
  <c r="AA128" i="40"/>
  <c r="Z128" i="40"/>
  <c r="Y128" i="40"/>
  <c r="X128" i="40"/>
  <c r="W128" i="40"/>
  <c r="V128" i="40"/>
  <c r="U128" i="40"/>
  <c r="T128" i="40"/>
  <c r="S128" i="40"/>
  <c r="R128" i="40"/>
  <c r="Q128" i="40"/>
  <c r="P128" i="40"/>
  <c r="O128" i="40"/>
  <c r="N128" i="40"/>
  <c r="M128" i="40"/>
  <c r="L128" i="40"/>
  <c r="K128" i="40"/>
  <c r="J128" i="40"/>
  <c r="I128" i="40"/>
  <c r="H128" i="40"/>
  <c r="G128" i="40"/>
  <c r="F128" i="40"/>
  <c r="E128" i="40"/>
  <c r="D128" i="40"/>
  <c r="AG127" i="40"/>
  <c r="AE127" i="40"/>
  <c r="AD127" i="40"/>
  <c r="AC127" i="40"/>
  <c r="AB127" i="40"/>
  <c r="AA127" i="40"/>
  <c r="Z127" i="40"/>
  <c r="Y127" i="40"/>
  <c r="X127" i="40"/>
  <c r="W127" i="40"/>
  <c r="V127" i="40"/>
  <c r="U127" i="40"/>
  <c r="T127" i="40"/>
  <c r="S127" i="40"/>
  <c r="R127" i="40"/>
  <c r="Q127" i="40"/>
  <c r="P127" i="40"/>
  <c r="O127" i="40"/>
  <c r="N127" i="40"/>
  <c r="M127" i="40"/>
  <c r="L127" i="40"/>
  <c r="K127" i="40"/>
  <c r="J127" i="40"/>
  <c r="I127" i="40"/>
  <c r="H127" i="40"/>
  <c r="G127" i="40"/>
  <c r="F127" i="40"/>
  <c r="E127" i="40"/>
  <c r="D127" i="40"/>
  <c r="AH237" i="40"/>
  <c r="AH236" i="40"/>
  <c r="AH235" i="40"/>
  <c r="AH233" i="40"/>
  <c r="AH232" i="40"/>
  <c r="AH231" i="40"/>
  <c r="AH229" i="40"/>
  <c r="AH228" i="40"/>
  <c r="AH227" i="40"/>
  <c r="AH225" i="40"/>
  <c r="AH224" i="40"/>
  <c r="AH223" i="40"/>
  <c r="AH221" i="40"/>
  <c r="AH220" i="40"/>
  <c r="AH219" i="40"/>
  <c r="AH217" i="40"/>
  <c r="AH216" i="40"/>
  <c r="AH215" i="40"/>
  <c r="AH213" i="40"/>
  <c r="AH212" i="40"/>
  <c r="AH211" i="40"/>
  <c r="AH208" i="40"/>
  <c r="AH204" i="40"/>
  <c r="AH200" i="40"/>
  <c r="AH192" i="40"/>
  <c r="AH148" i="40"/>
  <c r="AH144" i="40"/>
  <c r="AH143" i="40"/>
  <c r="AH139" i="40"/>
  <c r="AH136" i="40"/>
  <c r="AH135" i="40"/>
  <c r="AH132" i="40"/>
  <c r="AH131" i="40"/>
  <c r="AH128" i="40"/>
  <c r="AH127" i="40"/>
  <c r="N124" i="40"/>
  <c r="AH122" i="40"/>
  <c r="AH121" i="40"/>
  <c r="AH120" i="40"/>
  <c r="AH118" i="40"/>
  <c r="AH117" i="40"/>
  <c r="AH116" i="40"/>
  <c r="AH115" i="40"/>
  <c r="AH113" i="40"/>
  <c r="AH112" i="40"/>
  <c r="AH111" i="40"/>
  <c r="AH109" i="40"/>
  <c r="AH108" i="40"/>
  <c r="AH107" i="40"/>
  <c r="AH105" i="40"/>
  <c r="AH104" i="40"/>
  <c r="AH103" i="40"/>
  <c r="AH101" i="40"/>
  <c r="AH100" i="40"/>
  <c r="AH99" i="40"/>
  <c r="AH97" i="40"/>
  <c r="AH96" i="40"/>
  <c r="AH95" i="40"/>
  <c r="AH93" i="40"/>
  <c r="AH92" i="40"/>
  <c r="AH91" i="40"/>
  <c r="AH89" i="40"/>
  <c r="AH87" i="40"/>
  <c r="AH86" i="40"/>
  <c r="AH84" i="40"/>
  <c r="AH81" i="40"/>
  <c r="AH80" i="40"/>
  <c r="AH79" i="40"/>
  <c r="AH78" i="40"/>
  <c r="AH76" i="40"/>
  <c r="AH75" i="40"/>
  <c r="AH74" i="40"/>
  <c r="AH73" i="40"/>
  <c r="AH72" i="40"/>
  <c r="AH70" i="40"/>
  <c r="AH68" i="40"/>
  <c r="AH67" i="40"/>
  <c r="AH65" i="40"/>
  <c r="AH64" i="40"/>
  <c r="AH63" i="40"/>
  <c r="AH61" i="40"/>
  <c r="AH60" i="40"/>
  <c r="AH59" i="40"/>
  <c r="AH57" i="40"/>
  <c r="AH56" i="40"/>
  <c r="AH55" i="40"/>
  <c r="AH53" i="40"/>
  <c r="AH52" i="40"/>
  <c r="AH51" i="40"/>
  <c r="AH49" i="40"/>
  <c r="AH48" i="40"/>
  <c r="AH47" i="40"/>
  <c r="AH45" i="40"/>
  <c r="AH44" i="40"/>
  <c r="AH43" i="40"/>
  <c r="AH41" i="40"/>
  <c r="AH40" i="40"/>
  <c r="AH39" i="40"/>
  <c r="AH37" i="40"/>
  <c r="AH36" i="40"/>
  <c r="AH35" i="40"/>
  <c r="AH33" i="40"/>
  <c r="AH32" i="40"/>
  <c r="AH31" i="40"/>
  <c r="AH28" i="40"/>
  <c r="AH27" i="40"/>
  <c r="AH26" i="40"/>
  <c r="AH25" i="40"/>
  <c r="AH24" i="40"/>
  <c r="AH22" i="40"/>
  <c r="AH21" i="40"/>
  <c r="AH20" i="40"/>
  <c r="AH18" i="40"/>
  <c r="AH17" i="40"/>
  <c r="AH16" i="40"/>
  <c r="AH14" i="40"/>
  <c r="AH13" i="40"/>
  <c r="AH12" i="40"/>
  <c r="AH10" i="40"/>
  <c r="AH9" i="40"/>
  <c r="AH8" i="40"/>
  <c r="AH6" i="40"/>
  <c r="AH5" i="40"/>
  <c r="AF124" i="40"/>
  <c r="AF125" i="40"/>
  <c r="AE124" i="40"/>
  <c r="AE125" i="40"/>
  <c r="AD124" i="40"/>
  <c r="AD125" i="40"/>
  <c r="AC124" i="40"/>
  <c r="AC125" i="40"/>
  <c r="AB124" i="40"/>
  <c r="AB125" i="40"/>
  <c r="AA124" i="40"/>
  <c r="AA125" i="40"/>
  <c r="Z124" i="40"/>
  <c r="Z125" i="40"/>
  <c r="Y124" i="40"/>
  <c r="Y125" i="40"/>
  <c r="X124" i="40"/>
  <c r="X125" i="40"/>
  <c r="W124" i="40"/>
  <c r="W125" i="40"/>
  <c r="V124" i="40"/>
  <c r="V125" i="40"/>
  <c r="U124" i="40"/>
  <c r="U125" i="40"/>
  <c r="T124" i="40"/>
  <c r="T125" i="40"/>
  <c r="S124" i="40"/>
  <c r="S125" i="40"/>
  <c r="R124" i="40"/>
  <c r="R125" i="40"/>
  <c r="Q124" i="40"/>
  <c r="Q125" i="40"/>
  <c r="P124" i="40"/>
  <c r="P125" i="40"/>
  <c r="O124" i="40"/>
  <c r="O125" i="40"/>
  <c r="N125" i="40"/>
  <c r="M124" i="40"/>
  <c r="M125" i="40" s="1"/>
  <c r="L124" i="40"/>
  <c r="L125" i="40" s="1"/>
  <c r="K124" i="40"/>
  <c r="K125" i="40" s="1"/>
  <c r="J124" i="40"/>
  <c r="J125" i="40" s="1"/>
  <c r="I124" i="40"/>
  <c r="I125" i="40" s="1"/>
  <c r="H124" i="40"/>
  <c r="H125" i="40" s="1"/>
  <c r="G124" i="40"/>
  <c r="G125" i="40" s="1"/>
  <c r="F124" i="40"/>
  <c r="F125" i="40" s="1"/>
  <c r="E124" i="40"/>
  <c r="E125" i="40" s="1"/>
  <c r="D124" i="40"/>
  <c r="D125" i="40" s="1"/>
  <c r="D124" i="9"/>
  <c r="E124" i="9"/>
  <c r="F124" i="9"/>
  <c r="G124" i="9"/>
  <c r="H124" i="9"/>
  <c r="I124" i="9"/>
  <c r="J124" i="9"/>
  <c r="K124" i="9"/>
  <c r="L124" i="9"/>
  <c r="M124" i="9"/>
  <c r="N124" i="9"/>
  <c r="O124" i="9"/>
  <c r="P124" i="9"/>
  <c r="Q124" i="9"/>
  <c r="R124" i="9"/>
  <c r="S124" i="9"/>
  <c r="T124" i="9"/>
  <c r="U124" i="9"/>
  <c r="V124" i="9"/>
  <c r="W124" i="9"/>
  <c r="X124" i="9"/>
  <c r="Y124" i="9"/>
  <c r="Z124" i="9"/>
  <c r="AA124" i="9"/>
  <c r="AB124" i="9"/>
  <c r="AC124" i="9"/>
  <c r="AD124" i="9"/>
  <c r="AE124" i="9"/>
  <c r="AF124" i="9"/>
  <c r="AG124" i="9"/>
  <c r="AH124" i="9"/>
  <c r="AI124" i="9"/>
  <c r="AJ124" i="9"/>
  <c r="AK124" i="9"/>
  <c r="AL124" i="9"/>
  <c r="AM124" i="9"/>
  <c r="AN124" i="9"/>
  <c r="AO124" i="9"/>
  <c r="AP124" i="9"/>
  <c r="AQ124" i="9"/>
  <c r="AR124" i="9"/>
  <c r="AS124" i="9"/>
  <c r="AT124" i="9"/>
  <c r="AU124" i="9"/>
  <c r="AV124" i="9"/>
  <c r="AW124" i="9"/>
  <c r="AX124" i="9"/>
  <c r="AY124" i="9"/>
  <c r="AZ124" i="9"/>
  <c r="BA124" i="9"/>
  <c r="BB124" i="9"/>
  <c r="BB125" i="9" s="1"/>
  <c r="BC124" i="9"/>
  <c r="BD124" i="9"/>
  <c r="BE124" i="9"/>
  <c r="BF124" i="9"/>
  <c r="BF125" i="9" s="1"/>
  <c r="BG124" i="9"/>
  <c r="BH124" i="9"/>
  <c r="BI124" i="9"/>
  <c r="BJ124" i="9"/>
  <c r="BJ125" i="9" s="1"/>
  <c r="BK124" i="9"/>
  <c r="BL124" i="9"/>
  <c r="BM124" i="9"/>
  <c r="BN124" i="9"/>
  <c r="BN125" i="9" s="1"/>
  <c r="BO124" i="9"/>
  <c r="BP124" i="9"/>
  <c r="BQ124" i="9"/>
  <c r="BR124" i="9"/>
  <c r="BR125" i="9" s="1"/>
  <c r="BS124" i="9"/>
  <c r="BT124" i="9"/>
  <c r="BU124" i="9"/>
  <c r="BV124" i="9"/>
  <c r="BV125" i="9" s="1"/>
  <c r="BW124" i="9"/>
  <c r="BX124" i="9"/>
  <c r="BY124" i="9"/>
  <c r="BZ124" i="9"/>
  <c r="BZ125" i="9" s="1"/>
  <c r="CA124" i="9"/>
  <c r="CB124" i="9"/>
  <c r="CC124" i="9"/>
  <c r="CD124" i="9"/>
  <c r="CD125" i="9" s="1"/>
  <c r="CE124" i="9"/>
  <c r="CF124" i="9"/>
  <c r="CG124" i="9"/>
  <c r="CH124" i="9"/>
  <c r="CH125" i="9" s="1"/>
  <c r="CI124" i="9"/>
  <c r="CJ124" i="9"/>
  <c r="CK124" i="9"/>
  <c r="CL124" i="9"/>
  <c r="CL125" i="9" s="1"/>
  <c r="CM124" i="9"/>
  <c r="CN124" i="9"/>
  <c r="CO124" i="9"/>
  <c r="CP124" i="9"/>
  <c r="CP125" i="9" s="1"/>
  <c r="CQ124" i="9"/>
  <c r="CR124" i="9"/>
  <c r="CS124" i="9"/>
  <c r="CT124" i="9"/>
  <c r="CT125" i="9" s="1"/>
  <c r="CU124" i="9"/>
  <c r="CV124" i="9"/>
  <c r="CW124" i="9"/>
  <c r="CX124" i="9"/>
  <c r="CX125" i="9" s="1"/>
  <c r="CY124" i="9"/>
  <c r="CZ124" i="9"/>
  <c r="DA124" i="9"/>
  <c r="DB124" i="9"/>
  <c r="DB125" i="9" s="1"/>
  <c r="DC124" i="9"/>
  <c r="DD124" i="9"/>
  <c r="DE124" i="9"/>
  <c r="DF124" i="9"/>
  <c r="DF125" i="9" s="1"/>
  <c r="DG124" i="9"/>
  <c r="DH124" i="9"/>
  <c r="DI124" i="9"/>
  <c r="DJ124" i="9"/>
  <c r="DJ125" i="9" s="1"/>
  <c r="DK124" i="9"/>
  <c r="DL124" i="9"/>
  <c r="DM124" i="9"/>
  <c r="DN124" i="9"/>
  <c r="DN125" i="9" s="1"/>
  <c r="DO124" i="9"/>
  <c r="E125" i="9"/>
  <c r="F125" i="9"/>
  <c r="G125" i="9"/>
  <c r="H125" i="9"/>
  <c r="I125" i="9"/>
  <c r="J125" i="9"/>
  <c r="K125" i="9"/>
  <c r="L125" i="9"/>
  <c r="M125" i="9"/>
  <c r="N125" i="9"/>
  <c r="O125" i="9"/>
  <c r="P125" i="9"/>
  <c r="Q125" i="9"/>
  <c r="R125" i="9"/>
  <c r="S125" i="9"/>
  <c r="T125" i="9"/>
  <c r="U125" i="9"/>
  <c r="V125" i="9"/>
  <c r="W125" i="9"/>
  <c r="X125" i="9"/>
  <c r="Y125" i="9"/>
  <c r="Z125" i="9"/>
  <c r="AA125" i="9"/>
  <c r="AB125" i="9"/>
  <c r="AC125" i="9"/>
  <c r="AD125" i="9"/>
  <c r="AE125" i="9"/>
  <c r="AF125" i="9"/>
  <c r="AG125" i="9"/>
  <c r="AH125" i="9"/>
  <c r="AI125" i="9"/>
  <c r="AJ125" i="9"/>
  <c r="AK125" i="9"/>
  <c r="AL125" i="9"/>
  <c r="AM125" i="9"/>
  <c r="AN125" i="9"/>
  <c r="AO125" i="9"/>
  <c r="AP125" i="9"/>
  <c r="AQ125" i="9"/>
  <c r="AR125" i="9"/>
  <c r="AS125" i="9"/>
  <c r="AT125" i="9"/>
  <c r="AU125" i="9"/>
  <c r="AV125" i="9"/>
  <c r="AW125" i="9"/>
  <c r="AX125" i="9"/>
  <c r="AY125" i="9"/>
  <c r="AZ125" i="9"/>
  <c r="BA125" i="9"/>
  <c r="BC125" i="9"/>
  <c r="BD125" i="9"/>
  <c r="BE125" i="9"/>
  <c r="BG125" i="9"/>
  <c r="BH125" i="9"/>
  <c r="BI125" i="9"/>
  <c r="BK125" i="9"/>
  <c r="BL125" i="9"/>
  <c r="BM125" i="9"/>
  <c r="BO125" i="9"/>
  <c r="BP125" i="9"/>
  <c r="BQ125" i="9"/>
  <c r="BS125" i="9"/>
  <c r="BT125" i="9"/>
  <c r="BU125" i="9"/>
  <c r="BW125" i="9"/>
  <c r="BX125" i="9"/>
  <c r="BY125" i="9"/>
  <c r="CA125" i="9"/>
  <c r="CB125" i="9"/>
  <c r="CC125" i="9"/>
  <c r="CE125" i="9"/>
  <c r="CF125" i="9"/>
  <c r="CG125" i="9"/>
  <c r="CI125" i="9"/>
  <c r="CJ125" i="9"/>
  <c r="CK125" i="9"/>
  <c r="CM125" i="9"/>
  <c r="CN125" i="9"/>
  <c r="CO125" i="9"/>
  <c r="CQ125" i="9"/>
  <c r="CR125" i="9"/>
  <c r="CS125" i="9"/>
  <c r="CU125" i="9"/>
  <c r="CV125" i="9"/>
  <c r="CW125" i="9"/>
  <c r="CY125" i="9"/>
  <c r="CZ125" i="9"/>
  <c r="DA125" i="9"/>
  <c r="DC125" i="9"/>
  <c r="DD125" i="9"/>
  <c r="DE125" i="9"/>
  <c r="DG125" i="9"/>
  <c r="DH125" i="9"/>
  <c r="DI125" i="9"/>
  <c r="DK125" i="9"/>
  <c r="DL125" i="9"/>
  <c r="DM125" i="9"/>
  <c r="DO125" i="9"/>
  <c r="D125" i="9"/>
  <c r="Z55" i="37"/>
  <c r="Z54" i="37"/>
  <c r="Z52" i="37"/>
  <c r="Z50" i="37"/>
  <c r="Z49" i="37"/>
  <c r="Z48" i="37"/>
  <c r="Z47" i="37"/>
  <c r="Z46" i="37"/>
  <c r="Z44" i="37"/>
  <c r="Z42" i="37"/>
  <c r="Z41" i="37"/>
  <c r="Z40" i="37"/>
  <c r="Z39" i="37"/>
  <c r="Z38" i="37"/>
  <c r="Z37" i="37"/>
  <c r="Z36" i="37"/>
  <c r="Z35" i="37"/>
  <c r="Z34" i="37"/>
  <c r="Z33" i="37"/>
  <c r="G63" i="18"/>
  <c r="G62" i="18"/>
  <c r="G61" i="18"/>
  <c r="G60" i="18"/>
  <c r="G59" i="18"/>
  <c r="G58" i="18"/>
  <c r="G57" i="18"/>
  <c r="G52" i="18"/>
  <c r="G51" i="18"/>
  <c r="C50" i="18"/>
  <c r="D50" i="18"/>
  <c r="G50" i="18" s="1"/>
  <c r="E50" i="18"/>
  <c r="F50" i="18"/>
  <c r="G49" i="18"/>
  <c r="C48" i="18"/>
  <c r="D48" i="18"/>
  <c r="E48" i="18"/>
  <c r="F48" i="18"/>
  <c r="G47" i="18"/>
  <c r="G46" i="18"/>
  <c r="DQ4" i="9"/>
  <c r="B127" i="42"/>
  <c r="CE252" i="9"/>
  <c r="EC253" i="9"/>
  <c r="BW252" i="9"/>
  <c r="BS252" i="9"/>
  <c r="EK253" i="9"/>
  <c r="BO252" i="9"/>
  <c r="EK252" i="9"/>
  <c r="DZ253" i="9"/>
  <c r="BG252" i="9"/>
  <c r="DZ252" i="9" s="1"/>
  <c r="AY252" i="9"/>
  <c r="DV252" i="9" s="1"/>
  <c r="G252" i="9"/>
  <c r="EJ253" i="9"/>
  <c r="EJ252" i="9"/>
  <c r="EE253" i="9"/>
  <c r="CC252" i="9"/>
  <c r="EE252" i="9" s="1"/>
  <c r="BY252" i="9"/>
  <c r="BU252" i="9"/>
  <c r="DW253" i="9"/>
  <c r="BA252" i="9"/>
  <c r="DW252" i="9"/>
  <c r="AC252" i="9"/>
  <c r="DV246" i="9"/>
  <c r="DQ253" i="9"/>
  <c r="CF252" i="9"/>
  <c r="BT252" i="9"/>
  <c r="EM252" i="9" s="1"/>
  <c r="BH252" i="9"/>
  <c r="EA252" i="9" s="1"/>
  <c r="BF252" i="9"/>
  <c r="DY252" i="9" s="1"/>
  <c r="BB252" i="9"/>
  <c r="DX252" i="9" s="1"/>
  <c r="AT252" i="9"/>
  <c r="DU252" i="9" s="1"/>
  <c r="G55" i="10"/>
  <c r="G154" i="10"/>
  <c r="G50" i="10"/>
  <c r="G51" i="10"/>
  <c r="H51" i="10"/>
  <c r="I50" i="10"/>
  <c r="J55" i="10"/>
  <c r="J154" i="10" s="1"/>
  <c r="G94" i="10"/>
  <c r="J97" i="10"/>
  <c r="J99" i="10"/>
  <c r="J113" i="10"/>
  <c r="H108" i="10"/>
  <c r="H50" i="10"/>
  <c r="U50" i="10" s="1"/>
  <c r="K55" i="10"/>
  <c r="J51" i="10"/>
  <c r="I55" i="10"/>
  <c r="I154" i="10"/>
  <c r="K51" i="10"/>
  <c r="J50" i="10"/>
  <c r="H97" i="10"/>
  <c r="I97" i="10"/>
  <c r="G106" i="10"/>
  <c r="T106" i="10" s="1"/>
  <c r="H113" i="10"/>
  <c r="I113" i="10"/>
  <c r="G108" i="10"/>
  <c r="U108" i="10" s="1"/>
  <c r="I108" i="10"/>
  <c r="G109" i="10"/>
  <c r="I109" i="10"/>
  <c r="G110" i="10"/>
  <c r="H110" i="10"/>
  <c r="I110" i="10"/>
  <c r="U110" i="10"/>
  <c r="H31" i="10"/>
  <c r="J31" i="10"/>
  <c r="H32" i="10"/>
  <c r="J32" i="10"/>
  <c r="H33" i="10"/>
  <c r="J33" i="10"/>
  <c r="H34" i="10"/>
  <c r="J34" i="10"/>
  <c r="U34" i="10" s="1"/>
  <c r="H35" i="10"/>
  <c r="J35" i="10"/>
  <c r="H36" i="10"/>
  <c r="J36" i="10"/>
  <c r="H37" i="10"/>
  <c r="J37" i="10"/>
  <c r="H38" i="10"/>
  <c r="J38" i="10"/>
  <c r="H39" i="10"/>
  <c r="J39" i="10"/>
  <c r="H40" i="10"/>
  <c r="J40" i="10"/>
  <c r="H41" i="10"/>
  <c r="J41" i="10"/>
  <c r="H42" i="10"/>
  <c r="J42" i="10"/>
  <c r="H43" i="10"/>
  <c r="J43" i="10"/>
  <c r="H44" i="10"/>
  <c r="J44" i="10"/>
  <c r="H45" i="10"/>
  <c r="J45" i="10"/>
  <c r="H46" i="10"/>
  <c r="J46" i="10"/>
  <c r="U46" i="10" s="1"/>
  <c r="H47" i="10"/>
  <c r="J47" i="10"/>
  <c r="H48" i="10"/>
  <c r="J48" i="10"/>
  <c r="H49" i="10"/>
  <c r="J49" i="10"/>
  <c r="H52" i="10"/>
  <c r="J52" i="10"/>
  <c r="H53" i="10"/>
  <c r="J53" i="10"/>
  <c r="U53" i="10" s="1"/>
  <c r="H54" i="10"/>
  <c r="J54" i="10"/>
  <c r="U54" i="10" s="1"/>
  <c r="H56" i="10"/>
  <c r="J56" i="10"/>
  <c r="H57" i="10"/>
  <c r="J57" i="10"/>
  <c r="H58" i="10"/>
  <c r="J58" i="10"/>
  <c r="U58" i="10" s="1"/>
  <c r="H59" i="10"/>
  <c r="J59" i="10"/>
  <c r="U59" i="10" s="1"/>
  <c r="H60" i="10"/>
  <c r="J60" i="10"/>
  <c r="H61" i="10"/>
  <c r="J61" i="10"/>
  <c r="H62" i="10"/>
  <c r="J62" i="10"/>
  <c r="U62" i="10" s="1"/>
  <c r="H63" i="10"/>
  <c r="J63" i="10"/>
  <c r="H64" i="10"/>
  <c r="J64" i="10"/>
  <c r="H65" i="10"/>
  <c r="J65" i="10"/>
  <c r="H66" i="10"/>
  <c r="J66" i="10"/>
  <c r="U66" i="10" s="1"/>
  <c r="H67" i="10"/>
  <c r="J67" i="10"/>
  <c r="H68" i="10"/>
  <c r="J68" i="10"/>
  <c r="H69" i="10"/>
  <c r="J69" i="10"/>
  <c r="U69" i="10" s="1"/>
  <c r="H70" i="10"/>
  <c r="J70" i="10"/>
  <c r="U70" i="10" s="1"/>
  <c r="H71" i="10"/>
  <c r="J71" i="10"/>
  <c r="H72" i="10"/>
  <c r="J72" i="10"/>
  <c r="H73" i="10"/>
  <c r="J73" i="10"/>
  <c r="H74" i="10"/>
  <c r="J74" i="10"/>
  <c r="U74" i="10" s="1"/>
  <c r="H75" i="10"/>
  <c r="J75" i="10"/>
  <c r="H76" i="10"/>
  <c r="J76" i="10"/>
  <c r="H77" i="10"/>
  <c r="J77" i="10"/>
  <c r="H78" i="10"/>
  <c r="J78" i="10"/>
  <c r="U78" i="10" s="1"/>
  <c r="H79" i="10"/>
  <c r="J79" i="10"/>
  <c r="H80" i="10"/>
  <c r="J80" i="10"/>
  <c r="I131" i="10"/>
  <c r="I130" i="10"/>
  <c r="I129" i="10"/>
  <c r="I128" i="10"/>
  <c r="I127" i="10"/>
  <c r="I126" i="10"/>
  <c r="U126" i="10" s="1"/>
  <c r="I125" i="10"/>
  <c r="I124" i="10"/>
  <c r="I123" i="10"/>
  <c r="I122" i="10"/>
  <c r="U122" i="10" s="1"/>
  <c r="I121" i="10"/>
  <c r="I120" i="10"/>
  <c r="I119" i="10"/>
  <c r="I118" i="10"/>
  <c r="U118" i="10" s="1"/>
  <c r="I117" i="10"/>
  <c r="I116" i="10"/>
  <c r="I115" i="10"/>
  <c r="I114" i="10"/>
  <c r="U114" i="10" s="1"/>
  <c r="I112" i="10"/>
  <c r="I111" i="10"/>
  <c r="I107" i="10"/>
  <c r="I105" i="10"/>
  <c r="U105" i="10" s="1"/>
  <c r="I104" i="10"/>
  <c r="I103" i="10"/>
  <c r="I102" i="10"/>
  <c r="I101" i="10"/>
  <c r="U101" i="10" s="1"/>
  <c r="I100" i="10"/>
  <c r="I98" i="10"/>
  <c r="I96" i="10"/>
  <c r="I95" i="10"/>
  <c r="U95" i="10" s="1"/>
  <c r="I93" i="10"/>
  <c r="I92" i="10"/>
  <c r="I91" i="10"/>
  <c r="I90" i="10"/>
  <c r="U90" i="10" s="1"/>
  <c r="I89" i="10"/>
  <c r="I88" i="10"/>
  <c r="I87" i="10"/>
  <c r="I86" i="10"/>
  <c r="U86" i="10" s="1"/>
  <c r="I85" i="10"/>
  <c r="I84" i="10"/>
  <c r="I83" i="10"/>
  <c r="I82" i="10"/>
  <c r="I81" i="10"/>
  <c r="K75" i="10"/>
  <c r="K74" i="10"/>
  <c r="K73" i="10"/>
  <c r="K68" i="10"/>
  <c r="K67" i="10"/>
  <c r="K66" i="10"/>
  <c r="K65" i="10"/>
  <c r="K64" i="10"/>
  <c r="K63" i="10"/>
  <c r="K62" i="10"/>
  <c r="K61" i="10"/>
  <c r="T61" i="10" s="1"/>
  <c r="K60" i="10"/>
  <c r="K59" i="10"/>
  <c r="K58" i="10"/>
  <c r="K57" i="10"/>
  <c r="K56" i="10"/>
  <c r="I54" i="10"/>
  <c r="I53" i="10"/>
  <c r="I52" i="10"/>
  <c r="G113" i="10"/>
  <c r="G99" i="10"/>
  <c r="H94" i="10"/>
  <c r="K126" i="10"/>
  <c r="T126" i="10" s="1"/>
  <c r="K125" i="10"/>
  <c r="K124" i="10"/>
  <c r="T124" i="10" s="1"/>
  <c r="K123" i="10"/>
  <c r="K122" i="10"/>
  <c r="T122" i="10" s="1"/>
  <c r="K121" i="10"/>
  <c r="K120" i="10"/>
  <c r="T120" i="10" s="1"/>
  <c r="K119" i="10"/>
  <c r="K118" i="10"/>
  <c r="K117" i="10"/>
  <c r="K116" i="10"/>
  <c r="K115" i="10"/>
  <c r="K114" i="10"/>
  <c r="T114" i="10" s="1"/>
  <c r="K105" i="10"/>
  <c r="K104" i="10"/>
  <c r="K103" i="10"/>
  <c r="K102" i="10"/>
  <c r="T102" i="10" s="1"/>
  <c r="K101" i="10"/>
  <c r="K92" i="10"/>
  <c r="T92" i="10" s="1"/>
  <c r="K91" i="10"/>
  <c r="G85" i="10"/>
  <c r="U85" i="10" s="1"/>
  <c r="G81" i="10"/>
  <c r="T81" i="10" s="1"/>
  <c r="K54" i="10"/>
  <c r="T54" i="10" s="1"/>
  <c r="K53" i="10"/>
  <c r="T53" i="10" s="1"/>
  <c r="K52" i="10"/>
  <c r="T52" i="10" s="1"/>
  <c r="G49" i="10"/>
  <c r="I49" i="10"/>
  <c r="T49" i="10"/>
  <c r="G48" i="10"/>
  <c r="T48" i="10" s="1"/>
  <c r="I48" i="10"/>
  <c r="G47" i="10"/>
  <c r="T47" i="10" s="1"/>
  <c r="I47" i="10"/>
  <c r="G46" i="10"/>
  <c r="I46" i="10"/>
  <c r="T46" i="10" s="1"/>
  <c r="G45" i="10"/>
  <c r="T45" i="10" s="1"/>
  <c r="I45" i="10"/>
  <c r="G44" i="10"/>
  <c r="T44" i="10" s="1"/>
  <c r="I44" i="10"/>
  <c r="G43" i="10"/>
  <c r="I43" i="10"/>
  <c r="T43" i="10"/>
  <c r="G42" i="10"/>
  <c r="I42" i="10"/>
  <c r="T42" i="10" s="1"/>
  <c r="G41" i="10"/>
  <c r="I41" i="10"/>
  <c r="T41" i="10"/>
  <c r="G40" i="10"/>
  <c r="T40" i="10" s="1"/>
  <c r="I40" i="10"/>
  <c r="G39" i="10"/>
  <c r="T39" i="10" s="1"/>
  <c r="I39" i="10"/>
  <c r="G38" i="10"/>
  <c r="I38" i="10"/>
  <c r="G37" i="10"/>
  <c r="T37" i="10" s="1"/>
  <c r="I37" i="10"/>
  <c r="G36" i="10"/>
  <c r="T36" i="10" s="1"/>
  <c r="I36" i="10"/>
  <c r="G35" i="10"/>
  <c r="I35" i="10"/>
  <c r="T35" i="10"/>
  <c r="G34" i="10"/>
  <c r="I34" i="10"/>
  <c r="T34" i="10" s="1"/>
  <c r="G33" i="10"/>
  <c r="I33" i="10"/>
  <c r="T33" i="10"/>
  <c r="G32" i="10"/>
  <c r="T32" i="10" s="1"/>
  <c r="I32" i="10"/>
  <c r="G31" i="10"/>
  <c r="T31" i="10" s="1"/>
  <c r="I31" i="10"/>
  <c r="H109" i="10"/>
  <c r="H106" i="10"/>
  <c r="H99" i="10"/>
  <c r="J94" i="10"/>
  <c r="H55" i="10"/>
  <c r="H154" i="10" s="1"/>
  <c r="H153" i="10" s="1"/>
  <c r="G131" i="10"/>
  <c r="G130" i="10"/>
  <c r="U130" i="10" s="1"/>
  <c r="G129" i="10"/>
  <c r="U129" i="10"/>
  <c r="G128" i="10"/>
  <c r="U128" i="10"/>
  <c r="G127" i="10"/>
  <c r="T127" i="10"/>
  <c r="G126" i="10"/>
  <c r="G125" i="10"/>
  <c r="U125" i="10"/>
  <c r="G124" i="10"/>
  <c r="U124" i="10"/>
  <c r="G123" i="10"/>
  <c r="U123" i="10"/>
  <c r="G122" i="10"/>
  <c r="G121" i="10"/>
  <c r="U121" i="10"/>
  <c r="G120" i="10"/>
  <c r="U120" i="10"/>
  <c r="G119" i="10"/>
  <c r="U119" i="10"/>
  <c r="G118" i="10"/>
  <c r="G117" i="10"/>
  <c r="U117" i="10"/>
  <c r="G116" i="10"/>
  <c r="U116" i="10"/>
  <c r="G115" i="10"/>
  <c r="U115" i="10"/>
  <c r="G114" i="10"/>
  <c r="G112" i="10"/>
  <c r="U112" i="10"/>
  <c r="G111" i="10"/>
  <c r="U111" i="10"/>
  <c r="G107" i="10"/>
  <c r="U107" i="10"/>
  <c r="G105" i="10"/>
  <c r="G104" i="10"/>
  <c r="U104" i="10"/>
  <c r="G103" i="10"/>
  <c r="U103" i="10"/>
  <c r="G102" i="10"/>
  <c r="U102" i="10"/>
  <c r="G101" i="10"/>
  <c r="G100" i="10"/>
  <c r="U100" i="10"/>
  <c r="G98" i="10"/>
  <c r="T98" i="10" s="1"/>
  <c r="U98" i="10"/>
  <c r="G96" i="10"/>
  <c r="U96" i="10"/>
  <c r="G95" i="10"/>
  <c r="G93" i="10"/>
  <c r="U93" i="10"/>
  <c r="G92" i="10"/>
  <c r="U92" i="10"/>
  <c r="G91" i="10"/>
  <c r="U91" i="10"/>
  <c r="G90" i="10"/>
  <c r="G89" i="10"/>
  <c r="U89" i="10"/>
  <c r="G88" i="10"/>
  <c r="U88" i="10"/>
  <c r="G87" i="10"/>
  <c r="U87" i="10"/>
  <c r="G86" i="10"/>
  <c r="G84" i="10"/>
  <c r="U84" i="10" s="1"/>
  <c r="G83" i="10"/>
  <c r="G82" i="10"/>
  <c r="U81" i="10"/>
  <c r="G80" i="10"/>
  <c r="G79" i="10"/>
  <c r="T79" i="10" s="1"/>
  <c r="G78" i="10"/>
  <c r="G77" i="10"/>
  <c r="G76" i="10"/>
  <c r="G75" i="10"/>
  <c r="G74" i="10"/>
  <c r="G73" i="10"/>
  <c r="G72" i="10"/>
  <c r="G71" i="10"/>
  <c r="G70" i="10"/>
  <c r="G69" i="10"/>
  <c r="T69" i="10" s="1"/>
  <c r="G68" i="10"/>
  <c r="G67" i="10"/>
  <c r="G66" i="10"/>
  <c r="G65" i="10"/>
  <c r="G64" i="10"/>
  <c r="G63" i="10"/>
  <c r="G62" i="10"/>
  <c r="G61" i="10"/>
  <c r="G60" i="10"/>
  <c r="G59" i="10"/>
  <c r="T59" i="10" s="1"/>
  <c r="G58" i="10"/>
  <c r="G57" i="10"/>
  <c r="G56" i="10"/>
  <c r="J109" i="10"/>
  <c r="J108" i="10"/>
  <c r="J106" i="10"/>
  <c r="I99" i="10"/>
  <c r="I94" i="10"/>
  <c r="U94" i="10" s="1"/>
  <c r="G97" i="10"/>
  <c r="I51" i="10"/>
  <c r="D81" i="10"/>
  <c r="S81" i="10"/>
  <c r="N80" i="10"/>
  <c r="D80" i="10"/>
  <c r="S80" i="10"/>
  <c r="N79" i="10"/>
  <c r="D79" i="10"/>
  <c r="N78" i="10"/>
  <c r="D78" i="10"/>
  <c r="S78" i="10"/>
  <c r="N77" i="10"/>
  <c r="D77" i="10"/>
  <c r="S77" i="10"/>
  <c r="N76" i="10"/>
  <c r="D76" i="10"/>
  <c r="S76" i="10"/>
  <c r="N75" i="10"/>
  <c r="D75" i="10"/>
  <c r="N74" i="10"/>
  <c r="D74" i="10"/>
  <c r="S74" i="10"/>
  <c r="N73" i="10"/>
  <c r="D73" i="10"/>
  <c r="S73" i="10"/>
  <c r="N72" i="10"/>
  <c r="D72" i="10"/>
  <c r="S72" i="10"/>
  <c r="N71" i="10"/>
  <c r="D71" i="10"/>
  <c r="N70" i="10"/>
  <c r="D70" i="10"/>
  <c r="S70" i="10"/>
  <c r="N69" i="10"/>
  <c r="D69" i="10"/>
  <c r="S69" i="10"/>
  <c r="N68" i="10"/>
  <c r="D68" i="10"/>
  <c r="S68" i="10"/>
  <c r="N67" i="10"/>
  <c r="D67" i="10"/>
  <c r="N66" i="10"/>
  <c r="D66" i="10"/>
  <c r="S66" i="10"/>
  <c r="N65" i="10"/>
  <c r="D65" i="10"/>
  <c r="S65" i="10"/>
  <c r="N64" i="10"/>
  <c r="D64" i="10"/>
  <c r="S64" i="10"/>
  <c r="N63" i="10"/>
  <c r="D63" i="10"/>
  <c r="N62" i="10"/>
  <c r="D62" i="10"/>
  <c r="S62" i="10"/>
  <c r="N61" i="10"/>
  <c r="D61" i="10"/>
  <c r="S61" i="10"/>
  <c r="N60" i="10"/>
  <c r="D60" i="10"/>
  <c r="S60" i="10"/>
  <c r="N59" i="10"/>
  <c r="D59" i="10"/>
  <c r="N58" i="10"/>
  <c r="D58" i="10"/>
  <c r="S58" i="10"/>
  <c r="N57" i="10"/>
  <c r="D57" i="10"/>
  <c r="S57" i="10"/>
  <c r="N56" i="10"/>
  <c r="D56" i="10"/>
  <c r="S56" i="10"/>
  <c r="N54" i="10"/>
  <c r="D54" i="10"/>
  <c r="N53" i="10"/>
  <c r="D53" i="10"/>
  <c r="S53" i="10"/>
  <c r="N52" i="10"/>
  <c r="D52" i="10"/>
  <c r="S52" i="10"/>
  <c r="N49" i="10"/>
  <c r="D49" i="10"/>
  <c r="S49" i="10"/>
  <c r="N48" i="10"/>
  <c r="D48" i="10"/>
  <c r="N47" i="10"/>
  <c r="D47" i="10"/>
  <c r="S47" i="10"/>
  <c r="N46" i="10"/>
  <c r="D46" i="10"/>
  <c r="S46" i="10"/>
  <c r="N45" i="10"/>
  <c r="D45" i="10"/>
  <c r="S45" i="10"/>
  <c r="N44" i="10"/>
  <c r="D44" i="10"/>
  <c r="N43" i="10"/>
  <c r="D43" i="10"/>
  <c r="S43" i="10"/>
  <c r="N42" i="10"/>
  <c r="D42" i="10"/>
  <c r="S42" i="10"/>
  <c r="N41" i="10"/>
  <c r="D41" i="10"/>
  <c r="S41" i="10"/>
  <c r="N40" i="10"/>
  <c r="D40" i="10"/>
  <c r="N39" i="10"/>
  <c r="D39" i="10"/>
  <c r="S39" i="10"/>
  <c r="N38" i="10"/>
  <c r="D38" i="10"/>
  <c r="S38" i="10"/>
  <c r="N37" i="10"/>
  <c r="D37" i="10"/>
  <c r="S37" i="10"/>
  <c r="N36" i="10"/>
  <c r="D36" i="10"/>
  <c r="N35" i="10"/>
  <c r="D35" i="10"/>
  <c r="S35" i="10"/>
  <c r="N34" i="10"/>
  <c r="D34" i="10"/>
  <c r="S34" i="10"/>
  <c r="N33" i="10"/>
  <c r="D33" i="10"/>
  <c r="S33" i="10"/>
  <c r="N32" i="10"/>
  <c r="D32" i="10"/>
  <c r="N31" i="10"/>
  <c r="D31" i="10"/>
  <c r="S31" i="10"/>
  <c r="N110" i="10"/>
  <c r="L110" i="10"/>
  <c r="N109" i="10"/>
  <c r="L109" i="10"/>
  <c r="N108" i="10"/>
  <c r="L108" i="10"/>
  <c r="M113" i="10"/>
  <c r="L106" i="10"/>
  <c r="D99" i="10"/>
  <c r="S99" i="10" s="1"/>
  <c r="N94" i="10"/>
  <c r="M97" i="10"/>
  <c r="M147" i="10"/>
  <c r="D94" i="10"/>
  <c r="D147" i="10"/>
  <c r="F94" i="10"/>
  <c r="S94" i="10"/>
  <c r="N50" i="10"/>
  <c r="M51" i="10"/>
  <c r="L55" i="10"/>
  <c r="L154" i="10"/>
  <c r="V154" i="10" s="1"/>
  <c r="E55" i="10"/>
  <c r="E154" i="10" s="1"/>
  <c r="F50" i="10"/>
  <c r="D50" i="10"/>
  <c r="S50" i="10" s="1"/>
  <c r="D51" i="10"/>
  <c r="F51" i="10"/>
  <c r="T51" i="10" s="1"/>
  <c r="S51" i="10"/>
  <c r="E109" i="10"/>
  <c r="O108" i="10"/>
  <c r="M108" i="10"/>
  <c r="E108" i="10"/>
  <c r="O113" i="10"/>
  <c r="N106" i="10"/>
  <c r="E113" i="10"/>
  <c r="D106" i="10"/>
  <c r="S106" i="10" s="1"/>
  <c r="F106" i="10"/>
  <c r="F99" i="10"/>
  <c r="O97" i="10"/>
  <c r="O147" i="10" s="1"/>
  <c r="L94" i="10"/>
  <c r="V94" i="10" s="1"/>
  <c r="E97" i="10"/>
  <c r="O51" i="10"/>
  <c r="N55" i="10"/>
  <c r="N154" i="10" s="1"/>
  <c r="N153" i="10"/>
  <c r="E50" i="10"/>
  <c r="V108" i="10"/>
  <c r="V106" i="10"/>
  <c r="G147" i="10"/>
  <c r="T110" i="10"/>
  <c r="U55" i="10"/>
  <c r="T95" i="10"/>
  <c r="T105" i="10"/>
  <c r="T118" i="10"/>
  <c r="T57" i="10"/>
  <c r="T65" i="10"/>
  <c r="T73" i="10"/>
  <c r="H147" i="10"/>
  <c r="U127" i="10"/>
  <c r="T129" i="10"/>
  <c r="E147" i="10"/>
  <c r="S109" i="10"/>
  <c r="V55" i="10"/>
  <c r="U109" i="10"/>
  <c r="T93" i="10"/>
  <c r="T104" i="10"/>
  <c r="T117" i="10"/>
  <c r="T125" i="10"/>
  <c r="T56" i="10"/>
  <c r="T60" i="10"/>
  <c r="T64" i="10"/>
  <c r="T68" i="10"/>
  <c r="T72" i="10"/>
  <c r="U80" i="10"/>
  <c r="U76" i="10"/>
  <c r="U72" i="10"/>
  <c r="U68" i="10"/>
  <c r="U64" i="10"/>
  <c r="U60" i="10"/>
  <c r="U56" i="10"/>
  <c r="U49" i="10"/>
  <c r="U45" i="10"/>
  <c r="U41" i="10"/>
  <c r="U33" i="10"/>
  <c r="T128" i="10"/>
  <c r="K154" i="10"/>
  <c r="T103" i="10"/>
  <c r="T116" i="10"/>
  <c r="T67" i="10"/>
  <c r="T75" i="10"/>
  <c r="U99" i="10"/>
  <c r="T87" i="10"/>
  <c r="T91" i="10"/>
  <c r="T115" i="10"/>
  <c r="T119" i="10"/>
  <c r="T123" i="10"/>
  <c r="T58" i="10"/>
  <c r="T62" i="10"/>
  <c r="T66" i="10"/>
  <c r="T70" i="10"/>
  <c r="T74" i="10"/>
  <c r="T78" i="10"/>
  <c r="U77" i="10"/>
  <c r="U75" i="10"/>
  <c r="U73" i="10"/>
  <c r="U67" i="10"/>
  <c r="U65" i="10"/>
  <c r="U61" i="10"/>
  <c r="U57" i="10"/>
  <c r="U52" i="10"/>
  <c r="U48" i="10"/>
  <c r="U42" i="10"/>
  <c r="U40" i="10"/>
  <c r="U32" i="10"/>
  <c r="U51" i="10"/>
  <c r="T50" i="10"/>
  <c r="U154" i="10"/>
  <c r="J153" i="10"/>
  <c r="E153" i="10"/>
  <c r="K153" i="10"/>
  <c r="N59" i="53"/>
  <c r="N51" i="53" s="1"/>
  <c r="G55" i="53"/>
  <c r="G56" i="53"/>
  <c r="G57" i="53"/>
  <c r="D38" i="42"/>
  <c r="D40" i="42"/>
  <c r="C41" i="42"/>
  <c r="B57" i="53"/>
  <c r="G37" i="53"/>
  <c r="G42" i="53"/>
  <c r="C40" i="42"/>
  <c r="C57" i="53"/>
  <c r="G45" i="53"/>
  <c r="C56" i="53"/>
  <c r="C55" i="53"/>
  <c r="G35" i="53"/>
  <c r="G46" i="53"/>
  <c r="G47" i="53"/>
  <c r="G54" i="53"/>
  <c r="H38" i="42"/>
  <c r="F51" i="42"/>
  <c r="C43" i="42"/>
  <c r="C45" i="42"/>
  <c r="C47" i="42"/>
  <c r="C49" i="42"/>
  <c r="D57" i="42"/>
  <c r="I59" i="42"/>
  <c r="C60" i="42"/>
  <c r="X40" i="42"/>
  <c r="U40" i="42"/>
  <c r="T41" i="42"/>
  <c r="H41" i="42"/>
  <c r="V43" i="42"/>
  <c r="G40" i="53"/>
  <c r="B56" i="53"/>
  <c r="B55" i="53"/>
  <c r="B45" i="53"/>
  <c r="C34" i="53"/>
  <c r="G38" i="53"/>
  <c r="G39" i="53"/>
  <c r="G43" i="53"/>
  <c r="G44" i="53"/>
  <c r="G48" i="53"/>
  <c r="G51" i="53"/>
  <c r="G53" i="53"/>
  <c r="I40" i="42"/>
  <c r="D43" i="42"/>
  <c r="D45" i="42"/>
  <c r="D47" i="42"/>
  <c r="D49" i="42"/>
  <c r="C59" i="42"/>
  <c r="D60" i="42"/>
  <c r="V40" i="42"/>
  <c r="X41" i="42"/>
  <c r="U41" i="42"/>
  <c r="W43" i="42"/>
  <c r="B34" i="53"/>
  <c r="G41" i="53"/>
  <c r="I47" i="42"/>
  <c r="C51" i="42"/>
  <c r="D52" i="42"/>
  <c r="C55" i="42"/>
  <c r="C57" i="42"/>
  <c r="T39" i="42"/>
  <c r="H39" i="42"/>
  <c r="W40" i="42"/>
  <c r="V41" i="42"/>
  <c r="X42" i="42"/>
  <c r="X44" i="42"/>
  <c r="U44" i="42"/>
  <c r="T45" i="42"/>
  <c r="H45" i="42"/>
  <c r="V47" i="42"/>
  <c r="X48" i="42"/>
  <c r="U48" i="42"/>
  <c r="T49" i="42"/>
  <c r="H49" i="42"/>
  <c r="W50" i="42"/>
  <c r="X51" i="42"/>
  <c r="U51" i="42"/>
  <c r="H51" i="42"/>
  <c r="J51" i="42"/>
  <c r="V52" i="42"/>
  <c r="T53" i="42"/>
  <c r="J53" i="42"/>
  <c r="V54" i="42"/>
  <c r="F54" i="42"/>
  <c r="T55" i="42"/>
  <c r="J55" i="42"/>
  <c r="T57" i="42"/>
  <c r="V58" i="42"/>
  <c r="G50" i="53"/>
  <c r="C39" i="42"/>
  <c r="C44" i="42"/>
  <c r="I45" i="42"/>
  <c r="I48" i="42"/>
  <c r="C52" i="42"/>
  <c r="D53" i="42"/>
  <c r="D58" i="42"/>
  <c r="D59" i="42"/>
  <c r="I60" i="42"/>
  <c r="U39" i="42"/>
  <c r="T40" i="42"/>
  <c r="H40" i="42"/>
  <c r="W41" i="42"/>
  <c r="V42" i="42"/>
  <c r="X43" i="42"/>
  <c r="T44" i="42"/>
  <c r="H44" i="42"/>
  <c r="W45" i="42"/>
  <c r="X47" i="42"/>
  <c r="U47" i="42"/>
  <c r="T48" i="42"/>
  <c r="H48" i="42"/>
  <c r="W49" i="42"/>
  <c r="V50" i="42"/>
  <c r="T51" i="42"/>
  <c r="X52" i="42"/>
  <c r="W53" i="42"/>
  <c r="E53" i="42"/>
  <c r="I53" i="42"/>
  <c r="X54" i="42"/>
  <c r="U54" i="42"/>
  <c r="C45" i="53"/>
  <c r="G49" i="53"/>
  <c r="C38" i="42"/>
  <c r="I44" i="42"/>
  <c r="I49" i="42"/>
  <c r="C50" i="42"/>
  <c r="D51" i="42"/>
  <c r="C54" i="42"/>
  <c r="D55" i="42"/>
  <c r="X39" i="42"/>
  <c r="U43" i="42"/>
  <c r="V44" i="42"/>
  <c r="X45" i="42"/>
  <c r="U45" i="42"/>
  <c r="W47" i="42"/>
  <c r="V48" i="42"/>
  <c r="X49" i="42"/>
  <c r="U49" i="42"/>
  <c r="T50" i="42"/>
  <c r="V51" i="42"/>
  <c r="W52" i="42"/>
  <c r="X53" i="42"/>
  <c r="U53" i="42"/>
  <c r="H53" i="42"/>
  <c r="W54" i="42"/>
  <c r="E54" i="42"/>
  <c r="I54" i="42"/>
  <c r="X55" i="42"/>
  <c r="U55" i="42"/>
  <c r="H55" i="42"/>
  <c r="X57" i="42"/>
  <c r="W58" i="42"/>
  <c r="G36" i="53"/>
  <c r="G52" i="53"/>
  <c r="I38" i="42"/>
  <c r="C58" i="42"/>
  <c r="T47" i="42"/>
  <c r="H47" i="42"/>
  <c r="X50" i="42"/>
  <c r="E51" i="42"/>
  <c r="F55" i="42"/>
  <c r="T56" i="42"/>
  <c r="X59" i="42"/>
  <c r="U59" i="42"/>
  <c r="T60" i="42"/>
  <c r="H60" i="42"/>
  <c r="W61" i="42"/>
  <c r="V38" i="42"/>
  <c r="W38" i="42"/>
  <c r="U52" i="42"/>
  <c r="U62" i="42"/>
  <c r="W62" i="42"/>
  <c r="U63" i="42"/>
  <c r="W63" i="42"/>
  <c r="B35" i="53"/>
  <c r="C37" i="53"/>
  <c r="B39" i="53"/>
  <c r="C41" i="53"/>
  <c r="B43" i="53"/>
  <c r="C47" i="53"/>
  <c r="B49" i="53"/>
  <c r="C51" i="53"/>
  <c r="B53" i="53"/>
  <c r="L38" i="42"/>
  <c r="J39" i="42"/>
  <c r="F35" i="53"/>
  <c r="L40" i="42"/>
  <c r="J41" i="42"/>
  <c r="F37" i="53"/>
  <c r="L42" i="42"/>
  <c r="J43" i="42"/>
  <c r="F39" i="53"/>
  <c r="L44" i="42"/>
  <c r="F41" i="53"/>
  <c r="L46" i="42"/>
  <c r="J47" i="42"/>
  <c r="F43" i="53"/>
  <c r="L48" i="42"/>
  <c r="J49" i="42"/>
  <c r="F45" i="53"/>
  <c r="C48" i="42"/>
  <c r="D54" i="42"/>
  <c r="I58" i="42"/>
  <c r="H43" i="42"/>
  <c r="X46" i="42"/>
  <c r="W51" i="42"/>
  <c r="I51" i="42"/>
  <c r="T54" i="42"/>
  <c r="E55" i="42"/>
  <c r="U56" i="42"/>
  <c r="J56" i="42"/>
  <c r="V57" i="42"/>
  <c r="X58" i="42"/>
  <c r="T59" i="42"/>
  <c r="H59" i="42"/>
  <c r="W60" i="42"/>
  <c r="V61" i="42"/>
  <c r="U50" i="42"/>
  <c r="C36" i="53"/>
  <c r="B38" i="53"/>
  <c r="C40" i="53"/>
  <c r="B42" i="53"/>
  <c r="C44" i="53"/>
  <c r="C46" i="53"/>
  <c r="B48" i="53"/>
  <c r="C50" i="53"/>
  <c r="B52" i="53"/>
  <c r="C54" i="53"/>
  <c r="J45" i="42"/>
  <c r="I41" i="42"/>
  <c r="C53" i="42"/>
  <c r="T43" i="42"/>
  <c r="W44" i="42"/>
  <c r="V45" i="42"/>
  <c r="T52" i="42"/>
  <c r="F53" i="42"/>
  <c r="H54" i="42"/>
  <c r="W55" i="42"/>
  <c r="I55" i="42"/>
  <c r="X56" i="42"/>
  <c r="U58" i="42"/>
  <c r="H58" i="42"/>
  <c r="V59" i="42"/>
  <c r="X60" i="42"/>
  <c r="U60" i="42"/>
  <c r="T61" i="42"/>
  <c r="H61" i="42"/>
  <c r="U38" i="42"/>
  <c r="U57" i="42"/>
  <c r="B36" i="53"/>
  <c r="C38" i="53"/>
  <c r="B40" i="53"/>
  <c r="C42" i="53"/>
  <c r="B44" i="53"/>
  <c r="B46" i="53"/>
  <c r="C48" i="53"/>
  <c r="B50" i="53"/>
  <c r="C52" i="53"/>
  <c r="B54" i="53"/>
  <c r="L45" i="42"/>
  <c r="W48" i="42"/>
  <c r="W57" i="42"/>
  <c r="T38" i="42"/>
  <c r="V62" i="42"/>
  <c r="V63" i="42"/>
  <c r="B37" i="53"/>
  <c r="C39" i="53"/>
  <c r="B47" i="53"/>
  <c r="C49" i="53"/>
  <c r="J40" i="42"/>
  <c r="F38" i="53"/>
  <c r="J48" i="42"/>
  <c r="L50" i="42"/>
  <c r="J52" i="42"/>
  <c r="F49" i="53"/>
  <c r="F51" i="53"/>
  <c r="L57" i="42"/>
  <c r="F54" i="53"/>
  <c r="J60" i="42"/>
  <c r="L61" i="42"/>
  <c r="I43" i="42"/>
  <c r="V49" i="42"/>
  <c r="X61" i="42"/>
  <c r="X62" i="42"/>
  <c r="X63" i="42"/>
  <c r="C35" i="53"/>
  <c r="J38" i="42"/>
  <c r="F36" i="53"/>
  <c r="L43" i="42"/>
  <c r="J46" i="42"/>
  <c r="F44" i="53"/>
  <c r="F46" i="53"/>
  <c r="L52" i="42"/>
  <c r="L54" i="42"/>
  <c r="L56" i="42"/>
  <c r="F53" i="53"/>
  <c r="J59" i="42"/>
  <c r="L60" i="42"/>
  <c r="F57" i="53"/>
  <c r="D48" i="42"/>
  <c r="U42" i="42"/>
  <c r="U46" i="42"/>
  <c r="V53" i="42"/>
  <c r="J54" i="42"/>
  <c r="E62" i="42"/>
  <c r="U61" i="42"/>
  <c r="X38" i="42"/>
  <c r="F34" i="53"/>
  <c r="L41" i="42"/>
  <c r="J44" i="42"/>
  <c r="F42" i="53"/>
  <c r="L49" i="42"/>
  <c r="L51" i="42"/>
  <c r="F48" i="53"/>
  <c r="F50" i="53"/>
  <c r="F52" i="53"/>
  <c r="J58" i="42"/>
  <c r="L59" i="42"/>
  <c r="F56" i="53"/>
  <c r="C43" i="53"/>
  <c r="C53" i="53"/>
  <c r="L47" i="42"/>
  <c r="L55" i="42"/>
  <c r="J61" i="42"/>
  <c r="K36" i="53"/>
  <c r="K40" i="53"/>
  <c r="K44" i="53"/>
  <c r="K48" i="53"/>
  <c r="K52" i="53"/>
  <c r="K56" i="53"/>
  <c r="J35" i="53"/>
  <c r="J39" i="53"/>
  <c r="J43" i="53"/>
  <c r="J47" i="53"/>
  <c r="J51" i="53"/>
  <c r="J55" i="53"/>
  <c r="I34" i="53"/>
  <c r="I38" i="53"/>
  <c r="I42" i="53"/>
  <c r="I46" i="53"/>
  <c r="I50" i="53"/>
  <c r="I54" i="53"/>
  <c r="D37" i="53"/>
  <c r="D41" i="53"/>
  <c r="D45" i="53"/>
  <c r="D49" i="53"/>
  <c r="D53" i="53"/>
  <c r="D57" i="53"/>
  <c r="K51" i="42"/>
  <c r="K40" i="42"/>
  <c r="K44" i="42"/>
  <c r="K48" i="42"/>
  <c r="K54" i="42"/>
  <c r="K58" i="42"/>
  <c r="K63" i="42"/>
  <c r="E50" i="42"/>
  <c r="T58" i="42"/>
  <c r="T63" i="42"/>
  <c r="L39" i="42"/>
  <c r="J50" i="42"/>
  <c r="J57" i="42"/>
  <c r="K37" i="53"/>
  <c r="K41" i="53"/>
  <c r="K45" i="53"/>
  <c r="K49" i="53"/>
  <c r="K53" i="53"/>
  <c r="K57" i="53"/>
  <c r="J36" i="53"/>
  <c r="J40" i="53"/>
  <c r="J44" i="53"/>
  <c r="J48" i="53"/>
  <c r="J52" i="53"/>
  <c r="J56" i="53"/>
  <c r="I35" i="53"/>
  <c r="I39" i="53"/>
  <c r="I43" i="53"/>
  <c r="I47" i="53"/>
  <c r="I51" i="53"/>
  <c r="I55" i="53"/>
  <c r="W59" i="42"/>
  <c r="J42" i="42"/>
  <c r="F47" i="53"/>
  <c r="L58" i="42"/>
  <c r="K34" i="53"/>
  <c r="K38" i="53"/>
  <c r="K42" i="53"/>
  <c r="K46" i="53"/>
  <c r="K50" i="53"/>
  <c r="K54" i="53"/>
  <c r="J37" i="53"/>
  <c r="J41" i="53"/>
  <c r="J45" i="53"/>
  <c r="J49" i="53"/>
  <c r="J53" i="53"/>
  <c r="J57" i="53"/>
  <c r="I36" i="53"/>
  <c r="I40" i="53"/>
  <c r="I44" i="53"/>
  <c r="I48" i="53"/>
  <c r="I52" i="53"/>
  <c r="I56" i="53"/>
  <c r="D35" i="53"/>
  <c r="D39" i="53"/>
  <c r="D43" i="53"/>
  <c r="D47" i="53"/>
  <c r="D51" i="53"/>
  <c r="D55" i="53"/>
  <c r="H56" i="53"/>
  <c r="N51" i="42"/>
  <c r="K38" i="42"/>
  <c r="K42" i="42"/>
  <c r="K46" i="42"/>
  <c r="K50" i="42"/>
  <c r="K52" i="42"/>
  <c r="K56" i="42"/>
  <c r="K60" i="42"/>
  <c r="K62" i="42"/>
  <c r="E52" i="42"/>
  <c r="V55" i="42"/>
  <c r="V60" i="42"/>
  <c r="F40" i="53"/>
  <c r="K43" i="53"/>
  <c r="J34" i="53"/>
  <c r="J50" i="53"/>
  <c r="I41" i="53"/>
  <c r="I57" i="53"/>
  <c r="D38" i="53"/>
  <c r="D46" i="53"/>
  <c r="D54" i="53"/>
  <c r="K39" i="42"/>
  <c r="K47" i="42"/>
  <c r="K53" i="42"/>
  <c r="K61" i="42"/>
  <c r="P39" i="42"/>
  <c r="O40" i="42"/>
  <c r="P41" i="42"/>
  <c r="O42" i="42"/>
  <c r="P43" i="42"/>
  <c r="O44" i="42"/>
  <c r="P45" i="42"/>
  <c r="O46" i="42"/>
  <c r="P47" i="42"/>
  <c r="O48" i="42"/>
  <c r="P49" i="42"/>
  <c r="O50" i="42"/>
  <c r="P51" i="42"/>
  <c r="O52" i="42"/>
  <c r="P53" i="42"/>
  <c r="P54" i="42"/>
  <c r="P55" i="42"/>
  <c r="P56" i="42"/>
  <c r="N62" i="42"/>
  <c r="AC56" i="42"/>
  <c r="O57" i="42"/>
  <c r="P58" i="42"/>
  <c r="O59" i="42"/>
  <c r="P60" i="42"/>
  <c r="O61" i="42"/>
  <c r="T62" i="42"/>
  <c r="B41" i="53"/>
  <c r="L53" i="42"/>
  <c r="K47" i="53"/>
  <c r="J38" i="53"/>
  <c r="J54" i="53"/>
  <c r="I45" i="53"/>
  <c r="D36" i="53"/>
  <c r="D44" i="53"/>
  <c r="D52" i="53"/>
  <c r="K45" i="42"/>
  <c r="K59" i="42"/>
  <c r="R40" i="42"/>
  <c r="R42" i="42"/>
  <c r="R44" i="42"/>
  <c r="R46" i="42"/>
  <c r="R48" i="42"/>
  <c r="R50" i="42"/>
  <c r="AC51" i="42"/>
  <c r="Z51" i="42"/>
  <c r="AE51" i="42"/>
  <c r="R52" i="42"/>
  <c r="AA53" i="42"/>
  <c r="B51" i="53"/>
  <c r="F55" i="53"/>
  <c r="K35" i="53"/>
  <c r="K51" i="53"/>
  <c r="J42" i="53"/>
  <c r="I49" i="53"/>
  <c r="D42" i="53"/>
  <c r="D50" i="53"/>
  <c r="D34" i="53"/>
  <c r="H55" i="53"/>
  <c r="K43" i="42"/>
  <c r="K57" i="42"/>
  <c r="J62" i="42"/>
  <c r="E57" i="42"/>
  <c r="O39" i="42"/>
  <c r="P40" i="42"/>
  <c r="O41" i="42"/>
  <c r="P42" i="42"/>
  <c r="O43" i="42"/>
  <c r="P44" i="42"/>
  <c r="O45" i="42"/>
  <c r="P46" i="42"/>
  <c r="O47" i="42"/>
  <c r="P48" i="42"/>
  <c r="O49" i="42"/>
  <c r="P50" i="42"/>
  <c r="O51" i="42"/>
  <c r="P52" i="42"/>
  <c r="O53" i="42"/>
  <c r="O54" i="42"/>
  <c r="O55" i="42"/>
  <c r="O56" i="42"/>
  <c r="P57" i="42"/>
  <c r="O58" i="42"/>
  <c r="P59" i="42"/>
  <c r="O60" i="42"/>
  <c r="P61" i="42"/>
  <c r="R38" i="42"/>
  <c r="J46" i="53"/>
  <c r="K41" i="42"/>
  <c r="J63" i="42"/>
  <c r="R39" i="42"/>
  <c r="R43" i="42"/>
  <c r="R47" i="42"/>
  <c r="AA51" i="42"/>
  <c r="Z53" i="42"/>
  <c r="AC54" i="42"/>
  <c r="R55" i="42"/>
  <c r="AC55" i="42"/>
  <c r="R56" i="42"/>
  <c r="AA56" i="42"/>
  <c r="R58" i="42"/>
  <c r="N38" i="42"/>
  <c r="AC38" i="42"/>
  <c r="Z38" i="42"/>
  <c r="AE38" i="42"/>
  <c r="AA43" i="42"/>
  <c r="AA44" i="42"/>
  <c r="N45" i="42"/>
  <c r="N46" i="42"/>
  <c r="AC48" i="42"/>
  <c r="Z48" i="42"/>
  <c r="AE48" i="42"/>
  <c r="AA50" i="42"/>
  <c r="Z52" i="42"/>
  <c r="H52" i="42"/>
  <c r="H57" i="42"/>
  <c r="P62" i="42"/>
  <c r="Z62" i="42"/>
  <c r="AC47" i="42"/>
  <c r="E38" i="42"/>
  <c r="E40" i="42"/>
  <c r="E42" i="42"/>
  <c r="E44" i="42"/>
  <c r="E46" i="42"/>
  <c r="E48" i="42"/>
  <c r="E58" i="42"/>
  <c r="E60" i="42"/>
  <c r="E63" i="42"/>
  <c r="R62" i="42"/>
  <c r="N63" i="42"/>
  <c r="I37" i="53"/>
  <c r="D56" i="53"/>
  <c r="K55" i="42"/>
  <c r="R51" i="42"/>
  <c r="R53" i="42"/>
  <c r="AC62" i="42"/>
  <c r="R57" i="42"/>
  <c r="R59" i="42"/>
  <c r="O38" i="42"/>
  <c r="AC39" i="42"/>
  <c r="Z39" i="42"/>
  <c r="AE39" i="42"/>
  <c r="AC40" i="42"/>
  <c r="Z40" i="42"/>
  <c r="AE40" i="42"/>
  <c r="AC41" i="42"/>
  <c r="Z41" i="42"/>
  <c r="AE41" i="42"/>
  <c r="AC42" i="42"/>
  <c r="Z42" i="42"/>
  <c r="AE42" i="42"/>
  <c r="AA45" i="42"/>
  <c r="AA46" i="42"/>
  <c r="N48" i="42"/>
  <c r="AC49" i="42"/>
  <c r="Z49" i="42"/>
  <c r="AE49" i="42"/>
  <c r="N52" i="42"/>
  <c r="N57" i="42"/>
  <c r="AC58" i="42"/>
  <c r="Z58" i="42"/>
  <c r="AE58" i="42"/>
  <c r="AC59" i="42"/>
  <c r="Z59" i="42"/>
  <c r="AE59" i="42"/>
  <c r="AC60" i="42"/>
  <c r="Z60" i="42"/>
  <c r="AE60" i="42"/>
  <c r="AC61" i="42"/>
  <c r="Z61" i="42"/>
  <c r="AE61" i="42"/>
  <c r="H50" i="42"/>
  <c r="AE52" i="42"/>
  <c r="AC52" i="42"/>
  <c r="F52" i="42"/>
  <c r="Z57" i="42"/>
  <c r="I57" i="42"/>
  <c r="AE47" i="42"/>
  <c r="O63" i="42"/>
  <c r="AA47" i="42"/>
  <c r="AA63" i="42"/>
  <c r="H63" i="42"/>
  <c r="H62" i="42"/>
  <c r="D62" i="42"/>
  <c r="K39" i="53"/>
  <c r="I53" i="53"/>
  <c r="D48" i="53"/>
  <c r="H57" i="53"/>
  <c r="R41" i="42"/>
  <c r="R45" i="42"/>
  <c r="R49" i="42"/>
  <c r="N53" i="42"/>
  <c r="AE53" i="42"/>
  <c r="R54" i="42"/>
  <c r="Z54" i="42"/>
  <c r="AE54" i="42"/>
  <c r="N55" i="42"/>
  <c r="Z55" i="42"/>
  <c r="AE55" i="42"/>
  <c r="N56" i="42"/>
  <c r="R60" i="42"/>
  <c r="P38" i="42"/>
  <c r="AA38" i="42"/>
  <c r="N39" i="42"/>
  <c r="N40" i="42"/>
  <c r="N41" i="42"/>
  <c r="N42" i="42"/>
  <c r="AC43" i="42"/>
  <c r="Z43" i="42"/>
  <c r="AE43" i="42"/>
  <c r="AC44" i="42"/>
  <c r="Z44" i="42"/>
  <c r="AE44" i="42"/>
  <c r="AA48" i="42"/>
  <c r="N49" i="42"/>
  <c r="N50" i="42"/>
  <c r="N58" i="42"/>
  <c r="N59" i="42"/>
  <c r="N60" i="42"/>
  <c r="N61" i="42"/>
  <c r="N47" i="42"/>
  <c r="Z50" i="42"/>
  <c r="I50" i="42"/>
  <c r="AA52" i="42"/>
  <c r="I52" i="42"/>
  <c r="AE57" i="42"/>
  <c r="AC57" i="42"/>
  <c r="F57" i="42"/>
  <c r="P63" i="42"/>
  <c r="Z47" i="42"/>
  <c r="Z63" i="42"/>
  <c r="E39" i="42"/>
  <c r="E41" i="42"/>
  <c r="E43" i="42"/>
  <c r="E45" i="42"/>
  <c r="E47" i="42"/>
  <c r="E49" i="42"/>
  <c r="E59" i="42"/>
  <c r="E61" i="42"/>
  <c r="R63" i="42"/>
  <c r="AC63" i="42"/>
  <c r="K55" i="53"/>
  <c r="D40" i="53"/>
  <c r="AA55" i="42"/>
  <c r="AA40" i="42"/>
  <c r="AA42" i="42"/>
  <c r="AE45" i="42"/>
  <c r="Z46" i="42"/>
  <c r="C63" i="42"/>
  <c r="AE63" i="42"/>
  <c r="K49" i="42"/>
  <c r="Z56" i="42"/>
  <c r="R61" i="42"/>
  <c r="N44" i="42"/>
  <c r="AC45" i="42"/>
  <c r="AA49" i="42"/>
  <c r="AA59" i="42"/>
  <c r="AA61" i="42"/>
  <c r="AC50" i="42"/>
  <c r="C62" i="42"/>
  <c r="AC53" i="42"/>
  <c r="AA54" i="42"/>
  <c r="N43" i="42"/>
  <c r="AC46" i="42"/>
  <c r="AA58" i="42"/>
  <c r="AA60" i="42"/>
  <c r="AE50" i="42"/>
  <c r="O62" i="42"/>
  <c r="AA62" i="42"/>
  <c r="AA39" i="42"/>
  <c r="Z45" i="42"/>
  <c r="F50" i="42"/>
  <c r="AE62" i="42"/>
  <c r="N54" i="42"/>
  <c r="AA57" i="42"/>
  <c r="AE46" i="42"/>
  <c r="AE56" i="42"/>
  <c r="AA41" i="42"/>
  <c r="X59" i="54"/>
  <c r="H59" i="54"/>
  <c r="P58" i="54"/>
  <c r="X57" i="54"/>
  <c r="H57" i="54"/>
  <c r="P56" i="54"/>
  <c r="X55" i="54"/>
  <c r="H55" i="54"/>
  <c r="P54" i="54"/>
  <c r="X53" i="54"/>
  <c r="H53" i="54"/>
  <c r="P52" i="54"/>
  <c r="X51" i="54"/>
  <c r="D59" i="54"/>
  <c r="H58" i="54"/>
  <c r="L57" i="54"/>
  <c r="L56" i="54"/>
  <c r="P55" i="54"/>
  <c r="T54" i="54"/>
  <c r="T53" i="54"/>
  <c r="X52" i="54"/>
  <c r="D52" i="54"/>
  <c r="H51" i="54"/>
  <c r="P50" i="54"/>
  <c r="X49" i="54"/>
  <c r="H49" i="54"/>
  <c r="P48" i="54"/>
  <c r="X47" i="54"/>
  <c r="H47" i="54"/>
  <c r="P46" i="54"/>
  <c r="X45" i="54"/>
  <c r="H45" i="54"/>
  <c r="P44" i="54"/>
  <c r="X43" i="54"/>
  <c r="H43" i="54"/>
  <c r="P42" i="54"/>
  <c r="X41" i="54"/>
  <c r="H41" i="54"/>
  <c r="P40" i="54"/>
  <c r="X39" i="54"/>
  <c r="H39" i="54"/>
  <c r="P38" i="54"/>
  <c r="X37" i="54"/>
  <c r="H37" i="54"/>
  <c r="P36" i="54"/>
  <c r="X35" i="54"/>
  <c r="H35" i="54"/>
  <c r="B46" i="54"/>
  <c r="H35" i="53"/>
  <c r="G54" i="42"/>
  <c r="Y59" i="54"/>
  <c r="I59" i="54"/>
  <c r="Q58" i="54"/>
  <c r="Y57" i="54"/>
  <c r="I57" i="54"/>
  <c r="Q56" i="54"/>
  <c r="Y55" i="54"/>
  <c r="I55" i="54"/>
  <c r="Q54" i="54"/>
  <c r="Y53" i="54"/>
  <c r="I53" i="54"/>
  <c r="Q52" i="54"/>
  <c r="Y51" i="54"/>
  <c r="I51" i="54"/>
  <c r="Q50" i="54"/>
  <c r="Y49" i="54"/>
  <c r="I49" i="54"/>
  <c r="Q48" i="54"/>
  <c r="Y47" i="54"/>
  <c r="I47" i="54"/>
  <c r="Q46" i="54"/>
  <c r="Y45" i="54"/>
  <c r="I45" i="54"/>
  <c r="Q44" i="54"/>
  <c r="Y43" i="54"/>
  <c r="I43" i="54"/>
  <c r="Q42" i="54"/>
  <c r="Y41" i="54"/>
  <c r="I41" i="54"/>
  <c r="Q40" i="54"/>
  <c r="Y39" i="54"/>
  <c r="I39" i="54"/>
  <c r="Q38" i="54"/>
  <c r="Y37" i="54"/>
  <c r="I37" i="54"/>
  <c r="Q36" i="54"/>
  <c r="Y35" i="54"/>
  <c r="I35" i="54"/>
  <c r="B45" i="54"/>
  <c r="E36" i="53"/>
  <c r="E44" i="53"/>
  <c r="E52" i="53"/>
  <c r="Q51" i="42"/>
  <c r="S40" i="42"/>
  <c r="Z59" i="54"/>
  <c r="J59" i="54"/>
  <c r="R58" i="54"/>
  <c r="Z57" i="54"/>
  <c r="J57" i="54"/>
  <c r="R56" i="54"/>
  <c r="Z55" i="54"/>
  <c r="J55" i="54"/>
  <c r="R54" i="54"/>
  <c r="Z53" i="54"/>
  <c r="J53" i="54"/>
  <c r="R52" i="54"/>
  <c r="Z51" i="54"/>
  <c r="J51" i="54"/>
  <c r="R50" i="54"/>
  <c r="Z49" i="54"/>
  <c r="J49" i="54"/>
  <c r="R48" i="54"/>
  <c r="Z47" i="54"/>
  <c r="J47" i="54"/>
  <c r="R46" i="54"/>
  <c r="Z45" i="54"/>
  <c r="J45" i="54"/>
  <c r="R44" i="54"/>
  <c r="Z43" i="54"/>
  <c r="J43" i="54"/>
  <c r="R42" i="54"/>
  <c r="Z41" i="54"/>
  <c r="J41" i="54"/>
  <c r="R40" i="54"/>
  <c r="Z39" i="54"/>
  <c r="J39" i="54"/>
  <c r="R38" i="54"/>
  <c r="Z37" i="54"/>
  <c r="J37" i="54"/>
  <c r="R36" i="54"/>
  <c r="Z35" i="54"/>
  <c r="J35" i="54"/>
  <c r="B44" i="54"/>
  <c r="B35" i="54"/>
  <c r="H42" i="53"/>
  <c r="H50" i="53"/>
  <c r="G50" i="42"/>
  <c r="Y53" i="42"/>
  <c r="O59" i="54"/>
  <c r="W58" i="54"/>
  <c r="G58" i="54"/>
  <c r="O57" i="54"/>
  <c r="W56" i="54"/>
  <c r="G56" i="54"/>
  <c r="O55" i="54"/>
  <c r="W54" i="54"/>
  <c r="G54" i="54"/>
  <c r="O53" i="54"/>
  <c r="W52" i="54"/>
  <c r="G52" i="54"/>
  <c r="O51" i="54"/>
  <c r="W50" i="54"/>
  <c r="G50" i="54"/>
  <c r="O49" i="54"/>
  <c r="W48" i="54"/>
  <c r="G48" i="54"/>
  <c r="O47" i="54"/>
  <c r="W46" i="54"/>
  <c r="G46" i="54"/>
  <c r="O45" i="54"/>
  <c r="W44" i="54"/>
  <c r="G44" i="54"/>
  <c r="O43" i="54"/>
  <c r="W42" i="54"/>
  <c r="G42" i="54"/>
  <c r="O41" i="54"/>
  <c r="W40" i="54"/>
  <c r="G40" i="54"/>
  <c r="O39" i="54"/>
  <c r="W38" i="54"/>
  <c r="G38" i="54"/>
  <c r="O37" i="54"/>
  <c r="W36" i="54"/>
  <c r="G36" i="54"/>
  <c r="O35" i="54"/>
  <c r="B39" i="54"/>
  <c r="B55" i="54"/>
  <c r="E39" i="53"/>
  <c r="E47" i="53"/>
  <c r="E55" i="53"/>
  <c r="AB47" i="42"/>
  <c r="AB51" i="42"/>
  <c r="AD55" i="42"/>
  <c r="G41" i="42"/>
  <c r="Y46" i="42"/>
  <c r="AB49" i="42"/>
  <c r="M42" i="42"/>
  <c r="Q41" i="42"/>
  <c r="F42" i="42"/>
  <c r="AF59" i="42"/>
  <c r="G42" i="42"/>
  <c r="S45" i="42"/>
  <c r="AB55" i="42"/>
  <c r="G48" i="42"/>
  <c r="S62" i="42"/>
  <c r="M62" i="42"/>
  <c r="Q46" i="42"/>
  <c r="AE64" i="42"/>
  <c r="AF44" i="42"/>
  <c r="AD49" i="42"/>
  <c r="M39" i="42"/>
  <c r="Q60" i="42"/>
  <c r="AF43" i="42"/>
  <c r="G53" i="42"/>
  <c r="Y64" i="42"/>
  <c r="AD43" i="42"/>
  <c r="Q47" i="42"/>
  <c r="Y48" i="42"/>
  <c r="I64" i="42"/>
  <c r="Q63" i="42"/>
  <c r="S59" i="42"/>
  <c r="AF41" i="42"/>
  <c r="AD50" i="42"/>
  <c r="S39" i="42"/>
  <c r="AD64" i="42"/>
  <c r="G52" i="42"/>
  <c r="S60" i="42"/>
  <c r="AF58" i="42"/>
  <c r="M59" i="42"/>
  <c r="S61" i="42"/>
  <c r="F45" i="42"/>
  <c r="X64" i="42"/>
  <c r="H64" i="42"/>
  <c r="O64" i="42"/>
  <c r="AD62" i="42"/>
  <c r="AF53" i="42"/>
  <c r="F43" i="42"/>
  <c r="M40" i="42"/>
  <c r="L62" i="42"/>
  <c r="Y51" i="42"/>
  <c r="AB40" i="42"/>
  <c r="M57" i="42"/>
  <c r="M43" i="42"/>
  <c r="R64" i="42"/>
  <c r="S46" i="42"/>
  <c r="Q64" i="42"/>
  <c r="M48" i="42"/>
  <c r="S51" i="42"/>
  <c r="AD39" i="42"/>
  <c r="F63" i="42"/>
  <c r="H37" i="53"/>
  <c r="H49" i="53"/>
  <c r="T59" i="54"/>
  <c r="X58" i="54"/>
  <c r="D58" i="54"/>
  <c r="D57" i="54"/>
  <c r="H56" i="54"/>
  <c r="L55" i="54"/>
  <c r="L54" i="54"/>
  <c r="P53" i="54"/>
  <c r="T52" i="54"/>
  <c r="T51" i="54"/>
  <c r="D51" i="54"/>
  <c r="L50" i="54"/>
  <c r="T49" i="54"/>
  <c r="D49" i="54"/>
  <c r="L48" i="54"/>
  <c r="T47" i="54"/>
  <c r="D47" i="54"/>
  <c r="L46" i="54"/>
  <c r="T45" i="54"/>
  <c r="D45" i="54"/>
  <c r="L44" i="54"/>
  <c r="T43" i="54"/>
  <c r="D43" i="54"/>
  <c r="L42" i="54"/>
  <c r="T41" i="54"/>
  <c r="D41" i="54"/>
  <c r="L40" i="54"/>
  <c r="T39" i="54"/>
  <c r="D39" i="54"/>
  <c r="L38" i="54"/>
  <c r="T37" i="54"/>
  <c r="D37" i="54"/>
  <c r="L36" i="54"/>
  <c r="T35" i="54"/>
  <c r="D35" i="54"/>
  <c r="B50" i="54"/>
  <c r="Y52" i="42"/>
  <c r="Y61" i="42"/>
  <c r="U59" i="54"/>
  <c r="E59" i="54"/>
  <c r="M58" i="54"/>
  <c r="U57" i="54"/>
  <c r="E57" i="54"/>
  <c r="M56" i="54"/>
  <c r="U55" i="54"/>
  <c r="E55" i="54"/>
  <c r="M54" i="54"/>
  <c r="U53" i="54"/>
  <c r="E53" i="54"/>
  <c r="M52" i="54"/>
  <c r="U51" i="54"/>
  <c r="E51" i="54"/>
  <c r="M50" i="54"/>
  <c r="U49" i="54"/>
  <c r="E49" i="54"/>
  <c r="M48" i="54"/>
  <c r="U47" i="54"/>
  <c r="E47" i="54"/>
  <c r="M46" i="54"/>
  <c r="U45" i="54"/>
  <c r="E45" i="54"/>
  <c r="M44" i="54"/>
  <c r="U43" i="54"/>
  <c r="E43" i="54"/>
  <c r="M42" i="54"/>
  <c r="U41" i="54"/>
  <c r="E41" i="54"/>
  <c r="M40" i="54"/>
  <c r="U39" i="54"/>
  <c r="E39" i="54"/>
  <c r="M38" i="54"/>
  <c r="U37" i="54"/>
  <c r="E37" i="54"/>
  <c r="M36" i="54"/>
  <c r="U35" i="54"/>
  <c r="E35" i="54"/>
  <c r="B49" i="54"/>
  <c r="E38" i="53"/>
  <c r="E46" i="53"/>
  <c r="E54" i="53"/>
  <c r="AF57" i="42"/>
  <c r="S48" i="42"/>
  <c r="V59" i="54"/>
  <c r="F59" i="54"/>
  <c r="N58" i="54"/>
  <c r="V57" i="54"/>
  <c r="F57" i="54"/>
  <c r="N56" i="54"/>
  <c r="V55" i="54"/>
  <c r="F55" i="54"/>
  <c r="N54" i="54"/>
  <c r="V53" i="54"/>
  <c r="F53" i="54"/>
  <c r="N52" i="54"/>
  <c r="V51" i="54"/>
  <c r="F51" i="54"/>
  <c r="N50" i="54"/>
  <c r="V49" i="54"/>
  <c r="F49" i="54"/>
  <c r="N48" i="54"/>
  <c r="V47" i="54"/>
  <c r="F47" i="54"/>
  <c r="N46" i="54"/>
  <c r="V45" i="54"/>
  <c r="F45" i="54"/>
  <c r="N44" i="54"/>
  <c r="V43" i="54"/>
  <c r="F43" i="54"/>
  <c r="N42" i="54"/>
  <c r="V41" i="54"/>
  <c r="F41" i="54"/>
  <c r="N40" i="54"/>
  <c r="V39" i="54"/>
  <c r="F39" i="54"/>
  <c r="N38" i="54"/>
  <c r="V37" i="54"/>
  <c r="F37" i="54"/>
  <c r="N36" i="54"/>
  <c r="V35" i="54"/>
  <c r="F35" i="54"/>
  <c r="B48" i="54"/>
  <c r="H36" i="53"/>
  <c r="H44" i="53"/>
  <c r="H52" i="53"/>
  <c r="Y56" i="42"/>
  <c r="Y60" i="42"/>
  <c r="K59" i="54"/>
  <c r="S58" i="54"/>
  <c r="C58" i="54"/>
  <c r="K57" i="54"/>
  <c r="S56" i="54"/>
  <c r="C56" i="54"/>
  <c r="K55" i="54"/>
  <c r="S54" i="54"/>
  <c r="C54" i="54"/>
  <c r="K53" i="54"/>
  <c r="S52" i="54"/>
  <c r="C52" i="54"/>
  <c r="K51" i="54"/>
  <c r="S50" i="54"/>
  <c r="C50" i="54"/>
  <c r="K49" i="54"/>
  <c r="S48" i="54"/>
  <c r="C48" i="54"/>
  <c r="K47" i="54"/>
  <c r="S46" i="54"/>
  <c r="C46" i="54"/>
  <c r="K45" i="54"/>
  <c r="S44" i="54"/>
  <c r="C44" i="54"/>
  <c r="K43" i="54"/>
  <c r="S42" i="54"/>
  <c r="C42" i="54"/>
  <c r="K41" i="54"/>
  <c r="S40" i="54"/>
  <c r="C40" i="54"/>
  <c r="K39" i="54"/>
  <c r="S38" i="54"/>
  <c r="C38" i="54"/>
  <c r="K37" i="54"/>
  <c r="S36" i="54"/>
  <c r="C36" i="54"/>
  <c r="K35" i="54"/>
  <c r="B43" i="54"/>
  <c r="B59" i="54"/>
  <c r="E41" i="53"/>
  <c r="E49" i="53"/>
  <c r="E57" i="53"/>
  <c r="Y54" i="42"/>
  <c r="AD58" i="42"/>
  <c r="V64" i="42"/>
  <c r="AF45" i="42"/>
  <c r="S53" i="42"/>
  <c r="Q56" i="42"/>
  <c r="M45" i="42"/>
  <c r="Q49" i="42"/>
  <c r="AD56" i="42"/>
  <c r="S54" i="42"/>
  <c r="D64" i="42"/>
  <c r="AD59" i="42"/>
  <c r="AF42" i="42"/>
  <c r="M64" i="42"/>
  <c r="F62" i="42"/>
  <c r="G63" i="42"/>
  <c r="AF61" i="42"/>
  <c r="Y43" i="42"/>
  <c r="Y58" i="42"/>
  <c r="G40" i="42"/>
  <c r="F39" i="42"/>
  <c r="Q40" i="42"/>
  <c r="AF50" i="42"/>
  <c r="AD60" i="42"/>
  <c r="S42" i="42"/>
  <c r="M51" i="42"/>
  <c r="AB53" i="42"/>
  <c r="M56" i="42"/>
  <c r="G45" i="42"/>
  <c r="L63" i="42"/>
  <c r="M46" i="42"/>
  <c r="AF49" i="42"/>
  <c r="AF56" i="42"/>
  <c r="S47" i="42"/>
  <c r="G46" i="42"/>
  <c r="S58" i="42"/>
  <c r="Y41" i="42"/>
  <c r="M38" i="42"/>
  <c r="AD40" i="42"/>
  <c r="S41" i="42"/>
  <c r="Q59" i="42"/>
  <c r="U64" i="42"/>
  <c r="T64" i="42"/>
  <c r="S63" i="42"/>
  <c r="AB62" i="42"/>
  <c r="M55" i="42"/>
  <c r="Q44" i="42"/>
  <c r="AB59" i="42"/>
  <c r="G44" i="42"/>
  <c r="AD53" i="42"/>
  <c r="G43" i="42"/>
  <c r="F60" i="42"/>
  <c r="Y39" i="42"/>
  <c r="F58" i="42"/>
  <c r="AD47" i="42"/>
  <c r="D63" i="42"/>
  <c r="AF60" i="42"/>
  <c r="Q54" i="42"/>
  <c r="Q43" i="42"/>
  <c r="I62" i="42"/>
  <c r="H47" i="53"/>
  <c r="H41" i="53"/>
  <c r="L59" i="54"/>
  <c r="L58" i="54"/>
  <c r="P57" i="54"/>
  <c r="T56" i="54"/>
  <c r="T55" i="54"/>
  <c r="X54" i="54"/>
  <c r="D54" i="54"/>
  <c r="D53" i="54"/>
  <c r="H52" i="54"/>
  <c r="L51" i="54"/>
  <c r="T50" i="54"/>
  <c r="D50" i="54"/>
  <c r="L49" i="54"/>
  <c r="T48" i="54"/>
  <c r="D48" i="54"/>
  <c r="L47" i="54"/>
  <c r="T46" i="54"/>
  <c r="D46" i="54"/>
  <c r="L45" i="54"/>
  <c r="T44" i="54"/>
  <c r="D44" i="54"/>
  <c r="L43" i="54"/>
  <c r="T42" i="54"/>
  <c r="D42" i="54"/>
  <c r="L41" i="54"/>
  <c r="T40" i="54"/>
  <c r="D40" i="54"/>
  <c r="L39" i="54"/>
  <c r="T38" i="54"/>
  <c r="D38" i="54"/>
  <c r="L37" i="54"/>
  <c r="T36" i="54"/>
  <c r="D36" i="54"/>
  <c r="L35" i="54"/>
  <c r="B42" i="54"/>
  <c r="B58" i="54"/>
  <c r="AB46" i="42"/>
  <c r="G57" i="42"/>
  <c r="M59" i="54"/>
  <c r="U58" i="54"/>
  <c r="E58" i="54"/>
  <c r="M57" i="54"/>
  <c r="U56" i="54"/>
  <c r="E56" i="54"/>
  <c r="M55" i="54"/>
  <c r="U54" i="54"/>
  <c r="E54" i="54"/>
  <c r="M53" i="54"/>
  <c r="U52" i="54"/>
  <c r="E52" i="54"/>
  <c r="M51" i="54"/>
  <c r="U50" i="54"/>
  <c r="E50" i="54"/>
  <c r="M49" i="54"/>
  <c r="U48" i="54"/>
  <c r="E48" i="54"/>
  <c r="M47" i="54"/>
  <c r="U46" i="54"/>
  <c r="E46" i="54"/>
  <c r="M45" i="54"/>
  <c r="U44" i="54"/>
  <c r="E44" i="54"/>
  <c r="M43" i="54"/>
  <c r="U42" i="54"/>
  <c r="E42" i="54"/>
  <c r="M41" i="54"/>
  <c r="U40" i="54"/>
  <c r="E40" i="54"/>
  <c r="M39" i="54"/>
  <c r="U38" i="54"/>
  <c r="E38" i="54"/>
  <c r="M37" i="54"/>
  <c r="U36" i="54"/>
  <c r="E36" i="54"/>
  <c r="M35" i="54"/>
  <c r="B41" i="54"/>
  <c r="B57" i="54"/>
  <c r="E42" i="53"/>
  <c r="E50" i="53"/>
  <c r="AB43" i="42"/>
  <c r="AB58" i="42"/>
  <c r="W64" i="42"/>
  <c r="N59" i="54"/>
  <c r="V58" i="54"/>
  <c r="F58" i="54"/>
  <c r="N57" i="54"/>
  <c r="V56" i="54"/>
  <c r="F56" i="54"/>
  <c r="N55" i="54"/>
  <c r="V54" i="54"/>
  <c r="F54" i="54"/>
  <c r="N53" i="54"/>
  <c r="V52" i="54"/>
  <c r="F52" i="54"/>
  <c r="N51" i="54"/>
  <c r="V50" i="54"/>
  <c r="F50" i="54"/>
  <c r="N49" i="54"/>
  <c r="V48" i="54"/>
  <c r="F48" i="54"/>
  <c r="N47" i="54"/>
  <c r="V46" i="54"/>
  <c r="F46" i="54"/>
  <c r="N45" i="54"/>
  <c r="V44" i="54"/>
  <c r="F44" i="54"/>
  <c r="N43" i="54"/>
  <c r="V42" i="54"/>
  <c r="F42" i="54"/>
  <c r="N41" i="54"/>
  <c r="V40" i="54"/>
  <c r="F40" i="54"/>
  <c r="N39" i="54"/>
  <c r="V38" i="54"/>
  <c r="F38" i="54"/>
  <c r="N37" i="54"/>
  <c r="V36" i="54"/>
  <c r="F36" i="54"/>
  <c r="N35" i="54"/>
  <c r="B40" i="54"/>
  <c r="B56" i="54"/>
  <c r="H40" i="53"/>
  <c r="H48" i="53"/>
  <c r="E34" i="53"/>
  <c r="AD46" i="42"/>
  <c r="S59" i="54"/>
  <c r="C59" i="54"/>
  <c r="K58" i="54"/>
  <c r="S57" i="54"/>
  <c r="C57" i="54"/>
  <c r="K56" i="54"/>
  <c r="S55" i="54"/>
  <c r="C55" i="54"/>
  <c r="K54" i="54"/>
  <c r="S53" i="54"/>
  <c r="C53" i="54"/>
  <c r="K52" i="54"/>
  <c r="S51" i="54"/>
  <c r="C51" i="54"/>
  <c r="K50" i="54"/>
  <c r="S49" i="54"/>
  <c r="C49" i="54"/>
  <c r="K48" i="54"/>
  <c r="S47" i="54"/>
  <c r="C47" i="54"/>
  <c r="K46" i="54"/>
  <c r="S45" i="54"/>
  <c r="C45" i="54"/>
  <c r="K44" i="54"/>
  <c r="S43" i="54"/>
  <c r="C43" i="54"/>
  <c r="K42" i="54"/>
  <c r="S41" i="54"/>
  <c r="C41" i="54"/>
  <c r="K40" i="54"/>
  <c r="S39" i="54"/>
  <c r="C39" i="54"/>
  <c r="K38" i="54"/>
  <c r="S37" i="54"/>
  <c r="C37" i="54"/>
  <c r="K36" i="54"/>
  <c r="S35" i="54"/>
  <c r="C35" i="54"/>
  <c r="B51" i="54"/>
  <c r="E37" i="53"/>
  <c r="E45" i="53"/>
  <c r="E53" i="53"/>
  <c r="AB39" i="42"/>
  <c r="S44" i="42"/>
  <c r="F48" i="42"/>
  <c r="G58" i="42"/>
  <c r="F59" i="42"/>
  <c r="AB41" i="42"/>
  <c r="AD51" i="42"/>
  <c r="AD38" i="42"/>
  <c r="C64" i="42"/>
  <c r="Q52" i="42"/>
  <c r="Z64" i="42"/>
  <c r="AF51" i="42"/>
  <c r="F49" i="42"/>
  <c r="Q58" i="42"/>
  <c r="M47" i="42"/>
  <c r="AB63" i="42"/>
  <c r="AF63" i="42"/>
  <c r="AA64" i="42"/>
  <c r="Q57" i="42"/>
  <c r="AD41" i="42"/>
  <c r="M44" i="42"/>
  <c r="Q53" i="42"/>
  <c r="F38" i="42"/>
  <c r="AB44" i="42"/>
  <c r="S38" i="42"/>
  <c r="AB56" i="42"/>
  <c r="Q39" i="42"/>
  <c r="Y40" i="42"/>
  <c r="G39" i="42"/>
  <c r="AD63" i="42"/>
  <c r="F44" i="42"/>
  <c r="F64" i="42"/>
  <c r="Y42" i="42"/>
  <c r="AF52" i="42"/>
  <c r="N64" i="42"/>
  <c r="Q45" i="42"/>
  <c r="M53" i="42"/>
  <c r="G51" i="42"/>
  <c r="Y38" i="42"/>
  <c r="AB54" i="42"/>
  <c r="G56" i="42"/>
  <c r="M54" i="42"/>
  <c r="AF64" i="42"/>
  <c r="S64" i="42"/>
  <c r="Q62" i="42"/>
  <c r="G60" i="42"/>
  <c r="Q61" i="42"/>
  <c r="AB48" i="42"/>
  <c r="M58" i="42"/>
  <c r="AF48" i="42"/>
  <c r="AF39" i="42"/>
  <c r="AD54" i="42"/>
  <c r="AD57" i="42"/>
  <c r="AD45" i="42"/>
  <c r="G61" i="42"/>
  <c r="S52" i="42"/>
  <c r="G62" i="42"/>
  <c r="Y50" i="42"/>
  <c r="G49" i="42"/>
  <c r="M61" i="42"/>
  <c r="H45" i="53"/>
  <c r="H51" i="53"/>
  <c r="T57" i="54"/>
  <c r="H54" i="54"/>
  <c r="X50" i="54"/>
  <c r="H48" i="54"/>
  <c r="P45" i="54"/>
  <c r="X42" i="54"/>
  <c r="H40" i="54"/>
  <c r="P37" i="54"/>
  <c r="B38" i="54"/>
  <c r="Q59" i="54"/>
  <c r="Y56" i="54"/>
  <c r="I54" i="54"/>
  <c r="Q51" i="54"/>
  <c r="Y48" i="54"/>
  <c r="I46" i="54"/>
  <c r="Q43" i="54"/>
  <c r="Y40" i="54"/>
  <c r="I38" i="54"/>
  <c r="Q35" i="54"/>
  <c r="E48" i="53"/>
  <c r="R59" i="54"/>
  <c r="Z56" i="54"/>
  <c r="J54" i="54"/>
  <c r="R51" i="54"/>
  <c r="Z48" i="54"/>
  <c r="J46" i="54"/>
  <c r="R43" i="54"/>
  <c r="Z40" i="54"/>
  <c r="J38" i="54"/>
  <c r="R35" i="54"/>
  <c r="H46" i="53"/>
  <c r="G59" i="54"/>
  <c r="O56" i="54"/>
  <c r="W53" i="54"/>
  <c r="G51" i="54"/>
  <c r="O48" i="54"/>
  <c r="W45" i="54"/>
  <c r="G43" i="54"/>
  <c r="O40" i="54"/>
  <c r="W37" i="54"/>
  <c r="G35" i="54"/>
  <c r="E51" i="53"/>
  <c r="G59" i="42"/>
  <c r="AB38" i="42"/>
  <c r="AD44" i="42"/>
  <c r="Y62" i="42"/>
  <c r="AF54" i="42"/>
  <c r="Y57" i="42"/>
  <c r="AB60" i="42"/>
  <c r="M49" i="42"/>
  <c r="G64" i="42"/>
  <c r="AD48" i="42"/>
  <c r="P64" i="42"/>
  <c r="AF47" i="42"/>
  <c r="AB52" i="42"/>
  <c r="Q50" i="42"/>
  <c r="Y44" i="42"/>
  <c r="X56" i="54"/>
  <c r="L53" i="54"/>
  <c r="H50" i="54"/>
  <c r="P47" i="54"/>
  <c r="X44" i="54"/>
  <c r="H42" i="54"/>
  <c r="P39" i="54"/>
  <c r="X36" i="54"/>
  <c r="B54" i="54"/>
  <c r="Y58" i="54"/>
  <c r="I56" i="54"/>
  <c r="Q53" i="54"/>
  <c r="Y50" i="54"/>
  <c r="I48" i="54"/>
  <c r="Q45" i="54"/>
  <c r="Y42" i="54"/>
  <c r="I40" i="54"/>
  <c r="Q37" i="54"/>
  <c r="B37" i="54"/>
  <c r="E56" i="53"/>
  <c r="Z58" i="54"/>
  <c r="J56" i="54"/>
  <c r="R53" i="54"/>
  <c r="Z50" i="54"/>
  <c r="J48" i="54"/>
  <c r="R45" i="54"/>
  <c r="Z42" i="54"/>
  <c r="J40" i="54"/>
  <c r="R37" i="54"/>
  <c r="B36" i="54"/>
  <c r="H54" i="53"/>
  <c r="O58" i="54"/>
  <c r="W55" i="54"/>
  <c r="G53" i="54"/>
  <c r="O50" i="54"/>
  <c r="W47" i="54"/>
  <c r="G45" i="54"/>
  <c r="O42" i="54"/>
  <c r="W39" i="54"/>
  <c r="G37" i="54"/>
  <c r="B47" i="54"/>
  <c r="H34" i="53"/>
  <c r="M52" i="42"/>
  <c r="Q55" i="42"/>
  <c r="F41" i="42"/>
  <c r="Y63" i="42"/>
  <c r="G47" i="42"/>
  <c r="Q38" i="42"/>
  <c r="AC64" i="42"/>
  <c r="AF55" i="42"/>
  <c r="F46" i="42"/>
  <c r="S49" i="42"/>
  <c r="M63" i="42"/>
  <c r="AB61" i="42"/>
  <c r="E64" i="42"/>
  <c r="AF62" i="42"/>
  <c r="H53" i="53"/>
  <c r="P59" i="54"/>
  <c r="D56" i="54"/>
  <c r="L52" i="54"/>
  <c r="P49" i="54"/>
  <c r="X46" i="54"/>
  <c r="H44" i="54"/>
  <c r="P41" i="54"/>
  <c r="X38" i="54"/>
  <c r="H36" i="54"/>
  <c r="Y59" i="42"/>
  <c r="I58" i="54"/>
  <c r="Q55" i="54"/>
  <c r="Y52" i="54"/>
  <c r="I50" i="54"/>
  <c r="Q47" i="54"/>
  <c r="Y44" i="54"/>
  <c r="I42" i="54"/>
  <c r="Q39" i="54"/>
  <c r="Y36" i="54"/>
  <c r="B53" i="54"/>
  <c r="AD52" i="42"/>
  <c r="J58" i="54"/>
  <c r="R55" i="54"/>
  <c r="Z52" i="54"/>
  <c r="J50" i="54"/>
  <c r="R47" i="54"/>
  <c r="Z44" i="54"/>
  <c r="J42" i="54"/>
  <c r="R39" i="54"/>
  <c r="Z36" i="54"/>
  <c r="B52" i="54"/>
  <c r="AB42" i="42"/>
  <c r="W57" i="54"/>
  <c r="G55" i="54"/>
  <c r="O52" i="54"/>
  <c r="W49" i="54"/>
  <c r="G47" i="54"/>
  <c r="O44" i="54"/>
  <c r="W41" i="54"/>
  <c r="G39" i="54"/>
  <c r="O36" i="54"/>
  <c r="E35" i="53"/>
  <c r="S55" i="42"/>
  <c r="F61" i="42"/>
  <c r="Y45" i="42"/>
  <c r="S50" i="42"/>
  <c r="L64" i="42"/>
  <c r="F47" i="42"/>
  <c r="M50" i="42"/>
  <c r="K64" i="42"/>
  <c r="AB45" i="42"/>
  <c r="Y49" i="42"/>
  <c r="AF46" i="42"/>
  <c r="Q42" i="42"/>
  <c r="Y47" i="42"/>
  <c r="AF40" i="42"/>
  <c r="AF38" i="42"/>
  <c r="H39" i="53"/>
  <c r="T58" i="54"/>
  <c r="D55" i="54"/>
  <c r="P51" i="54"/>
  <c r="X48" i="54"/>
  <c r="H46" i="54"/>
  <c r="P43" i="54"/>
  <c r="X40" i="54"/>
  <c r="H38" i="54"/>
  <c r="P35" i="54"/>
  <c r="AD42" i="42"/>
  <c r="Q57" i="54"/>
  <c r="Y54" i="54"/>
  <c r="I52" i="54"/>
  <c r="Q49" i="54"/>
  <c r="Y46" i="54"/>
  <c r="I44" i="54"/>
  <c r="Q41" i="54"/>
  <c r="Y38" i="54"/>
  <c r="I36" i="54"/>
  <c r="E40" i="53"/>
  <c r="Y55" i="42"/>
  <c r="R57" i="54"/>
  <c r="Z54" i="54"/>
  <c r="J52" i="54"/>
  <c r="R49" i="54"/>
  <c r="Z46" i="54"/>
  <c r="J44" i="54"/>
  <c r="R41" i="54"/>
  <c r="Z38" i="54"/>
  <c r="J36" i="54"/>
  <c r="H38" i="53"/>
  <c r="W59" i="54"/>
  <c r="G57" i="54"/>
  <c r="O54" i="54"/>
  <c r="W51" i="54"/>
  <c r="G49" i="54"/>
  <c r="O46" i="54"/>
  <c r="W43" i="54"/>
  <c r="G41" i="54"/>
  <c r="O38" i="54"/>
  <c r="W35" i="54"/>
  <c r="E43" i="53"/>
  <c r="F40" i="42"/>
  <c r="S43" i="42"/>
  <c r="J64" i="42"/>
  <c r="M60" i="42"/>
  <c r="AB50" i="42"/>
  <c r="Q48" i="42"/>
  <c r="S57" i="42"/>
  <c r="I63" i="42"/>
  <c r="G55" i="42"/>
  <c r="M41" i="42"/>
  <c r="G38" i="42"/>
  <c r="AB57" i="42"/>
  <c r="AB64" i="42"/>
  <c r="AD61" i="42"/>
  <c r="S56" i="42"/>
  <c r="H43" i="53"/>
  <c r="P58" i="37" l="1"/>
  <c r="S58" i="37"/>
  <c r="R58" i="37"/>
  <c r="U58" i="37"/>
  <c r="D58" i="37"/>
  <c r="F58" i="37"/>
  <c r="Y58" i="37"/>
  <c r="N58" i="37"/>
  <c r="Q58" i="37"/>
  <c r="AC64" i="37"/>
  <c r="O58" i="37"/>
  <c r="B58" i="37"/>
  <c r="I58" i="37"/>
  <c r="M58" i="37"/>
  <c r="C58" i="37"/>
  <c r="T58" i="37"/>
  <c r="AB65" i="42"/>
  <c r="I93" i="42"/>
  <c r="I126" i="42" s="1"/>
  <c r="J65" i="42"/>
  <c r="F70" i="42"/>
  <c r="F103" i="42" s="1"/>
  <c r="W60" i="54"/>
  <c r="AA38" i="54"/>
  <c r="AA46" i="54"/>
  <c r="AA54" i="54"/>
  <c r="K65" i="42"/>
  <c r="F110" i="42"/>
  <c r="F77" i="42"/>
  <c r="L65" i="42"/>
  <c r="F124" i="42"/>
  <c r="F91" i="42"/>
  <c r="AA36" i="54"/>
  <c r="AA44" i="54"/>
  <c r="AA52" i="54"/>
  <c r="P60" i="54"/>
  <c r="F76" i="42"/>
  <c r="F109" i="42" s="1"/>
  <c r="AC65" i="42"/>
  <c r="F71" i="42"/>
  <c r="F104" i="42" s="1"/>
  <c r="H58" i="53"/>
  <c r="AA42" i="54"/>
  <c r="AA50" i="54"/>
  <c r="AA58" i="54"/>
  <c r="P65" i="42"/>
  <c r="G65" i="42"/>
  <c r="G60" i="54"/>
  <c r="AA40" i="54"/>
  <c r="AA48" i="54"/>
  <c r="AA56" i="54"/>
  <c r="R60" i="54"/>
  <c r="Q60" i="54"/>
  <c r="S65" i="42"/>
  <c r="AF65" i="42"/>
  <c r="N65" i="42"/>
  <c r="F74" i="42"/>
  <c r="F107" i="42" s="1"/>
  <c r="F101" i="42"/>
  <c r="F68" i="42"/>
  <c r="AA65" i="42"/>
  <c r="F112" i="42"/>
  <c r="F79" i="42"/>
  <c r="Z65" i="42"/>
  <c r="F89" i="42"/>
  <c r="F122" i="42" s="1"/>
  <c r="F78" i="42"/>
  <c r="F111" i="42"/>
  <c r="C60" i="54"/>
  <c r="S60" i="54"/>
  <c r="E58" i="53"/>
  <c r="N60" i="54"/>
  <c r="M60" i="54"/>
  <c r="L60" i="54"/>
  <c r="I92" i="42"/>
  <c r="I125" i="42" s="1"/>
  <c r="D126" i="42"/>
  <c r="F121" i="42"/>
  <c r="F88" i="42"/>
  <c r="F90" i="42"/>
  <c r="F123" i="42" s="1"/>
  <c r="U65" i="42"/>
  <c r="L93" i="42"/>
  <c r="L126" i="42"/>
  <c r="F69" i="42"/>
  <c r="F102" i="42" s="1"/>
  <c r="F92" i="42"/>
  <c r="F125" i="42" s="1"/>
  <c r="M65" i="42"/>
  <c r="B61" i="54" a="1"/>
  <c r="B60" i="54"/>
  <c r="K60" i="54"/>
  <c r="F60" i="54"/>
  <c r="V60" i="54"/>
  <c r="E60" i="54"/>
  <c r="U60" i="54"/>
  <c r="T60" i="54"/>
  <c r="F126" i="42"/>
  <c r="Q65" i="42"/>
  <c r="R65" i="42"/>
  <c r="L92" i="42"/>
  <c r="L125" i="42"/>
  <c r="F73" i="42"/>
  <c r="F106" i="42" s="1"/>
  <c r="O65" i="42"/>
  <c r="X65" i="42"/>
  <c r="F75" i="42"/>
  <c r="F108" i="42" s="1"/>
  <c r="AD65" i="42"/>
  <c r="Y65" i="42"/>
  <c r="AE65" i="42"/>
  <c r="F72" i="42"/>
  <c r="F105" i="42"/>
  <c r="O60" i="54"/>
  <c r="C121" i="60" a="1"/>
  <c r="AA35" i="54"/>
  <c r="AA37" i="54"/>
  <c r="AA39" i="54"/>
  <c r="AA41" i="54"/>
  <c r="AB41" i="54"/>
  <c r="AA43" i="54"/>
  <c r="AB43" i="54"/>
  <c r="AA45" i="54"/>
  <c r="AA47" i="54"/>
  <c r="AB47" i="54"/>
  <c r="AA49" i="54"/>
  <c r="AA51" i="54"/>
  <c r="AA53" i="54"/>
  <c r="AA55" i="54"/>
  <c r="AA57" i="54"/>
  <c r="J60" i="54"/>
  <c r="AA59" i="54"/>
  <c r="Z60" i="54"/>
  <c r="I60" i="54"/>
  <c r="Y60" i="54"/>
  <c r="D60" i="54"/>
  <c r="H60" i="54"/>
  <c r="X60" i="54"/>
  <c r="AA71" i="42"/>
  <c r="AA104" i="42"/>
  <c r="AE86" i="42"/>
  <c r="AB53" i="54" s="1"/>
  <c r="AE119" i="42"/>
  <c r="AE76" i="42"/>
  <c r="AE109" i="42"/>
  <c r="AA87" i="42"/>
  <c r="AA120" i="42"/>
  <c r="N84" i="42"/>
  <c r="N117" i="42"/>
  <c r="AE92" i="42"/>
  <c r="AE125" i="42"/>
  <c r="F80" i="42"/>
  <c r="F113" i="42"/>
  <c r="Z75" i="42"/>
  <c r="Z108" i="42"/>
  <c r="AA69" i="42"/>
  <c r="AA102" i="42"/>
  <c r="AA92" i="42"/>
  <c r="AA125" i="42"/>
  <c r="O92" i="42"/>
  <c r="O125" i="42"/>
  <c r="AE80" i="42"/>
  <c r="AE113" i="42"/>
  <c r="AA90" i="42"/>
  <c r="AA123" i="42"/>
  <c r="AA88" i="42"/>
  <c r="AA121" i="42"/>
  <c r="AC76" i="42"/>
  <c r="AD129" i="60" s="1"/>
  <c r="AC109" i="42"/>
  <c r="N73" i="42"/>
  <c r="N106" i="42"/>
  <c r="AA84" i="42"/>
  <c r="AA117" i="42"/>
  <c r="AC83" i="42"/>
  <c r="AD136" i="60" s="1"/>
  <c r="AC116" i="42"/>
  <c r="C92" i="42"/>
  <c r="C125" i="42"/>
  <c r="AC80" i="42"/>
  <c r="AD133" i="60" s="1"/>
  <c r="AC113" i="42"/>
  <c r="AA91" i="42"/>
  <c r="AA124" i="42"/>
  <c r="AA89" i="42"/>
  <c r="AA122" i="42"/>
  <c r="AA79" i="42"/>
  <c r="AA112" i="42"/>
  <c r="AC75" i="42"/>
  <c r="AD128" i="60" s="1"/>
  <c r="AC108" i="42"/>
  <c r="N74" i="42"/>
  <c r="N107" i="42"/>
  <c r="R91" i="42"/>
  <c r="R124" i="42"/>
  <c r="Z86" i="42"/>
  <c r="Z119" i="42"/>
  <c r="K79" i="42"/>
  <c r="K112" i="42"/>
  <c r="AE93" i="42"/>
  <c r="AE126" i="42"/>
  <c r="C93" i="42"/>
  <c r="C126" i="42"/>
  <c r="Z76" i="42"/>
  <c r="Z109" i="42"/>
  <c r="AE75" i="42"/>
  <c r="AB42" i="54" s="1"/>
  <c r="AE108" i="42"/>
  <c r="AA72" i="42"/>
  <c r="AA105" i="42"/>
  <c r="AA70" i="42"/>
  <c r="AA103" i="42"/>
  <c r="AA85" i="42"/>
  <c r="AA118" i="42"/>
  <c r="AC93" i="42"/>
  <c r="AC126" i="42"/>
  <c r="R93" i="42"/>
  <c r="R126" i="42"/>
  <c r="E91" i="42"/>
  <c r="E124" i="42"/>
  <c r="E89" i="42"/>
  <c r="E122" i="42"/>
  <c r="E79" i="42"/>
  <c r="E112" i="42"/>
  <c r="E77" i="42"/>
  <c r="E110" i="42"/>
  <c r="E75" i="42"/>
  <c r="E108" i="42"/>
  <c r="E73" i="42"/>
  <c r="E106" i="42"/>
  <c r="E71" i="42"/>
  <c r="E104" i="42"/>
  <c r="E69" i="42"/>
  <c r="E102" i="42"/>
  <c r="Z93" i="42"/>
  <c r="Z126" i="42"/>
  <c r="Z77" i="42"/>
  <c r="Z110" i="42"/>
  <c r="P93" i="42"/>
  <c r="P126" i="42"/>
  <c r="F87" i="42"/>
  <c r="F120" i="42"/>
  <c r="AC87" i="42"/>
  <c r="AD140" i="60" s="1"/>
  <c r="AC120" i="42"/>
  <c r="AE87" i="42"/>
  <c r="AB54" i="54" s="1"/>
  <c r="AE120" i="42"/>
  <c r="I82" i="42"/>
  <c r="I115" i="42"/>
  <c r="AA82" i="42"/>
  <c r="AA115" i="42"/>
  <c r="I80" i="42"/>
  <c r="BB27" i="18" s="1"/>
  <c r="I113" i="42"/>
  <c r="Z80" i="42"/>
  <c r="Z113" i="42"/>
  <c r="N77" i="42"/>
  <c r="N110" i="42"/>
  <c r="N91" i="42"/>
  <c r="N124" i="42"/>
  <c r="N90" i="42"/>
  <c r="N123" i="42"/>
  <c r="N89" i="42"/>
  <c r="N122" i="42"/>
  <c r="N88" i="42"/>
  <c r="N121" i="42"/>
  <c r="N80" i="42"/>
  <c r="N113" i="42"/>
  <c r="N79" i="42"/>
  <c r="N112" i="42"/>
  <c r="AA78" i="42"/>
  <c r="AA111" i="42"/>
  <c r="AE74" i="42"/>
  <c r="AE107" i="42"/>
  <c r="Z74" i="42"/>
  <c r="Z107" i="42"/>
  <c r="AC74" i="42"/>
  <c r="AD127" i="60" s="1"/>
  <c r="AC107" i="42"/>
  <c r="AE73" i="42"/>
  <c r="AB40" i="54" s="1"/>
  <c r="AE106" i="42"/>
  <c r="Z73" i="42"/>
  <c r="Z106" i="42"/>
  <c r="AC73" i="42"/>
  <c r="AD126" i="60" s="1"/>
  <c r="AC106" i="42"/>
  <c r="N72" i="42"/>
  <c r="N105" i="42"/>
  <c r="N71" i="42"/>
  <c r="N104" i="42"/>
  <c r="N70" i="42"/>
  <c r="N103" i="42"/>
  <c r="N69" i="42"/>
  <c r="N102" i="42"/>
  <c r="AA68" i="42"/>
  <c r="AA101" i="42"/>
  <c r="P68" i="42"/>
  <c r="P101" i="42"/>
  <c r="R90" i="42"/>
  <c r="R123" i="42"/>
  <c r="N86" i="42"/>
  <c r="N119" i="42"/>
  <c r="AE85" i="42"/>
  <c r="AB52" i="54" s="1"/>
  <c r="AE118" i="42"/>
  <c r="Z85" i="42"/>
  <c r="AE138" i="60" s="1"/>
  <c r="Z118" i="42"/>
  <c r="N85" i="42"/>
  <c r="N118" i="42"/>
  <c r="AE84" i="42"/>
  <c r="AB51" i="54" s="1"/>
  <c r="AE117" i="42"/>
  <c r="Z84" i="42"/>
  <c r="AE137" i="60" s="1"/>
  <c r="Z117" i="42"/>
  <c r="R84" i="42"/>
  <c r="R117" i="42"/>
  <c r="AE83" i="42"/>
  <c r="AB50" i="54" s="1"/>
  <c r="AE116" i="42"/>
  <c r="N83" i="42"/>
  <c r="N116" i="42"/>
  <c r="R79" i="42"/>
  <c r="R112" i="42"/>
  <c r="R75" i="42"/>
  <c r="R108" i="42"/>
  <c r="R71" i="42"/>
  <c r="R104" i="42"/>
  <c r="S53" i="53"/>
  <c r="D92" i="42"/>
  <c r="D125" i="42" s="1"/>
  <c r="H92" i="42"/>
  <c r="H125" i="42" s="1"/>
  <c r="H93" i="42"/>
  <c r="H126" i="42" s="1"/>
  <c r="AA93" i="42"/>
  <c r="AA126" i="42" s="1"/>
  <c r="AA77" i="42"/>
  <c r="AA110" i="42" s="1"/>
  <c r="O93" i="42"/>
  <c r="Q93" i="42" s="1"/>
  <c r="Q126" i="42" s="1"/>
  <c r="AE77" i="42"/>
  <c r="AE110" i="42" s="1"/>
  <c r="I87" i="42"/>
  <c r="BB34" i="18" s="1"/>
  <c r="Z87" i="42"/>
  <c r="AE140" i="60" s="1"/>
  <c r="F82" i="42"/>
  <c r="F115" i="42" s="1"/>
  <c r="AC82" i="42"/>
  <c r="AD135" i="60" s="1"/>
  <c r="AE82" i="42"/>
  <c r="AB49" i="54" s="1"/>
  <c r="H80" i="42"/>
  <c r="H113" i="42" s="1"/>
  <c r="AE91" i="42"/>
  <c r="AB58" i="54" s="1"/>
  <c r="Z91" i="42"/>
  <c r="AE144" i="60" s="1"/>
  <c r="AC91" i="42"/>
  <c r="AD144" i="60" s="1"/>
  <c r="AE90" i="42"/>
  <c r="AB57" i="54" s="1"/>
  <c r="Z90" i="42"/>
  <c r="AE143" i="60" s="1"/>
  <c r="AC90" i="42"/>
  <c r="AD143" i="60" s="1"/>
  <c r="AE89" i="42"/>
  <c r="AB56" i="54" s="1"/>
  <c r="Z89" i="42"/>
  <c r="AE142" i="60" s="1"/>
  <c r="AC89" i="42"/>
  <c r="AD142" i="60" s="1"/>
  <c r="AE88" i="42"/>
  <c r="AE121" i="42" s="1"/>
  <c r="Z88" i="42"/>
  <c r="AE141" i="60" s="1"/>
  <c r="AC88" i="42"/>
  <c r="AD141" i="60" s="1"/>
  <c r="N87" i="42"/>
  <c r="N120" i="42" s="1"/>
  <c r="N82" i="42"/>
  <c r="N115" i="42" s="1"/>
  <c r="AE79" i="42"/>
  <c r="AB46" i="54" s="1"/>
  <c r="Z79" i="42"/>
  <c r="AE132" i="60" s="1"/>
  <c r="AC79" i="42"/>
  <c r="AD132" i="60" s="1"/>
  <c r="N78" i="42"/>
  <c r="N111" i="42" s="1"/>
  <c r="AA76" i="42"/>
  <c r="AA109" i="42" s="1"/>
  <c r="AA75" i="42"/>
  <c r="AA108" i="42" s="1"/>
  <c r="AE72" i="42"/>
  <c r="AB39" i="54" s="1"/>
  <c r="Z72" i="42"/>
  <c r="AE125" i="60" s="1"/>
  <c r="AC72" i="42"/>
  <c r="AD125" i="60" s="1"/>
  <c r="AE71" i="42"/>
  <c r="AB38" i="54" s="1"/>
  <c r="Z71" i="42"/>
  <c r="AE124" i="60" s="1"/>
  <c r="AC71" i="42"/>
  <c r="AD124" i="60" s="1"/>
  <c r="AE70" i="42"/>
  <c r="AB37" i="54" s="1"/>
  <c r="Z70" i="42"/>
  <c r="AE123" i="60" s="1"/>
  <c r="AC70" i="42"/>
  <c r="AD123" i="60" s="1"/>
  <c r="AE69" i="42"/>
  <c r="AB36" i="54" s="1"/>
  <c r="Z69" i="42"/>
  <c r="AE122" i="60" s="1"/>
  <c r="AC69" i="42"/>
  <c r="AD122" i="60" s="1"/>
  <c r="O68" i="42"/>
  <c r="O101" i="42" s="1"/>
  <c r="R89" i="42"/>
  <c r="R122" i="42" s="1"/>
  <c r="R87" i="42"/>
  <c r="R120" i="42" s="1"/>
  <c r="AC125" i="42"/>
  <c r="R83" i="42"/>
  <c r="R116" i="42"/>
  <c r="R81" i="42"/>
  <c r="R114" i="42"/>
  <c r="K85" i="42"/>
  <c r="K118" i="42"/>
  <c r="S37" i="53"/>
  <c r="N93" i="42"/>
  <c r="N126" i="42" s="1"/>
  <c r="R92" i="42"/>
  <c r="R125" i="42" s="1"/>
  <c r="E93" i="42"/>
  <c r="E126" i="42" s="1"/>
  <c r="E90" i="42"/>
  <c r="E123" i="42" s="1"/>
  <c r="E88" i="42"/>
  <c r="E121" i="42" s="1"/>
  <c r="E78" i="42"/>
  <c r="E111" i="42" s="1"/>
  <c r="E76" i="42"/>
  <c r="E109" i="42" s="1"/>
  <c r="E74" i="42"/>
  <c r="E107" i="42" s="1"/>
  <c r="E72" i="42"/>
  <c r="E105" i="42" s="1"/>
  <c r="E70" i="42"/>
  <c r="E103" i="42" s="1"/>
  <c r="E68" i="42"/>
  <c r="E101" i="42" s="1"/>
  <c r="AC77" i="42"/>
  <c r="AD130" i="60" s="1"/>
  <c r="Z92" i="42"/>
  <c r="Z125" i="42" s="1"/>
  <c r="P92" i="42"/>
  <c r="P125" i="42" s="1"/>
  <c r="H87" i="42"/>
  <c r="H120" i="42" s="1"/>
  <c r="H82" i="42"/>
  <c r="H115" i="42" s="1"/>
  <c r="Z82" i="42"/>
  <c r="AE135" i="60" s="1"/>
  <c r="AA80" i="42"/>
  <c r="AA113" i="42" s="1"/>
  <c r="AE78" i="42"/>
  <c r="AB45" i="54" s="1"/>
  <c r="Z78" i="42"/>
  <c r="AE131" i="60" s="1"/>
  <c r="AC78" i="42"/>
  <c r="AD131" i="60" s="1"/>
  <c r="N76" i="42"/>
  <c r="N109" i="42" s="1"/>
  <c r="N75" i="42"/>
  <c r="N108" i="42" s="1"/>
  <c r="AA74" i="42"/>
  <c r="AA107" i="42" s="1"/>
  <c r="AA73" i="42"/>
  <c r="AA106" i="42" s="1"/>
  <c r="AE68" i="42"/>
  <c r="AB35" i="54" s="1"/>
  <c r="Z68" i="42"/>
  <c r="Z101" i="42" s="1"/>
  <c r="AC68" i="42"/>
  <c r="AC101" i="42" s="1"/>
  <c r="N68" i="42"/>
  <c r="N101" i="42" s="1"/>
  <c r="R88" i="42"/>
  <c r="R121" i="42" s="1"/>
  <c r="AA86" i="42"/>
  <c r="AA119" i="42" s="1"/>
  <c r="R86" i="42"/>
  <c r="R119" i="42" s="1"/>
  <c r="AC85" i="42"/>
  <c r="AD138" i="60" s="1"/>
  <c r="R85" i="42"/>
  <c r="R118" i="42" s="1"/>
  <c r="AC84" i="42"/>
  <c r="AD137" i="60" s="1"/>
  <c r="Z83" i="42"/>
  <c r="Z116" i="42" s="1"/>
  <c r="AA81" i="42"/>
  <c r="AA114" i="42" s="1"/>
  <c r="R77" i="42"/>
  <c r="R110" i="42" s="1"/>
  <c r="R73" i="42"/>
  <c r="R106" i="42" s="1"/>
  <c r="R69" i="42"/>
  <c r="R102" i="42" s="1"/>
  <c r="J93" i="42"/>
  <c r="J126" i="42" s="1"/>
  <c r="K71" i="42"/>
  <c r="K104" i="42" s="1"/>
  <c r="T46" i="53"/>
  <c r="R68" i="42"/>
  <c r="R101" i="42"/>
  <c r="P91" i="42"/>
  <c r="P124" i="42"/>
  <c r="O90" i="42"/>
  <c r="O123" i="42"/>
  <c r="P89" i="42"/>
  <c r="P122" i="42"/>
  <c r="O88" i="42"/>
  <c r="O121" i="42"/>
  <c r="P87" i="42"/>
  <c r="P120" i="42"/>
  <c r="O86" i="42"/>
  <c r="O119" i="42"/>
  <c r="O85" i="42"/>
  <c r="O118" i="42"/>
  <c r="O84" i="42"/>
  <c r="O117" i="42"/>
  <c r="O83" i="42"/>
  <c r="O116" i="42"/>
  <c r="P82" i="42"/>
  <c r="P115" i="42"/>
  <c r="O81" i="42"/>
  <c r="O114" i="42"/>
  <c r="P80" i="42"/>
  <c r="P113" i="42"/>
  <c r="O79" i="42"/>
  <c r="O112" i="42"/>
  <c r="P78" i="42"/>
  <c r="P111" i="42"/>
  <c r="O77" i="42"/>
  <c r="O110" i="42"/>
  <c r="P76" i="42"/>
  <c r="P109" i="42"/>
  <c r="O75" i="42"/>
  <c r="O108" i="42"/>
  <c r="P74" i="42"/>
  <c r="P107" i="42"/>
  <c r="O73" i="42"/>
  <c r="O106" i="42"/>
  <c r="P72" i="42"/>
  <c r="P105" i="42"/>
  <c r="O71" i="42"/>
  <c r="O104" i="42"/>
  <c r="P70" i="42"/>
  <c r="P103" i="42"/>
  <c r="O69" i="42"/>
  <c r="O102" i="42"/>
  <c r="E87" i="42"/>
  <c r="E120" i="42"/>
  <c r="J92" i="42"/>
  <c r="J125" i="42"/>
  <c r="K87" i="42"/>
  <c r="K120" i="42"/>
  <c r="K73" i="42"/>
  <c r="K106" i="42"/>
  <c r="D58" i="53"/>
  <c r="S49" i="53"/>
  <c r="T42" i="53"/>
  <c r="AF19" i="37"/>
  <c r="AA83" i="42"/>
  <c r="AA116" i="42" s="1"/>
  <c r="R82" i="42"/>
  <c r="R115" i="42" s="1"/>
  <c r="AE81" i="42"/>
  <c r="AB48" i="54" s="1"/>
  <c r="Z81" i="42"/>
  <c r="AE134" i="60" s="1"/>
  <c r="AC81" i="42"/>
  <c r="AD134" i="60" s="1"/>
  <c r="R80" i="42"/>
  <c r="R113" i="42" s="1"/>
  <c r="R78" i="42"/>
  <c r="R111" i="42" s="1"/>
  <c r="R76" i="42"/>
  <c r="R109" i="42" s="1"/>
  <c r="R74" i="42"/>
  <c r="R107" i="42" s="1"/>
  <c r="R72" i="42"/>
  <c r="R105" i="42" s="1"/>
  <c r="R70" i="42"/>
  <c r="R103" i="42" s="1"/>
  <c r="K89" i="42"/>
  <c r="K122" i="42" s="1"/>
  <c r="K75" i="42"/>
  <c r="K108" i="42" s="1"/>
  <c r="S45" i="53"/>
  <c r="T54" i="53"/>
  <c r="T38" i="53"/>
  <c r="L83" i="42"/>
  <c r="L116" i="42"/>
  <c r="AF9" i="37"/>
  <c r="T92" i="42"/>
  <c r="T125" i="42" s="1"/>
  <c r="O91" i="42"/>
  <c r="Q91" i="42" s="1"/>
  <c r="AB144" i="60" s="1"/>
  <c r="P90" i="42"/>
  <c r="P123" i="42" s="1"/>
  <c r="O89" i="42"/>
  <c r="Q89" i="42" s="1"/>
  <c r="AB142" i="60" s="1"/>
  <c r="P88" i="42"/>
  <c r="P121" i="42" s="1"/>
  <c r="O87" i="42"/>
  <c r="Q87" i="42" s="1"/>
  <c r="Q120" i="42" s="1"/>
  <c r="AC86" i="42"/>
  <c r="AD139" i="60" s="1"/>
  <c r="N125" i="42"/>
  <c r="P86" i="42"/>
  <c r="P119" i="42"/>
  <c r="P85" i="42"/>
  <c r="P118" i="42"/>
  <c r="P84" i="42"/>
  <c r="P117" i="42"/>
  <c r="P83" i="42"/>
  <c r="P116" i="42"/>
  <c r="O82" i="42"/>
  <c r="Q82" i="42" s="1"/>
  <c r="Q115" i="42" s="1"/>
  <c r="O115" i="42"/>
  <c r="P81" i="42"/>
  <c r="P114" i="42"/>
  <c r="O80" i="42"/>
  <c r="Q80" i="42" s="1"/>
  <c r="Q113" i="42" s="1"/>
  <c r="O113" i="42"/>
  <c r="P79" i="42"/>
  <c r="P112" i="42"/>
  <c r="O78" i="42"/>
  <c r="Q78" i="42" s="1"/>
  <c r="Q111" i="42" s="1"/>
  <c r="O111" i="42"/>
  <c r="P77" i="42"/>
  <c r="P110" i="42"/>
  <c r="O76" i="42"/>
  <c r="Q76" i="42" s="1"/>
  <c r="O109" i="42"/>
  <c r="P75" i="42"/>
  <c r="P108" i="42"/>
  <c r="O74" i="42"/>
  <c r="Q74" i="42" s="1"/>
  <c r="O107" i="42"/>
  <c r="P73" i="42"/>
  <c r="P106" i="42"/>
  <c r="O72" i="42"/>
  <c r="Q72" i="42" s="1"/>
  <c r="Q105" i="42" s="1"/>
  <c r="O105" i="42"/>
  <c r="P71" i="42"/>
  <c r="P104" i="42"/>
  <c r="O70" i="42"/>
  <c r="Q70" i="42" s="1"/>
  <c r="O103" i="42"/>
  <c r="P69" i="42"/>
  <c r="P102" i="42"/>
  <c r="K91" i="42"/>
  <c r="K124" i="42"/>
  <c r="K83" i="42"/>
  <c r="K116" i="42"/>
  <c r="K77" i="42"/>
  <c r="K110" i="42"/>
  <c r="K69" i="42"/>
  <c r="K102" i="42"/>
  <c r="S57" i="53"/>
  <c r="S41" i="53"/>
  <c r="T50" i="53"/>
  <c r="T34" i="53"/>
  <c r="J58" i="53"/>
  <c r="AH74" i="42"/>
  <c r="V90" i="42"/>
  <c r="V123" i="42"/>
  <c r="V85" i="42"/>
  <c r="V118" i="42"/>
  <c r="E82" i="42"/>
  <c r="E115" i="42"/>
  <c r="K92" i="42"/>
  <c r="K125" i="42"/>
  <c r="K90" i="42"/>
  <c r="K123" i="42"/>
  <c r="K86" i="42"/>
  <c r="K119" i="42"/>
  <c r="K82" i="42"/>
  <c r="K115" i="42"/>
  <c r="K80" i="42"/>
  <c r="K113" i="42"/>
  <c r="K76" i="42"/>
  <c r="K109" i="42"/>
  <c r="K72" i="42"/>
  <c r="K105" i="42"/>
  <c r="K68" i="42"/>
  <c r="K101" i="42"/>
  <c r="N81" i="42"/>
  <c r="N114" i="42"/>
  <c r="S56" i="53"/>
  <c r="S52" i="53"/>
  <c r="S48" i="53"/>
  <c r="S44" i="53"/>
  <c r="S40" i="53"/>
  <c r="S36" i="53"/>
  <c r="T57" i="53"/>
  <c r="T53" i="53"/>
  <c r="T49" i="53"/>
  <c r="T45" i="53"/>
  <c r="T41" i="53"/>
  <c r="T37" i="53"/>
  <c r="K58" i="53"/>
  <c r="L88" i="42"/>
  <c r="L121" i="42" s="1"/>
  <c r="J72" i="42"/>
  <c r="J105" i="42"/>
  <c r="W89" i="42"/>
  <c r="W122" i="42"/>
  <c r="S55" i="53"/>
  <c r="S51" i="53"/>
  <c r="S47" i="53"/>
  <c r="S43" i="53"/>
  <c r="S39" i="53"/>
  <c r="S35" i="53"/>
  <c r="T56" i="53"/>
  <c r="T52" i="53"/>
  <c r="T48" i="53"/>
  <c r="T44" i="53"/>
  <c r="T40" i="53"/>
  <c r="T36" i="53"/>
  <c r="J87" i="42"/>
  <c r="J120" i="42"/>
  <c r="J80" i="42"/>
  <c r="J113" i="42"/>
  <c r="L69" i="42"/>
  <c r="L102" i="42"/>
  <c r="T93" i="42"/>
  <c r="T126" i="42"/>
  <c r="T88" i="42"/>
  <c r="T121" i="42"/>
  <c r="E80" i="42"/>
  <c r="E113" i="42"/>
  <c r="K93" i="42"/>
  <c r="K126" i="42"/>
  <c r="K88" i="42"/>
  <c r="K121" i="42"/>
  <c r="K84" i="42"/>
  <c r="K117" i="42"/>
  <c r="K78" i="42"/>
  <c r="K111" i="42"/>
  <c r="K74" i="42"/>
  <c r="K107" i="42"/>
  <c r="K70" i="42"/>
  <c r="K103" i="42"/>
  <c r="K81" i="42"/>
  <c r="K114" i="42"/>
  <c r="S54" i="53"/>
  <c r="S50" i="53"/>
  <c r="S46" i="53"/>
  <c r="S42" i="53"/>
  <c r="S38" i="53"/>
  <c r="I58" i="53"/>
  <c r="S34" i="53"/>
  <c r="T55" i="53"/>
  <c r="T51" i="53"/>
  <c r="T47" i="53"/>
  <c r="T43" i="53"/>
  <c r="T39" i="53"/>
  <c r="T35" i="53"/>
  <c r="J91" i="42"/>
  <c r="J124" i="42" s="1"/>
  <c r="L85" i="42"/>
  <c r="L118" i="42" s="1"/>
  <c r="L77" i="42"/>
  <c r="L110" i="42" s="1"/>
  <c r="AE21" i="37"/>
  <c r="AE11" i="37"/>
  <c r="L89" i="42"/>
  <c r="L122" i="42"/>
  <c r="J88" i="42"/>
  <c r="J121" i="42"/>
  <c r="L81" i="42"/>
  <c r="AW81" i="42" s="1"/>
  <c r="L79" i="42"/>
  <c r="L112" i="42" s="1"/>
  <c r="J74" i="42"/>
  <c r="J107" i="42"/>
  <c r="L71" i="42"/>
  <c r="L104" i="42"/>
  <c r="F58" i="53"/>
  <c r="X68" i="42"/>
  <c r="X101" i="42"/>
  <c r="U91" i="42"/>
  <c r="AK144" i="60" s="1"/>
  <c r="U124" i="42"/>
  <c r="E125" i="42"/>
  <c r="J84" i="42"/>
  <c r="J117" i="42" s="1"/>
  <c r="V83" i="42"/>
  <c r="V116" i="42" s="1"/>
  <c r="U76" i="42"/>
  <c r="AK129" i="60" s="1"/>
  <c r="U72" i="42"/>
  <c r="AK125" i="60" s="1"/>
  <c r="AA25" i="18"/>
  <c r="AB25" i="18" s="1"/>
  <c r="L90" i="42"/>
  <c r="L123" i="42" s="1"/>
  <c r="J89" i="42"/>
  <c r="J122" i="42" s="1"/>
  <c r="AH87" i="42"/>
  <c r="L86" i="42"/>
  <c r="L119" i="42"/>
  <c r="L84" i="42"/>
  <c r="L117" i="42"/>
  <c r="L82" i="42"/>
  <c r="L115" i="42"/>
  <c r="AH78" i="42"/>
  <c r="J76" i="42"/>
  <c r="J109" i="42"/>
  <c r="L73" i="42"/>
  <c r="L106" i="42"/>
  <c r="J68" i="42"/>
  <c r="J101" i="42" s="1"/>
  <c r="AE3" i="37"/>
  <c r="X93" i="42"/>
  <c r="X126" i="42"/>
  <c r="X92" i="42"/>
  <c r="X125" i="42"/>
  <c r="X91" i="42"/>
  <c r="X124" i="42"/>
  <c r="V79" i="42"/>
  <c r="V112" i="42"/>
  <c r="W20" i="18"/>
  <c r="L91" i="42"/>
  <c r="L124" i="42" s="1"/>
  <c r="J90" i="42"/>
  <c r="J123" i="42" s="1"/>
  <c r="AH88" i="42"/>
  <c r="L87" i="42"/>
  <c r="L120" i="42"/>
  <c r="AH83" i="42"/>
  <c r="J82" i="42"/>
  <c r="J115" i="42"/>
  <c r="L80" i="42"/>
  <c r="L113" i="42"/>
  <c r="J78" i="42"/>
  <c r="J111" i="42"/>
  <c r="J70" i="42"/>
  <c r="AH70" i="42" s="1"/>
  <c r="AE17" i="37"/>
  <c r="AF15" i="37"/>
  <c r="AE7" i="37"/>
  <c r="AF5" i="37"/>
  <c r="V93" i="42"/>
  <c r="V126" i="42" s="1"/>
  <c r="V92" i="42"/>
  <c r="V125" i="42" s="1"/>
  <c r="T68" i="42"/>
  <c r="T101" i="42" s="1"/>
  <c r="W87" i="42"/>
  <c r="W120" i="42" s="1"/>
  <c r="W78" i="42"/>
  <c r="W111" i="42" s="1"/>
  <c r="L75" i="42"/>
  <c r="AW75" i="42" s="1"/>
  <c r="AF22" i="37"/>
  <c r="AC22" i="37" s="1"/>
  <c r="Z22" i="37" s="1"/>
  <c r="AE20" i="37"/>
  <c r="AF18" i="37"/>
  <c r="AC18" i="37" s="1"/>
  <c r="Z18" i="37" s="1"/>
  <c r="AE16" i="37"/>
  <c r="AF14" i="37"/>
  <c r="AC14" i="37" s="1"/>
  <c r="Z14" i="37" s="1"/>
  <c r="AF12" i="37"/>
  <c r="AE10" i="37"/>
  <c r="AF8" i="37"/>
  <c r="AE6" i="37"/>
  <c r="AF4" i="37"/>
  <c r="U87" i="42"/>
  <c r="AK140" i="60" s="1"/>
  <c r="AK109" i="60" s="1"/>
  <c r="U68" i="42"/>
  <c r="U101" i="42" s="1"/>
  <c r="T91" i="42"/>
  <c r="T124" i="42" s="1"/>
  <c r="U90" i="42"/>
  <c r="AK143" i="60" s="1"/>
  <c r="X90" i="42"/>
  <c r="X123" i="42" s="1"/>
  <c r="V89" i="42"/>
  <c r="V122" i="42" s="1"/>
  <c r="U88" i="42"/>
  <c r="AK141" i="60" s="1"/>
  <c r="X86" i="42"/>
  <c r="X119" i="42" s="1"/>
  <c r="I85" i="42"/>
  <c r="I118" i="42" s="1"/>
  <c r="W85" i="42"/>
  <c r="W118" i="42" s="1"/>
  <c r="H84" i="42"/>
  <c r="H117" i="42" s="1"/>
  <c r="F116" i="42"/>
  <c r="T68" i="18" a="1"/>
  <c r="T82" i="42"/>
  <c r="T115" i="42" s="1"/>
  <c r="V75" i="42"/>
  <c r="V108" i="42" s="1"/>
  <c r="W74" i="42"/>
  <c r="W107" i="42" s="1"/>
  <c r="T73" i="42"/>
  <c r="T106" i="42" s="1"/>
  <c r="C83" i="42"/>
  <c r="C116" i="42" s="1"/>
  <c r="W18" i="18"/>
  <c r="J75" i="42"/>
  <c r="J108" i="42"/>
  <c r="AE22" i="37"/>
  <c r="AF20" i="37"/>
  <c r="AC20" i="37" s="1"/>
  <c r="Z20" i="37" s="1"/>
  <c r="AE18" i="37"/>
  <c r="AF16" i="37"/>
  <c r="AC16" i="37" s="1"/>
  <c r="Z16" i="37" s="1"/>
  <c r="AE14" i="37"/>
  <c r="AE12" i="37"/>
  <c r="AF10" i="37"/>
  <c r="AE8" i="37"/>
  <c r="AF6" i="37"/>
  <c r="AE4" i="37"/>
  <c r="U80" i="42"/>
  <c r="AK133" i="60" s="1"/>
  <c r="AK102" i="60" s="1"/>
  <c r="U113" i="42"/>
  <c r="V91" i="42"/>
  <c r="V124" i="42"/>
  <c r="W90" i="42"/>
  <c r="W123" i="42"/>
  <c r="T89" i="42"/>
  <c r="T122" i="42"/>
  <c r="X88" i="42"/>
  <c r="X121" i="42"/>
  <c r="V87" i="42"/>
  <c r="V120" i="42"/>
  <c r="J86" i="42"/>
  <c r="AH86" i="42" s="1"/>
  <c r="J119" i="42"/>
  <c r="U86" i="42"/>
  <c r="AK139" i="60" s="1"/>
  <c r="U119" i="42"/>
  <c r="E85" i="42"/>
  <c r="E118" i="42"/>
  <c r="T84" i="42"/>
  <c r="T117" i="42"/>
  <c r="I81" i="42"/>
  <c r="AT41" i="18" s="1"/>
  <c r="I114" i="42"/>
  <c r="H42" i="18"/>
  <c r="W81" i="42"/>
  <c r="W114" i="42" s="1"/>
  <c r="X76" i="42"/>
  <c r="X109" i="42" s="1"/>
  <c r="W35" i="18"/>
  <c r="AA31" i="18"/>
  <c r="D84" i="42"/>
  <c r="D117" i="42" s="1"/>
  <c r="C78" i="42"/>
  <c r="C111" i="42" s="1"/>
  <c r="AH79" i="42"/>
  <c r="J79" i="42"/>
  <c r="J112" i="42"/>
  <c r="L78" i="42"/>
  <c r="L111" i="42"/>
  <c r="J77" i="42"/>
  <c r="J110" i="42" s="1"/>
  <c r="L76" i="42"/>
  <c r="L109" i="42" s="1"/>
  <c r="L74" i="42"/>
  <c r="L107" i="42"/>
  <c r="J73" i="42"/>
  <c r="J106" i="42" s="1"/>
  <c r="L72" i="42"/>
  <c r="L105" i="42" s="1"/>
  <c r="AH71" i="42"/>
  <c r="J71" i="42"/>
  <c r="J104" i="42"/>
  <c r="L70" i="42"/>
  <c r="L103" i="42"/>
  <c r="J69" i="42"/>
  <c r="J102" i="42" s="1"/>
  <c r="L68" i="42"/>
  <c r="L101" i="42" s="1"/>
  <c r="AF21" i="37"/>
  <c r="AC21" i="37" s="1"/>
  <c r="Z21" i="37" s="1"/>
  <c r="AE19" i="37"/>
  <c r="AF17" i="37"/>
  <c r="AC17" i="37" s="1"/>
  <c r="Z17" i="37" s="1"/>
  <c r="AE15" i="37"/>
  <c r="AF11" i="37"/>
  <c r="AC11" i="37" s="1"/>
  <c r="Z11" i="37" s="1"/>
  <c r="AE9" i="37"/>
  <c r="AF7" i="37"/>
  <c r="AE5" i="37"/>
  <c r="AF3" i="37"/>
  <c r="AC3" i="37" s="1"/>
  <c r="Z3" i="37" s="1"/>
  <c r="W93" i="42"/>
  <c r="W126" i="42"/>
  <c r="U93" i="42"/>
  <c r="U126" i="42"/>
  <c r="W92" i="42"/>
  <c r="W125" i="42"/>
  <c r="U92" i="42"/>
  <c r="U125" i="42"/>
  <c r="U82" i="42"/>
  <c r="AK135" i="60" s="1"/>
  <c r="AK104" i="60" s="1"/>
  <c r="U115" i="42"/>
  <c r="W68" i="42"/>
  <c r="W101" i="42"/>
  <c r="V68" i="42"/>
  <c r="V101" i="42"/>
  <c r="W91" i="42"/>
  <c r="W124" i="42"/>
  <c r="H90" i="42"/>
  <c r="H123" i="42"/>
  <c r="T90" i="42"/>
  <c r="T123" i="42"/>
  <c r="U89" i="42"/>
  <c r="AK142" i="60" s="1"/>
  <c r="U122" i="42"/>
  <c r="X89" i="42"/>
  <c r="X122" i="42"/>
  <c r="T86" i="42"/>
  <c r="T119" i="42"/>
  <c r="F118" i="42"/>
  <c r="E81" i="42"/>
  <c r="E114" i="42" s="1"/>
  <c r="X80" i="42"/>
  <c r="X113" i="42" s="1"/>
  <c r="T77" i="42"/>
  <c r="T110" i="42" s="1"/>
  <c r="C88" i="42"/>
  <c r="C121" i="42" s="1"/>
  <c r="W15" i="18"/>
  <c r="O36" i="53"/>
  <c r="Q36" i="53" s="1"/>
  <c r="W88" i="42"/>
  <c r="W121" i="42"/>
  <c r="X87" i="42"/>
  <c r="X120" i="42"/>
  <c r="H85" i="42"/>
  <c r="H118" i="42"/>
  <c r="U85" i="42"/>
  <c r="AK138" i="60" s="1"/>
  <c r="U118" i="42"/>
  <c r="X85" i="42"/>
  <c r="X118" i="42"/>
  <c r="I84" i="42"/>
  <c r="I117" i="42"/>
  <c r="E84" i="42"/>
  <c r="E117" i="42"/>
  <c r="W84" i="42"/>
  <c r="W117" i="42"/>
  <c r="H83" i="42"/>
  <c r="H116" i="42"/>
  <c r="U83" i="42"/>
  <c r="AK136" i="60" s="1"/>
  <c r="U116" i="42"/>
  <c r="X83" i="42"/>
  <c r="X116" i="42"/>
  <c r="W82" i="42"/>
  <c r="W115" i="42"/>
  <c r="V81" i="42"/>
  <c r="V114" i="42"/>
  <c r="T80" i="42"/>
  <c r="T113" i="42"/>
  <c r="U79" i="42"/>
  <c r="AK132" i="60" s="1"/>
  <c r="U112" i="42"/>
  <c r="X79" i="42"/>
  <c r="X112" i="42"/>
  <c r="V78" i="42"/>
  <c r="V111" i="42"/>
  <c r="W77" i="42"/>
  <c r="W110" i="42"/>
  <c r="U75" i="42"/>
  <c r="AK128" i="60" s="1"/>
  <c r="U108" i="42"/>
  <c r="X75" i="42"/>
  <c r="X108" i="42"/>
  <c r="V74" i="42"/>
  <c r="V107" i="42"/>
  <c r="U73" i="42"/>
  <c r="AK126" i="60" s="1"/>
  <c r="U106" i="42"/>
  <c r="X69" i="42"/>
  <c r="X102" i="42"/>
  <c r="AA32" i="18"/>
  <c r="D85" i="42"/>
  <c r="D118" i="42" s="1"/>
  <c r="C84" i="42"/>
  <c r="C117" i="42" s="1"/>
  <c r="AA28" i="18"/>
  <c r="D81" i="42"/>
  <c r="D114" i="42"/>
  <c r="C80" i="42"/>
  <c r="C113" i="42"/>
  <c r="W26" i="18"/>
  <c r="W21" i="18"/>
  <c r="C68" i="42"/>
  <c r="C101" i="42"/>
  <c r="AE13" i="37"/>
  <c r="U84" i="42"/>
  <c r="AK137" i="60" s="1"/>
  <c r="X84" i="42"/>
  <c r="X117" i="42" s="1"/>
  <c r="I83" i="42"/>
  <c r="AV41" i="18" s="1" a="1"/>
  <c r="I42" i="18" a="1"/>
  <c r="E83" i="42"/>
  <c r="E116" i="42"/>
  <c r="W83" i="42"/>
  <c r="W116" i="42"/>
  <c r="X82" i="42"/>
  <c r="X115" i="42"/>
  <c r="T81" i="42"/>
  <c r="T114" i="42"/>
  <c r="V80" i="42"/>
  <c r="V113" i="42"/>
  <c r="W79" i="42"/>
  <c r="W112" i="42"/>
  <c r="T78" i="42"/>
  <c r="T111" i="42"/>
  <c r="U77" i="42"/>
  <c r="AK130" i="60" s="1"/>
  <c r="U110" i="42"/>
  <c r="X77" i="42"/>
  <c r="X110" i="42"/>
  <c r="W75" i="42"/>
  <c r="W108" i="42"/>
  <c r="T74" i="42"/>
  <c r="T107" i="42"/>
  <c r="X73" i="42"/>
  <c r="X106" i="42"/>
  <c r="V72" i="42"/>
  <c r="V105" i="42"/>
  <c r="W71" i="42"/>
  <c r="W104" i="42"/>
  <c r="T70" i="42"/>
  <c r="T103" i="42"/>
  <c r="U69" i="42"/>
  <c r="AK122" i="60" s="1"/>
  <c r="U102" i="42"/>
  <c r="W37" i="18"/>
  <c r="AA36" i="18"/>
  <c r="AB36" i="18" s="1"/>
  <c r="AA35" i="18"/>
  <c r="AB35" i="18" s="1"/>
  <c r="AA30" i="18"/>
  <c r="D83" i="42"/>
  <c r="D116" i="42"/>
  <c r="C82" i="42"/>
  <c r="C115" i="42"/>
  <c r="W25" i="18"/>
  <c r="W22" i="18"/>
  <c r="C74" i="42"/>
  <c r="C107" i="42"/>
  <c r="C69" i="42"/>
  <c r="C102" i="42"/>
  <c r="V88" i="42"/>
  <c r="V121" i="42"/>
  <c r="T87" i="42"/>
  <c r="T120" i="42"/>
  <c r="J85" i="42"/>
  <c r="J118" i="42"/>
  <c r="T85" i="42"/>
  <c r="T118" i="42"/>
  <c r="F117" i="42"/>
  <c r="V84" i="42"/>
  <c r="V117" i="42" s="1"/>
  <c r="J83" i="42"/>
  <c r="J116" i="42" s="1"/>
  <c r="T83" i="42"/>
  <c r="T116" i="42" s="1"/>
  <c r="V82" i="42"/>
  <c r="V115" i="42" s="1"/>
  <c r="J81" i="42"/>
  <c r="J114" i="42" s="1"/>
  <c r="H81" i="42"/>
  <c r="H114" i="42" s="1"/>
  <c r="U81" i="42"/>
  <c r="AK134" i="60" s="1"/>
  <c r="X81" i="42"/>
  <c r="X114" i="42" s="1"/>
  <c r="W80" i="42"/>
  <c r="W113" i="42" s="1"/>
  <c r="T79" i="42"/>
  <c r="T112" i="42" s="1"/>
  <c r="U78" i="42"/>
  <c r="AK131" i="60" s="1"/>
  <c r="X78" i="42"/>
  <c r="X111" i="42" s="1"/>
  <c r="V77" i="42"/>
  <c r="V110" i="42" s="1"/>
  <c r="T75" i="42"/>
  <c r="T108" i="42" s="1"/>
  <c r="U74" i="42"/>
  <c r="AK127" i="60" s="1"/>
  <c r="X74" i="42"/>
  <c r="X107" i="42" s="1"/>
  <c r="X72" i="42"/>
  <c r="X105" i="42" s="1"/>
  <c r="V71" i="42"/>
  <c r="V104" i="42" s="1"/>
  <c r="W70" i="42"/>
  <c r="W103" i="42" s="1"/>
  <c r="T69" i="42"/>
  <c r="T102" i="42" s="1"/>
  <c r="C87" i="42"/>
  <c r="C120" i="42" s="1"/>
  <c r="C85" i="42"/>
  <c r="C118" i="42" s="1"/>
  <c r="AA29" i="18"/>
  <c r="D82" i="42"/>
  <c r="D115" i="42"/>
  <c r="C81" i="42"/>
  <c r="C114" i="42"/>
  <c r="W24" i="18"/>
  <c r="Q41" i="53"/>
  <c r="O41" i="53"/>
  <c r="AF2" i="37"/>
  <c r="B58" i="53"/>
  <c r="W73" i="42"/>
  <c r="W106" i="42" s="1"/>
  <c r="U71" i="42"/>
  <c r="AK124" i="60" s="1"/>
  <c r="X71" i="42"/>
  <c r="X104" i="42" s="1"/>
  <c r="V70" i="42"/>
  <c r="V103" i="42" s="1"/>
  <c r="AA37" i="18"/>
  <c r="AB37" i="18" s="1"/>
  <c r="C89" i="42"/>
  <c r="C122" i="42"/>
  <c r="AA26" i="18"/>
  <c r="AB26" i="18" s="1"/>
  <c r="AA24" i="18"/>
  <c r="AB24" i="18" s="1"/>
  <c r="AA22" i="18"/>
  <c r="AB22" i="18" s="1"/>
  <c r="AA20" i="18"/>
  <c r="AB20" i="18" s="1"/>
  <c r="W17" i="18"/>
  <c r="O53" i="53"/>
  <c r="Q53" i="53" s="1"/>
  <c r="O51" i="53"/>
  <c r="P51" i="53" s="1"/>
  <c r="R51" i="53" s="1"/>
  <c r="O48" i="53"/>
  <c r="Q48" i="53" s="1"/>
  <c r="O44" i="53"/>
  <c r="Q44" i="53" s="1"/>
  <c r="O43" i="53"/>
  <c r="Q43" i="53" s="1"/>
  <c r="O38" i="53"/>
  <c r="Q38" i="53" s="1"/>
  <c r="AE2" i="37"/>
  <c r="B28" i="37" s="1" a="1"/>
  <c r="C58" i="53"/>
  <c r="AF13" i="37"/>
  <c r="AC13" i="37" s="1"/>
  <c r="Z13" i="37" s="1"/>
  <c r="AF23" i="37"/>
  <c r="AC23" i="37" s="1"/>
  <c r="Z23" i="37" s="1"/>
  <c r="AF24" i="37"/>
  <c r="AC24" i="37" s="1"/>
  <c r="Z24" i="37" s="1"/>
  <c r="O40" i="53"/>
  <c r="Q40" i="53"/>
  <c r="V73" i="42"/>
  <c r="V106" i="42"/>
  <c r="T71" i="42"/>
  <c r="T104" i="42"/>
  <c r="U70" i="42"/>
  <c r="AK123" i="60" s="1"/>
  <c r="U103" i="42"/>
  <c r="X70" i="42"/>
  <c r="X103" i="42"/>
  <c r="C90" i="42"/>
  <c r="C123" i="42"/>
  <c r="W36" i="18"/>
  <c r="AA34" i="18"/>
  <c r="D87" i="42"/>
  <c r="AC34" i="18" s="1"/>
  <c r="D120" i="42"/>
  <c r="C79" i="42"/>
  <c r="C112" i="42"/>
  <c r="C77" i="42"/>
  <c r="C110" i="42"/>
  <c r="C75" i="42"/>
  <c r="C108" i="42"/>
  <c r="C73" i="42"/>
  <c r="C106" i="42"/>
  <c r="S68" i="18"/>
  <c r="F114" i="42"/>
  <c r="O54" i="53"/>
  <c r="Q54" i="53" s="1"/>
  <c r="O46" i="53"/>
  <c r="Q46" i="53"/>
  <c r="O35" i="53"/>
  <c r="Q35" i="53"/>
  <c r="AE23" i="37"/>
  <c r="AE24" i="37"/>
  <c r="AE25" i="37"/>
  <c r="C70" i="42"/>
  <c r="C103" i="42" s="1"/>
  <c r="Q42" i="53"/>
  <c r="O42" i="53"/>
  <c r="Q37" i="53"/>
  <c r="O37" i="53"/>
  <c r="AF25" i="37"/>
  <c r="AC25" i="37" s="1"/>
  <c r="Z25" i="37" s="1"/>
  <c r="C71" i="42"/>
  <c r="C104" i="42"/>
  <c r="AA17" i="18"/>
  <c r="AB17" i="18" s="1"/>
  <c r="AA15" i="18"/>
  <c r="AB15" i="18" s="1"/>
  <c r="O55" i="53"/>
  <c r="Q55" i="53" s="1"/>
  <c r="AG210" i="40"/>
  <c r="AH210" i="40" s="1"/>
  <c r="AH88" i="40"/>
  <c r="S132" i="10"/>
  <c r="T132" i="10"/>
  <c r="S131" i="10"/>
  <c r="T131" i="10"/>
  <c r="S112" i="10"/>
  <c r="T112" i="10"/>
  <c r="S89" i="10"/>
  <c r="T89" i="10"/>
  <c r="DS252" i="9"/>
  <c r="N253" i="40"/>
  <c r="N252" i="40"/>
  <c r="DR238" i="9"/>
  <c r="U106" i="10"/>
  <c r="T38" i="10"/>
  <c r="U38" i="10"/>
  <c r="U113" i="10"/>
  <c r="AD253" i="40"/>
  <c r="AD252" i="40"/>
  <c r="CM252" i="9"/>
  <c r="EI252" i="9" s="1"/>
  <c r="EI253" i="9"/>
  <c r="CI252" i="9"/>
  <c r="N252" i="9"/>
  <c r="EB253" i="9"/>
  <c r="J252" i="9"/>
  <c r="S121" i="10"/>
  <c r="T121" i="10"/>
  <c r="S97" i="10"/>
  <c r="T97" i="10"/>
  <c r="F147" i="10"/>
  <c r="S147" i="10" s="1"/>
  <c r="AH30" i="40"/>
  <c r="AG152" i="40"/>
  <c r="AG123" i="40"/>
  <c r="D127" i="9" a="1"/>
  <c r="T55" i="10"/>
  <c r="I147" i="10"/>
  <c r="U83" i="10"/>
  <c r="T83" i="10"/>
  <c r="U79" i="10"/>
  <c r="U71" i="10"/>
  <c r="U63" i="10"/>
  <c r="U44" i="10"/>
  <c r="U36" i="10"/>
  <c r="I153" i="10"/>
  <c r="U97" i="10"/>
  <c r="J147" i="10"/>
  <c r="U147" i="10" s="1"/>
  <c r="EL252" i="9"/>
  <c r="AH85" i="40"/>
  <c r="AG207" i="40"/>
  <c r="S135" i="10"/>
  <c r="T135" i="10"/>
  <c r="V51" i="10"/>
  <c r="DS128" i="9"/>
  <c r="DR4" i="9"/>
  <c r="DR227" i="9"/>
  <c r="DR226" i="9"/>
  <c r="DR210" i="9"/>
  <c r="DQ208" i="9"/>
  <c r="H246" i="9"/>
  <c r="DR196" i="9"/>
  <c r="DR195" i="9"/>
  <c r="DR138" i="9"/>
  <c r="DR137" i="9"/>
  <c r="EB131" i="9"/>
  <c r="U37" i="10"/>
  <c r="T101" i="10"/>
  <c r="T63" i="10"/>
  <c r="U47" i="10"/>
  <c r="U43" i="10"/>
  <c r="U39" i="10"/>
  <c r="U35" i="10"/>
  <c r="U31" i="10"/>
  <c r="AH196" i="40"/>
  <c r="AH155" i="40"/>
  <c r="AH163" i="40"/>
  <c r="AH171" i="40"/>
  <c r="AH179" i="40"/>
  <c r="AH187" i="40"/>
  <c r="AG241" i="40"/>
  <c r="AH241" i="40" s="1"/>
  <c r="AH119" i="40"/>
  <c r="AH77" i="40"/>
  <c r="AG199" i="40"/>
  <c r="AH199" i="40" s="1"/>
  <c r="AG193" i="40"/>
  <c r="AH193" i="40" s="1"/>
  <c r="AH71" i="40"/>
  <c r="AH66" i="40"/>
  <c r="AG188" i="40"/>
  <c r="AH188" i="40" s="1"/>
  <c r="AH62" i="40"/>
  <c r="AG184" i="40"/>
  <c r="AH184" i="40" s="1"/>
  <c r="AH58" i="40"/>
  <c r="AG180" i="40"/>
  <c r="AH180" i="40" s="1"/>
  <c r="AH54" i="40"/>
  <c r="AG176" i="40"/>
  <c r="AH176" i="40" s="1"/>
  <c r="AH50" i="40"/>
  <c r="AG172" i="40"/>
  <c r="AH172" i="40" s="1"/>
  <c r="AH46" i="40"/>
  <c r="AG168" i="40"/>
  <c r="AH168" i="40" s="1"/>
  <c r="AH42" i="40"/>
  <c r="AG164" i="40"/>
  <c r="AH164" i="40" s="1"/>
  <c r="AH38" i="40"/>
  <c r="AG160" i="40"/>
  <c r="AH160" i="40" s="1"/>
  <c r="AH34" i="40"/>
  <c r="AG156" i="40"/>
  <c r="AH156" i="40" s="1"/>
  <c r="AH29" i="40"/>
  <c r="AG151" i="40"/>
  <c r="AH151" i="40" s="1"/>
  <c r="AG145" i="40"/>
  <c r="AH145" i="40" s="1"/>
  <c r="AH23" i="40"/>
  <c r="AG141" i="40"/>
  <c r="AH141" i="40" s="1"/>
  <c r="AH19" i="40"/>
  <c r="AG137" i="40"/>
  <c r="AH137" i="40" s="1"/>
  <c r="AH15" i="40"/>
  <c r="AG133" i="40"/>
  <c r="AH133" i="40" s="1"/>
  <c r="AH11" i="40"/>
  <c r="AG124" i="40"/>
  <c r="AH124" i="40" s="1"/>
  <c r="AG129" i="40"/>
  <c r="AH129" i="40" s="1"/>
  <c r="AH7" i="40"/>
  <c r="AH69" i="40"/>
  <c r="AG191" i="40"/>
  <c r="AH191" i="40" s="1"/>
  <c r="AG205" i="40"/>
  <c r="AH83" i="40"/>
  <c r="AH203" i="40"/>
  <c r="W252" i="40"/>
  <c r="T252" i="40"/>
  <c r="G252" i="40"/>
  <c r="DQ74" i="9"/>
  <c r="DR74" i="9" s="1"/>
  <c r="U146" i="10"/>
  <c r="U144" i="10"/>
  <c r="S143" i="10"/>
  <c r="T143" i="10"/>
  <c r="U141" i="10"/>
  <c r="U135" i="10"/>
  <c r="U82" i="10"/>
  <c r="S55" i="10"/>
  <c r="F154" i="10"/>
  <c r="DR129" i="9"/>
  <c r="DR241" i="9"/>
  <c r="DR215" i="9"/>
  <c r="DR214" i="9"/>
  <c r="DT198" i="9"/>
  <c r="DT154" i="9"/>
  <c r="AS253" i="9"/>
  <c r="DP253" i="9" s="1"/>
  <c r="DR212" i="9"/>
  <c r="CB253" i="9"/>
  <c r="EL230" i="9"/>
  <c r="L153" i="10"/>
  <c r="G153" i="10"/>
  <c r="U153" i="10" s="1"/>
  <c r="EB252" i="9"/>
  <c r="G48" i="18"/>
  <c r="DP124" i="9"/>
  <c r="AH240" i="40"/>
  <c r="AG246" i="40"/>
  <c r="AH194" i="40"/>
  <c r="AH206" i="40"/>
  <c r="AA252" i="40"/>
  <c r="K252" i="40"/>
  <c r="AF253" i="40"/>
  <c r="AF252" i="40"/>
  <c r="DQ30" i="9"/>
  <c r="DR30" i="9" s="1"/>
  <c r="DS253" i="9"/>
  <c r="X252" i="9"/>
  <c r="DR253" i="9"/>
  <c r="H252" i="9"/>
  <c r="DR252" i="9" s="1"/>
  <c r="D3" i="10" a="1"/>
  <c r="T146" i="10"/>
  <c r="T144" i="10"/>
  <c r="S139" i="10"/>
  <c r="T139" i="10"/>
  <c r="U137" i="10"/>
  <c r="S123" i="10"/>
  <c r="S115" i="10"/>
  <c r="S102" i="10"/>
  <c r="S91" i="10"/>
  <c r="S85" i="10"/>
  <c r="T85" i="10"/>
  <c r="S83" i="10"/>
  <c r="DR221" i="9"/>
  <c r="DR220" i="9"/>
  <c r="DQ193" i="9"/>
  <c r="D246" i="9"/>
  <c r="DX209" i="9"/>
  <c r="EB240" i="9"/>
  <c r="EB238" i="9"/>
  <c r="EB224" i="9"/>
  <c r="EB222" i="9"/>
  <c r="DS222" i="9"/>
  <c r="EB208" i="9"/>
  <c r="EB206" i="9"/>
  <c r="DS206" i="9"/>
  <c r="EB192" i="9"/>
  <c r="EB190" i="9"/>
  <c r="DS190" i="9"/>
  <c r="EB176" i="9"/>
  <c r="EB174" i="9"/>
  <c r="EB160" i="9"/>
  <c r="EB158" i="9"/>
  <c r="DS158" i="9"/>
  <c r="EB144" i="9"/>
  <c r="CD246" i="9"/>
  <c r="N29" i="10"/>
  <c r="N30" i="10"/>
  <c r="O146" i="10"/>
  <c r="O145" i="10"/>
  <c r="O144" i="10"/>
  <c r="O143" i="10"/>
  <c r="N142" i="10"/>
  <c r="M141" i="10"/>
  <c r="V141" i="10" s="1"/>
  <c r="L140" i="10"/>
  <c r="V140" i="10" s="1"/>
  <c r="O139" i="10"/>
  <c r="N138" i="10"/>
  <c r="M137" i="10"/>
  <c r="T137" i="10"/>
  <c r="L136" i="10"/>
  <c r="O135" i="10"/>
  <c r="N134" i="10"/>
  <c r="N133" i="10"/>
  <c r="N132" i="10"/>
  <c r="N131" i="10"/>
  <c r="N130" i="10"/>
  <c r="M129" i="10"/>
  <c r="V129" i="10" s="1"/>
  <c r="L128" i="10"/>
  <c r="V128" i="10" s="1"/>
  <c r="L127" i="10"/>
  <c r="V127" i="10" s="1"/>
  <c r="L126" i="10"/>
  <c r="O125" i="10"/>
  <c r="N124" i="10"/>
  <c r="M123" i="10"/>
  <c r="V123" i="10" s="1"/>
  <c r="L122" i="10"/>
  <c r="O121" i="10"/>
  <c r="N120" i="10"/>
  <c r="M119" i="10"/>
  <c r="V119" i="10" s="1"/>
  <c r="L118" i="10"/>
  <c r="O117" i="10"/>
  <c r="N116" i="10"/>
  <c r="M115" i="10"/>
  <c r="V115" i="10" s="1"/>
  <c r="L114" i="10"/>
  <c r="O112" i="10"/>
  <c r="N111" i="10"/>
  <c r="M107" i="10"/>
  <c r="V107" i="10" s="1"/>
  <c r="L105" i="10"/>
  <c r="O104" i="10"/>
  <c r="N103" i="10"/>
  <c r="M102" i="10"/>
  <c r="V102" i="10" s="1"/>
  <c r="L101" i="10"/>
  <c r="O100" i="10"/>
  <c r="N98" i="10"/>
  <c r="M96" i="10"/>
  <c r="V96" i="10" s="1"/>
  <c r="L95" i="10"/>
  <c r="O93" i="10"/>
  <c r="N92" i="10"/>
  <c r="M91" i="10"/>
  <c r="V91" i="10" s="1"/>
  <c r="L90" i="10"/>
  <c r="O89" i="10"/>
  <c r="N88" i="10"/>
  <c r="M87" i="10"/>
  <c r="V87" i="10" s="1"/>
  <c r="L86" i="10"/>
  <c r="O85" i="10"/>
  <c r="N84" i="10"/>
  <c r="M83" i="10"/>
  <c r="V83" i="10" s="1"/>
  <c r="L82" i="10"/>
  <c r="N81" i="10"/>
  <c r="M80" i="10"/>
  <c r="V80" i="10" s="1"/>
  <c r="M78" i="10"/>
  <c r="V78" i="10" s="1"/>
  <c r="M76" i="10"/>
  <c r="V76" i="10" s="1"/>
  <c r="M74" i="10"/>
  <c r="V74" i="10" s="1"/>
  <c r="M72" i="10"/>
  <c r="V72" i="10" s="1"/>
  <c r="M70" i="10"/>
  <c r="V70" i="10" s="1"/>
  <c r="M68" i="10"/>
  <c r="V68" i="10" s="1"/>
  <c r="M66" i="10"/>
  <c r="V66" i="10" s="1"/>
  <c r="M64" i="10"/>
  <c r="V64" i="10" s="1"/>
  <c r="M62" i="10"/>
  <c r="V62" i="10" s="1"/>
  <c r="M60" i="10"/>
  <c r="V60" i="10" s="1"/>
  <c r="M58" i="10"/>
  <c r="V58" i="10" s="1"/>
  <c r="M56" i="10"/>
  <c r="V56" i="10" s="1"/>
  <c r="M53" i="10"/>
  <c r="V53" i="10" s="1"/>
  <c r="M49" i="10"/>
  <c r="V49" i="10" s="1"/>
  <c r="M47" i="10"/>
  <c r="V47" i="10" s="1"/>
  <c r="M45" i="10"/>
  <c r="V45" i="10" s="1"/>
  <c r="M43" i="10"/>
  <c r="V43" i="10" s="1"/>
  <c r="M41" i="10"/>
  <c r="V41" i="10" s="1"/>
  <c r="M39" i="10"/>
  <c r="V39" i="10" s="1"/>
  <c r="M37" i="10"/>
  <c r="V37" i="10" s="1"/>
  <c r="M35" i="10"/>
  <c r="V35" i="10" s="1"/>
  <c r="M33" i="10"/>
  <c r="V33" i="10" s="1"/>
  <c r="M31" i="10"/>
  <c r="V31" i="10" s="1"/>
  <c r="M110" i="10"/>
  <c r="D110" i="10"/>
  <c r="S110" i="10" s="1"/>
  <c r="F108" i="10"/>
  <c r="L113" i="10"/>
  <c r="F113" i="10"/>
  <c r="M99" i="10"/>
  <c r="N97" i="10"/>
  <c r="N147" i="10" s="1"/>
  <c r="O50" i="10"/>
  <c r="O153" i="10" s="1"/>
  <c r="M50" i="10"/>
  <c r="DR239" i="9"/>
  <c r="DR234" i="9"/>
  <c r="DR228" i="9"/>
  <c r="DQ227" i="9"/>
  <c r="DR223" i="9"/>
  <c r="DR222" i="9"/>
  <c r="DQ217" i="9"/>
  <c r="DQ210" i="9"/>
  <c r="DS207" i="9"/>
  <c r="DR201" i="9"/>
  <c r="DR198" i="9"/>
  <c r="DR197" i="9"/>
  <c r="DS191" i="9"/>
  <c r="DR185" i="9"/>
  <c r="DR182" i="9"/>
  <c r="DR181" i="9"/>
  <c r="DR178" i="9"/>
  <c r="DR177" i="9"/>
  <c r="DR174" i="9"/>
  <c r="DR173" i="9"/>
  <c r="DR170" i="9"/>
  <c r="DR169" i="9"/>
  <c r="DR166" i="9"/>
  <c r="DR165" i="9"/>
  <c r="DR162" i="9"/>
  <c r="DR161" i="9"/>
  <c r="DR130" i="9"/>
  <c r="EB140" i="9"/>
  <c r="DS140" i="9"/>
  <c r="DV209" i="9"/>
  <c r="EB233" i="9"/>
  <c r="DS233" i="9"/>
  <c r="EB217" i="9"/>
  <c r="DS217" i="9"/>
  <c r="DS201" i="9"/>
  <c r="EB201" i="9"/>
  <c r="DS185" i="9"/>
  <c r="EB185" i="9"/>
  <c r="DS169" i="9"/>
  <c r="EB169" i="9"/>
  <c r="DS153" i="9"/>
  <c r="EB153" i="9"/>
  <c r="CI246" i="9"/>
  <c r="EL212" i="9"/>
  <c r="L29" i="10"/>
  <c r="L30" i="10"/>
  <c r="V30" i="10" s="1"/>
  <c r="M146" i="10"/>
  <c r="V146" i="10" s="1"/>
  <c r="M145" i="10"/>
  <c r="V145" i="10" s="1"/>
  <c r="M144" i="10"/>
  <c r="M143" i="10"/>
  <c r="V143" i="10" s="1"/>
  <c r="L142" i="10"/>
  <c r="V142" i="10" s="1"/>
  <c r="O141" i="10"/>
  <c r="N140" i="10"/>
  <c r="M139" i="10"/>
  <c r="V139" i="10" s="1"/>
  <c r="L138" i="10"/>
  <c r="V138" i="10" s="1"/>
  <c r="O137" i="10"/>
  <c r="N136" i="10"/>
  <c r="M135" i="10"/>
  <c r="V135" i="10" s="1"/>
  <c r="L134" i="10"/>
  <c r="V134" i="10" s="1"/>
  <c r="L133" i="10"/>
  <c r="V133" i="10" s="1"/>
  <c r="L132" i="10"/>
  <c r="V132" i="10" s="1"/>
  <c r="L131" i="10"/>
  <c r="V131" i="10" s="1"/>
  <c r="L130" i="10"/>
  <c r="V130" i="10" s="1"/>
  <c r="O129" i="10"/>
  <c r="N128" i="10"/>
  <c r="N127" i="10"/>
  <c r="N126" i="10"/>
  <c r="M125" i="10"/>
  <c r="V125" i="10" s="1"/>
  <c r="L124" i="10"/>
  <c r="V124" i="10" s="1"/>
  <c r="O123" i="10"/>
  <c r="N122" i="10"/>
  <c r="M121" i="10"/>
  <c r="V121" i="10" s="1"/>
  <c r="L120" i="10"/>
  <c r="V120" i="10" s="1"/>
  <c r="O119" i="10"/>
  <c r="N118" i="10"/>
  <c r="M117" i="10"/>
  <c r="V117" i="10" s="1"/>
  <c r="L116" i="10"/>
  <c r="V116" i="10" s="1"/>
  <c r="O115" i="10"/>
  <c r="N114" i="10"/>
  <c r="M112" i="10"/>
  <c r="V112" i="10" s="1"/>
  <c r="L111" i="10"/>
  <c r="V111" i="10" s="1"/>
  <c r="O107" i="10"/>
  <c r="N105" i="10"/>
  <c r="M104" i="10"/>
  <c r="V104" i="10" s="1"/>
  <c r="L103" i="10"/>
  <c r="V103" i="10" s="1"/>
  <c r="O102" i="10"/>
  <c r="N101" i="10"/>
  <c r="M100" i="10"/>
  <c r="V100" i="10" s="1"/>
  <c r="L98" i="10"/>
  <c r="V98" i="10" s="1"/>
  <c r="O96" i="10"/>
  <c r="N95" i="10"/>
  <c r="M93" i="10"/>
  <c r="V93" i="10" s="1"/>
  <c r="L92" i="10"/>
  <c r="V92" i="10" s="1"/>
  <c r="O91" i="10"/>
  <c r="N90" i="10"/>
  <c r="M89" i="10"/>
  <c r="V89" i="10" s="1"/>
  <c r="L88" i="10"/>
  <c r="V88" i="10" s="1"/>
  <c r="O87" i="10"/>
  <c r="N86" i="10"/>
  <c r="M85" i="10"/>
  <c r="V85" i="10" s="1"/>
  <c r="L84" i="10"/>
  <c r="V84" i="10" s="1"/>
  <c r="O83" i="10"/>
  <c r="N82" i="10"/>
  <c r="L81" i="10"/>
  <c r="V81" i="10" s="1"/>
  <c r="M79" i="10"/>
  <c r="V79" i="10" s="1"/>
  <c r="M77" i="10"/>
  <c r="V77" i="10" s="1"/>
  <c r="M75" i="10"/>
  <c r="V75" i="10" s="1"/>
  <c r="M73" i="10"/>
  <c r="V73" i="10" s="1"/>
  <c r="M71" i="10"/>
  <c r="V71" i="10" s="1"/>
  <c r="M69" i="10"/>
  <c r="V69" i="10" s="1"/>
  <c r="M67" i="10"/>
  <c r="V67" i="10" s="1"/>
  <c r="M65" i="10"/>
  <c r="V65" i="10" s="1"/>
  <c r="M63" i="10"/>
  <c r="V63" i="10" s="1"/>
  <c r="M61" i="10"/>
  <c r="V61" i="10" s="1"/>
  <c r="M59" i="10"/>
  <c r="V59" i="10" s="1"/>
  <c r="M57" i="10"/>
  <c r="V57" i="10" s="1"/>
  <c r="M54" i="10"/>
  <c r="V54" i="10" s="1"/>
  <c r="M52" i="10"/>
  <c r="V52" i="10" s="1"/>
  <c r="M48" i="10"/>
  <c r="V48" i="10" s="1"/>
  <c r="M46" i="10"/>
  <c r="V46" i="10" s="1"/>
  <c r="M44" i="10"/>
  <c r="V44" i="10" s="1"/>
  <c r="M42" i="10"/>
  <c r="V42" i="10" s="1"/>
  <c r="M40" i="10"/>
  <c r="V40" i="10" s="1"/>
  <c r="M38" i="10"/>
  <c r="V38" i="10" s="1"/>
  <c r="M36" i="10"/>
  <c r="V36" i="10" s="1"/>
  <c r="M34" i="10"/>
  <c r="V34" i="10" s="1"/>
  <c r="M32" i="10"/>
  <c r="V32" i="10" s="1"/>
  <c r="O109" i="10"/>
  <c r="N113" i="10"/>
  <c r="N99" i="10"/>
  <c r="L97" i="10"/>
  <c r="DR243" i="9"/>
  <c r="DR237" i="9"/>
  <c r="DQ233" i="9"/>
  <c r="DS224" i="9"/>
  <c r="DR218" i="9"/>
  <c r="DR206" i="9"/>
  <c r="DR205" i="9"/>
  <c r="DS199" i="9"/>
  <c r="DR193" i="9"/>
  <c r="G246" i="9"/>
  <c r="DR246" i="9" s="1"/>
  <c r="DR190" i="9"/>
  <c r="DR189" i="9"/>
  <c r="DR146" i="9"/>
  <c r="DR145" i="9"/>
  <c r="EB132" i="9"/>
  <c r="DS132" i="9"/>
  <c r="DU209" i="9"/>
  <c r="EB241" i="9"/>
  <c r="EB225" i="9"/>
  <c r="DS225" i="9"/>
  <c r="EB209" i="9"/>
  <c r="DS209" i="9"/>
  <c r="DS193" i="9"/>
  <c r="EB193" i="9"/>
  <c r="DS177" i="9"/>
  <c r="EB177" i="9"/>
  <c r="DS161" i="9"/>
  <c r="EB161" i="9"/>
  <c r="DS145" i="9"/>
  <c r="EB145" i="9"/>
  <c r="EC212" i="9"/>
  <c r="EE193" i="9"/>
  <c r="CC246" i="9"/>
  <c r="EE246" i="9" s="1"/>
  <c r="DR245" i="9"/>
  <c r="DR236" i="9"/>
  <c r="DR231" i="9"/>
  <c r="DR230" i="9"/>
  <c r="DR203" i="9"/>
  <c r="DR187" i="9"/>
  <c r="DR154" i="9"/>
  <c r="DR153" i="9"/>
  <c r="DW205" i="9"/>
  <c r="DW193" i="9"/>
  <c r="BA246" i="9"/>
  <c r="DW246" i="9" s="1"/>
  <c r="DZ207" i="9"/>
  <c r="BH246" i="9"/>
  <c r="EA246" i="9" s="1"/>
  <c r="EA196" i="9"/>
  <c r="EB139" i="9"/>
  <c r="EB137" i="9"/>
  <c r="DS137" i="9"/>
  <c r="DS246" i="9"/>
  <c r="EB232" i="9"/>
  <c r="EB230" i="9"/>
  <c r="DS230" i="9"/>
  <c r="EB216" i="9"/>
  <c r="EB214" i="9"/>
  <c r="DS214" i="9"/>
  <c r="EB200" i="9"/>
  <c r="EB198" i="9"/>
  <c r="EB184" i="9"/>
  <c r="EB182" i="9"/>
  <c r="EB168" i="9"/>
  <c r="EB166" i="9"/>
  <c r="EB152" i="9"/>
  <c r="EB150" i="9"/>
  <c r="DS150" i="9"/>
  <c r="EI243" i="9"/>
  <c r="EJ241" i="9"/>
  <c r="EI235" i="9"/>
  <c r="EJ233" i="9"/>
  <c r="EI227" i="9"/>
  <c r="EJ225" i="9"/>
  <c r="EI219" i="9"/>
  <c r="EJ217" i="9"/>
  <c r="EJ212" i="9"/>
  <c r="EI211" i="9"/>
  <c r="EJ209" i="9"/>
  <c r="EI203" i="9"/>
  <c r="EJ201" i="9"/>
  <c r="DJ246" i="9"/>
  <c r="EJ196" i="9"/>
  <c r="EI195" i="9"/>
  <c r="EJ193" i="9"/>
  <c r="DM246" i="9"/>
  <c r="EJ246" i="9" s="1"/>
  <c r="EI187" i="9"/>
  <c r="EJ185" i="9"/>
  <c r="EI179" i="9"/>
  <c r="EJ177" i="9"/>
  <c r="EI171" i="9"/>
  <c r="EJ169" i="9"/>
  <c r="EI163" i="9"/>
  <c r="EJ161" i="9"/>
  <c r="EI155" i="9"/>
  <c r="EJ153" i="9"/>
  <c r="EI147" i="9"/>
  <c r="EJ145" i="9"/>
  <c r="EI139" i="9"/>
  <c r="EJ137" i="9"/>
  <c r="EI131" i="9"/>
  <c r="EM196" i="9"/>
  <c r="BT246" i="9"/>
  <c r="EM246" i="9" s="1"/>
  <c r="DQ186" i="9"/>
  <c r="DS183" i="9"/>
  <c r="DR179" i="9"/>
  <c r="DQ178" i="9"/>
  <c r="DS175" i="9"/>
  <c r="DR171" i="9"/>
  <c r="DQ170" i="9"/>
  <c r="DS167" i="9"/>
  <c r="DR163" i="9"/>
  <c r="DQ162" i="9"/>
  <c r="DS159" i="9"/>
  <c r="DR155" i="9"/>
  <c r="DQ154" i="9"/>
  <c r="DS151" i="9"/>
  <c r="DR147" i="9"/>
  <c r="DQ146" i="9"/>
  <c r="DS143" i="9"/>
  <c r="DR139" i="9"/>
  <c r="DQ138" i="9"/>
  <c r="DS135" i="9"/>
  <c r="DR131" i="9"/>
  <c r="AS246" i="9"/>
  <c r="DT246" i="9" s="1"/>
  <c r="DV211" i="9"/>
  <c r="DX207" i="9"/>
  <c r="DV207" i="9"/>
  <c r="DV203" i="9"/>
  <c r="DV199" i="9"/>
  <c r="DV195" i="9"/>
  <c r="DV191" i="9"/>
  <c r="DV187" i="9"/>
  <c r="DV183" i="9"/>
  <c r="DV179" i="9"/>
  <c r="DV175" i="9"/>
  <c r="DV171" i="9"/>
  <c r="DV212" i="9"/>
  <c r="EB196" i="9"/>
  <c r="EC246" i="9"/>
  <c r="EC243" i="9"/>
  <c r="EC235" i="9"/>
  <c r="EC227" i="9"/>
  <c r="EC219" i="9"/>
  <c r="EC211" i="9"/>
  <c r="EC203" i="9"/>
  <c r="EJ242" i="9"/>
  <c r="EI241" i="9"/>
  <c r="EJ234" i="9"/>
  <c r="EI233" i="9"/>
  <c r="EJ226" i="9"/>
  <c r="EI225" i="9"/>
  <c r="EJ218" i="9"/>
  <c r="EI217" i="9"/>
  <c r="EJ210" i="9"/>
  <c r="EI209" i="9"/>
  <c r="EJ202" i="9"/>
  <c r="EI201" i="9"/>
  <c r="EJ194" i="9"/>
  <c r="BY246" i="9"/>
  <c r="EI246" i="9" s="1"/>
  <c r="EI193" i="9"/>
  <c r="EJ186" i="9"/>
  <c r="EI185" i="9"/>
  <c r="EJ178" i="9"/>
  <c r="EI177" i="9"/>
  <c r="EJ170" i="9"/>
  <c r="EI169" i="9"/>
  <c r="EJ162" i="9"/>
  <c r="EI161" i="9"/>
  <c r="EJ154" i="9"/>
  <c r="EI153" i="9"/>
  <c r="EJ146" i="9"/>
  <c r="EI145" i="9"/>
  <c r="EJ138" i="9"/>
  <c r="EI137" i="9"/>
  <c r="EJ130" i="9"/>
  <c r="EK193" i="9"/>
  <c r="BO246" i="9"/>
  <c r="EK246" i="9" s="1"/>
  <c r="DS236" i="9"/>
  <c r="DR232" i="9"/>
  <c r="DQ231" i="9"/>
  <c r="DS228" i="9"/>
  <c r="DR224" i="9"/>
  <c r="DQ223" i="9"/>
  <c r="DS220" i="9"/>
  <c r="DR216" i="9"/>
  <c r="DQ215" i="9"/>
  <c r="DR207" i="9"/>
  <c r="DQ206" i="9"/>
  <c r="DS203" i="9"/>
  <c r="DR199" i="9"/>
  <c r="DQ198" i="9"/>
  <c r="DS195" i="9"/>
  <c r="DR191" i="9"/>
  <c r="DQ190" i="9"/>
  <c r="DS187" i="9"/>
  <c r="DR183" i="9"/>
  <c r="DQ182" i="9"/>
  <c r="DS179" i="9"/>
  <c r="DR175" i="9"/>
  <c r="DQ174" i="9"/>
  <c r="DS171" i="9"/>
  <c r="DR167" i="9"/>
  <c r="DQ166" i="9"/>
  <c r="DS163" i="9"/>
  <c r="DR159" i="9"/>
  <c r="DQ158" i="9"/>
  <c r="DS155" i="9"/>
  <c r="DR151" i="9"/>
  <c r="DQ150" i="9"/>
  <c r="DS147" i="9"/>
  <c r="DR143" i="9"/>
  <c r="DQ142" i="9"/>
  <c r="DS139" i="9"/>
  <c r="DR135" i="9"/>
  <c r="DQ134" i="9"/>
  <c r="DS131" i="9"/>
  <c r="DV198" i="9"/>
  <c r="BG246" i="9"/>
  <c r="DZ246" i="9" s="1"/>
  <c r="DR209" i="9"/>
  <c r="EC239" i="9"/>
  <c r="EC231" i="9"/>
  <c r="EC223" i="9"/>
  <c r="EC215" i="9"/>
  <c r="EC207" i="9"/>
  <c r="EC196" i="9"/>
  <c r="EE209" i="9"/>
  <c r="EI245" i="9"/>
  <c r="EJ238" i="9"/>
  <c r="EI237" i="9"/>
  <c r="EJ230" i="9"/>
  <c r="EI229" i="9"/>
  <c r="EJ222" i="9"/>
  <c r="EI221" i="9"/>
  <c r="EJ214" i="9"/>
  <c r="EI213" i="9"/>
  <c r="EJ206" i="9"/>
  <c r="EI205" i="9"/>
  <c r="EJ198" i="9"/>
  <c r="EI197" i="9"/>
  <c r="EJ190" i="9"/>
  <c r="EI189" i="9"/>
  <c r="EJ182" i="9"/>
  <c r="EI181" i="9"/>
  <c r="EJ174" i="9"/>
  <c r="EI173" i="9"/>
  <c r="EJ166" i="9"/>
  <c r="EI165" i="9"/>
  <c r="EJ158" i="9"/>
  <c r="EI157" i="9"/>
  <c r="EJ150" i="9"/>
  <c r="EI149" i="9"/>
  <c r="EJ142" i="9"/>
  <c r="EI141" i="9"/>
  <c r="EJ134" i="9"/>
  <c r="EI133" i="9"/>
  <c r="EL223" i="9"/>
  <c r="EL215" i="9"/>
  <c r="EM208" i="9"/>
  <c r="DR157" i="9"/>
  <c r="DR149" i="9"/>
  <c r="DR141" i="9"/>
  <c r="DR133" i="9"/>
  <c r="EB129" i="9"/>
  <c r="EB141" i="9"/>
  <c r="DS141" i="9"/>
  <c r="EB136" i="9"/>
  <c r="EB133" i="9"/>
  <c r="DS133" i="9"/>
  <c r="EB245" i="9"/>
  <c r="EB242" i="9"/>
  <c r="EB237" i="9"/>
  <c r="EB234" i="9"/>
  <c r="DS234" i="9"/>
  <c r="EB229" i="9"/>
  <c r="EB226" i="9"/>
  <c r="DS226" i="9"/>
  <c r="EB221" i="9"/>
  <c r="EB218" i="9"/>
  <c r="DS218" i="9"/>
  <c r="EB213" i="9"/>
  <c r="EB210" i="9"/>
  <c r="DS205" i="9"/>
  <c r="EB205" i="9"/>
  <c r="EB202" i="9"/>
  <c r="DS197" i="9"/>
  <c r="EB197" i="9"/>
  <c r="EB194" i="9"/>
  <c r="DS189" i="9"/>
  <c r="EB189" i="9"/>
  <c r="EB186" i="9"/>
  <c r="DS181" i="9"/>
  <c r="EB181" i="9"/>
  <c r="EB178" i="9"/>
  <c r="DS173" i="9"/>
  <c r="EB173" i="9"/>
  <c r="EB170" i="9"/>
  <c r="DS165" i="9"/>
  <c r="EB165" i="9"/>
  <c r="EB162" i="9"/>
  <c r="DS157" i="9"/>
  <c r="EB157" i="9"/>
  <c r="EB154" i="9"/>
  <c r="DS149" i="9"/>
  <c r="EB149" i="9"/>
  <c r="EB146" i="9"/>
  <c r="CE246" i="9"/>
  <c r="EJ245" i="9"/>
  <c r="EI239" i="9"/>
  <c r="EJ237" i="9"/>
  <c r="EI231" i="9"/>
  <c r="EJ229" i="9"/>
  <c r="EI223" i="9"/>
  <c r="EJ221" i="9"/>
  <c r="EI215" i="9"/>
  <c r="EJ213" i="9"/>
  <c r="EJ208" i="9"/>
  <c r="EI207" i="9"/>
  <c r="EJ205" i="9"/>
  <c r="EI199" i="9"/>
  <c r="EJ197" i="9"/>
  <c r="EI191" i="9"/>
  <c r="EJ189" i="9"/>
  <c r="EI183" i="9"/>
  <c r="EJ181" i="9"/>
  <c r="EI175" i="9"/>
  <c r="EJ173" i="9"/>
  <c r="EI167" i="9"/>
  <c r="EJ165" i="9"/>
  <c r="EI159" i="9"/>
  <c r="EJ157" i="9"/>
  <c r="EI151" i="9"/>
  <c r="EJ149" i="9"/>
  <c r="EI143" i="9"/>
  <c r="EJ141" i="9"/>
  <c r="EI135" i="9"/>
  <c r="EJ133" i="9"/>
  <c r="EM209" i="9"/>
  <c r="EK209" i="9"/>
  <c r="EL207" i="9"/>
  <c r="EC191" i="9"/>
  <c r="EC188" i="9"/>
  <c r="EC180" i="9"/>
  <c r="EC172" i="9"/>
  <c r="EC164" i="9"/>
  <c r="EC156" i="9"/>
  <c r="EC148" i="9"/>
  <c r="EC140" i="9"/>
  <c r="EC132" i="9"/>
  <c r="EL231" i="9"/>
  <c r="EL208" i="9"/>
  <c r="EC195" i="9"/>
  <c r="EI242" i="9"/>
  <c r="EI238" i="9"/>
  <c r="EI234" i="9"/>
  <c r="EI230" i="9"/>
  <c r="EI226" i="9"/>
  <c r="EI222" i="9"/>
  <c r="EI218" i="9"/>
  <c r="EI214" i="9"/>
  <c r="EI210" i="9"/>
  <c r="EI206" i="9"/>
  <c r="EI202" i="9"/>
  <c r="EI198" i="9"/>
  <c r="EI194" i="9"/>
  <c r="EI190" i="9"/>
  <c r="EI186" i="9"/>
  <c r="EI182" i="9"/>
  <c r="EI178" i="9"/>
  <c r="EI174" i="9"/>
  <c r="EI170" i="9"/>
  <c r="EI166" i="9"/>
  <c r="EI162" i="9"/>
  <c r="EI158" i="9"/>
  <c r="EI154" i="9"/>
  <c r="EI150" i="9"/>
  <c r="EI146" i="9"/>
  <c r="EI142" i="9"/>
  <c r="EI138" i="9"/>
  <c r="EI134" i="9"/>
  <c r="EI130" i="9"/>
  <c r="EL227" i="9"/>
  <c r="EL219" i="9"/>
  <c r="EL211" i="9"/>
  <c r="E19" i="18"/>
  <c r="E21" i="18"/>
  <c r="E23" i="18"/>
  <c r="E25" i="18"/>
  <c r="E18" i="18"/>
  <c r="E20" i="18"/>
  <c r="E22" i="18"/>
  <c r="E24" i="18"/>
  <c r="E26" i="18"/>
  <c r="C34" i="54"/>
  <c r="D1" i="54"/>
  <c r="F18" i="18"/>
  <c r="F20" i="18"/>
  <c r="F22" i="18"/>
  <c r="F24" i="18"/>
  <c r="F26" i="18"/>
  <c r="F19" i="18"/>
  <c r="F21" i="18"/>
  <c r="F23" i="18"/>
  <c r="F25" i="18"/>
  <c r="Q146" i="10"/>
  <c r="D18" i="18"/>
  <c r="D20" i="18"/>
  <c r="D22" i="18"/>
  <c r="D24" i="18"/>
  <c r="D26" i="18"/>
  <c r="D19" i="18"/>
  <c r="D21" i="18"/>
  <c r="D23" i="18"/>
  <c r="D25" i="18"/>
  <c r="AM247" i="40"/>
  <c r="AR251" i="40"/>
  <c r="AR249" i="40"/>
  <c r="P147" i="10"/>
  <c r="K141" i="10"/>
  <c r="T141" i="10" s="1"/>
  <c r="K130" i="10"/>
  <c r="T130" i="10" s="1"/>
  <c r="K111" i="10"/>
  <c r="T111" i="10" s="1"/>
  <c r="K107" i="10"/>
  <c r="T107" i="10" s="1"/>
  <c r="K100" i="10"/>
  <c r="T100" i="10" s="1"/>
  <c r="K96" i="10"/>
  <c r="T96" i="10" s="1"/>
  <c r="K88" i="10"/>
  <c r="T88" i="10" s="1"/>
  <c r="K84" i="10"/>
  <c r="T84" i="10" s="1"/>
  <c r="K80" i="10"/>
  <c r="T80" i="10" s="1"/>
  <c r="K77" i="10"/>
  <c r="T77" i="10" s="1"/>
  <c r="K71" i="10"/>
  <c r="T71" i="10" s="1"/>
  <c r="K142" i="10"/>
  <c r="T142" i="10" s="1"/>
  <c r="K138" i="10"/>
  <c r="T138" i="10" s="1"/>
  <c r="K113" i="10"/>
  <c r="K109" i="10"/>
  <c r="K99" i="10"/>
  <c r="K94" i="10"/>
  <c r="K90" i="10"/>
  <c r="T90" i="10" s="1"/>
  <c r="K86" i="10"/>
  <c r="T86" i="10" s="1"/>
  <c r="K82" i="10"/>
  <c r="T82" i="10" s="1"/>
  <c r="K76" i="10"/>
  <c r="T76" i="10" s="1"/>
  <c r="E45" i="33"/>
  <c r="L49" i="53" s="1"/>
  <c r="M49" i="53" s="1"/>
  <c r="O49" i="53" s="1"/>
  <c r="Q49" i="53" s="1"/>
  <c r="C43" i="33"/>
  <c r="C54" i="33" s="1"/>
  <c r="C19" i="18"/>
  <c r="C18" i="18"/>
  <c r="C20" i="18"/>
  <c r="C22" i="18"/>
  <c r="C24" i="18"/>
  <c r="C26" i="18"/>
  <c r="C25" i="18"/>
  <c r="D43" i="33"/>
  <c r="E46" i="33"/>
  <c r="L50" i="53" s="1"/>
  <c r="M50" i="53" s="1"/>
  <c r="O50" i="53" s="1"/>
  <c r="Q50" i="53" s="1"/>
  <c r="M13" i="37"/>
  <c r="E35" i="33"/>
  <c r="L39" i="53" s="1"/>
  <c r="M39" i="53" s="1"/>
  <c r="O39" i="53" s="1"/>
  <c r="Q39" i="53" s="1"/>
  <c r="L56" i="53"/>
  <c r="M56" i="53" s="1"/>
  <c r="O56" i="53" s="1"/>
  <c r="Q56" i="53" s="1"/>
  <c r="L57" i="53"/>
  <c r="M57" i="53" s="1"/>
  <c r="O57" i="53" s="1"/>
  <c r="Q57" i="53" s="1"/>
  <c r="E48" i="33"/>
  <c r="L52" i="53" s="1"/>
  <c r="M52" i="53" s="1"/>
  <c r="O52" i="53" s="1"/>
  <c r="Q52" i="53" s="1"/>
  <c r="E41" i="33"/>
  <c r="L45" i="53" s="1"/>
  <c r="M45" i="53" s="1"/>
  <c r="O45" i="53" s="1"/>
  <c r="Q45" i="53" s="1"/>
  <c r="K23" i="37"/>
  <c r="K58" i="37" s="1"/>
  <c r="N38" i="53"/>
  <c r="P38" i="53" s="1"/>
  <c r="R38" i="53" s="1"/>
  <c r="Z43" i="37"/>
  <c r="Z53" i="37"/>
  <c r="N41" i="53"/>
  <c r="P41" i="53" s="1"/>
  <c r="R41" i="53" s="1"/>
  <c r="N56" i="53"/>
  <c r="N42" i="53"/>
  <c r="P42" i="53" s="1"/>
  <c r="R42" i="53" s="1"/>
  <c r="N43" i="53"/>
  <c r="P43" i="53" s="1"/>
  <c r="R43" i="53" s="1"/>
  <c r="N34" i="53"/>
  <c r="N39" i="53"/>
  <c r="N54" i="53"/>
  <c r="P54" i="53" s="1"/>
  <c r="R54" i="53" s="1"/>
  <c r="N55" i="53"/>
  <c r="P55" i="53" s="1"/>
  <c r="R55" i="53" s="1"/>
  <c r="N40" i="53"/>
  <c r="P40" i="53" s="1"/>
  <c r="R40" i="53" s="1"/>
  <c r="N46" i="53"/>
  <c r="P46" i="53" s="1"/>
  <c r="R46" i="53" s="1"/>
  <c r="N45" i="53"/>
  <c r="N37" i="53"/>
  <c r="P37" i="53" s="1"/>
  <c r="R37" i="53" s="1"/>
  <c r="N57" i="53"/>
  <c r="N50" i="53"/>
  <c r="N47" i="53"/>
  <c r="N53" i="53"/>
  <c r="P53" i="53" s="1"/>
  <c r="R53" i="53" s="1"/>
  <c r="N44" i="53"/>
  <c r="P44" i="53" s="1"/>
  <c r="R44" i="53" s="1"/>
  <c r="N35" i="53"/>
  <c r="P35" i="53" s="1"/>
  <c r="R35" i="53" s="1"/>
  <c r="N52" i="53"/>
  <c r="N36" i="53"/>
  <c r="P36" i="53" s="1"/>
  <c r="R36" i="53" s="1"/>
  <c r="N49" i="53"/>
  <c r="N48" i="53"/>
  <c r="P48" i="53" s="1"/>
  <c r="R48" i="53" s="1"/>
  <c r="C46" i="42"/>
  <c r="T46" i="42"/>
  <c r="D56" i="42"/>
  <c r="W56" i="42"/>
  <c r="D61" i="42"/>
  <c r="T42" i="42"/>
  <c r="I39" i="42"/>
  <c r="G34" i="53"/>
  <c r="W46" i="42"/>
  <c r="H46" i="42"/>
  <c r="V56" i="42"/>
  <c r="E56" i="42"/>
  <c r="D42" i="42"/>
  <c r="H42" i="42"/>
  <c r="D44" i="42"/>
  <c r="V39" i="42"/>
  <c r="V46" i="42"/>
  <c r="H56" i="42"/>
  <c r="I56" i="42"/>
  <c r="I61" i="42"/>
  <c r="I42" i="42"/>
  <c r="C42" i="42"/>
  <c r="W39" i="42"/>
  <c r="I46" i="42"/>
  <c r="D46" i="42"/>
  <c r="F56" i="42"/>
  <c r="C56" i="42"/>
  <c r="C61" i="42"/>
  <c r="W42" i="42"/>
  <c r="D50" i="42"/>
  <c r="D39" i="42"/>
  <c r="D41" i="42"/>
  <c r="O64" i="37" l="1"/>
  <c r="E64" i="37"/>
  <c r="D64" i="37"/>
  <c r="T64" i="37"/>
  <c r="N64" i="37"/>
  <c r="W64" i="37"/>
  <c r="B64" i="37"/>
  <c r="Q64" i="37"/>
  <c r="G64" i="37"/>
  <c r="H64" i="37"/>
  <c r="X64" i="37"/>
  <c r="I64" i="37"/>
  <c r="R64" i="37"/>
  <c r="K64" i="37"/>
  <c r="P64" i="37"/>
  <c r="S64" i="37"/>
  <c r="V64" i="37"/>
  <c r="J64" i="37"/>
  <c r="L64" i="37"/>
  <c r="Y64" i="37"/>
  <c r="C64" i="37"/>
  <c r="M64" i="37"/>
  <c r="F64" i="37"/>
  <c r="U64" i="37"/>
  <c r="AC66" i="37"/>
  <c r="AC61" i="37"/>
  <c r="AC62" i="37"/>
  <c r="AC65" i="37"/>
  <c r="AC67" i="37"/>
  <c r="AC63" i="37"/>
  <c r="AA18" i="18"/>
  <c r="AB18" i="18" s="1"/>
  <c r="AA16" i="18"/>
  <c r="AB16" i="18" s="1"/>
  <c r="D65" i="42"/>
  <c r="AA27" i="18"/>
  <c r="D80" i="42"/>
  <c r="AC27" i="18" s="1"/>
  <c r="W72" i="42"/>
  <c r="W105" i="42"/>
  <c r="C91" i="42"/>
  <c r="C124" i="42" s="1"/>
  <c r="C86" i="42"/>
  <c r="C119" i="42"/>
  <c r="F119" i="42"/>
  <c r="H88" i="42"/>
  <c r="H73" i="42"/>
  <c r="H79" i="42"/>
  <c r="H69" i="42"/>
  <c r="H89" i="42"/>
  <c r="H78" i="42"/>
  <c r="H70" i="42"/>
  <c r="H68" i="42"/>
  <c r="H91" i="42"/>
  <c r="H77" i="42"/>
  <c r="H75" i="42"/>
  <c r="F65" i="42"/>
  <c r="H74" i="42"/>
  <c r="H71" i="42"/>
  <c r="AA23" i="18"/>
  <c r="AB23" i="18" s="1"/>
  <c r="W23" i="18"/>
  <c r="W69" i="42"/>
  <c r="Y69" i="42" s="1"/>
  <c r="W65" i="42"/>
  <c r="C72" i="42"/>
  <c r="C105" i="42"/>
  <c r="C65" i="42"/>
  <c r="W19" i="18"/>
  <c r="W38" i="18"/>
  <c r="I86" i="42"/>
  <c r="BB33" i="18" s="1"/>
  <c r="H86" i="42"/>
  <c r="H119" i="42"/>
  <c r="V76" i="42"/>
  <c r="V109" i="42" s="1"/>
  <c r="V69" i="42"/>
  <c r="V102" i="42"/>
  <c r="V65" i="42"/>
  <c r="AA21" i="18"/>
  <c r="AB21" i="18" s="1"/>
  <c r="H72" i="42"/>
  <c r="H65" i="42"/>
  <c r="AA19" i="18"/>
  <c r="AB19" i="18" s="1"/>
  <c r="E86" i="42"/>
  <c r="E119" i="42"/>
  <c r="E65" i="42"/>
  <c r="V86" i="42"/>
  <c r="V119" i="42"/>
  <c r="H76" i="42"/>
  <c r="H109" i="42"/>
  <c r="W76" i="42"/>
  <c r="W109" i="42"/>
  <c r="O34" i="53"/>
  <c r="O58" i="53" s="1"/>
  <c r="G58" i="53"/>
  <c r="W16" i="18"/>
  <c r="I65" i="42"/>
  <c r="T72" i="42"/>
  <c r="T105" i="42"/>
  <c r="T65" i="42"/>
  <c r="AA38" i="18"/>
  <c r="AB38" i="18" s="1"/>
  <c r="W86" i="42"/>
  <c r="AA33" i="18"/>
  <c r="D86" i="42"/>
  <c r="D119" i="42"/>
  <c r="T76" i="42"/>
  <c r="T109" i="42" s="1"/>
  <c r="C76" i="42"/>
  <c r="C109" i="42"/>
  <c r="P39" i="53"/>
  <c r="R39" i="53" s="1"/>
  <c r="P56" i="53"/>
  <c r="R56" i="53" s="1"/>
  <c r="P50" i="53"/>
  <c r="R50" i="53" s="1"/>
  <c r="D54" i="33"/>
  <c r="E54" i="33" s="1"/>
  <c r="E43" i="33"/>
  <c r="L47" i="53" s="1"/>
  <c r="M47" i="53" s="1"/>
  <c r="O47" i="53" s="1"/>
  <c r="Q47" i="53" s="1"/>
  <c r="T99" i="10"/>
  <c r="AU249" i="40"/>
  <c r="AS248" i="40"/>
  <c r="AS249" i="40"/>
  <c r="AS250" i="40"/>
  <c r="O18" i="18"/>
  <c r="D34" i="54"/>
  <c r="E1" i="54"/>
  <c r="P20" i="18"/>
  <c r="N152" i="10"/>
  <c r="V144" i="10"/>
  <c r="M153" i="10"/>
  <c r="V50" i="10"/>
  <c r="S113" i="10"/>
  <c r="M152" i="10"/>
  <c r="V136" i="10"/>
  <c r="S127" i="9"/>
  <c r="S128" i="9" s="1"/>
  <c r="S4" i="9" s="1"/>
  <c r="AI127" i="9"/>
  <c r="AI128" i="9" s="1"/>
  <c r="AI4" i="9" s="1"/>
  <c r="AY127" i="9"/>
  <c r="AY128" i="9" s="1"/>
  <c r="AY4" i="9" s="1"/>
  <c r="BO127" i="9"/>
  <c r="BO128" i="9" s="1"/>
  <c r="BO4" i="9" s="1"/>
  <c r="CE127" i="9"/>
  <c r="CE128" i="9" s="1"/>
  <c r="CE4" i="9" s="1"/>
  <c r="CU127" i="9"/>
  <c r="CU128" i="9" s="1"/>
  <c r="CU4" i="9" s="1"/>
  <c r="DK127" i="9"/>
  <c r="DK128" i="9" s="1"/>
  <c r="DK4" i="9" s="1"/>
  <c r="EA127" i="9"/>
  <c r="EQ127" i="9"/>
  <c r="EQ128" i="9" s="1"/>
  <c r="EQ4" i="9" s="1"/>
  <c r="FG127" i="9"/>
  <c r="FG128" i="9" s="1"/>
  <c r="FG4" i="9" s="1"/>
  <c r="FW127" i="9"/>
  <c r="FW128" i="9" s="1"/>
  <c r="FW4" i="9" s="1"/>
  <c r="J127" i="9"/>
  <c r="J128" i="9" s="1"/>
  <c r="J4" i="9" s="1"/>
  <c r="Z127" i="9"/>
  <c r="Z128" i="9" s="1"/>
  <c r="Z4" i="9" s="1"/>
  <c r="AP127" i="9"/>
  <c r="AP128" i="9" s="1"/>
  <c r="AP4" i="9" s="1"/>
  <c r="BF127" i="9"/>
  <c r="BF128" i="9" s="1"/>
  <c r="BF4" i="9" s="1"/>
  <c r="BV127" i="9"/>
  <c r="BV128" i="9" s="1"/>
  <c r="BV4" i="9" s="1"/>
  <c r="CL127" i="9"/>
  <c r="CL128" i="9" s="1"/>
  <c r="CL4" i="9" s="1"/>
  <c r="DB127" i="9"/>
  <c r="DB128" i="9" s="1"/>
  <c r="DB4" i="9" s="1"/>
  <c r="DR127" i="9"/>
  <c r="EH127" i="9"/>
  <c r="EX127" i="9"/>
  <c r="EX128" i="9" s="1"/>
  <c r="EX4" i="9" s="1"/>
  <c r="FN127" i="9"/>
  <c r="FN128" i="9" s="1"/>
  <c r="FN4" i="9" s="1"/>
  <c r="GD127" i="9"/>
  <c r="GD128" i="9" s="1"/>
  <c r="GD4" i="9" s="1"/>
  <c r="Q127" i="9"/>
  <c r="Q128" i="9" s="1"/>
  <c r="Q4" i="9" s="1"/>
  <c r="AG127" i="9"/>
  <c r="AG128" i="9" s="1"/>
  <c r="AG4" i="9" s="1"/>
  <c r="AW127" i="9"/>
  <c r="AW128" i="9" s="1"/>
  <c r="AW4" i="9" s="1"/>
  <c r="BM127" i="9"/>
  <c r="BM128" i="9" s="1"/>
  <c r="BM4" i="9" s="1"/>
  <c r="CC127" i="9"/>
  <c r="CC128" i="9" s="1"/>
  <c r="CC4" i="9" s="1"/>
  <c r="CS127" i="9"/>
  <c r="CS128" i="9" s="1"/>
  <c r="CS4" i="9" s="1"/>
  <c r="DI127" i="9"/>
  <c r="DI128" i="9" s="1"/>
  <c r="DI4" i="9" s="1"/>
  <c r="DY127" i="9"/>
  <c r="EO127" i="9"/>
  <c r="EO128" i="9" s="1"/>
  <c r="EO4" i="9" s="1"/>
  <c r="FE127" i="9"/>
  <c r="FE128" i="9" s="1"/>
  <c r="FE4" i="9" s="1"/>
  <c r="FU127" i="9"/>
  <c r="FU128" i="9" s="1"/>
  <c r="FU4" i="9" s="1"/>
  <c r="L127" i="9"/>
  <c r="L128" i="9" s="1"/>
  <c r="L4" i="9" s="1"/>
  <c r="BX127" i="9"/>
  <c r="BX128" i="9" s="1"/>
  <c r="BX4" i="9" s="1"/>
  <c r="H127" i="9"/>
  <c r="H128" i="9" s="1"/>
  <c r="H4" i="9" s="1"/>
  <c r="BT127" i="9"/>
  <c r="BT128" i="9" s="1"/>
  <c r="BT4" i="9" s="1"/>
  <c r="EF127" i="9"/>
  <c r="FL127" i="9"/>
  <c r="FL128" i="9" s="1"/>
  <c r="FL4" i="9" s="1"/>
  <c r="AJ127" i="9"/>
  <c r="AJ128" i="9" s="1"/>
  <c r="AJ4" i="9" s="1"/>
  <c r="CV127" i="9"/>
  <c r="CV128" i="9" s="1"/>
  <c r="CV4" i="9" s="1"/>
  <c r="P127" i="9"/>
  <c r="P128" i="9" s="1"/>
  <c r="P4" i="9" s="1"/>
  <c r="CB127" i="9"/>
  <c r="CB128" i="9" s="1"/>
  <c r="CB4" i="9" s="1"/>
  <c r="K127" i="9"/>
  <c r="K128" i="9" s="1"/>
  <c r="K4" i="9" s="1"/>
  <c r="AA127" i="9"/>
  <c r="AA128" i="9" s="1"/>
  <c r="AA4" i="9" s="1"/>
  <c r="AQ127" i="9"/>
  <c r="AQ128" i="9" s="1"/>
  <c r="AQ4" i="9" s="1"/>
  <c r="BG127" i="9"/>
  <c r="BG128" i="9" s="1"/>
  <c r="BG4" i="9" s="1"/>
  <c r="BW127" i="9"/>
  <c r="BW128" i="9" s="1"/>
  <c r="BW4" i="9" s="1"/>
  <c r="CM127" i="9"/>
  <c r="CM128" i="9" s="1"/>
  <c r="CM4" i="9" s="1"/>
  <c r="DC127" i="9"/>
  <c r="DC128" i="9" s="1"/>
  <c r="DC4" i="9" s="1"/>
  <c r="DS127" i="9"/>
  <c r="EI127" i="9"/>
  <c r="EY127" i="9"/>
  <c r="EY128" i="9" s="1"/>
  <c r="EY4" i="9" s="1"/>
  <c r="FO127" i="9"/>
  <c r="FO128" i="9" s="1"/>
  <c r="FO4" i="9" s="1"/>
  <c r="GE127" i="9"/>
  <c r="GE128" i="9" s="1"/>
  <c r="GE4" i="9" s="1"/>
  <c r="R127" i="9"/>
  <c r="R128" i="9" s="1"/>
  <c r="R4" i="9" s="1"/>
  <c r="AH127" i="9"/>
  <c r="AH128" i="9" s="1"/>
  <c r="AH4" i="9" s="1"/>
  <c r="AX127" i="9"/>
  <c r="AX128" i="9" s="1"/>
  <c r="AX4" i="9" s="1"/>
  <c r="BN127" i="9"/>
  <c r="BN128" i="9" s="1"/>
  <c r="BN4" i="9" s="1"/>
  <c r="CD127" i="9"/>
  <c r="CD128" i="9" s="1"/>
  <c r="CD4" i="9" s="1"/>
  <c r="CT127" i="9"/>
  <c r="CT128" i="9" s="1"/>
  <c r="CT4" i="9" s="1"/>
  <c r="DJ127" i="9"/>
  <c r="DJ128" i="9" s="1"/>
  <c r="DJ4" i="9" s="1"/>
  <c r="DZ127" i="9"/>
  <c r="EP127" i="9"/>
  <c r="EP128" i="9" s="1"/>
  <c r="EP4" i="9" s="1"/>
  <c r="FF127" i="9"/>
  <c r="FF128" i="9" s="1"/>
  <c r="FF4" i="9" s="1"/>
  <c r="FV127" i="9"/>
  <c r="FV128" i="9" s="1"/>
  <c r="FV4" i="9" s="1"/>
  <c r="I127" i="9"/>
  <c r="I128" i="9" s="1"/>
  <c r="I4" i="9" s="1"/>
  <c r="Y127" i="9"/>
  <c r="Y128" i="9" s="1"/>
  <c r="Y4" i="9" s="1"/>
  <c r="AO127" i="9"/>
  <c r="AO128" i="9" s="1"/>
  <c r="AO4" i="9" s="1"/>
  <c r="BE127" i="9"/>
  <c r="BE128" i="9" s="1"/>
  <c r="BE4" i="9" s="1"/>
  <c r="BU127" i="9"/>
  <c r="BU128" i="9" s="1"/>
  <c r="BU4" i="9" s="1"/>
  <c r="CK127" i="9"/>
  <c r="CK128" i="9" s="1"/>
  <c r="CK4" i="9" s="1"/>
  <c r="DA127" i="9"/>
  <c r="DA128" i="9" s="1"/>
  <c r="DA4" i="9" s="1"/>
  <c r="DQ127" i="9"/>
  <c r="EG127" i="9"/>
  <c r="EW127" i="9"/>
  <c r="EW128" i="9" s="1"/>
  <c r="EW4" i="9" s="1"/>
  <c r="FM127" i="9"/>
  <c r="FM128" i="9" s="1"/>
  <c r="FM4" i="9" s="1"/>
  <c r="GC127" i="9"/>
  <c r="GC128" i="9" s="1"/>
  <c r="GC4" i="9" s="1"/>
  <c r="AR127" i="9"/>
  <c r="AR128" i="9" s="1"/>
  <c r="AR4" i="9" s="1"/>
  <c r="DD127" i="9"/>
  <c r="DD128" i="9" s="1"/>
  <c r="DD4" i="9" s="1"/>
  <c r="EJ127" i="9"/>
  <c r="FP127" i="9"/>
  <c r="FP128" i="9" s="1"/>
  <c r="FP4" i="9" s="1"/>
  <c r="AN127" i="9"/>
  <c r="AN128" i="9" s="1"/>
  <c r="AN4" i="9" s="1"/>
  <c r="CZ127" i="9"/>
  <c r="CZ128" i="9" s="1"/>
  <c r="CZ4" i="9" s="1"/>
  <c r="D127" i="9"/>
  <c r="D128" i="9" s="1"/>
  <c r="D4" i="9" s="1"/>
  <c r="BP127" i="9"/>
  <c r="BP128" i="9" s="1"/>
  <c r="BP4" i="9" s="1"/>
  <c r="EB127" i="9"/>
  <c r="FH127" i="9"/>
  <c r="FH128" i="9" s="1"/>
  <c r="FH4" i="9" s="1"/>
  <c r="AV127" i="9"/>
  <c r="AV128" i="9" s="1"/>
  <c r="AV4" i="9" s="1"/>
  <c r="DH127" i="9"/>
  <c r="DH128" i="9" s="1"/>
  <c r="DH4" i="9" s="1"/>
  <c r="EN127" i="9"/>
  <c r="FT127" i="9"/>
  <c r="FT128" i="9" s="1"/>
  <c r="FT4" i="9" s="1"/>
  <c r="W127" i="9"/>
  <c r="W128" i="9" s="1"/>
  <c r="W4" i="9" s="1"/>
  <c r="BC127" i="9"/>
  <c r="BC128" i="9" s="1"/>
  <c r="BC4" i="9" s="1"/>
  <c r="CI127" i="9"/>
  <c r="CI128" i="9" s="1"/>
  <c r="CI4" i="9" s="1"/>
  <c r="DO127" i="9"/>
  <c r="DO128" i="9" s="1"/>
  <c r="DO4" i="9" s="1"/>
  <c r="EM127" i="9"/>
  <c r="FK127" i="9"/>
  <c r="FK128" i="9" s="1"/>
  <c r="FK4" i="9" s="1"/>
  <c r="N127" i="9"/>
  <c r="N128" i="9" s="1"/>
  <c r="N4" i="9" s="1"/>
  <c r="AT127" i="9"/>
  <c r="AT128" i="9" s="1"/>
  <c r="AT4" i="9" s="1"/>
  <c r="BZ127" i="9"/>
  <c r="BZ128" i="9" s="1"/>
  <c r="BZ4" i="9" s="1"/>
  <c r="DF127" i="9"/>
  <c r="DF128" i="9" s="1"/>
  <c r="DF4" i="9" s="1"/>
  <c r="FB127" i="9"/>
  <c r="FB128" i="9" s="1"/>
  <c r="FB4" i="9" s="1"/>
  <c r="E127" i="9"/>
  <c r="E128" i="9" s="1"/>
  <c r="E4" i="9" s="1"/>
  <c r="AK127" i="9"/>
  <c r="AK128" i="9" s="1"/>
  <c r="AK4" i="9" s="1"/>
  <c r="BQ127" i="9"/>
  <c r="BQ128" i="9" s="1"/>
  <c r="BQ4" i="9" s="1"/>
  <c r="CW127" i="9"/>
  <c r="CW128" i="9" s="1"/>
  <c r="CW4" i="9" s="1"/>
  <c r="DU127" i="9"/>
  <c r="ES127" i="9"/>
  <c r="ES128" i="9" s="1"/>
  <c r="ES4" i="9" s="1"/>
  <c r="FY127" i="9"/>
  <c r="FY128" i="9" s="1"/>
  <c r="FY4" i="9" s="1"/>
  <c r="CN127" i="9"/>
  <c r="CN128" i="9" s="1"/>
  <c r="CN4" i="9" s="1"/>
  <c r="EZ127" i="9"/>
  <c r="EZ128" i="9" s="1"/>
  <c r="EZ4" i="9" s="1"/>
  <c r="CJ127" i="9"/>
  <c r="CJ128" i="9" s="1"/>
  <c r="CJ4" i="9" s="1"/>
  <c r="GB127" i="9"/>
  <c r="GB128" i="9" s="1"/>
  <c r="GB4" i="9" s="1"/>
  <c r="DL127" i="9"/>
  <c r="DL128" i="9" s="1"/>
  <c r="DL4" i="9" s="1"/>
  <c r="AF127" i="9"/>
  <c r="AF128" i="9" s="1"/>
  <c r="AF4" i="9" s="1"/>
  <c r="O127" i="9"/>
  <c r="O128" i="9" s="1"/>
  <c r="O4" i="9" s="1"/>
  <c r="AU127" i="9"/>
  <c r="AU128" i="9" s="1"/>
  <c r="AU4" i="9" s="1"/>
  <c r="CA127" i="9"/>
  <c r="CA128" i="9" s="1"/>
  <c r="CA4" i="9" s="1"/>
  <c r="DG127" i="9"/>
  <c r="DG128" i="9" s="1"/>
  <c r="DG4" i="9" s="1"/>
  <c r="FC127" i="9"/>
  <c r="FC128" i="9" s="1"/>
  <c r="FC4" i="9" s="1"/>
  <c r="F127" i="9"/>
  <c r="F128" i="9" s="1"/>
  <c r="F4" i="9" s="1"/>
  <c r="AL127" i="9"/>
  <c r="AL128" i="9" s="1"/>
  <c r="AL4" i="9" s="1"/>
  <c r="BR127" i="9"/>
  <c r="BR128" i="9" s="1"/>
  <c r="BR4" i="9" s="1"/>
  <c r="CX127" i="9"/>
  <c r="CX128" i="9" s="1"/>
  <c r="CX4" i="9" s="1"/>
  <c r="DV127" i="9"/>
  <c r="ET127" i="9"/>
  <c r="ET128" i="9" s="1"/>
  <c r="ET4" i="9" s="1"/>
  <c r="FZ127" i="9"/>
  <c r="FZ128" i="9" s="1"/>
  <c r="FZ4" i="9" s="1"/>
  <c r="AC127" i="9"/>
  <c r="AC128" i="9" s="1"/>
  <c r="AC4" i="9" s="1"/>
  <c r="BI127" i="9"/>
  <c r="BI128" i="9" s="1"/>
  <c r="BI4" i="9" s="1"/>
  <c r="CO127" i="9"/>
  <c r="CO128" i="9" s="1"/>
  <c r="CO4" i="9" s="1"/>
  <c r="EC127" i="9"/>
  <c r="FQ127" i="9"/>
  <c r="FQ128" i="9" s="1"/>
  <c r="FQ4" i="9" s="1"/>
  <c r="BH127" i="9"/>
  <c r="BH128" i="9" s="1"/>
  <c r="BH4" i="9" s="1"/>
  <c r="BD127" i="9"/>
  <c r="BD128" i="9" s="1"/>
  <c r="BD4" i="9" s="1"/>
  <c r="EV127" i="9"/>
  <c r="EV128" i="9" s="1"/>
  <c r="EV4" i="9" s="1"/>
  <c r="CF127" i="9"/>
  <c r="CF128" i="9" s="1"/>
  <c r="CF4" i="9" s="1"/>
  <c r="FX127" i="9"/>
  <c r="FX128" i="9" s="1"/>
  <c r="FX4" i="9" s="1"/>
  <c r="DX127" i="9"/>
  <c r="AE127" i="9"/>
  <c r="AE128" i="9" s="1"/>
  <c r="AE4" i="9" s="1"/>
  <c r="BK127" i="9"/>
  <c r="BK128" i="9" s="1"/>
  <c r="BK4" i="9" s="1"/>
  <c r="CQ127" i="9"/>
  <c r="CQ128" i="9" s="1"/>
  <c r="CQ4" i="9" s="1"/>
  <c r="EE127" i="9"/>
  <c r="FS127" i="9"/>
  <c r="FS128" i="9" s="1"/>
  <c r="FS4" i="9" s="1"/>
  <c r="V127" i="9"/>
  <c r="V128" i="9" s="1"/>
  <c r="V4" i="9" s="1"/>
  <c r="BB127" i="9"/>
  <c r="BB128" i="9" s="1"/>
  <c r="BB4" i="9" s="1"/>
  <c r="CH127" i="9"/>
  <c r="CH128" i="9" s="1"/>
  <c r="CH4" i="9" s="1"/>
  <c r="DN127" i="9"/>
  <c r="DN128" i="9" s="1"/>
  <c r="DN4" i="9" s="1"/>
  <c r="EL127" i="9"/>
  <c r="FJ127" i="9"/>
  <c r="FJ128" i="9" s="1"/>
  <c r="FJ4" i="9" s="1"/>
  <c r="M127" i="9"/>
  <c r="M128" i="9" s="1"/>
  <c r="M4" i="9" s="1"/>
  <c r="AS127" i="9"/>
  <c r="AS128" i="9" s="1"/>
  <c r="AS4" i="9" s="1"/>
  <c r="BY127" i="9"/>
  <c r="BY128" i="9" s="1"/>
  <c r="BY4" i="9" s="1"/>
  <c r="DE127" i="9"/>
  <c r="DE128" i="9" s="1"/>
  <c r="DE4" i="9" s="1"/>
  <c r="FA127" i="9"/>
  <c r="FA128" i="9" s="1"/>
  <c r="FA4" i="9" s="1"/>
  <c r="GG127" i="9"/>
  <c r="GG128" i="9" s="1"/>
  <c r="GG4" i="9" s="1"/>
  <c r="DT127" i="9"/>
  <c r="GF127" i="9"/>
  <c r="GF128" i="9" s="1"/>
  <c r="GF4" i="9" s="1"/>
  <c r="DP127" i="9"/>
  <c r="DP128" i="9" s="1"/>
  <c r="DP4" i="9" s="1"/>
  <c r="T127" i="9"/>
  <c r="T128" i="9" s="1"/>
  <c r="T4" i="9" s="1"/>
  <c r="BL127" i="9"/>
  <c r="BL128" i="9" s="1"/>
  <c r="BL4" i="9" s="1"/>
  <c r="BS127" i="9"/>
  <c r="BS128" i="9" s="1"/>
  <c r="BS4" i="9" s="1"/>
  <c r="AD127" i="9"/>
  <c r="AD128" i="9" s="1"/>
  <c r="AD4" i="9" s="1"/>
  <c r="FR127" i="9"/>
  <c r="FR128" i="9" s="1"/>
  <c r="FR4" i="9" s="1"/>
  <c r="DM127" i="9"/>
  <c r="DM128" i="9" s="1"/>
  <c r="DM4" i="9" s="1"/>
  <c r="CR127" i="9"/>
  <c r="CR128" i="9" s="1"/>
  <c r="CR4" i="9" s="1"/>
  <c r="AM127" i="9"/>
  <c r="AM128" i="9" s="1"/>
  <c r="AM4" i="9" s="1"/>
  <c r="DW127" i="9"/>
  <c r="GA127" i="9"/>
  <c r="GA128" i="9" s="1"/>
  <c r="GA4" i="9" s="1"/>
  <c r="ED127" i="9"/>
  <c r="CG127" i="9"/>
  <c r="CG128" i="9" s="1"/>
  <c r="CG4" i="9" s="1"/>
  <c r="EK127" i="9"/>
  <c r="ER127" i="9"/>
  <c r="ER128" i="9" s="1"/>
  <c r="ER4" i="9" s="1"/>
  <c r="FD127" i="9"/>
  <c r="FD128" i="9" s="1"/>
  <c r="FD4" i="9" s="1"/>
  <c r="G127" i="9"/>
  <c r="G128" i="9" s="1"/>
  <c r="G4" i="9" s="1"/>
  <c r="EU127" i="9"/>
  <c r="EU128" i="9" s="1"/>
  <c r="EU4" i="9" s="1"/>
  <c r="CP127" i="9"/>
  <c r="CP128" i="9" s="1"/>
  <c r="CP4" i="9" s="1"/>
  <c r="BA127" i="9"/>
  <c r="BA128" i="9" s="1"/>
  <c r="BA4" i="9" s="1"/>
  <c r="AB127" i="9"/>
  <c r="AB128" i="9" s="1"/>
  <c r="AB4" i="9" s="1"/>
  <c r="X127" i="9"/>
  <c r="X128" i="9" s="1"/>
  <c r="X4" i="9" s="1"/>
  <c r="CY127" i="9"/>
  <c r="CY128" i="9" s="1"/>
  <c r="CY4" i="9" s="1"/>
  <c r="BJ127" i="9"/>
  <c r="BJ128" i="9" s="1"/>
  <c r="BJ4" i="9" s="1"/>
  <c r="U127" i="9"/>
  <c r="U128" i="9" s="1"/>
  <c r="U4" i="9" s="1"/>
  <c r="FI127" i="9"/>
  <c r="FI128" i="9" s="1"/>
  <c r="FI4" i="9" s="1"/>
  <c r="AZ127" i="9"/>
  <c r="AZ128" i="9" s="1"/>
  <c r="AZ4" i="9" s="1"/>
  <c r="Q51" i="53"/>
  <c r="U104" i="42"/>
  <c r="K15" i="32"/>
  <c r="AT81" i="42"/>
  <c r="M15" i="32"/>
  <c r="L15" i="32"/>
  <c r="N15" i="32"/>
  <c r="G81" i="42"/>
  <c r="U107" i="42"/>
  <c r="U114" i="42"/>
  <c r="AJ138" i="60"/>
  <c r="AK85" i="42"/>
  <c r="Y85" i="42"/>
  <c r="AJ140" i="60"/>
  <c r="Y87" i="42"/>
  <c r="AK87" i="42"/>
  <c r="K16" i="32"/>
  <c r="L16" i="32"/>
  <c r="M16" i="32"/>
  <c r="N16" i="32"/>
  <c r="AT82" i="42"/>
  <c r="G82" i="42"/>
  <c r="R37" i="18"/>
  <c r="L37" i="18"/>
  <c r="Y70" i="42"/>
  <c r="AJ123" i="60"/>
  <c r="AK70" i="42"/>
  <c r="AM70" i="42" s="1"/>
  <c r="AL124" i="60"/>
  <c r="AL71" i="42"/>
  <c r="AJ131" i="60"/>
  <c r="Y78" i="42"/>
  <c r="AK78" i="42"/>
  <c r="AL132" i="60"/>
  <c r="AL79" i="42"/>
  <c r="AJ134" i="60"/>
  <c r="AK81" i="42"/>
  <c r="Y81" i="42"/>
  <c r="AL136" i="60"/>
  <c r="AL83" i="42"/>
  <c r="I116" i="42"/>
  <c r="U117" i="42"/>
  <c r="R26" i="18"/>
  <c r="L26" i="18"/>
  <c r="AI81" i="42"/>
  <c r="AI44" i="60" s="1"/>
  <c r="AC28" i="18"/>
  <c r="BF83" i="42"/>
  <c r="BG83" i="42"/>
  <c r="BG85" i="42"/>
  <c r="BF85" i="42"/>
  <c r="AL141" i="60"/>
  <c r="AL88" i="42"/>
  <c r="AJ139" i="60"/>
  <c r="AK86" i="42"/>
  <c r="V94" i="42"/>
  <c r="V127" i="42" s="1"/>
  <c r="AW70" i="42"/>
  <c r="AH73" i="42"/>
  <c r="AH77" i="42"/>
  <c r="G13" i="32"/>
  <c r="F13" i="32" s="1"/>
  <c r="Y84" i="42"/>
  <c r="AK84" i="42"/>
  <c r="AM84" i="42" s="1"/>
  <c r="AJ137" i="60"/>
  <c r="AJ142" i="60"/>
  <c r="AK89" i="42"/>
  <c r="AM89" i="42" s="1"/>
  <c r="Y89" i="42"/>
  <c r="AL90" i="42"/>
  <c r="AL143" i="60"/>
  <c r="AC10" i="37"/>
  <c r="Z10" i="37" s="1"/>
  <c r="G9" i="32"/>
  <c r="F9" i="32" s="1"/>
  <c r="U121" i="42"/>
  <c r="U123" i="42"/>
  <c r="U120" i="42"/>
  <c r="AC8" i="37"/>
  <c r="Z8" i="37" s="1"/>
  <c r="L108" i="42"/>
  <c r="AC5" i="37"/>
  <c r="Z5" i="37" s="1"/>
  <c r="J103" i="42"/>
  <c r="G12" i="32"/>
  <c r="F12" i="32" s="1"/>
  <c r="G16" i="32"/>
  <c r="F16" i="32" s="1"/>
  <c r="O16" i="32" s="1"/>
  <c r="AX82" i="42"/>
  <c r="AW87" i="42"/>
  <c r="R20" i="18"/>
  <c r="N20" i="18" s="1"/>
  <c r="L20" i="18"/>
  <c r="G10" i="32"/>
  <c r="F10" i="32" s="1"/>
  <c r="AW82" i="42"/>
  <c r="U109" i="42"/>
  <c r="AH68" i="42"/>
  <c r="G8" i="32"/>
  <c r="F8" i="32" s="1"/>
  <c r="L114" i="42"/>
  <c r="AW89" i="42"/>
  <c r="AY81" i="42"/>
  <c r="AZ81" i="42" s="1"/>
  <c r="BA81" i="42"/>
  <c r="H15" i="32"/>
  <c r="I15" i="32" s="1"/>
  <c r="J15" i="32" s="1"/>
  <c r="AY74" i="42"/>
  <c r="AZ74" i="42" s="1"/>
  <c r="H8" i="32"/>
  <c r="I8" i="32" s="1"/>
  <c r="J8" i="32" s="1"/>
  <c r="H18" i="32"/>
  <c r="AY84" i="42"/>
  <c r="AZ84" i="42" s="1"/>
  <c r="AJ141" i="60"/>
  <c r="AK88" i="42"/>
  <c r="AM88" i="42" s="1"/>
  <c r="Y88" i="42"/>
  <c r="AW69" i="42"/>
  <c r="G21" i="32"/>
  <c r="F21" i="32" s="1"/>
  <c r="O21" i="32" s="1"/>
  <c r="AX87" i="42"/>
  <c r="G6" i="32"/>
  <c r="F6" i="32" s="1"/>
  <c r="K94" i="42"/>
  <c r="K127" i="42" s="1"/>
  <c r="AY68" i="42"/>
  <c r="AZ68" i="42" s="1"/>
  <c r="H2" i="32"/>
  <c r="H10" i="32"/>
  <c r="I10" i="32" s="1"/>
  <c r="J10" i="32" s="1"/>
  <c r="BA76" i="42"/>
  <c r="AY76" i="42"/>
  <c r="AZ76" i="42" s="1"/>
  <c r="AY82" i="42"/>
  <c r="AZ82" i="42" s="1"/>
  <c r="H16" i="32"/>
  <c r="I16" i="32" s="1"/>
  <c r="J16" i="32" s="1"/>
  <c r="H24" i="32"/>
  <c r="AY69" i="42"/>
  <c r="AZ69" i="42" s="1"/>
  <c r="H3" i="32"/>
  <c r="H17" i="32"/>
  <c r="I17" i="32" s="1"/>
  <c r="J17" i="32" s="1"/>
  <c r="AC119" i="42"/>
  <c r="AW83" i="42"/>
  <c r="AC114" i="42"/>
  <c r="AE114" i="42"/>
  <c r="H7" i="32"/>
  <c r="I7" i="32" s="1"/>
  <c r="J7" i="32" s="1"/>
  <c r="Q69" i="42"/>
  <c r="Q71" i="42"/>
  <c r="Q73" i="42"/>
  <c r="S73" i="42" s="1"/>
  <c r="Q75" i="42"/>
  <c r="Q77" i="42"/>
  <c r="Q79" i="42"/>
  <c r="Q81" i="42"/>
  <c r="Q83" i="42"/>
  <c r="Q85" i="42"/>
  <c r="AE101" i="42"/>
  <c r="Z111" i="42"/>
  <c r="AC110" i="42"/>
  <c r="Z102" i="42"/>
  <c r="AC103" i="42"/>
  <c r="AE103" i="42"/>
  <c r="Z104" i="42"/>
  <c r="AC105" i="42"/>
  <c r="AE105" i="42"/>
  <c r="AC112" i="42"/>
  <c r="AE112" i="42"/>
  <c r="Z121" i="42"/>
  <c r="AC122" i="42"/>
  <c r="AE122" i="42"/>
  <c r="Z123" i="42"/>
  <c r="AC124" i="42"/>
  <c r="AE124" i="42"/>
  <c r="AE115" i="42"/>
  <c r="I120" i="42"/>
  <c r="O126" i="42"/>
  <c r="S83" i="42"/>
  <c r="AA136" i="60"/>
  <c r="AZ83" i="42"/>
  <c r="BA83" i="42" s="1"/>
  <c r="AA139" i="60"/>
  <c r="P94" i="42"/>
  <c r="P127" i="42" s="1"/>
  <c r="AA122" i="60"/>
  <c r="S69" i="42"/>
  <c r="AA124" i="60"/>
  <c r="AZ71" i="42"/>
  <c r="S71" i="42"/>
  <c r="AD36" i="60"/>
  <c r="AE127" i="60"/>
  <c r="AZ80" i="42"/>
  <c r="AA133" i="60"/>
  <c r="S80" i="42"/>
  <c r="AA142" i="60"/>
  <c r="AZ89" i="42"/>
  <c r="S89" i="42"/>
  <c r="AA144" i="60"/>
  <c r="AZ91" i="42"/>
  <c r="S91" i="42"/>
  <c r="AE133" i="60"/>
  <c r="AE130" i="60"/>
  <c r="AE129" i="60"/>
  <c r="AE139" i="60"/>
  <c r="AA127" i="60"/>
  <c r="S74" i="42"/>
  <c r="G92" i="42"/>
  <c r="AD39" i="60"/>
  <c r="Q92" i="42"/>
  <c r="AA137" i="60"/>
  <c r="AB55" i="54"/>
  <c r="F94" i="42"/>
  <c r="F127" i="42" s="1"/>
  <c r="AB44" i="54"/>
  <c r="T109" i="10"/>
  <c r="AU251" i="40"/>
  <c r="AV251" i="40" s="1"/>
  <c r="F152" i="10" s="1"/>
  <c r="AS251" i="40"/>
  <c r="O24" i="18"/>
  <c r="P26" i="18"/>
  <c r="P18" i="18"/>
  <c r="L152" i="10"/>
  <c r="V113" i="10"/>
  <c r="V153" i="10"/>
  <c r="AH205" i="40"/>
  <c r="V110" i="10"/>
  <c r="AG245" i="40"/>
  <c r="AH245" i="40" s="1"/>
  <c r="AH123" i="40"/>
  <c r="AG125" i="40"/>
  <c r="F25" i="37"/>
  <c r="J25" i="37"/>
  <c r="N25" i="37"/>
  <c r="R25" i="37"/>
  <c r="V25" i="37"/>
  <c r="G25" i="37"/>
  <c r="K25" i="37"/>
  <c r="O25" i="37"/>
  <c r="S25" i="37"/>
  <c r="W25" i="37"/>
  <c r="E25" i="37"/>
  <c r="I25" i="37"/>
  <c r="M25" i="37"/>
  <c r="Q25" i="37"/>
  <c r="U25" i="37"/>
  <c r="P25" i="37"/>
  <c r="T25" i="37"/>
  <c r="L25" i="37"/>
  <c r="H25" i="37"/>
  <c r="X25" i="37"/>
  <c r="Y25" i="37"/>
  <c r="C25" i="37"/>
  <c r="AA25" i="37" s="1"/>
  <c r="D25" i="37"/>
  <c r="B25" i="37"/>
  <c r="F24" i="37"/>
  <c r="J24" i="37"/>
  <c r="N24" i="37"/>
  <c r="R24" i="37"/>
  <c r="V24" i="37"/>
  <c r="G24" i="37"/>
  <c r="K24" i="37"/>
  <c r="O24" i="37"/>
  <c r="S24" i="37"/>
  <c r="W24" i="37"/>
  <c r="E24" i="37"/>
  <c r="I24" i="37"/>
  <c r="M24" i="37"/>
  <c r="Q24" i="37"/>
  <c r="U24" i="37"/>
  <c r="P24" i="37"/>
  <c r="X24" i="37"/>
  <c r="T24" i="37"/>
  <c r="L24" i="37"/>
  <c r="Y24" i="37"/>
  <c r="H24" i="37"/>
  <c r="D24" i="37"/>
  <c r="B24" i="37"/>
  <c r="C24" i="37"/>
  <c r="AA24" i="37"/>
  <c r="C28" i="37"/>
  <c r="B28" i="37"/>
  <c r="N28" i="37"/>
  <c r="E28" i="37"/>
  <c r="F28" i="37"/>
  <c r="V28" i="37"/>
  <c r="I28" i="37"/>
  <c r="H28" i="37"/>
  <c r="W28" i="37"/>
  <c r="M28" i="37"/>
  <c r="D28" i="37"/>
  <c r="J28" i="37"/>
  <c r="Y28" i="37"/>
  <c r="X28" i="37"/>
  <c r="G28" i="37"/>
  <c r="R28" i="37"/>
  <c r="T28" i="37"/>
  <c r="K28" i="37"/>
  <c r="Q28" i="37"/>
  <c r="L28" i="37"/>
  <c r="P28" i="37"/>
  <c r="S28" i="37"/>
  <c r="O28" i="37"/>
  <c r="U28" i="37"/>
  <c r="AC2" i="37"/>
  <c r="Z2" i="37" s="1"/>
  <c r="B26" i="37" a="1"/>
  <c r="AT85" i="42"/>
  <c r="M19" i="32"/>
  <c r="N19" i="32"/>
  <c r="K19" i="32"/>
  <c r="G85" i="42"/>
  <c r="L19" i="32"/>
  <c r="AK69" i="42"/>
  <c r="AJ122" i="60"/>
  <c r="AL70" i="42"/>
  <c r="AL123" i="60"/>
  <c r="AJ132" i="60"/>
  <c r="Y79" i="42"/>
  <c r="AK79" i="42"/>
  <c r="AM79" i="42" s="1"/>
  <c r="AL133" i="60"/>
  <c r="AL102" i="60" s="1"/>
  <c r="AL80" i="42"/>
  <c r="G15" i="32"/>
  <c r="F15" i="32" s="1"/>
  <c r="O15" i="32" s="1"/>
  <c r="AX81" i="42"/>
  <c r="AJ136" i="60"/>
  <c r="Y83" i="42"/>
  <c r="AK83" i="42"/>
  <c r="AX41" i="18"/>
  <c r="AW41" i="18"/>
  <c r="AV41" i="18"/>
  <c r="R21" i="18"/>
  <c r="L21" i="18" s="1"/>
  <c r="W28" i="18"/>
  <c r="AB28" i="18"/>
  <c r="AI85" i="42"/>
  <c r="AI48" i="60" s="1"/>
  <c r="AC32" i="18"/>
  <c r="B3" i="37"/>
  <c r="C3" i="37"/>
  <c r="AA3" i="37" s="1"/>
  <c r="X3" i="37"/>
  <c r="V3" i="37"/>
  <c r="W3" i="37"/>
  <c r="Y3" i="37"/>
  <c r="D3" i="37"/>
  <c r="E3" i="37"/>
  <c r="F3" i="37"/>
  <c r="G3" i="37"/>
  <c r="H3" i="37"/>
  <c r="I3" i="37"/>
  <c r="J3" i="37"/>
  <c r="K3" i="37"/>
  <c r="Q3" i="37"/>
  <c r="U3" i="37"/>
  <c r="M3" i="37"/>
  <c r="N3" i="37"/>
  <c r="R3" i="37"/>
  <c r="O3" i="37"/>
  <c r="S3" i="37"/>
  <c r="L3" i="37"/>
  <c r="P3" i="37"/>
  <c r="T3" i="37"/>
  <c r="B11" i="37"/>
  <c r="X11" i="37"/>
  <c r="V11" i="37"/>
  <c r="W11" i="37"/>
  <c r="Y11" i="37"/>
  <c r="C11" i="37"/>
  <c r="D11" i="37"/>
  <c r="E11" i="37"/>
  <c r="F11" i="37"/>
  <c r="G11" i="37"/>
  <c r="H11" i="37"/>
  <c r="I11" i="37"/>
  <c r="J11" i="37"/>
  <c r="Q11" i="37"/>
  <c r="U11" i="37"/>
  <c r="K11" i="37"/>
  <c r="O11" i="37"/>
  <c r="S11" i="37"/>
  <c r="L11" i="37"/>
  <c r="P11" i="37"/>
  <c r="T11" i="37"/>
  <c r="M11" i="37"/>
  <c r="R11" i="37"/>
  <c r="N11" i="37"/>
  <c r="AA11" i="37"/>
  <c r="Y21" i="37"/>
  <c r="X21" i="37"/>
  <c r="V21" i="37"/>
  <c r="B21" i="37"/>
  <c r="W21" i="37"/>
  <c r="D21" i="37"/>
  <c r="H21" i="37"/>
  <c r="K21" i="37"/>
  <c r="L21" i="37"/>
  <c r="M21" i="37"/>
  <c r="N21" i="37"/>
  <c r="O21" i="37"/>
  <c r="Q21" i="37"/>
  <c r="R21" i="37"/>
  <c r="S21" i="37"/>
  <c r="E21" i="37"/>
  <c r="J21" i="37"/>
  <c r="F21" i="37"/>
  <c r="C21" i="37"/>
  <c r="I21" i="37"/>
  <c r="G21" i="37"/>
  <c r="P21" i="37"/>
  <c r="G3" i="32"/>
  <c r="F3" i="32" s="1"/>
  <c r="AW76" i="42"/>
  <c r="AI84" i="42"/>
  <c r="AI47" i="60" s="1"/>
  <c r="AC31" i="18"/>
  <c r="R35" i="18"/>
  <c r="L35" i="18"/>
  <c r="W20" i="37"/>
  <c r="Y20" i="37"/>
  <c r="X20" i="37"/>
  <c r="V20" i="37"/>
  <c r="C20" i="37"/>
  <c r="D20" i="37"/>
  <c r="E20" i="37"/>
  <c r="F20" i="37"/>
  <c r="G20" i="37"/>
  <c r="H20" i="37"/>
  <c r="I20" i="37"/>
  <c r="J20" i="37"/>
  <c r="P20" i="37"/>
  <c r="M20" i="37"/>
  <c r="Q20" i="37"/>
  <c r="U20" i="37"/>
  <c r="N20" i="37"/>
  <c r="R20" i="37"/>
  <c r="K20" i="37"/>
  <c r="O20" i="37"/>
  <c r="S20" i="37"/>
  <c r="B20" i="37"/>
  <c r="AA20" i="37" s="1"/>
  <c r="L20" i="37"/>
  <c r="T20" i="37"/>
  <c r="AT83" i="42"/>
  <c r="M17" i="32"/>
  <c r="N17" i="32"/>
  <c r="K17" i="32"/>
  <c r="L17" i="32"/>
  <c r="G83" i="42"/>
  <c r="AL127" i="60"/>
  <c r="AL74" i="42"/>
  <c r="AJ135" i="60"/>
  <c r="Y82" i="42"/>
  <c r="AK82" i="42"/>
  <c r="BF84" i="42"/>
  <c r="BG84" i="42"/>
  <c r="W18" i="37"/>
  <c r="Y18" i="37"/>
  <c r="X18" i="37"/>
  <c r="V18" i="37"/>
  <c r="C18" i="37"/>
  <c r="D18" i="37"/>
  <c r="AA18" i="37" s="1"/>
  <c r="E18" i="37"/>
  <c r="F18" i="37"/>
  <c r="G18" i="37"/>
  <c r="H18" i="37"/>
  <c r="I18" i="37"/>
  <c r="J18" i="37"/>
  <c r="B18" i="37"/>
  <c r="P18" i="37"/>
  <c r="K18" i="37"/>
  <c r="L18" i="37"/>
  <c r="M18" i="37"/>
  <c r="N18" i="37"/>
  <c r="O18" i="37"/>
  <c r="Q18" i="37"/>
  <c r="R18" i="37"/>
  <c r="S18" i="37"/>
  <c r="T18" i="37"/>
  <c r="U18" i="37"/>
  <c r="AL140" i="60"/>
  <c r="AL109" i="60" s="1"/>
  <c r="AL87" i="42"/>
  <c r="G4" i="32"/>
  <c r="F4" i="32" s="1"/>
  <c r="AW91" i="42"/>
  <c r="AW90" i="42"/>
  <c r="G18" i="32"/>
  <c r="F18" i="32" s="1"/>
  <c r="O18" i="32" s="1"/>
  <c r="AX84" i="42"/>
  <c r="AH76" i="42"/>
  <c r="AH90" i="42"/>
  <c r="AW77" i="42"/>
  <c r="G25" i="32"/>
  <c r="F25" i="32" s="1"/>
  <c r="AH81" i="42"/>
  <c r="AD49" i="60"/>
  <c r="Y92" i="42"/>
  <c r="H9" i="32"/>
  <c r="I9" i="32" s="1"/>
  <c r="J9" i="32" s="1"/>
  <c r="AD44" i="60"/>
  <c r="H5" i="32"/>
  <c r="I5" i="32" s="1"/>
  <c r="J5" i="32" s="1"/>
  <c r="AE136" i="60"/>
  <c r="AD121" i="60"/>
  <c r="AC94" i="42"/>
  <c r="AC127" i="42" s="1"/>
  <c r="AE94" i="42"/>
  <c r="S76" i="42"/>
  <c r="AA129" i="60"/>
  <c r="BF82" i="42"/>
  <c r="BG82" i="42"/>
  <c r="AD40" i="60"/>
  <c r="O94" i="42"/>
  <c r="O127" i="42" s="1"/>
  <c r="Q68" i="42"/>
  <c r="S68" i="42" s="1"/>
  <c r="AD33" i="60"/>
  <c r="AD35" i="60"/>
  <c r="AD42" i="60"/>
  <c r="S87" i="42"/>
  <c r="AA140" i="60"/>
  <c r="AD52" i="60"/>
  <c r="AD54" i="60"/>
  <c r="D122" i="60"/>
  <c r="F122" i="60"/>
  <c r="H122" i="60"/>
  <c r="J122" i="60"/>
  <c r="L122" i="60"/>
  <c r="N122" i="60"/>
  <c r="P122" i="60"/>
  <c r="R122" i="60"/>
  <c r="T122" i="60"/>
  <c r="V122" i="60"/>
  <c r="X122" i="60"/>
  <c r="Z122" i="60"/>
  <c r="C124" i="60"/>
  <c r="E124" i="60"/>
  <c r="G124" i="60"/>
  <c r="I124" i="60"/>
  <c r="K124" i="60"/>
  <c r="M124" i="60"/>
  <c r="O124" i="60"/>
  <c r="Q124" i="60"/>
  <c r="S124" i="60"/>
  <c r="U124" i="60"/>
  <c r="W124" i="60"/>
  <c r="Y124" i="60"/>
  <c r="D126" i="60"/>
  <c r="F126" i="60"/>
  <c r="H126" i="60"/>
  <c r="J126" i="60"/>
  <c r="L126" i="60"/>
  <c r="N126" i="60"/>
  <c r="P126" i="60"/>
  <c r="R126" i="60"/>
  <c r="T126" i="60"/>
  <c r="V126" i="60"/>
  <c r="X126" i="60"/>
  <c r="Z126" i="60"/>
  <c r="C128" i="60"/>
  <c r="E128" i="60"/>
  <c r="G128" i="60"/>
  <c r="I128" i="60"/>
  <c r="K128" i="60"/>
  <c r="M128" i="60"/>
  <c r="O128" i="60"/>
  <c r="Q128" i="60"/>
  <c r="S128" i="60"/>
  <c r="U128" i="60"/>
  <c r="W128" i="60"/>
  <c r="Y128" i="60"/>
  <c r="D130" i="60"/>
  <c r="F130" i="60"/>
  <c r="H130" i="60"/>
  <c r="J130" i="60"/>
  <c r="L130" i="60"/>
  <c r="N130" i="60"/>
  <c r="P130" i="60"/>
  <c r="R130" i="60"/>
  <c r="T130" i="60"/>
  <c r="V130" i="60"/>
  <c r="X130" i="60"/>
  <c r="Z130" i="60"/>
  <c r="C132" i="60"/>
  <c r="E132" i="60"/>
  <c r="G132" i="60"/>
  <c r="I132" i="60"/>
  <c r="K132" i="60"/>
  <c r="M132" i="60"/>
  <c r="O132" i="60"/>
  <c r="Q132" i="60"/>
  <c r="S132" i="60"/>
  <c r="U132" i="60"/>
  <c r="W132" i="60"/>
  <c r="Y132" i="60"/>
  <c r="D142" i="60"/>
  <c r="F142" i="60"/>
  <c r="H142" i="60"/>
  <c r="J142" i="60"/>
  <c r="L142" i="60"/>
  <c r="N142" i="60"/>
  <c r="P142" i="60"/>
  <c r="R142" i="60"/>
  <c r="T142" i="60"/>
  <c r="V142" i="60"/>
  <c r="X142" i="60"/>
  <c r="Z142" i="60"/>
  <c r="C144" i="60"/>
  <c r="E144" i="60"/>
  <c r="G144" i="60"/>
  <c r="I144" i="60"/>
  <c r="K144" i="60"/>
  <c r="M144" i="60"/>
  <c r="O144" i="60"/>
  <c r="Q144" i="60"/>
  <c r="S144" i="60"/>
  <c r="U144" i="60"/>
  <c r="W144" i="60"/>
  <c r="Y144" i="60"/>
  <c r="D134" i="60"/>
  <c r="F134" i="60"/>
  <c r="H134" i="60"/>
  <c r="J134" i="60"/>
  <c r="L134" i="60"/>
  <c r="N134" i="60"/>
  <c r="P134" i="60"/>
  <c r="R134" i="60"/>
  <c r="T134" i="60"/>
  <c r="V134" i="60"/>
  <c r="X134" i="60"/>
  <c r="Z134" i="60"/>
  <c r="C138" i="60"/>
  <c r="E138" i="60"/>
  <c r="G138" i="60"/>
  <c r="I138" i="60"/>
  <c r="K138" i="60"/>
  <c r="M138" i="60"/>
  <c r="O138" i="60"/>
  <c r="Q138" i="60"/>
  <c r="S138" i="60"/>
  <c r="U138" i="60"/>
  <c r="W138" i="60"/>
  <c r="Y138" i="60"/>
  <c r="D135" i="60"/>
  <c r="E140" i="60"/>
  <c r="G133" i="60"/>
  <c r="H135" i="60"/>
  <c r="I140" i="60"/>
  <c r="K133" i="60"/>
  <c r="L135" i="60"/>
  <c r="M140" i="60"/>
  <c r="O133" i="60"/>
  <c r="P135" i="60"/>
  <c r="Q140" i="60"/>
  <c r="S133" i="60"/>
  <c r="T135" i="60"/>
  <c r="U140" i="60"/>
  <c r="W133" i="60"/>
  <c r="X135" i="60"/>
  <c r="Y140" i="60"/>
  <c r="C123" i="60"/>
  <c r="E123" i="60"/>
  <c r="G123" i="60"/>
  <c r="I123" i="60"/>
  <c r="K123" i="60"/>
  <c r="M123" i="60"/>
  <c r="O123" i="60"/>
  <c r="Q123" i="60"/>
  <c r="S123" i="60"/>
  <c r="U123" i="60"/>
  <c r="W123" i="60"/>
  <c r="Y123" i="60"/>
  <c r="D125" i="60"/>
  <c r="F125" i="60"/>
  <c r="H125" i="60"/>
  <c r="J125" i="60"/>
  <c r="L125" i="60"/>
  <c r="N125" i="60"/>
  <c r="P125" i="60"/>
  <c r="R125" i="60"/>
  <c r="T125" i="60"/>
  <c r="V125" i="60"/>
  <c r="X125" i="60"/>
  <c r="Z125" i="60"/>
  <c r="C127" i="60"/>
  <c r="E127" i="60"/>
  <c r="G127" i="60"/>
  <c r="I127" i="60"/>
  <c r="K127" i="60"/>
  <c r="M127" i="60"/>
  <c r="O127" i="60"/>
  <c r="Q127" i="60"/>
  <c r="S127" i="60"/>
  <c r="U127" i="60"/>
  <c r="W127" i="60"/>
  <c r="Y127" i="60"/>
  <c r="D129" i="60"/>
  <c r="F129" i="60"/>
  <c r="H129" i="60"/>
  <c r="J129" i="60"/>
  <c r="L129" i="60"/>
  <c r="N129" i="60"/>
  <c r="P129" i="60"/>
  <c r="R129" i="60"/>
  <c r="T129" i="60"/>
  <c r="V129" i="60"/>
  <c r="X129" i="60"/>
  <c r="Z129" i="60"/>
  <c r="C131" i="60"/>
  <c r="E131" i="60"/>
  <c r="G131" i="60"/>
  <c r="I131" i="60"/>
  <c r="K131" i="60"/>
  <c r="M131" i="60"/>
  <c r="O131" i="60"/>
  <c r="Q131" i="60"/>
  <c r="S131" i="60"/>
  <c r="U131" i="60"/>
  <c r="W131" i="60"/>
  <c r="Y131" i="60"/>
  <c r="D141" i="60"/>
  <c r="F141" i="60"/>
  <c r="H141" i="60"/>
  <c r="J141" i="60"/>
  <c r="L141" i="60"/>
  <c r="N141" i="60"/>
  <c r="P141" i="60"/>
  <c r="R141" i="60"/>
  <c r="T141" i="60"/>
  <c r="V141" i="60"/>
  <c r="X141" i="60"/>
  <c r="Z141" i="60"/>
  <c r="C143" i="60"/>
  <c r="E143" i="60"/>
  <c r="G143" i="60"/>
  <c r="I143" i="60"/>
  <c r="K143" i="60"/>
  <c r="M143" i="60"/>
  <c r="O143" i="60"/>
  <c r="Q143" i="60"/>
  <c r="S143" i="60"/>
  <c r="U143" i="60"/>
  <c r="W143" i="60"/>
  <c r="Y143" i="60"/>
  <c r="D121" i="60"/>
  <c r="F121" i="60"/>
  <c r="H121" i="60"/>
  <c r="J121" i="60"/>
  <c r="L121" i="60"/>
  <c r="N121" i="60"/>
  <c r="P121" i="60"/>
  <c r="R121" i="60"/>
  <c r="T121" i="60"/>
  <c r="V121" i="60"/>
  <c r="X121" i="60"/>
  <c r="Z121" i="60"/>
  <c r="C136" i="60"/>
  <c r="E136" i="60"/>
  <c r="G136" i="60"/>
  <c r="I136" i="60"/>
  <c r="K136" i="60"/>
  <c r="M136" i="60"/>
  <c r="O136" i="60"/>
  <c r="Q136" i="60"/>
  <c r="S136" i="60"/>
  <c r="U136" i="60"/>
  <c r="W136" i="60"/>
  <c r="Y136" i="60"/>
  <c r="C137" i="60"/>
  <c r="E137" i="60"/>
  <c r="G137" i="60"/>
  <c r="I137" i="60"/>
  <c r="K137" i="60"/>
  <c r="M137" i="60"/>
  <c r="O137" i="60"/>
  <c r="Q137" i="60"/>
  <c r="S137" i="60"/>
  <c r="U137" i="60"/>
  <c r="W137" i="60"/>
  <c r="Y137" i="60"/>
  <c r="D139" i="60"/>
  <c r="F139" i="60"/>
  <c r="H139" i="60"/>
  <c r="J139" i="60"/>
  <c r="L139" i="60"/>
  <c r="N139" i="60"/>
  <c r="P139" i="60"/>
  <c r="R139" i="60"/>
  <c r="T139" i="60"/>
  <c r="V139" i="60"/>
  <c r="X139" i="60"/>
  <c r="Z139" i="60"/>
  <c r="D140" i="60"/>
  <c r="F133" i="60"/>
  <c r="G135" i="60"/>
  <c r="H140" i="60"/>
  <c r="J133" i="60"/>
  <c r="K135" i="60"/>
  <c r="L140" i="60"/>
  <c r="N133" i="60"/>
  <c r="O135" i="60"/>
  <c r="P140" i="60"/>
  <c r="R133" i="60"/>
  <c r="S135" i="60"/>
  <c r="T140" i="60"/>
  <c r="V133" i="60"/>
  <c r="W135" i="60"/>
  <c r="X140" i="60"/>
  <c r="Z133" i="60"/>
  <c r="C133" i="60"/>
  <c r="D123" i="60"/>
  <c r="F123" i="60"/>
  <c r="H123" i="60"/>
  <c r="J123" i="60"/>
  <c r="L123" i="60"/>
  <c r="N123" i="60"/>
  <c r="P123" i="60"/>
  <c r="R123" i="60"/>
  <c r="T123" i="60"/>
  <c r="V123" i="60"/>
  <c r="X123" i="60"/>
  <c r="Z123" i="60"/>
  <c r="C125" i="60"/>
  <c r="E125" i="60"/>
  <c r="G125" i="60"/>
  <c r="I125" i="60"/>
  <c r="K125" i="60"/>
  <c r="M125" i="60"/>
  <c r="O125" i="60"/>
  <c r="Q125" i="60"/>
  <c r="S125" i="60"/>
  <c r="U125" i="60"/>
  <c r="W125" i="60"/>
  <c r="Y125" i="60"/>
  <c r="D127" i="60"/>
  <c r="F127" i="60"/>
  <c r="H127" i="60"/>
  <c r="J127" i="60"/>
  <c r="L127" i="60"/>
  <c r="N127" i="60"/>
  <c r="P127" i="60"/>
  <c r="R127" i="60"/>
  <c r="T127" i="60"/>
  <c r="V127" i="60"/>
  <c r="X127" i="60"/>
  <c r="Z127" i="60"/>
  <c r="C129" i="60"/>
  <c r="E129" i="60"/>
  <c r="G129" i="60"/>
  <c r="I129" i="60"/>
  <c r="K129" i="60"/>
  <c r="M129" i="60"/>
  <c r="O129" i="60"/>
  <c r="Q129" i="60"/>
  <c r="S129" i="60"/>
  <c r="U129" i="60"/>
  <c r="W129" i="60"/>
  <c r="Y129" i="60"/>
  <c r="D131" i="60"/>
  <c r="F131" i="60"/>
  <c r="H131" i="60"/>
  <c r="J131" i="60"/>
  <c r="L131" i="60"/>
  <c r="N131" i="60"/>
  <c r="P131" i="60"/>
  <c r="R131" i="60"/>
  <c r="T131" i="60"/>
  <c r="V131" i="60"/>
  <c r="X131" i="60"/>
  <c r="Z131" i="60"/>
  <c r="C141" i="60"/>
  <c r="E141" i="60"/>
  <c r="G141" i="60"/>
  <c r="I141" i="60"/>
  <c r="K141" i="60"/>
  <c r="M141" i="60"/>
  <c r="O141" i="60"/>
  <c r="Q141" i="60"/>
  <c r="S141" i="60"/>
  <c r="U141" i="60"/>
  <c r="W141" i="60"/>
  <c r="Y141" i="60"/>
  <c r="D143" i="60"/>
  <c r="F143" i="60"/>
  <c r="H143" i="60"/>
  <c r="J143" i="60"/>
  <c r="L143" i="60"/>
  <c r="N143" i="60"/>
  <c r="P143" i="60"/>
  <c r="R143" i="60"/>
  <c r="T143" i="60"/>
  <c r="V143" i="60"/>
  <c r="X143" i="60"/>
  <c r="Z143" i="60"/>
  <c r="C121" i="60"/>
  <c r="E121" i="60"/>
  <c r="G121" i="60"/>
  <c r="I121" i="60"/>
  <c r="K121" i="60"/>
  <c r="M121" i="60"/>
  <c r="O121" i="60"/>
  <c r="Q121" i="60"/>
  <c r="S121" i="60"/>
  <c r="U121" i="60"/>
  <c r="W121" i="60"/>
  <c r="Y121" i="60"/>
  <c r="D136" i="60"/>
  <c r="F136" i="60"/>
  <c r="H136" i="60"/>
  <c r="J136" i="60"/>
  <c r="L136" i="60"/>
  <c r="N136" i="60"/>
  <c r="P136" i="60"/>
  <c r="R136" i="60"/>
  <c r="T136" i="60"/>
  <c r="V136" i="60"/>
  <c r="X136" i="60"/>
  <c r="Z136" i="60"/>
  <c r="D137" i="60"/>
  <c r="F137" i="60"/>
  <c r="H137" i="60"/>
  <c r="J137" i="60"/>
  <c r="L137" i="60"/>
  <c r="N137" i="60"/>
  <c r="P137" i="60"/>
  <c r="R137" i="60"/>
  <c r="T137" i="60"/>
  <c r="V137" i="60"/>
  <c r="X137" i="60"/>
  <c r="Z137" i="60"/>
  <c r="C139" i="60"/>
  <c r="E139" i="60"/>
  <c r="G139" i="60"/>
  <c r="I139" i="60"/>
  <c r="K139" i="60"/>
  <c r="M139" i="60"/>
  <c r="O139" i="60"/>
  <c r="Q139" i="60"/>
  <c r="S139" i="60"/>
  <c r="U139" i="60"/>
  <c r="W139" i="60"/>
  <c r="Y139" i="60"/>
  <c r="D133" i="60"/>
  <c r="E135" i="60"/>
  <c r="F140" i="60"/>
  <c r="H133" i="60"/>
  <c r="I135" i="60"/>
  <c r="J140" i="60"/>
  <c r="L133" i="60"/>
  <c r="M135" i="60"/>
  <c r="N140" i="60"/>
  <c r="P133" i="60"/>
  <c r="Q135" i="60"/>
  <c r="R140" i="60"/>
  <c r="T133" i="60"/>
  <c r="U135" i="60"/>
  <c r="V140" i="60"/>
  <c r="X133" i="60"/>
  <c r="Y135" i="60"/>
  <c r="Z140" i="60"/>
  <c r="C140" i="60"/>
  <c r="C122" i="60"/>
  <c r="K122" i="60"/>
  <c r="S122" i="60"/>
  <c r="H124" i="60"/>
  <c r="P124" i="60"/>
  <c r="X124" i="60"/>
  <c r="E126" i="60"/>
  <c r="M126" i="60"/>
  <c r="U126" i="60"/>
  <c r="J128" i="60"/>
  <c r="R128" i="60"/>
  <c r="Z128" i="60"/>
  <c r="G130" i="60"/>
  <c r="O130" i="60"/>
  <c r="W130" i="60"/>
  <c r="D132" i="60"/>
  <c r="L132" i="60"/>
  <c r="T132" i="60"/>
  <c r="I142" i="60"/>
  <c r="Q142" i="60"/>
  <c r="Y142" i="60"/>
  <c r="F144" i="60"/>
  <c r="N144" i="60"/>
  <c r="V144" i="60"/>
  <c r="E134" i="60"/>
  <c r="M134" i="60"/>
  <c r="U134" i="60"/>
  <c r="J138" i="60"/>
  <c r="R138" i="60"/>
  <c r="Z138" i="60"/>
  <c r="Q133" i="60"/>
  <c r="R135" i="60"/>
  <c r="S140" i="60"/>
  <c r="E122" i="60"/>
  <c r="M122" i="60"/>
  <c r="U122" i="60"/>
  <c r="J124" i="60"/>
  <c r="R124" i="60"/>
  <c r="Z124" i="60"/>
  <c r="G126" i="60"/>
  <c r="O126" i="60"/>
  <c r="W126" i="60"/>
  <c r="D128" i="60"/>
  <c r="L128" i="60"/>
  <c r="T128" i="60"/>
  <c r="I130" i="60"/>
  <c r="Q130" i="60"/>
  <c r="Y130" i="60"/>
  <c r="F132" i="60"/>
  <c r="N132" i="60"/>
  <c r="V132" i="60"/>
  <c r="C142" i="60"/>
  <c r="K142" i="60"/>
  <c r="S142" i="60"/>
  <c r="H144" i="60"/>
  <c r="P144" i="60"/>
  <c r="X144" i="60"/>
  <c r="G134" i="60"/>
  <c r="O134" i="60"/>
  <c r="W134" i="60"/>
  <c r="D138" i="60"/>
  <c r="L138" i="60"/>
  <c r="T138" i="60"/>
  <c r="M133" i="60"/>
  <c r="N135" i="60"/>
  <c r="O140" i="60"/>
  <c r="G122" i="60"/>
  <c r="O122" i="60"/>
  <c r="W122" i="60"/>
  <c r="D124" i="60"/>
  <c r="L124" i="60"/>
  <c r="T124" i="60"/>
  <c r="I126" i="60"/>
  <c r="Q126" i="60"/>
  <c r="Y126" i="60"/>
  <c r="F128" i="60"/>
  <c r="N128" i="60"/>
  <c r="V128" i="60"/>
  <c r="C130" i="60"/>
  <c r="K130" i="60"/>
  <c r="S130" i="60"/>
  <c r="H132" i="60"/>
  <c r="P132" i="60"/>
  <c r="X132" i="60"/>
  <c r="E142" i="60"/>
  <c r="M142" i="60"/>
  <c r="U142" i="60"/>
  <c r="J144" i="60"/>
  <c r="R144" i="60"/>
  <c r="Z144" i="60"/>
  <c r="I134" i="60"/>
  <c r="Q134" i="60"/>
  <c r="Y134" i="60"/>
  <c r="F138" i="60"/>
  <c r="N138" i="60"/>
  <c r="V138" i="60"/>
  <c r="I133" i="60"/>
  <c r="J135" i="60"/>
  <c r="K140" i="60"/>
  <c r="Y133" i="60"/>
  <c r="Z135" i="60"/>
  <c r="C135" i="60"/>
  <c r="I122" i="60"/>
  <c r="Q122" i="60"/>
  <c r="Y122" i="60"/>
  <c r="F124" i="60"/>
  <c r="N124" i="60"/>
  <c r="V124" i="60"/>
  <c r="C126" i="60"/>
  <c r="K126" i="60"/>
  <c r="S126" i="60"/>
  <c r="H128" i="60"/>
  <c r="P128" i="60"/>
  <c r="X128" i="60"/>
  <c r="E130" i="60"/>
  <c r="M130" i="60"/>
  <c r="U130" i="60"/>
  <c r="J132" i="60"/>
  <c r="R132" i="60"/>
  <c r="Z132" i="60"/>
  <c r="G142" i="60"/>
  <c r="O142" i="60"/>
  <c r="W142" i="60"/>
  <c r="D144" i="60"/>
  <c r="L144" i="60"/>
  <c r="T144" i="60"/>
  <c r="C134" i="60"/>
  <c r="K134" i="60"/>
  <c r="S134" i="60"/>
  <c r="H138" i="60"/>
  <c r="P138" i="60"/>
  <c r="X138" i="60"/>
  <c r="E133" i="60"/>
  <c r="F135" i="60"/>
  <c r="G140" i="60"/>
  <c r="U133" i="60"/>
  <c r="V135" i="60"/>
  <c r="W140" i="60"/>
  <c r="P57" i="53"/>
  <c r="R57" i="53" s="1"/>
  <c r="N26" i="18"/>
  <c r="T113" i="10"/>
  <c r="K152" i="10"/>
  <c r="O21" i="18"/>
  <c r="L147" i="10"/>
  <c r="V147" i="10" s="1"/>
  <c r="V97" i="10"/>
  <c r="T108" i="10"/>
  <c r="S108" i="10"/>
  <c r="V82" i="10"/>
  <c r="V86" i="10"/>
  <c r="V90" i="10"/>
  <c r="V95" i="10"/>
  <c r="V101" i="10"/>
  <c r="V105" i="10"/>
  <c r="V114" i="10"/>
  <c r="V118" i="10"/>
  <c r="V122" i="10"/>
  <c r="V126" i="10"/>
  <c r="V137" i="10"/>
  <c r="DQ246" i="9"/>
  <c r="DP246" i="9"/>
  <c r="CB252" i="9"/>
  <c r="AS252" i="9"/>
  <c r="DT252" i="9" s="1"/>
  <c r="DT253" i="9"/>
  <c r="DT128" i="9"/>
  <c r="DS4" i="9"/>
  <c r="V109" i="10"/>
  <c r="AG253" i="40"/>
  <c r="AG252" i="40" s="1"/>
  <c r="AH152" i="40"/>
  <c r="R36" i="18"/>
  <c r="L36" i="18"/>
  <c r="AJ124" i="60"/>
  <c r="Y71" i="42"/>
  <c r="AK71" i="42"/>
  <c r="AM71" i="42" s="1"/>
  <c r="G23" i="37"/>
  <c r="L23" i="37"/>
  <c r="P23" i="37"/>
  <c r="T23" i="37"/>
  <c r="Y23" i="37"/>
  <c r="H23" i="37"/>
  <c r="M23" i="37"/>
  <c r="Q23" i="37"/>
  <c r="U23" i="37"/>
  <c r="F23" i="37"/>
  <c r="J23" i="37"/>
  <c r="O23" i="37"/>
  <c r="S23" i="37"/>
  <c r="X23" i="37"/>
  <c r="R23" i="37"/>
  <c r="E23" i="37"/>
  <c r="V23" i="37"/>
  <c r="N23" i="37"/>
  <c r="I23" i="37"/>
  <c r="C23" i="37"/>
  <c r="D23" i="37"/>
  <c r="B23" i="37"/>
  <c r="W23" i="37"/>
  <c r="R17" i="18"/>
  <c r="R24" i="18"/>
  <c r="P24" i="18" s="1"/>
  <c r="AI82" i="42"/>
  <c r="AI45" i="60" s="1"/>
  <c r="AC29" i="18"/>
  <c r="U111" i="42"/>
  <c r="G19" i="32"/>
  <c r="F19" i="32" s="1"/>
  <c r="O19" i="32" s="1"/>
  <c r="AX85" i="42"/>
  <c r="R25" i="18"/>
  <c r="AI83" i="42"/>
  <c r="AI46" i="60" s="1"/>
  <c r="AC30" i="18"/>
  <c r="AJ127" i="60"/>
  <c r="Y74" i="42"/>
  <c r="AK74" i="42"/>
  <c r="AM74" i="42" s="1"/>
  <c r="AL128" i="60"/>
  <c r="AL75" i="42"/>
  <c r="M14" i="32"/>
  <c r="K14" i="32"/>
  <c r="AT80" i="42"/>
  <c r="L14" i="32"/>
  <c r="N14" i="32"/>
  <c r="G80" i="42"/>
  <c r="W32" i="18"/>
  <c r="AB32" i="18"/>
  <c r="AD32" i="18" s="1"/>
  <c r="AL130" i="60"/>
  <c r="AL77" i="42"/>
  <c r="AJ133" i="60"/>
  <c r="AK80" i="42"/>
  <c r="AM80" i="42" s="1"/>
  <c r="Y80" i="42"/>
  <c r="AL135" i="60"/>
  <c r="AL104" i="60" s="1"/>
  <c r="AL82" i="42"/>
  <c r="AL137" i="60"/>
  <c r="AL84" i="42"/>
  <c r="AJ143" i="60"/>
  <c r="Y90" i="42"/>
  <c r="AK90" i="42"/>
  <c r="AM90" i="42" s="1"/>
  <c r="AL144" i="60"/>
  <c r="AL91" i="42"/>
  <c r="AL121" i="60"/>
  <c r="AL68" i="42"/>
  <c r="W94" i="42"/>
  <c r="W127" i="42" s="1"/>
  <c r="AH69" i="42"/>
  <c r="G5" i="32"/>
  <c r="F5" i="32" s="1"/>
  <c r="AW74" i="42"/>
  <c r="AW78" i="42"/>
  <c r="W31" i="18"/>
  <c r="AB31" i="18"/>
  <c r="AD31" i="18" s="1"/>
  <c r="AY41" i="18"/>
  <c r="G20" i="32"/>
  <c r="F20" i="32" s="1"/>
  <c r="AC6" i="37"/>
  <c r="Z6" i="37" s="1"/>
  <c r="T68" i="18"/>
  <c r="W68" i="18" s="1"/>
  <c r="U68" i="18"/>
  <c r="V68" i="18"/>
  <c r="AC4" i="37"/>
  <c r="Z4" i="37" s="1"/>
  <c r="AC12" i="37"/>
  <c r="Z12" i="37" s="1"/>
  <c r="AC15" i="37"/>
  <c r="Z15" i="37" s="1"/>
  <c r="AH72" i="42"/>
  <c r="AW80" i="42"/>
  <c r="AH85" i="42"/>
  <c r="AW73" i="42"/>
  <c r="AH80" i="42"/>
  <c r="AW84" i="42"/>
  <c r="AH91" i="42"/>
  <c r="U105" i="42"/>
  <c r="X94" i="42"/>
  <c r="X127" i="42" s="1"/>
  <c r="AW71" i="42"/>
  <c r="AH82" i="42"/>
  <c r="G22" i="32"/>
  <c r="F22" i="32" s="1"/>
  <c r="H4" i="32"/>
  <c r="I4" i="32" s="1"/>
  <c r="J4" i="32" s="1"/>
  <c r="BA70" i="42"/>
  <c r="AY78" i="42"/>
  <c r="AZ78" i="42" s="1"/>
  <c r="H12" i="32"/>
  <c r="I12" i="32" s="1"/>
  <c r="J12" i="32" s="1"/>
  <c r="BA78" i="42"/>
  <c r="H22" i="32"/>
  <c r="I22" i="32" s="1"/>
  <c r="J22" i="32" s="1"/>
  <c r="Y93" i="42"/>
  <c r="G14" i="32"/>
  <c r="F14" i="32" s="1"/>
  <c r="O14" i="32" s="1"/>
  <c r="AX80" i="42"/>
  <c r="AL89" i="42"/>
  <c r="AL142" i="60"/>
  <c r="AA134" i="60"/>
  <c r="H6" i="32"/>
  <c r="I6" i="32" s="1"/>
  <c r="J6" i="32" s="1"/>
  <c r="AY72" i="42"/>
  <c r="AZ72" i="42" s="1"/>
  <c r="BA72" i="42"/>
  <c r="H14" i="32"/>
  <c r="I14" i="32" s="1"/>
  <c r="J14" i="32" s="1"/>
  <c r="BA80" i="42"/>
  <c r="H20" i="32"/>
  <c r="I20" i="32" s="1"/>
  <c r="J20" i="32" s="1"/>
  <c r="AY86" i="42"/>
  <c r="AZ86" i="42" s="1"/>
  <c r="H11" i="32"/>
  <c r="H25" i="32"/>
  <c r="I25" i="32" s="1"/>
  <c r="J25" i="32" s="1"/>
  <c r="AB123" i="60"/>
  <c r="AB125" i="60"/>
  <c r="AB127" i="60"/>
  <c r="AB129" i="60"/>
  <c r="AB131" i="60"/>
  <c r="AB133" i="60"/>
  <c r="AB135" i="60"/>
  <c r="O120" i="42"/>
  <c r="O122" i="42"/>
  <c r="O124" i="42"/>
  <c r="AC9" i="37"/>
  <c r="Z9" i="37" s="1"/>
  <c r="Z114" i="42"/>
  <c r="AC19" i="37"/>
  <c r="Z19" i="37" s="1"/>
  <c r="AY87" i="42"/>
  <c r="AZ87" i="42" s="1"/>
  <c r="BA87" i="42" s="1"/>
  <c r="H21" i="32"/>
  <c r="I21" i="32" s="1"/>
  <c r="J21" i="32" s="1"/>
  <c r="Q84" i="42"/>
  <c r="Q86" i="42"/>
  <c r="Q88" i="42"/>
  <c r="Q90" i="42"/>
  <c r="R94" i="42"/>
  <c r="R127" i="42" s="1"/>
  <c r="AC117" i="42"/>
  <c r="AC118" i="42"/>
  <c r="AC111" i="42"/>
  <c r="AE111" i="42"/>
  <c r="Z115" i="42"/>
  <c r="AY85" i="42"/>
  <c r="AZ85" i="42" s="1"/>
  <c r="H19" i="32"/>
  <c r="AC102" i="42"/>
  <c r="AE102" i="42"/>
  <c r="Z103" i="42"/>
  <c r="AC104" i="42"/>
  <c r="AE104" i="42"/>
  <c r="Z105" i="42"/>
  <c r="Z112" i="42"/>
  <c r="AC121" i="42"/>
  <c r="Z122" i="42"/>
  <c r="AC123" i="42"/>
  <c r="AE123" i="42"/>
  <c r="Z124" i="42"/>
  <c r="AC115" i="42"/>
  <c r="Z120" i="42"/>
  <c r="S85" i="42"/>
  <c r="AA138" i="60"/>
  <c r="AA94" i="42"/>
  <c r="AA127" i="42" s="1"/>
  <c r="AA123" i="60"/>
  <c r="AZ70" i="42"/>
  <c r="S70" i="42"/>
  <c r="AA125" i="60"/>
  <c r="S72" i="42"/>
  <c r="AE126" i="60"/>
  <c r="AD37" i="60"/>
  <c r="AA132" i="60"/>
  <c r="AZ79" i="42"/>
  <c r="AA141" i="60"/>
  <c r="AZ88" i="42"/>
  <c r="S88" i="42"/>
  <c r="AA143" i="60"/>
  <c r="AZ90" i="42"/>
  <c r="AZ77" i="42"/>
  <c r="S77" i="42"/>
  <c r="AA130" i="60"/>
  <c r="AD109" i="60"/>
  <c r="AD167" i="60" s="1"/>
  <c r="BH22" i="60"/>
  <c r="CK22" i="60" s="1"/>
  <c r="AD50" i="60"/>
  <c r="G93" i="42"/>
  <c r="H13" i="32"/>
  <c r="AD38" i="60"/>
  <c r="AD102" i="60"/>
  <c r="AD160" i="60"/>
  <c r="AD43" i="60"/>
  <c r="BH15" i="60"/>
  <c r="CK15" i="60" s="1"/>
  <c r="AD46" i="60"/>
  <c r="AA126" i="60"/>
  <c r="AZ73" i="42"/>
  <c r="AE128" i="60"/>
  <c r="Q109" i="42"/>
  <c r="Q103" i="42"/>
  <c r="Q122" i="42"/>
  <c r="Q107" i="42"/>
  <c r="Q124" i="42"/>
  <c r="P49" i="53"/>
  <c r="R49" i="53" s="1"/>
  <c r="P52" i="53"/>
  <c r="R52" i="53" s="1"/>
  <c r="P47" i="53"/>
  <c r="R47" i="53" s="1"/>
  <c r="P45" i="53"/>
  <c r="R45" i="53" s="1"/>
  <c r="N24" i="18"/>
  <c r="K147" i="10"/>
  <c r="T147" i="10" s="1"/>
  <c r="T94" i="10"/>
  <c r="AN247" i="40"/>
  <c r="M148" i="10" s="1"/>
  <c r="AM248" i="40"/>
  <c r="Q26" i="18"/>
  <c r="V99" i="10"/>
  <c r="D152" i="10"/>
  <c r="F3" i="10"/>
  <c r="BF3" i="10"/>
  <c r="H3" i="10"/>
  <c r="CO3" i="10"/>
  <c r="Q3" i="10"/>
  <c r="CY3" i="10"/>
  <c r="U3" i="10"/>
  <c r="CM3" i="10"/>
  <c r="O3" i="10"/>
  <c r="BE3" i="10"/>
  <c r="AO3" i="10"/>
  <c r="BA3" i="10"/>
  <c r="BM3" i="10"/>
  <c r="CU3" i="10"/>
  <c r="M3" i="10"/>
  <c r="BJ3" i="10"/>
  <c r="DG3" i="10"/>
  <c r="CW3" i="10"/>
  <c r="DI3" i="10"/>
  <c r="AB3" i="10"/>
  <c r="AN3" i="10"/>
  <c r="CD3" i="10"/>
  <c r="R3" i="10"/>
  <c r="BU3" i="10"/>
  <c r="CG3" i="10"/>
  <c r="CS3" i="10"/>
  <c r="DE3" i="10"/>
  <c r="X3" i="10"/>
  <c r="BR3" i="10"/>
  <c r="Z3" i="10"/>
  <c r="CL3" i="10"/>
  <c r="AY3" i="10"/>
  <c r="G3" i="10"/>
  <c r="BH3" i="10"/>
  <c r="K3" i="10"/>
  <c r="AV3" i="10"/>
  <c r="D3" i="10"/>
  <c r="Y3" i="10"/>
  <c r="CV3" i="10"/>
  <c r="CF3" i="10"/>
  <c r="CR3" i="10"/>
  <c r="DD3" i="10"/>
  <c r="W3" i="10"/>
  <c r="BD3" i="10"/>
  <c r="CP3" i="10"/>
  <c r="AD3" i="10"/>
  <c r="BP3" i="10"/>
  <c r="BG3" i="10"/>
  <c r="BS3" i="10"/>
  <c r="CE3" i="10"/>
  <c r="DJ3" i="10"/>
  <c r="AX3" i="10"/>
  <c r="DL3" i="10"/>
  <c r="AE3" i="10"/>
  <c r="AQ3" i="10"/>
  <c r="BC3" i="10"/>
  <c r="BO3" i="10"/>
  <c r="CX3" i="10"/>
  <c r="AL3" i="10"/>
  <c r="DB3" i="10"/>
  <c r="L3" i="10"/>
  <c r="P3" i="10"/>
  <c r="I3" i="10"/>
  <c r="BK3" i="10"/>
  <c r="CI3" i="10"/>
  <c r="AI3" i="10"/>
  <c r="N3" i="10"/>
  <c r="AK3" i="10"/>
  <c r="BI3" i="10"/>
  <c r="AH3" i="10"/>
  <c r="DC3" i="10"/>
  <c r="AG3" i="10"/>
  <c r="CH3" i="10"/>
  <c r="J3" i="10"/>
  <c r="AC3" i="10"/>
  <c r="AM3" i="10"/>
  <c r="AA3" i="10"/>
  <c r="T3" i="10"/>
  <c r="DM3" i="10"/>
  <c r="AR3" i="10"/>
  <c r="DF3" i="10"/>
  <c r="CK3" i="10"/>
  <c r="CN3" i="10"/>
  <c r="S3" i="10"/>
  <c r="BL3" i="10"/>
  <c r="CJ3" i="10"/>
  <c r="BB3" i="10"/>
  <c r="BV3" i="10"/>
  <c r="DK3" i="10"/>
  <c r="E3" i="10"/>
  <c r="DH3" i="10"/>
  <c r="CA3" i="10"/>
  <c r="DA3" i="10"/>
  <c r="AF3" i="10"/>
  <c r="BY3" i="10"/>
  <c r="AT3" i="10"/>
  <c r="CB3" i="10"/>
  <c r="CZ3" i="10"/>
  <c r="BN3" i="10"/>
  <c r="AZ3" i="10"/>
  <c r="BX3" i="10"/>
  <c r="DN3" i="10"/>
  <c r="CC3" i="10"/>
  <c r="BW3" i="10"/>
  <c r="AW3" i="10"/>
  <c r="AS3" i="10"/>
  <c r="BQ3" i="10"/>
  <c r="DP3" i="10"/>
  <c r="CT3" i="10"/>
  <c r="V3" i="10"/>
  <c r="AP3" i="10"/>
  <c r="AJ3" i="10"/>
  <c r="BZ3" i="10"/>
  <c r="CQ3" i="10"/>
  <c r="BT3" i="10"/>
  <c r="AU3" i="10"/>
  <c r="DO3" i="10"/>
  <c r="S154" i="10"/>
  <c r="T154" i="10"/>
  <c r="F153" i="10"/>
  <c r="AG251" i="40"/>
  <c r="AH207" i="40"/>
  <c r="AB34" i="18"/>
  <c r="AD34" i="18" s="1"/>
  <c r="W34" i="18"/>
  <c r="R13" i="37"/>
  <c r="D13" i="37"/>
  <c r="H13" i="37"/>
  <c r="L13" i="37"/>
  <c r="X13" i="37"/>
  <c r="S13" i="37"/>
  <c r="E13" i="37"/>
  <c r="I13" i="37"/>
  <c r="N13" i="37"/>
  <c r="C13" i="37"/>
  <c r="G13" i="37"/>
  <c r="K13" i="37"/>
  <c r="V13" i="37"/>
  <c r="T13" i="37"/>
  <c r="F13" i="37"/>
  <c r="P13" i="37"/>
  <c r="J13" i="37"/>
  <c r="Y13" i="37"/>
  <c r="B13" i="37"/>
  <c r="W13" i="37"/>
  <c r="Q13" i="37"/>
  <c r="U13" i="37"/>
  <c r="O13" i="37"/>
  <c r="AL126" i="60"/>
  <c r="AL73" i="42"/>
  <c r="W29" i="18"/>
  <c r="AB29" i="18"/>
  <c r="AD29" i="18" s="1"/>
  <c r="AT87" i="42"/>
  <c r="K21" i="32"/>
  <c r="L21" i="32"/>
  <c r="M21" i="32"/>
  <c r="G87" i="42"/>
  <c r="N21" i="32"/>
  <c r="AJ128" i="60"/>
  <c r="Y75" i="42"/>
  <c r="AK75" i="42"/>
  <c r="BG81" i="42"/>
  <c r="BF81" i="42"/>
  <c r="G17" i="32"/>
  <c r="F17" i="32" s="1"/>
  <c r="O17" i="32" s="1"/>
  <c r="AX83" i="42"/>
  <c r="R22" i="18"/>
  <c r="W30" i="18"/>
  <c r="AB30" i="18"/>
  <c r="AD30" i="18" s="1"/>
  <c r="I42" i="18"/>
  <c r="L42" i="18" s="1"/>
  <c r="K42" i="18"/>
  <c r="J42" i="18"/>
  <c r="AT84" i="42"/>
  <c r="K18" i="32"/>
  <c r="L18" i="32"/>
  <c r="M18" i="32"/>
  <c r="N18" i="32"/>
  <c r="G84" i="42"/>
  <c r="R15" i="18"/>
  <c r="L15" i="18"/>
  <c r="Y77" i="42"/>
  <c r="AJ130" i="60"/>
  <c r="AK77" i="42"/>
  <c r="AC7" i="37"/>
  <c r="Z7" i="37" s="1"/>
  <c r="Y17" i="37"/>
  <c r="X17" i="37"/>
  <c r="V17" i="37"/>
  <c r="B17" i="37"/>
  <c r="W17" i="37"/>
  <c r="E17" i="37"/>
  <c r="K17" i="37"/>
  <c r="L17" i="37"/>
  <c r="M17" i="37"/>
  <c r="N17" i="37"/>
  <c r="O17" i="37"/>
  <c r="Q17" i="37"/>
  <c r="R17" i="37"/>
  <c r="S17" i="37"/>
  <c r="T17" i="37"/>
  <c r="U17" i="37"/>
  <c r="F17" i="37"/>
  <c r="I17" i="37"/>
  <c r="C17" i="37"/>
  <c r="G17" i="37"/>
  <c r="D17" i="37"/>
  <c r="H17" i="37"/>
  <c r="J17" i="37"/>
  <c r="P17" i="37"/>
  <c r="AA17" i="37"/>
  <c r="AW68" i="42"/>
  <c r="L94" i="42"/>
  <c r="L127" i="42" s="1"/>
  <c r="G7" i="32"/>
  <c r="F7" i="32" s="1"/>
  <c r="AH75" i="42"/>
  <c r="G11" i="32"/>
  <c r="F11" i="32" s="1"/>
  <c r="AL81" i="42"/>
  <c r="AL134" i="60"/>
  <c r="W16" i="37"/>
  <c r="Y16" i="37"/>
  <c r="X16" i="37"/>
  <c r="V16" i="37"/>
  <c r="B16" i="37"/>
  <c r="C16" i="37"/>
  <c r="D16" i="37"/>
  <c r="E16" i="37"/>
  <c r="F16" i="37"/>
  <c r="G16" i="37"/>
  <c r="H16" i="37"/>
  <c r="I16" i="37"/>
  <c r="J16" i="37"/>
  <c r="P16" i="37"/>
  <c r="N16" i="37"/>
  <c r="R16" i="37"/>
  <c r="K16" i="37"/>
  <c r="O16" i="37"/>
  <c r="S16" i="37"/>
  <c r="L16" i="37"/>
  <c r="T16" i="37"/>
  <c r="U16" i="37"/>
  <c r="M16" i="37"/>
  <c r="Q16" i="37"/>
  <c r="AA16" i="37"/>
  <c r="R18" i="18"/>
  <c r="L18" i="18"/>
  <c r="Y73" i="42"/>
  <c r="AJ126" i="60"/>
  <c r="AK73" i="42"/>
  <c r="AM73" i="42" s="1"/>
  <c r="AL138" i="60"/>
  <c r="AL85" i="42"/>
  <c r="Y91" i="42"/>
  <c r="AJ144" i="60"/>
  <c r="AK91" i="42"/>
  <c r="AM91" i="42" s="1"/>
  <c r="AK121" i="60"/>
  <c r="U94" i="42"/>
  <c r="U127" i="42" s="1"/>
  <c r="W14" i="37"/>
  <c r="Y14" i="37"/>
  <c r="X14" i="37"/>
  <c r="V14" i="37"/>
  <c r="B14" i="37"/>
  <c r="C14" i="37"/>
  <c r="AA14" i="37" s="1"/>
  <c r="D14" i="37"/>
  <c r="E14" i="37"/>
  <c r="F14" i="37"/>
  <c r="G14" i="37"/>
  <c r="H14" i="37"/>
  <c r="I14" i="37"/>
  <c r="J14" i="37"/>
  <c r="K14" i="37"/>
  <c r="L14" i="37"/>
  <c r="M14" i="37"/>
  <c r="N14" i="37"/>
  <c r="P14" i="37"/>
  <c r="Q14" i="37"/>
  <c r="R14" i="37"/>
  <c r="S14" i="37"/>
  <c r="T14" i="37"/>
  <c r="U14" i="37"/>
  <c r="O14" i="37"/>
  <c r="W22" i="37"/>
  <c r="Y22" i="37"/>
  <c r="X22" i="37"/>
  <c r="V22" i="37"/>
  <c r="B22" i="37"/>
  <c r="C22" i="37"/>
  <c r="D22" i="37"/>
  <c r="E22" i="37"/>
  <c r="F22" i="37"/>
  <c r="G22" i="37"/>
  <c r="H22" i="37"/>
  <c r="I22" i="37"/>
  <c r="J22" i="37"/>
  <c r="P22" i="37"/>
  <c r="T22" i="37"/>
  <c r="U22" i="37"/>
  <c r="K22" i="37"/>
  <c r="L22" i="37"/>
  <c r="M22" i="37"/>
  <c r="N22" i="37"/>
  <c r="O22" i="37"/>
  <c r="Q22" i="37"/>
  <c r="R22" i="37"/>
  <c r="S22" i="37"/>
  <c r="AA22" i="37"/>
  <c r="AL78" i="42"/>
  <c r="AL131" i="60"/>
  <c r="AK68" i="42"/>
  <c r="Y68" i="42"/>
  <c r="AJ121" i="60"/>
  <c r="T94" i="42"/>
  <c r="T127" i="42" s="1"/>
  <c r="G24" i="32"/>
  <c r="F24" i="32" s="1"/>
  <c r="G2" i="32"/>
  <c r="J94" i="42"/>
  <c r="J127" i="42" s="1"/>
  <c r="G23" i="32"/>
  <c r="AW79" i="42"/>
  <c r="AH84" i="42"/>
  <c r="AW85" i="42"/>
  <c r="AW88" i="42"/>
  <c r="AB140" i="60"/>
  <c r="AB52" i="60"/>
  <c r="AB54" i="60"/>
  <c r="H23" i="32"/>
  <c r="BA89" i="42"/>
  <c r="AH89" i="42"/>
  <c r="AD47" i="60"/>
  <c r="AD48" i="60"/>
  <c r="AA121" i="60"/>
  <c r="N94" i="42"/>
  <c r="N127" i="42" s="1"/>
  <c r="AE121" i="60"/>
  <c r="Z94" i="42"/>
  <c r="Z127" i="42" s="1"/>
  <c r="S75" i="42"/>
  <c r="AA128" i="60"/>
  <c r="AZ75" i="42"/>
  <c r="AD41" i="60"/>
  <c r="AE104" i="60"/>
  <c r="AE162" i="60" s="1"/>
  <c r="BI17" i="60"/>
  <c r="CL17" i="60" s="1"/>
  <c r="AS87" i="42"/>
  <c r="BF87" i="42"/>
  <c r="BG87" i="42"/>
  <c r="E94" i="42"/>
  <c r="E127" i="42" s="1"/>
  <c r="S93" i="42"/>
  <c r="AD32" i="60"/>
  <c r="AD34" i="60"/>
  <c r="S78" i="42"/>
  <c r="AA131" i="60"/>
  <c r="S82" i="42"/>
  <c r="AA135" i="60"/>
  <c r="AD51" i="60"/>
  <c r="AD53" i="60"/>
  <c r="BF80" i="42"/>
  <c r="BG80" i="42"/>
  <c r="AS80" i="42"/>
  <c r="AD104" i="60"/>
  <c r="AD162" i="60" s="1"/>
  <c r="AD45" i="60"/>
  <c r="BH17" i="60"/>
  <c r="CK17" i="60" s="1"/>
  <c r="AE167" i="60"/>
  <c r="AE109" i="60"/>
  <c r="BI22" i="60"/>
  <c r="CL22" i="60" s="1"/>
  <c r="N61" i="54"/>
  <c r="I61" i="54"/>
  <c r="K61" i="54"/>
  <c r="V61" i="54"/>
  <c r="H61" i="54"/>
  <c r="J61" i="54"/>
  <c r="W61" i="54"/>
  <c r="Y61" i="54"/>
  <c r="T61" i="54"/>
  <c r="F61" i="54"/>
  <c r="D61" i="54"/>
  <c r="S61" i="54"/>
  <c r="M61" i="54"/>
  <c r="P61" i="54"/>
  <c r="B61" i="54"/>
  <c r="U61" i="54"/>
  <c r="X61" i="54"/>
  <c r="Z61" i="54"/>
  <c r="L61" i="54"/>
  <c r="G61" i="54"/>
  <c r="Q61" i="54"/>
  <c r="R61" i="54"/>
  <c r="C61" i="54"/>
  <c r="E61" i="54"/>
  <c r="O61" i="54"/>
  <c r="AC60" i="37" l="1"/>
  <c r="D65" i="37"/>
  <c r="S65" i="37"/>
  <c r="R65" i="37"/>
  <c r="V65" i="37"/>
  <c r="O65" i="37"/>
  <c r="P65" i="37"/>
  <c r="Y65" i="37"/>
  <c r="B65" i="37"/>
  <c r="F65" i="37"/>
  <c r="U65" i="37"/>
  <c r="T65" i="37"/>
  <c r="N65" i="37"/>
  <c r="M65" i="37"/>
  <c r="Q65" i="37"/>
  <c r="J65" i="37"/>
  <c r="L65" i="37"/>
  <c r="C65" i="37"/>
  <c r="W65" i="37"/>
  <c r="I65" i="37"/>
  <c r="G65" i="37"/>
  <c r="K65" i="37"/>
  <c r="E65" i="37"/>
  <c r="X65" i="37"/>
  <c r="H65" i="37"/>
  <c r="B66" i="37"/>
  <c r="Y66" i="37"/>
  <c r="S66" i="37"/>
  <c r="W66" i="37"/>
  <c r="D66" i="37"/>
  <c r="T66" i="37"/>
  <c r="Q66" i="37"/>
  <c r="G66" i="37"/>
  <c r="P66" i="37"/>
  <c r="V66" i="37"/>
  <c r="U66" i="37"/>
  <c r="J66" i="37"/>
  <c r="M66" i="37"/>
  <c r="O66" i="37"/>
  <c r="H66" i="37"/>
  <c r="X66" i="37"/>
  <c r="K66" i="37"/>
  <c r="C66" i="37"/>
  <c r="R66" i="37"/>
  <c r="N66" i="37"/>
  <c r="E66" i="37"/>
  <c r="I66" i="37"/>
  <c r="L66" i="37"/>
  <c r="F66" i="37"/>
  <c r="G67" i="37"/>
  <c r="P67" i="37"/>
  <c r="U67" i="37"/>
  <c r="N67" i="37"/>
  <c r="B67" i="37"/>
  <c r="V67" i="37"/>
  <c r="K67" i="37"/>
  <c r="Q67" i="37"/>
  <c r="W67" i="37"/>
  <c r="D67" i="37"/>
  <c r="T67" i="37"/>
  <c r="O67" i="37"/>
  <c r="I67" i="37"/>
  <c r="R67" i="37"/>
  <c r="E67" i="37"/>
  <c r="F67" i="37"/>
  <c r="M67" i="37"/>
  <c r="H67" i="37"/>
  <c r="X67" i="37"/>
  <c r="J67" i="37"/>
  <c r="Y67" i="37"/>
  <c r="C67" i="37"/>
  <c r="L67" i="37"/>
  <c r="S67" i="37"/>
  <c r="J63" i="37"/>
  <c r="R63" i="37"/>
  <c r="W63" i="37"/>
  <c r="H63" i="37"/>
  <c r="X63" i="37"/>
  <c r="S63" i="37"/>
  <c r="D63" i="37"/>
  <c r="Y63" i="37"/>
  <c r="C63" i="37"/>
  <c r="Q63" i="37"/>
  <c r="K63" i="37"/>
  <c r="L63" i="37"/>
  <c r="E63" i="37"/>
  <c r="U63" i="37"/>
  <c r="N63" i="37"/>
  <c r="V63" i="37"/>
  <c r="T63" i="37"/>
  <c r="M63" i="37"/>
  <c r="B63" i="37"/>
  <c r="P63" i="37"/>
  <c r="I63" i="37"/>
  <c r="O63" i="37"/>
  <c r="F63" i="37"/>
  <c r="G63" i="37"/>
  <c r="J62" i="37"/>
  <c r="R62" i="37"/>
  <c r="C62" i="37"/>
  <c r="S62" i="37"/>
  <c r="L62" i="37"/>
  <c r="E62" i="37"/>
  <c r="U62" i="37"/>
  <c r="N62" i="37"/>
  <c r="P62" i="37"/>
  <c r="I62" i="37"/>
  <c r="Y62" i="37"/>
  <c r="F62" i="37"/>
  <c r="K62" i="37"/>
  <c r="O62" i="37"/>
  <c r="X62" i="37"/>
  <c r="Q62" i="37"/>
  <c r="V62" i="37"/>
  <c r="W62" i="37"/>
  <c r="B62" i="37"/>
  <c r="D62" i="37"/>
  <c r="T62" i="37"/>
  <c r="M62" i="37"/>
  <c r="G62" i="37"/>
  <c r="H62" i="37"/>
  <c r="D61" i="37"/>
  <c r="M61" i="37"/>
  <c r="F61" i="37"/>
  <c r="J61" i="37"/>
  <c r="I61" i="37"/>
  <c r="T61" i="37"/>
  <c r="G61" i="37"/>
  <c r="V61" i="37"/>
  <c r="E61" i="37"/>
  <c r="Y61" i="37"/>
  <c r="C61" i="37"/>
  <c r="P61" i="37"/>
  <c r="R61" i="37"/>
  <c r="H61" i="37"/>
  <c r="W61" i="37"/>
  <c r="B61" i="37"/>
  <c r="Q61" i="37"/>
  <c r="U61" i="37"/>
  <c r="S61" i="37"/>
  <c r="L61" i="37"/>
  <c r="K61" i="37"/>
  <c r="O61" i="37"/>
  <c r="N61" i="37"/>
  <c r="X61" i="37"/>
  <c r="W59" i="37"/>
  <c r="W58" i="37"/>
  <c r="BC87" i="42"/>
  <c r="BB87" i="42"/>
  <c r="AC122" i="60"/>
  <c r="AN69" i="42"/>
  <c r="AB69" i="42"/>
  <c r="AB102" i="42" s="1"/>
  <c r="Y102" i="42"/>
  <c r="AK21" i="18"/>
  <c r="K21" i="18"/>
  <c r="I21" i="18"/>
  <c r="J21" i="18"/>
  <c r="H21" i="18"/>
  <c r="S106" i="42"/>
  <c r="BC83" i="42"/>
  <c r="BB83" i="42"/>
  <c r="AD68" i="42"/>
  <c r="S101" i="42"/>
  <c r="BE17" i="60"/>
  <c r="AA104" i="60"/>
  <c r="AA162" i="60" s="1"/>
  <c r="AA45" i="60"/>
  <c r="AA38" i="60"/>
  <c r="AN68" i="42"/>
  <c r="AC121" i="60"/>
  <c r="AB68" i="42"/>
  <c r="Y101" i="42"/>
  <c r="AC130" i="60"/>
  <c r="AN77" i="42"/>
  <c r="AB77" i="42"/>
  <c r="AB110" i="42" s="1"/>
  <c r="Y110" i="42"/>
  <c r="R30" i="18"/>
  <c r="L30" i="18" s="1"/>
  <c r="Z30" i="18"/>
  <c r="BE22" i="18"/>
  <c r="AN128" i="60"/>
  <c r="R29" i="18"/>
  <c r="L29" i="18" s="1"/>
  <c r="Z29" i="18"/>
  <c r="R34" i="18"/>
  <c r="L34" i="18" s="1"/>
  <c r="Z34" i="18"/>
  <c r="T153" i="10"/>
  <c r="S153" i="10"/>
  <c r="BJ77" i="42"/>
  <c r="BI77" i="42" s="1"/>
  <c r="BK77" i="42" s="1"/>
  <c r="S103" i="42"/>
  <c r="AB143" i="60"/>
  <c r="Q123" i="42"/>
  <c r="AB39" i="60"/>
  <c r="AA44" i="60"/>
  <c r="AG46" i="60"/>
  <c r="BE25" i="18"/>
  <c r="N17" i="18"/>
  <c r="BE17" i="18"/>
  <c r="Q17" i="18"/>
  <c r="O17" i="18"/>
  <c r="P17" i="18"/>
  <c r="V104" i="60"/>
  <c r="V162" i="60" s="1"/>
  <c r="AZ17" i="60"/>
  <c r="CC17" i="60" s="1"/>
  <c r="V45" i="60"/>
  <c r="L54" i="60"/>
  <c r="U40" i="60"/>
  <c r="C36" i="60"/>
  <c r="Z104" i="60"/>
  <c r="BD17" i="60"/>
  <c r="CG17" i="60" s="1"/>
  <c r="Z162" i="60"/>
  <c r="Z45" i="60"/>
  <c r="Y44" i="60"/>
  <c r="E52" i="60"/>
  <c r="N38" i="60"/>
  <c r="W32" i="60"/>
  <c r="D48" i="60"/>
  <c r="K52" i="60"/>
  <c r="T38" i="60"/>
  <c r="O36" i="60"/>
  <c r="S109" i="60"/>
  <c r="S167" i="60"/>
  <c r="S50" i="60"/>
  <c r="AW22" i="60"/>
  <c r="BZ22" i="60" s="1"/>
  <c r="E44" i="60"/>
  <c r="L42" i="60"/>
  <c r="U36" i="60"/>
  <c r="P34" i="60"/>
  <c r="X102" i="60"/>
  <c r="X43" i="60"/>
  <c r="BB15" i="60"/>
  <c r="CE15" i="60" s="1"/>
  <c r="X160" i="60"/>
  <c r="M104" i="60"/>
  <c r="AQ17" i="60"/>
  <c r="BT17" i="60" s="1"/>
  <c r="M45" i="60"/>
  <c r="M162" i="60"/>
  <c r="Y49" i="60"/>
  <c r="I49" i="60"/>
  <c r="R47" i="60"/>
  <c r="R46" i="60"/>
  <c r="Y31" i="60"/>
  <c r="Y145" i="60"/>
  <c r="I31" i="60"/>
  <c r="I145" i="60"/>
  <c r="R53" i="60"/>
  <c r="Y51" i="60"/>
  <c r="I51" i="60"/>
  <c r="R41" i="60"/>
  <c r="Y39" i="60"/>
  <c r="I39" i="60"/>
  <c r="R37" i="60"/>
  <c r="Y35" i="60"/>
  <c r="Z33" i="60"/>
  <c r="J33" i="60"/>
  <c r="P109" i="60"/>
  <c r="P167" i="60" s="1"/>
  <c r="P50" i="60"/>
  <c r="AT22" i="60"/>
  <c r="BW22" i="60" s="1"/>
  <c r="F102" i="60"/>
  <c r="F160" i="60" s="1"/>
  <c r="AJ15" i="60"/>
  <c r="BM15" i="60" s="1"/>
  <c r="F43" i="60"/>
  <c r="N49" i="60"/>
  <c r="U47" i="60"/>
  <c r="E47" i="60"/>
  <c r="M46" i="60"/>
  <c r="V145" i="60"/>
  <c r="V31" i="60"/>
  <c r="F145" i="60"/>
  <c r="F31" i="60"/>
  <c r="M53" i="60"/>
  <c r="V51" i="60"/>
  <c r="F51" i="60"/>
  <c r="E41" i="60"/>
  <c r="N39" i="60"/>
  <c r="U37" i="60"/>
  <c r="V35" i="60"/>
  <c r="F35" i="60"/>
  <c r="M33" i="60"/>
  <c r="W102" i="60"/>
  <c r="BA15" i="60"/>
  <c r="CD15" i="60" s="1"/>
  <c r="W160" i="60"/>
  <c r="W43" i="60"/>
  <c r="L104" i="60"/>
  <c r="L162" i="60" s="1"/>
  <c r="L45" i="60"/>
  <c r="AP17" i="60"/>
  <c r="BS17" i="60" s="1"/>
  <c r="W48" i="60"/>
  <c r="G48" i="60"/>
  <c r="P44" i="60"/>
  <c r="W54" i="60"/>
  <c r="G54" i="60"/>
  <c r="P52" i="60"/>
  <c r="W42" i="60"/>
  <c r="O42" i="60"/>
  <c r="X40" i="60"/>
  <c r="H40" i="60"/>
  <c r="O38" i="60"/>
  <c r="X36" i="60"/>
  <c r="H36" i="60"/>
  <c r="O34" i="60"/>
  <c r="G34" i="60"/>
  <c r="P32" i="60"/>
  <c r="BE22" i="60"/>
  <c r="AA109" i="60"/>
  <c r="AA167" i="60" s="1"/>
  <c r="AA50" i="60"/>
  <c r="AB92" i="42"/>
  <c r="AB125" i="42" s="1"/>
  <c r="Y125" i="42"/>
  <c r="AN82" i="42"/>
  <c r="AC135" i="60"/>
  <c r="AB82" i="42"/>
  <c r="AB115" i="42" s="1"/>
  <c r="Y115" i="42"/>
  <c r="AG47" i="60"/>
  <c r="AM69" i="42"/>
  <c r="H30" i="37"/>
  <c r="S92" i="42"/>
  <c r="Q125" i="42"/>
  <c r="I3" i="32"/>
  <c r="J3" i="32" s="1"/>
  <c r="AZ94" i="42"/>
  <c r="I18" i="32"/>
  <c r="J18" i="32" s="1"/>
  <c r="K26" i="18"/>
  <c r="I26" i="18"/>
  <c r="AK26" i="18"/>
  <c r="J26" i="18"/>
  <c r="H26" i="18"/>
  <c r="AN134" i="60"/>
  <c r="AC131" i="60"/>
  <c r="AN78" i="42"/>
  <c r="AB78" i="42"/>
  <c r="AB111" i="42" s="1"/>
  <c r="Y111" i="42"/>
  <c r="AN87" i="42"/>
  <c r="AC140" i="60"/>
  <c r="AB87" i="42"/>
  <c r="AB120" i="42" s="1"/>
  <c r="Y120" i="42"/>
  <c r="AL139" i="60"/>
  <c r="AL86" i="42"/>
  <c r="H122" i="42"/>
  <c r="W27" i="18"/>
  <c r="AB27" i="18"/>
  <c r="AD27" i="18" s="1"/>
  <c r="AA41" i="60"/>
  <c r="S108" i="42"/>
  <c r="BC89" i="42"/>
  <c r="BB89" i="42"/>
  <c r="BF22" i="60"/>
  <c r="AB109" i="60"/>
  <c r="AB167" i="60"/>
  <c r="AB50" i="60"/>
  <c r="AN144" i="60"/>
  <c r="BE15" i="18"/>
  <c r="Q15" i="18"/>
  <c r="O15" i="18"/>
  <c r="N15" i="18"/>
  <c r="P15" i="18"/>
  <c r="AA13" i="37"/>
  <c r="Q25" i="18"/>
  <c r="S118" i="42"/>
  <c r="BA85" i="42"/>
  <c r="AB141" i="60"/>
  <c r="Q121" i="42"/>
  <c r="W9" i="37"/>
  <c r="Y9" i="37"/>
  <c r="X9" i="37"/>
  <c r="V9" i="37"/>
  <c r="B9" i="37"/>
  <c r="C9" i="37"/>
  <c r="AA9" i="37" s="1"/>
  <c r="D9" i="37"/>
  <c r="E9" i="37"/>
  <c r="F9" i="37"/>
  <c r="G9" i="37"/>
  <c r="H9" i="37"/>
  <c r="I9" i="37"/>
  <c r="J9" i="37"/>
  <c r="K9" i="37"/>
  <c r="Q9" i="37"/>
  <c r="U9" i="37"/>
  <c r="L9" i="37"/>
  <c r="M9" i="37"/>
  <c r="N9" i="37"/>
  <c r="O9" i="37"/>
  <c r="P9" i="37"/>
  <c r="R9" i="37"/>
  <c r="S9" i="37"/>
  <c r="T9" i="37"/>
  <c r="AB37" i="60"/>
  <c r="BA91" i="42"/>
  <c r="BC78" i="42"/>
  <c r="BB78" i="42"/>
  <c r="Y6" i="37"/>
  <c r="W6" i="37"/>
  <c r="X6" i="37"/>
  <c r="B6" i="37"/>
  <c r="V6" i="37"/>
  <c r="D6" i="37"/>
  <c r="E6" i="37"/>
  <c r="F6" i="37"/>
  <c r="G6" i="37"/>
  <c r="G27" i="37" s="1"/>
  <c r="G29" i="37" s="1"/>
  <c r="H6" i="37"/>
  <c r="I6" i="37"/>
  <c r="C6" i="37"/>
  <c r="K6" i="37"/>
  <c r="Q6" i="37"/>
  <c r="U6" i="37"/>
  <c r="J6" i="37"/>
  <c r="L6" i="37"/>
  <c r="M6" i="37"/>
  <c r="N6" i="37"/>
  <c r="O6" i="37"/>
  <c r="P6" i="37"/>
  <c r="R6" i="37"/>
  <c r="S6" i="37"/>
  <c r="T6" i="37"/>
  <c r="AA6" i="37"/>
  <c r="R32" i="18"/>
  <c r="Z32" i="18"/>
  <c r="AC124" i="60"/>
  <c r="AN71" i="42"/>
  <c r="AB71" i="42"/>
  <c r="AB104" i="42" s="1"/>
  <c r="Y104" i="42"/>
  <c r="P25" i="18"/>
  <c r="O22" i="18"/>
  <c r="P34" i="53"/>
  <c r="X48" i="60"/>
  <c r="K44" i="60"/>
  <c r="Z42" i="60"/>
  <c r="H38" i="60"/>
  <c r="V34" i="60"/>
  <c r="Y102" i="60"/>
  <c r="BC15" i="60"/>
  <c r="CF15" i="60" s="1"/>
  <c r="Y43" i="60"/>
  <c r="Y160" i="60"/>
  <c r="V48" i="60"/>
  <c r="Q44" i="60"/>
  <c r="X42" i="60"/>
  <c r="F38" i="60"/>
  <c r="O32" i="60"/>
  <c r="P54" i="60"/>
  <c r="Y40" i="60"/>
  <c r="L38" i="60"/>
  <c r="U32" i="60"/>
  <c r="J48" i="60"/>
  <c r="Q52" i="60"/>
  <c r="Z38" i="60"/>
  <c r="H34" i="60"/>
  <c r="V109" i="60"/>
  <c r="V50" i="60"/>
  <c r="AZ22" i="60"/>
  <c r="CC22" i="60" s="1"/>
  <c r="V167" i="60"/>
  <c r="L102" i="60"/>
  <c r="L43" i="60"/>
  <c r="AP15" i="60"/>
  <c r="BS15" i="60" s="1"/>
  <c r="L160" i="60"/>
  <c r="W49" i="60"/>
  <c r="G49" i="60"/>
  <c r="P47" i="60"/>
  <c r="X46" i="60"/>
  <c r="W31" i="60"/>
  <c r="W145" i="60"/>
  <c r="G31" i="60"/>
  <c r="G145" i="60"/>
  <c r="P53" i="60"/>
  <c r="H53" i="60"/>
  <c r="O51" i="60"/>
  <c r="X41" i="60"/>
  <c r="H41" i="60"/>
  <c r="O39" i="60"/>
  <c r="X37" i="60"/>
  <c r="H37" i="60"/>
  <c r="O35" i="60"/>
  <c r="X33" i="60"/>
  <c r="H33" i="60"/>
  <c r="T109" i="60"/>
  <c r="AX22" i="60"/>
  <c r="CA22" i="60" s="1"/>
  <c r="T50" i="60"/>
  <c r="T167" i="60"/>
  <c r="D109" i="60"/>
  <c r="D50" i="60"/>
  <c r="AH22" i="60"/>
  <c r="BK22" i="60" s="1"/>
  <c r="D167" i="60"/>
  <c r="L49" i="60"/>
  <c r="S47" i="60"/>
  <c r="C47" i="60"/>
  <c r="AF137" i="60"/>
  <c r="K46" i="60"/>
  <c r="T31" i="60"/>
  <c r="T145" i="60"/>
  <c r="D31" i="60"/>
  <c r="D145" i="60"/>
  <c r="K53" i="60"/>
  <c r="T51" i="60"/>
  <c r="K41" i="60"/>
  <c r="L39" i="60"/>
  <c r="K37" i="60"/>
  <c r="L35" i="60"/>
  <c r="S33" i="60"/>
  <c r="C33" i="60"/>
  <c r="AF123" i="60"/>
  <c r="P104" i="60"/>
  <c r="AT17" i="60"/>
  <c r="BW17" i="60" s="1"/>
  <c r="P45" i="60"/>
  <c r="P162" i="60"/>
  <c r="E109" i="60"/>
  <c r="E167" i="60" s="1"/>
  <c r="AI22" i="60"/>
  <c r="BL22" i="60" s="1"/>
  <c r="E50" i="60"/>
  <c r="M48" i="60"/>
  <c r="V44" i="60"/>
  <c r="N44" i="60"/>
  <c r="U54" i="60"/>
  <c r="E54" i="60"/>
  <c r="N52" i="60"/>
  <c r="U42" i="60"/>
  <c r="E42" i="60"/>
  <c r="N40" i="60"/>
  <c r="U38" i="60"/>
  <c r="E38" i="60"/>
  <c r="N36" i="60"/>
  <c r="U34" i="60"/>
  <c r="E34" i="60"/>
  <c r="N32" i="60"/>
  <c r="AD87" i="42"/>
  <c r="S120" i="42"/>
  <c r="AE127" i="42"/>
  <c r="AB59" i="54"/>
  <c r="AK35" i="18"/>
  <c r="J35" i="18"/>
  <c r="H35" i="18"/>
  <c r="K35" i="18"/>
  <c r="I35" i="18"/>
  <c r="AG48" i="60"/>
  <c r="AM83" i="42"/>
  <c r="Q30" i="37"/>
  <c r="AD80" i="42"/>
  <c r="S113" i="42"/>
  <c r="AB124" i="60"/>
  <c r="Q104" i="42"/>
  <c r="AN142" i="60"/>
  <c r="AM86" i="42"/>
  <c r="AG44" i="60"/>
  <c r="BE26" i="18"/>
  <c r="AN123" i="60"/>
  <c r="E34" i="54"/>
  <c r="F1" i="54"/>
  <c r="K148" i="10"/>
  <c r="Q34" i="53"/>
  <c r="Q58" i="53" s="1"/>
  <c r="M58" i="53" s="1"/>
  <c r="H106" i="42"/>
  <c r="K20" i="32"/>
  <c r="AT86" i="42"/>
  <c r="L20" i="32"/>
  <c r="M20" i="32"/>
  <c r="N20" i="32"/>
  <c r="G86" i="42"/>
  <c r="AL125" i="60"/>
  <c r="AL72" i="42"/>
  <c r="AD78" i="42"/>
  <c r="S111" i="42"/>
  <c r="BH87" i="42"/>
  <c r="I23" i="32"/>
  <c r="J23" i="32" s="1"/>
  <c r="AC144" i="60"/>
  <c r="AF144" i="60" s="1"/>
  <c r="AN91" i="42"/>
  <c r="AB91" i="42"/>
  <c r="AB124" i="42" s="1"/>
  <c r="Y124" i="42"/>
  <c r="AN126" i="60"/>
  <c r="K18" i="18"/>
  <c r="I18" i="18"/>
  <c r="AK18" i="18"/>
  <c r="H18" i="18"/>
  <c r="J18" i="18"/>
  <c r="AM77" i="42"/>
  <c r="M84" i="42"/>
  <c r="G117" i="42"/>
  <c r="AM75" i="42"/>
  <c r="M87" i="42"/>
  <c r="G120" i="42"/>
  <c r="P22" i="18"/>
  <c r="O20" i="18"/>
  <c r="N25" i="18"/>
  <c r="I13" i="32"/>
  <c r="J13" i="32" s="1"/>
  <c r="AA40" i="60"/>
  <c r="AA51" i="60"/>
  <c r="S105" i="42"/>
  <c r="AA33" i="60"/>
  <c r="AB139" i="60"/>
  <c r="Q119" i="42"/>
  <c r="BF15" i="60"/>
  <c r="AB160" i="60"/>
  <c r="AB102" i="60"/>
  <c r="AB43" i="60"/>
  <c r="AB35" i="60"/>
  <c r="I11" i="32"/>
  <c r="J11" i="32" s="1"/>
  <c r="BA86" i="42"/>
  <c r="AB93" i="42"/>
  <c r="AB126" i="42" s="1"/>
  <c r="Y126" i="42"/>
  <c r="AX86" i="42"/>
  <c r="R31" i="18"/>
  <c r="L31" i="18"/>
  <c r="Z31" i="18"/>
  <c r="AN90" i="42"/>
  <c r="AC143" i="60"/>
  <c r="AB90" i="42"/>
  <c r="AB123" i="42" s="1"/>
  <c r="Y123" i="42"/>
  <c r="AN80" i="42"/>
  <c r="AC133" i="60"/>
  <c r="AB80" i="42"/>
  <c r="AB113" i="42" s="1"/>
  <c r="Y113" i="42"/>
  <c r="M80" i="42"/>
  <c r="G113" i="42"/>
  <c r="C94" i="42"/>
  <c r="C127" i="42" s="1"/>
  <c r="L24" i="18"/>
  <c r="AA23" i="37"/>
  <c r="AN124" i="60"/>
  <c r="BE36" i="18"/>
  <c r="Q36" i="18"/>
  <c r="N36" i="18"/>
  <c r="P36" i="18"/>
  <c r="O36" i="18"/>
  <c r="DU128" i="9"/>
  <c r="DT4" i="9"/>
  <c r="G109" i="60"/>
  <c r="AK22" i="60"/>
  <c r="BN22" i="60" s="1"/>
  <c r="G167" i="60"/>
  <c r="G50" i="60"/>
  <c r="P48" i="60"/>
  <c r="C44" i="60"/>
  <c r="W52" i="60"/>
  <c r="R42" i="60"/>
  <c r="E40" i="60"/>
  <c r="S36" i="60"/>
  <c r="N34" i="60"/>
  <c r="I32" i="60"/>
  <c r="K109" i="60"/>
  <c r="AO22" i="60"/>
  <c r="BR22" i="60" s="1"/>
  <c r="K167" i="60"/>
  <c r="K50" i="60"/>
  <c r="N48" i="60"/>
  <c r="I44" i="60"/>
  <c r="U52" i="60"/>
  <c r="P42" i="60"/>
  <c r="C40" i="60"/>
  <c r="AF130" i="60"/>
  <c r="Y36" i="60"/>
  <c r="L34" i="60"/>
  <c r="G32" i="60"/>
  <c r="T48" i="60"/>
  <c r="O44" i="60"/>
  <c r="H54" i="60"/>
  <c r="V42" i="60"/>
  <c r="Q40" i="60"/>
  <c r="D38" i="60"/>
  <c r="Z34" i="60"/>
  <c r="M32" i="60"/>
  <c r="Q102" i="60"/>
  <c r="Q160" i="60" s="1"/>
  <c r="AU15" i="60"/>
  <c r="BX15" i="60" s="1"/>
  <c r="Q43" i="60"/>
  <c r="U44" i="60"/>
  <c r="N54" i="60"/>
  <c r="I52" i="60"/>
  <c r="W40" i="60"/>
  <c r="R38" i="60"/>
  <c r="E36" i="60"/>
  <c r="S32" i="60"/>
  <c r="Z109" i="60"/>
  <c r="Z167" i="60" s="1"/>
  <c r="Z50" i="60"/>
  <c r="BD22" i="60"/>
  <c r="CG22" i="60" s="1"/>
  <c r="U104" i="60"/>
  <c r="AY17" i="60"/>
  <c r="CB17" i="60" s="1"/>
  <c r="U45" i="60"/>
  <c r="U162" i="60"/>
  <c r="P102" i="60"/>
  <c r="P160" i="60" s="1"/>
  <c r="P43" i="60"/>
  <c r="AT15" i="60"/>
  <c r="BW15" i="60" s="1"/>
  <c r="J109" i="60"/>
  <c r="J50" i="60"/>
  <c r="AN22" i="60"/>
  <c r="BQ22" i="60" s="1"/>
  <c r="J167" i="60"/>
  <c r="E104" i="60"/>
  <c r="E162" i="60" s="1"/>
  <c r="E45" i="60"/>
  <c r="AI17" i="60"/>
  <c r="BL17" i="60" s="1"/>
  <c r="U49" i="60"/>
  <c r="M49" i="60"/>
  <c r="E49" i="60"/>
  <c r="V47" i="60"/>
  <c r="N47" i="60"/>
  <c r="F47" i="60"/>
  <c r="V46" i="60"/>
  <c r="N46" i="60"/>
  <c r="F46" i="60"/>
  <c r="U31" i="60"/>
  <c r="U145" i="60"/>
  <c r="M31" i="60"/>
  <c r="M145" i="60"/>
  <c r="E31" i="60"/>
  <c r="E145" i="60"/>
  <c r="V53" i="60"/>
  <c r="N53" i="60"/>
  <c r="F53" i="60"/>
  <c r="U51" i="60"/>
  <c r="M51" i="60"/>
  <c r="E51" i="60"/>
  <c r="V41" i="60"/>
  <c r="N41" i="60"/>
  <c r="F41" i="60"/>
  <c r="U39" i="60"/>
  <c r="M39" i="60"/>
  <c r="E39" i="60"/>
  <c r="V37" i="60"/>
  <c r="N37" i="60"/>
  <c r="F37" i="60"/>
  <c r="U35" i="60"/>
  <c r="M35" i="60"/>
  <c r="E35" i="60"/>
  <c r="V33" i="60"/>
  <c r="N33" i="60"/>
  <c r="F33" i="60"/>
  <c r="X109" i="60"/>
  <c r="BB22" i="60"/>
  <c r="CE22" i="60" s="1"/>
  <c r="X50" i="60"/>
  <c r="X167" i="60"/>
  <c r="S104" i="60"/>
  <c r="S45" i="60"/>
  <c r="S162" i="60"/>
  <c r="AW17" i="60"/>
  <c r="BZ17" i="60" s="1"/>
  <c r="N102" i="60"/>
  <c r="N43" i="60"/>
  <c r="AR15" i="60"/>
  <c r="BU15" i="60" s="1"/>
  <c r="N160" i="60"/>
  <c r="H109" i="60"/>
  <c r="H50" i="60"/>
  <c r="AL22" i="60"/>
  <c r="BO22" i="60" s="1"/>
  <c r="H167" i="60"/>
  <c r="Z49" i="60"/>
  <c r="R49" i="60"/>
  <c r="J49" i="60"/>
  <c r="Y47" i="60"/>
  <c r="Q47" i="60"/>
  <c r="I47" i="60"/>
  <c r="Y46" i="60"/>
  <c r="Q46" i="60"/>
  <c r="I46" i="60"/>
  <c r="Z145" i="60"/>
  <c r="Z31" i="60"/>
  <c r="R145" i="60"/>
  <c r="R31" i="60"/>
  <c r="J145" i="60"/>
  <c r="J31" i="60"/>
  <c r="Y53" i="60"/>
  <c r="Q53" i="60"/>
  <c r="I53" i="60"/>
  <c r="Z51" i="60"/>
  <c r="R51" i="60"/>
  <c r="J51" i="60"/>
  <c r="Y41" i="60"/>
  <c r="Q41" i="60"/>
  <c r="I41" i="60"/>
  <c r="Z39" i="60"/>
  <c r="R39" i="60"/>
  <c r="J39" i="60"/>
  <c r="Y37" i="60"/>
  <c r="Q37" i="60"/>
  <c r="I37" i="60"/>
  <c r="Z35" i="60"/>
  <c r="R35" i="60"/>
  <c r="J35" i="60"/>
  <c r="Y33" i="60"/>
  <c r="Q33" i="60"/>
  <c r="I33" i="60"/>
  <c r="Y109" i="60"/>
  <c r="Y167" i="60" s="1"/>
  <c r="BC22" i="60"/>
  <c r="CF22" i="60" s="1"/>
  <c r="Y50" i="60"/>
  <c r="T104" i="60"/>
  <c r="T45" i="60"/>
  <c r="AX17" i="60"/>
  <c r="CA17" i="60" s="1"/>
  <c r="T162" i="60"/>
  <c r="O102" i="60"/>
  <c r="O160" i="60" s="1"/>
  <c r="AS15" i="60"/>
  <c r="BV15" i="60" s="1"/>
  <c r="O43" i="60"/>
  <c r="I109" i="60"/>
  <c r="I167" i="60" s="1"/>
  <c r="AM22" i="60"/>
  <c r="BP22" i="60" s="1"/>
  <c r="I50" i="60"/>
  <c r="D104" i="60"/>
  <c r="AH17" i="60"/>
  <c r="BK17" i="60" s="1"/>
  <c r="D45" i="60"/>
  <c r="D162" i="60"/>
  <c r="S48" i="60"/>
  <c r="K48" i="60"/>
  <c r="C48" i="60"/>
  <c r="T44" i="60"/>
  <c r="L44" i="60"/>
  <c r="D44" i="60"/>
  <c r="S54" i="60"/>
  <c r="K54" i="60"/>
  <c r="C54" i="60"/>
  <c r="T52" i="60"/>
  <c r="L52" i="60"/>
  <c r="D52" i="60"/>
  <c r="S42" i="60"/>
  <c r="K42" i="60"/>
  <c r="C42" i="60"/>
  <c r="T40" i="60"/>
  <c r="L40" i="60"/>
  <c r="D40" i="60"/>
  <c r="S38" i="60"/>
  <c r="K38" i="60"/>
  <c r="C38" i="60"/>
  <c r="T36" i="60"/>
  <c r="L36" i="60"/>
  <c r="D36" i="60"/>
  <c r="S34" i="60"/>
  <c r="K34" i="60"/>
  <c r="C34" i="60"/>
  <c r="AF124" i="60"/>
  <c r="T32" i="60"/>
  <c r="L32" i="60"/>
  <c r="D32" i="60"/>
  <c r="BA71" i="42"/>
  <c r="BH84" i="42"/>
  <c r="N35" i="18"/>
  <c r="BE35" i="18"/>
  <c r="P35" i="18"/>
  <c r="Q35" i="18"/>
  <c r="O35" i="18"/>
  <c r="AW72" i="42"/>
  <c r="AD28" i="18"/>
  <c r="AC136" i="60"/>
  <c r="AN83" i="42"/>
  <c r="AB83" i="42"/>
  <c r="AB116" i="42" s="1"/>
  <c r="Y116" i="42"/>
  <c r="AC132" i="60"/>
  <c r="AN79" i="42"/>
  <c r="AB79" i="42"/>
  <c r="AB112" i="42" s="1"/>
  <c r="Y112" i="42"/>
  <c r="S30" i="37"/>
  <c r="V30" i="37"/>
  <c r="Z28" i="37"/>
  <c r="Q22" i="18"/>
  <c r="AA47" i="60"/>
  <c r="AA37" i="60"/>
  <c r="AE102" i="60"/>
  <c r="AE160" i="60" s="1"/>
  <c r="BI15" i="60"/>
  <c r="CL15" i="60" s="1"/>
  <c r="S122" i="42"/>
  <c r="BE15" i="60"/>
  <c r="AA102" i="60"/>
  <c r="AA160" i="60" s="1"/>
  <c r="AA43" i="60"/>
  <c r="AA34" i="60"/>
  <c r="S86" i="42"/>
  <c r="AB138" i="60"/>
  <c r="AF138" i="60" s="1"/>
  <c r="Q118" i="42"/>
  <c r="AB130" i="60"/>
  <c r="Q110" i="42"/>
  <c r="AB122" i="60"/>
  <c r="Q102" i="42"/>
  <c r="I24" i="32"/>
  <c r="J24" i="32" s="1"/>
  <c r="BA82" i="42"/>
  <c r="BA68" i="42"/>
  <c r="AW86" i="42"/>
  <c r="X8" i="37"/>
  <c r="V8" i="37"/>
  <c r="W8" i="37"/>
  <c r="Y8" i="37"/>
  <c r="B8" i="37"/>
  <c r="C8" i="37"/>
  <c r="G8" i="37"/>
  <c r="L8" i="37"/>
  <c r="M8" i="37"/>
  <c r="N8" i="37"/>
  <c r="O8" i="37"/>
  <c r="P8" i="37"/>
  <c r="R8" i="37"/>
  <c r="S8" i="37"/>
  <c r="T8" i="37"/>
  <c r="D8" i="37"/>
  <c r="H8" i="37"/>
  <c r="K8" i="37"/>
  <c r="E8" i="37"/>
  <c r="I8" i="37"/>
  <c r="J8" i="37"/>
  <c r="Q8" i="37"/>
  <c r="U8" i="37"/>
  <c r="F8" i="37"/>
  <c r="AA8" i="37"/>
  <c r="AN139" i="60"/>
  <c r="BH85" i="42"/>
  <c r="AC134" i="60"/>
  <c r="AN81" i="42"/>
  <c r="AB81" i="42"/>
  <c r="AB114" i="42" s="1"/>
  <c r="Y114" i="42"/>
  <c r="AC123" i="60"/>
  <c r="AN70" i="42"/>
  <c r="AB70" i="42"/>
  <c r="AB103" i="42" s="1"/>
  <c r="Y103" i="42"/>
  <c r="N37" i="18"/>
  <c r="O37" i="18"/>
  <c r="P37" i="18"/>
  <c r="BE37" i="18"/>
  <c r="Q37" i="18"/>
  <c r="AC138" i="60"/>
  <c r="AN85" i="42"/>
  <c r="AB85" i="42"/>
  <c r="AB118" i="42" s="1"/>
  <c r="Y118" i="42"/>
  <c r="O26" i="18"/>
  <c r="N22" i="18"/>
  <c r="AB33" i="18"/>
  <c r="W33" i="18"/>
  <c r="Y72" i="42"/>
  <c r="AJ125" i="60"/>
  <c r="AK72" i="42"/>
  <c r="AM72" i="42" s="1"/>
  <c r="R16" i="18"/>
  <c r="R19" i="18"/>
  <c r="L19" i="18"/>
  <c r="H107" i="42"/>
  <c r="H110" i="42"/>
  <c r="H103" i="42"/>
  <c r="H102" i="42"/>
  <c r="H121" i="42"/>
  <c r="D113" i="42"/>
  <c r="F23" i="32"/>
  <c r="B23" i="32"/>
  <c r="AK15" i="18"/>
  <c r="J15" i="18"/>
  <c r="H15" i="18"/>
  <c r="K15" i="18"/>
  <c r="I15" i="18"/>
  <c r="M93" i="42"/>
  <c r="M126" i="42" s="1"/>
  <c r="G126" i="42"/>
  <c r="S121" i="42"/>
  <c r="AA48" i="60"/>
  <c r="BC70" i="42"/>
  <c r="BB70" i="42"/>
  <c r="X12" i="37"/>
  <c r="V12" i="37"/>
  <c r="W12" i="37"/>
  <c r="Y12" i="37"/>
  <c r="F12" i="37"/>
  <c r="K12" i="37"/>
  <c r="L12" i="37"/>
  <c r="M12" i="37"/>
  <c r="N12" i="37"/>
  <c r="O12" i="37"/>
  <c r="P12" i="37"/>
  <c r="R12" i="37"/>
  <c r="S12" i="37"/>
  <c r="T12" i="37"/>
  <c r="C12" i="37"/>
  <c r="AA12" i="37" s="1"/>
  <c r="G12" i="37"/>
  <c r="J12" i="37"/>
  <c r="B12" i="37"/>
  <c r="D12" i="37"/>
  <c r="H12" i="37"/>
  <c r="E12" i="37"/>
  <c r="Q12" i="37"/>
  <c r="U12" i="37"/>
  <c r="I12" i="37"/>
  <c r="AN133" i="60"/>
  <c r="AO133" i="60" s="1"/>
  <c r="AJ102" i="60"/>
  <c r="AN102" i="60" s="1"/>
  <c r="AN127" i="60"/>
  <c r="E102" i="60"/>
  <c r="E43" i="60"/>
  <c r="AI15" i="60"/>
  <c r="BL15" i="60" s="1"/>
  <c r="E160" i="60"/>
  <c r="S44" i="60"/>
  <c r="G52" i="60"/>
  <c r="P38" i="60"/>
  <c r="Y32" i="60"/>
  <c r="I102" i="60"/>
  <c r="I43" i="60"/>
  <c r="AM15" i="60"/>
  <c r="BP15" i="60" s="1"/>
  <c r="I160" i="60"/>
  <c r="R54" i="60"/>
  <c r="S40" i="60"/>
  <c r="I36" i="60"/>
  <c r="N104" i="60"/>
  <c r="N162" i="60" s="1"/>
  <c r="N45" i="60"/>
  <c r="AR17" i="60"/>
  <c r="BU17" i="60" s="1"/>
  <c r="X54" i="60"/>
  <c r="F42" i="60"/>
  <c r="J34" i="60"/>
  <c r="R48" i="60"/>
  <c r="Y52" i="60"/>
  <c r="G40" i="60"/>
  <c r="C32" i="60"/>
  <c r="AF122" i="60"/>
  <c r="R109" i="60"/>
  <c r="R50" i="60"/>
  <c r="R167" i="60"/>
  <c r="AV22" i="60"/>
  <c r="BY22" i="60" s="1"/>
  <c r="H102" i="60"/>
  <c r="H43" i="60"/>
  <c r="H160" i="60"/>
  <c r="AL15" i="60"/>
  <c r="BO15" i="60" s="1"/>
  <c r="Q49" i="60"/>
  <c r="Z47" i="60"/>
  <c r="J47" i="60"/>
  <c r="Z46" i="60"/>
  <c r="J46" i="60"/>
  <c r="Q31" i="60"/>
  <c r="Q145" i="60"/>
  <c r="Z53" i="60"/>
  <c r="J53" i="60"/>
  <c r="Q51" i="60"/>
  <c r="Z41" i="60"/>
  <c r="J41" i="60"/>
  <c r="Q39" i="60"/>
  <c r="Z37" i="60"/>
  <c r="J37" i="60"/>
  <c r="Q35" i="60"/>
  <c r="I35" i="60"/>
  <c r="R33" i="60"/>
  <c r="C102" i="60"/>
  <c r="C160" i="60"/>
  <c r="AG15" i="60"/>
  <c r="BJ15" i="60" s="1"/>
  <c r="C43" i="60"/>
  <c r="V102" i="60"/>
  <c r="V43" i="60"/>
  <c r="AZ15" i="60"/>
  <c r="CC15" i="60" s="1"/>
  <c r="V160" i="60"/>
  <c r="K104" i="60"/>
  <c r="K45" i="60"/>
  <c r="K162" i="60"/>
  <c r="AO17" i="60"/>
  <c r="BR17" i="60" s="1"/>
  <c r="V49" i="60"/>
  <c r="F49" i="60"/>
  <c r="M47" i="60"/>
  <c r="U46" i="60"/>
  <c r="E46" i="60"/>
  <c r="N145" i="60"/>
  <c r="N31" i="60"/>
  <c r="U53" i="60"/>
  <c r="E53" i="60"/>
  <c r="N51" i="60"/>
  <c r="U41" i="60"/>
  <c r="M41" i="60"/>
  <c r="V39" i="60"/>
  <c r="F39" i="60"/>
  <c r="M37" i="60"/>
  <c r="E37" i="60"/>
  <c r="N35" i="60"/>
  <c r="U33" i="60"/>
  <c r="E33" i="60"/>
  <c r="Q109" i="60"/>
  <c r="Q167" i="60" s="1"/>
  <c r="Q50" i="60"/>
  <c r="AU22" i="60"/>
  <c r="BX22" i="60" s="1"/>
  <c r="G102" i="60"/>
  <c r="G160" i="60" s="1"/>
  <c r="AK15" i="60"/>
  <c r="BN15" i="60" s="1"/>
  <c r="G43" i="60"/>
  <c r="O48" i="60"/>
  <c r="X44" i="60"/>
  <c r="H44" i="60"/>
  <c r="O54" i="60"/>
  <c r="X52" i="60"/>
  <c r="X81" i="60" s="1"/>
  <c r="BB24" i="60" s="1"/>
  <c r="CE24" i="60" s="1"/>
  <c r="H52" i="60"/>
  <c r="G42" i="60"/>
  <c r="P40" i="60"/>
  <c r="W38" i="60"/>
  <c r="G38" i="60"/>
  <c r="P36" i="60"/>
  <c r="W34" i="60"/>
  <c r="X32" i="60"/>
  <c r="H32" i="60"/>
  <c r="S109" i="42"/>
  <c r="M83" i="42"/>
  <c r="G116" i="42"/>
  <c r="W26" i="37"/>
  <c r="W2" i="37" s="1"/>
  <c r="W32" i="37" s="1"/>
  <c r="U26" i="37"/>
  <c r="U30" i="37" s="1"/>
  <c r="M26" i="37"/>
  <c r="X26" i="37"/>
  <c r="X30" i="37" s="1"/>
  <c r="D26" i="37"/>
  <c r="D30" i="37" s="1"/>
  <c r="H26" i="37"/>
  <c r="L26" i="37"/>
  <c r="L27" i="37" s="1"/>
  <c r="L29" i="37" s="1"/>
  <c r="R26" i="37"/>
  <c r="R30" i="37" s="1"/>
  <c r="Y26" i="37"/>
  <c r="E26" i="37"/>
  <c r="E27" i="37" s="1"/>
  <c r="E29" i="37" s="1"/>
  <c r="I26" i="37"/>
  <c r="I27" i="37" s="1"/>
  <c r="I29" i="37" s="1"/>
  <c r="N26" i="37"/>
  <c r="N30" i="37" s="1"/>
  <c r="S26" i="37"/>
  <c r="O26" i="37"/>
  <c r="B26" i="37"/>
  <c r="F26" i="37"/>
  <c r="F27" i="37" s="1"/>
  <c r="F29" i="37" s="1"/>
  <c r="J26" i="37"/>
  <c r="J30" i="37" s="1"/>
  <c r="P26" i="37"/>
  <c r="T26" i="37"/>
  <c r="Q26" i="37"/>
  <c r="C26" i="37"/>
  <c r="G26" i="37"/>
  <c r="K26" i="37"/>
  <c r="K30" i="37" s="1"/>
  <c r="V26" i="37"/>
  <c r="V27" i="37" s="1"/>
  <c r="V29" i="37" s="1"/>
  <c r="M92" i="42"/>
  <c r="M125" i="42" s="1"/>
  <c r="G125" i="42"/>
  <c r="AA52" i="60"/>
  <c r="AD71" i="42"/>
  <c r="S104" i="42"/>
  <c r="AA32" i="60"/>
  <c r="AA46" i="60"/>
  <c r="AB134" i="60"/>
  <c r="Q114" i="42"/>
  <c r="AB126" i="60"/>
  <c r="Q106" i="42"/>
  <c r="BC76" i="42"/>
  <c r="BB76" i="42"/>
  <c r="J20" i="18"/>
  <c r="H20" i="18"/>
  <c r="K20" i="18"/>
  <c r="I20" i="18"/>
  <c r="AK20" i="18"/>
  <c r="W5" i="37"/>
  <c r="Y5" i="37"/>
  <c r="X5" i="37"/>
  <c r="V5" i="37"/>
  <c r="B5" i="37"/>
  <c r="C5" i="37"/>
  <c r="D5" i="37"/>
  <c r="E5" i="37"/>
  <c r="F5" i="37"/>
  <c r="G5" i="37"/>
  <c r="H5" i="37"/>
  <c r="I5" i="37"/>
  <c r="J5" i="37"/>
  <c r="K5" i="37"/>
  <c r="Q5" i="37"/>
  <c r="U5" i="37"/>
  <c r="L5" i="37"/>
  <c r="M5" i="37"/>
  <c r="N5" i="37"/>
  <c r="O5" i="37"/>
  <c r="P5" i="37"/>
  <c r="R5" i="37"/>
  <c r="S5" i="37"/>
  <c r="T5" i="37"/>
  <c r="AA5" i="37"/>
  <c r="Y10" i="37"/>
  <c r="W10" i="37"/>
  <c r="X10" i="37"/>
  <c r="C10" i="37"/>
  <c r="D10" i="37"/>
  <c r="E10" i="37"/>
  <c r="F10" i="37"/>
  <c r="G10" i="37"/>
  <c r="H10" i="37"/>
  <c r="I10" i="37"/>
  <c r="V10" i="37"/>
  <c r="B10" i="37"/>
  <c r="AA10" i="37" s="1"/>
  <c r="J10" i="37"/>
  <c r="Q10" i="37"/>
  <c r="U10" i="37"/>
  <c r="K10" i="37"/>
  <c r="L10" i="37"/>
  <c r="M10" i="37"/>
  <c r="N10" i="37"/>
  <c r="O10" i="37"/>
  <c r="P10" i="37"/>
  <c r="R10" i="37"/>
  <c r="S10" i="37"/>
  <c r="T10" i="37"/>
  <c r="AN138" i="60"/>
  <c r="AL122" i="60"/>
  <c r="AL69" i="42"/>
  <c r="H94" i="42"/>
  <c r="H127" i="42" s="1"/>
  <c r="H101" i="42"/>
  <c r="S115" i="42"/>
  <c r="AA145" i="60"/>
  <c r="AA31" i="60"/>
  <c r="AM68" i="42"/>
  <c r="B7" i="37"/>
  <c r="C7" i="37"/>
  <c r="X7" i="37"/>
  <c r="V7" i="37"/>
  <c r="W7" i="37"/>
  <c r="D7" i="37"/>
  <c r="E7" i="37"/>
  <c r="F7" i="37"/>
  <c r="G7" i="37"/>
  <c r="H7" i="37"/>
  <c r="I7" i="37"/>
  <c r="J7" i="37"/>
  <c r="K7" i="37"/>
  <c r="Y7" i="37"/>
  <c r="Q7" i="37"/>
  <c r="U7" i="37"/>
  <c r="L7" i="37"/>
  <c r="P7" i="37"/>
  <c r="T7" i="37"/>
  <c r="M7" i="37"/>
  <c r="N7" i="37"/>
  <c r="R7" i="37"/>
  <c r="O7" i="37"/>
  <c r="S7" i="37"/>
  <c r="AA7" i="37"/>
  <c r="EN132" i="9"/>
  <c r="EN136" i="9"/>
  <c r="EN140" i="9"/>
  <c r="EN148" i="9"/>
  <c r="EN152" i="9"/>
  <c r="EN160" i="9"/>
  <c r="EN164" i="9"/>
  <c r="EN168" i="9"/>
  <c r="EN172" i="9"/>
  <c r="EN176" i="9"/>
  <c r="EN180" i="9"/>
  <c r="EN184" i="9"/>
  <c r="EN188" i="9"/>
  <c r="EN192" i="9"/>
  <c r="EN196" i="9"/>
  <c r="EN200" i="9"/>
  <c r="EN204" i="9"/>
  <c r="EN157" i="9"/>
  <c r="EN161" i="9"/>
  <c r="EN169" i="9"/>
  <c r="EN177" i="9"/>
  <c r="EN185" i="9"/>
  <c r="EN193" i="9"/>
  <c r="EN201" i="9"/>
  <c r="EN141" i="9"/>
  <c r="EN149" i="9"/>
  <c r="EN212" i="9"/>
  <c r="EN216" i="9"/>
  <c r="EN220" i="9"/>
  <c r="EN224" i="9"/>
  <c r="EN228" i="9"/>
  <c r="EN232" i="9"/>
  <c r="EN236" i="9"/>
  <c r="EN240" i="9"/>
  <c r="EN244" i="9"/>
  <c r="BT247" i="9"/>
  <c r="EM247" i="9" s="1"/>
  <c r="CI247" i="9"/>
  <c r="CD247" i="9"/>
  <c r="EF247" i="9" s="1"/>
  <c r="CF247" i="9"/>
  <c r="EH247" i="9" s="1"/>
  <c r="EN181" i="9"/>
  <c r="EN233" i="9"/>
  <c r="DN247" i="9"/>
  <c r="EN153" i="9"/>
  <c r="EN173" i="9"/>
  <c r="EN205" i="9"/>
  <c r="EN209" i="9"/>
  <c r="EN210" i="9"/>
  <c r="EN217" i="9"/>
  <c r="EN218" i="9"/>
  <c r="EN225" i="9"/>
  <c r="EN226" i="9"/>
  <c r="BU247" i="9"/>
  <c r="CA247" i="9"/>
  <c r="CO247" i="9"/>
  <c r="CW247" i="9"/>
  <c r="DF247" i="9"/>
  <c r="DO247" i="9"/>
  <c r="AT247" i="9"/>
  <c r="DU247" i="9" s="1"/>
  <c r="EN165" i="9"/>
  <c r="EN242" i="9"/>
  <c r="EN245" i="9"/>
  <c r="CS247" i="9"/>
  <c r="DL247" i="9"/>
  <c r="BW247" i="9"/>
  <c r="R247" i="9"/>
  <c r="AB247" i="9"/>
  <c r="AK247" i="9"/>
  <c r="AU247" i="9"/>
  <c r="BJ247" i="9"/>
  <c r="AN248" i="40"/>
  <c r="EN133" i="9"/>
  <c r="EN145" i="9"/>
  <c r="EN237" i="9"/>
  <c r="EN238" i="9"/>
  <c r="EN241" i="9"/>
  <c r="BS247" i="9"/>
  <c r="CJ247" i="9"/>
  <c r="DA247" i="9"/>
  <c r="CZ247" i="9"/>
  <c r="BX247" i="9"/>
  <c r="S247" i="9"/>
  <c r="AD247" i="9"/>
  <c r="AL247" i="9"/>
  <c r="AV247" i="9"/>
  <c r="BK247" i="9"/>
  <c r="BB247" i="9"/>
  <c r="DX247" i="9" s="1"/>
  <c r="J247" i="9"/>
  <c r="EN189" i="9"/>
  <c r="EN229" i="9"/>
  <c r="EN129" i="9"/>
  <c r="CR247" i="9"/>
  <c r="DK247" i="9"/>
  <c r="O247" i="9"/>
  <c r="W247" i="9"/>
  <c r="AH247" i="9"/>
  <c r="AP247" i="9"/>
  <c r="BD247" i="9"/>
  <c r="BQ247" i="9"/>
  <c r="AZ247" i="9"/>
  <c r="EN197" i="9"/>
  <c r="AG247" i="9"/>
  <c r="F247" i="9"/>
  <c r="K247" i="9"/>
  <c r="AC247" i="40"/>
  <c r="Y247" i="40"/>
  <c r="U247" i="40"/>
  <c r="Q247" i="40"/>
  <c r="M247" i="40"/>
  <c r="I247" i="40"/>
  <c r="G247" i="40"/>
  <c r="BP247" i="9"/>
  <c r="AO247" i="9"/>
  <c r="G247" i="9"/>
  <c r="L247" i="9"/>
  <c r="E148" i="10"/>
  <c r="EN137" i="9"/>
  <c r="EN213" i="9"/>
  <c r="EN214" i="9"/>
  <c r="EN221" i="9"/>
  <c r="EN222" i="9"/>
  <c r="DB247" i="9"/>
  <c r="V247" i="9"/>
  <c r="BN247" i="9"/>
  <c r="E247" i="9"/>
  <c r="I247" i="9"/>
  <c r="Y247" i="9"/>
  <c r="H247" i="40"/>
  <c r="EN253" i="9"/>
  <c r="CC247" i="9"/>
  <c r="EE247" i="9" s="1"/>
  <c r="N247" i="9"/>
  <c r="H247" i="9"/>
  <c r="AE247" i="40"/>
  <c r="W247" i="40"/>
  <c r="O247" i="40"/>
  <c r="O148" i="10"/>
  <c r="D148" i="10"/>
  <c r="BC247" i="9"/>
  <c r="J148" i="10"/>
  <c r="U148" i="10" s="1"/>
  <c r="D247" i="9"/>
  <c r="F148" i="10"/>
  <c r="AA247" i="40"/>
  <c r="G148" i="10"/>
  <c r="I148" i="10"/>
  <c r="CK247" i="9"/>
  <c r="K247" i="40"/>
  <c r="E247" i="40"/>
  <c r="H148" i="10"/>
  <c r="S247" i="40"/>
  <c r="L148" i="10"/>
  <c r="T247" i="40"/>
  <c r="L247" i="40"/>
  <c r="V247" i="40"/>
  <c r="AF247" i="40"/>
  <c r="EN230" i="9"/>
  <c r="X247" i="9"/>
  <c r="BH247" i="9"/>
  <c r="EA247" i="9" s="1"/>
  <c r="BR247" i="9"/>
  <c r="AQ247" i="9"/>
  <c r="Z247" i="9"/>
  <c r="AC247" i="9"/>
  <c r="EN206" i="9"/>
  <c r="EN130" i="9"/>
  <c r="BV247" i="9"/>
  <c r="AR247" i="9"/>
  <c r="AA247" i="9"/>
  <c r="BZ247" i="9"/>
  <c r="EN199" i="9"/>
  <c r="EN186" i="9"/>
  <c r="DM247" i="9"/>
  <c r="EN135" i="9"/>
  <c r="EN235" i="9"/>
  <c r="EN207" i="9"/>
  <c r="EN162" i="9"/>
  <c r="CX247" i="9"/>
  <c r="CG247" i="9"/>
  <c r="EN170" i="9"/>
  <c r="DD247" i="9"/>
  <c r="CM247" i="9"/>
  <c r="EN151" i="9"/>
  <c r="EN195" i="9"/>
  <c r="EN163" i="9"/>
  <c r="EN138" i="9"/>
  <c r="EN174" i="9"/>
  <c r="EN144" i="9"/>
  <c r="D247" i="40"/>
  <c r="EN252" i="9"/>
  <c r="AD247" i="40"/>
  <c r="J247" i="40"/>
  <c r="BL247" i="9"/>
  <c r="AM247" i="9"/>
  <c r="T247" i="9"/>
  <c r="BA247" i="9"/>
  <c r="DW247" i="9" s="1"/>
  <c r="BF247" i="9"/>
  <c r="DY247" i="9" s="1"/>
  <c r="BM247" i="9"/>
  <c r="AN247" i="9"/>
  <c r="U247" i="9"/>
  <c r="DE247" i="9"/>
  <c r="EN175" i="9"/>
  <c r="EN215" i="9"/>
  <c r="CE247" i="9"/>
  <c r="DJ247" i="9"/>
  <c r="CT247" i="9"/>
  <c r="EN231" i="9"/>
  <c r="EN155" i="9"/>
  <c r="CB247" i="9"/>
  <c r="CY247" i="9"/>
  <c r="CH247" i="9"/>
  <c r="EN243" i="9"/>
  <c r="EN219" i="9"/>
  <c r="EN191" i="9"/>
  <c r="EN187" i="9"/>
  <c r="EN158" i="9"/>
  <c r="EN131" i="9"/>
  <c r="EN198" i="9"/>
  <c r="EN166" i="9"/>
  <c r="EN139" i="9"/>
  <c r="AB247" i="40"/>
  <c r="AG247" i="40"/>
  <c r="R247" i="40"/>
  <c r="P247" i="40"/>
  <c r="BE247" i="9"/>
  <c r="AI247" i="9"/>
  <c r="P247" i="9"/>
  <c r="BG247" i="9"/>
  <c r="DZ247" i="9" s="1"/>
  <c r="BI247" i="9"/>
  <c r="AJ247" i="9"/>
  <c r="Q247" i="9"/>
  <c r="CV247" i="9"/>
  <c r="BO247" i="9"/>
  <c r="EK247" i="9" s="1"/>
  <c r="AY247" i="9"/>
  <c r="DV247" i="9" s="1"/>
  <c r="DH247" i="9"/>
  <c r="EN234" i="9"/>
  <c r="EN167" i="9"/>
  <c r="DG247" i="9"/>
  <c r="CP247" i="9"/>
  <c r="EN202" i="9"/>
  <c r="EN150" i="9"/>
  <c r="CU247" i="9"/>
  <c r="EN239" i="9"/>
  <c r="EN178" i="9"/>
  <c r="EN179" i="9"/>
  <c r="EN156" i="9"/>
  <c r="EN190" i="9"/>
  <c r="EN154" i="9"/>
  <c r="EN134" i="9"/>
  <c r="F247" i="40"/>
  <c r="N247" i="40"/>
  <c r="Z247" i="40"/>
  <c r="AS247" i="9"/>
  <c r="DT247" i="9" s="1"/>
  <c r="X247" i="40"/>
  <c r="AW247" i="9"/>
  <c r="AE247" i="9"/>
  <c r="EN194" i="9"/>
  <c r="AX247" i="9"/>
  <c r="AF247" i="9"/>
  <c r="M247" i="9"/>
  <c r="CN247" i="9"/>
  <c r="EN223" i="9"/>
  <c r="EN142" i="9"/>
  <c r="EN246" i="9"/>
  <c r="DC247" i="9"/>
  <c r="CL247" i="9"/>
  <c r="EN208" i="9"/>
  <c r="EN183" i="9"/>
  <c r="EN143" i="9"/>
  <c r="DI247" i="9"/>
  <c r="CQ247" i="9"/>
  <c r="BY247" i="9"/>
  <c r="EN227" i="9"/>
  <c r="EN211" i="9"/>
  <c r="EN159" i="9"/>
  <c r="EN203" i="9"/>
  <c r="EN171" i="9"/>
  <c r="EN146" i="9"/>
  <c r="EN182" i="9"/>
  <c r="EN147" i="9"/>
  <c r="P148" i="10"/>
  <c r="S90" i="42"/>
  <c r="AA42" i="60"/>
  <c r="BF17" i="60"/>
  <c r="AB104" i="60"/>
  <c r="AB162" i="60" s="1"/>
  <c r="AB45" i="60"/>
  <c r="BC72" i="42"/>
  <c r="BB72" i="42"/>
  <c r="S81" i="42"/>
  <c r="X4" i="37"/>
  <c r="V4" i="37"/>
  <c r="W4" i="37"/>
  <c r="Y4" i="37"/>
  <c r="C4" i="37"/>
  <c r="D4" i="37"/>
  <c r="H4" i="37"/>
  <c r="L4" i="37"/>
  <c r="M4" i="37"/>
  <c r="N4" i="37"/>
  <c r="O4" i="37"/>
  <c r="P4" i="37"/>
  <c r="R4" i="37"/>
  <c r="S4" i="37"/>
  <c r="T4" i="37"/>
  <c r="B4" i="37"/>
  <c r="AA4" i="37" s="1"/>
  <c r="E4" i="37"/>
  <c r="I4" i="37"/>
  <c r="J4" i="37"/>
  <c r="F4" i="37"/>
  <c r="G4" i="37"/>
  <c r="Q4" i="37"/>
  <c r="U4" i="37"/>
  <c r="K4" i="37"/>
  <c r="AL94" i="42"/>
  <c r="AK36" i="18"/>
  <c r="J36" i="18"/>
  <c r="H36" i="18"/>
  <c r="K36" i="18"/>
  <c r="I36" i="18"/>
  <c r="U102" i="60"/>
  <c r="AY15" i="60"/>
  <c r="CB15" i="60" s="1"/>
  <c r="U43" i="60"/>
  <c r="U160" i="60"/>
  <c r="D54" i="60"/>
  <c r="M40" i="60"/>
  <c r="Q32" i="60"/>
  <c r="J54" i="60"/>
  <c r="K40" i="60"/>
  <c r="T34" i="60"/>
  <c r="M102" i="60"/>
  <c r="M43" i="60"/>
  <c r="AQ15" i="60"/>
  <c r="BT15" i="60" s="1"/>
  <c r="M160" i="60"/>
  <c r="W44" i="60"/>
  <c r="C52" i="60"/>
  <c r="G36" i="60"/>
  <c r="R104" i="60"/>
  <c r="AV17" i="60"/>
  <c r="BY17" i="60" s="1"/>
  <c r="R162" i="60"/>
  <c r="R45" i="60"/>
  <c r="V54" i="60"/>
  <c r="D42" i="60"/>
  <c r="M36" i="60"/>
  <c r="C109" i="60"/>
  <c r="AG22" i="60"/>
  <c r="BJ22" i="60" s="1"/>
  <c r="C50" i="60"/>
  <c r="AF140" i="60"/>
  <c r="C167" i="60"/>
  <c r="Q104" i="60"/>
  <c r="AU17" i="60"/>
  <c r="BX17" i="60" s="1"/>
  <c r="Q45" i="60"/>
  <c r="Q162" i="60"/>
  <c r="F109" i="60"/>
  <c r="F167" i="60" s="1"/>
  <c r="F50" i="60"/>
  <c r="AJ22" i="60"/>
  <c r="BM22" i="60" s="1"/>
  <c r="O49" i="60"/>
  <c r="X47" i="60"/>
  <c r="H47" i="60"/>
  <c r="P46" i="60"/>
  <c r="H46" i="60"/>
  <c r="O31" i="60"/>
  <c r="O145" i="60"/>
  <c r="X53" i="60"/>
  <c r="W51" i="60"/>
  <c r="G51" i="60"/>
  <c r="P41" i="60"/>
  <c r="W39" i="60"/>
  <c r="G39" i="60"/>
  <c r="P37" i="60"/>
  <c r="W35" i="60"/>
  <c r="G35" i="60"/>
  <c r="P33" i="60"/>
  <c r="Z102" i="60"/>
  <c r="Z43" i="60"/>
  <c r="BD15" i="60"/>
  <c r="CG15" i="60" s="1"/>
  <c r="Z160" i="60"/>
  <c r="O104" i="60"/>
  <c r="O45" i="60"/>
  <c r="O162" i="60"/>
  <c r="AS17" i="60"/>
  <c r="BV17" i="60" s="1"/>
  <c r="J102" i="60"/>
  <c r="AN15" i="60"/>
  <c r="BQ15" i="60" s="1"/>
  <c r="J43" i="60"/>
  <c r="J160" i="60"/>
  <c r="T49" i="60"/>
  <c r="D49" i="60"/>
  <c r="K47" i="60"/>
  <c r="S46" i="60"/>
  <c r="C46" i="60"/>
  <c r="L31" i="60"/>
  <c r="L145" i="60"/>
  <c r="S53" i="60"/>
  <c r="AF143" i="60"/>
  <c r="C53" i="60"/>
  <c r="L51" i="60"/>
  <c r="D51" i="60"/>
  <c r="S41" i="60"/>
  <c r="AF131" i="60"/>
  <c r="C41" i="60"/>
  <c r="T39" i="60"/>
  <c r="D39" i="60"/>
  <c r="S37" i="60"/>
  <c r="C37" i="60"/>
  <c r="T35" i="60"/>
  <c r="D35" i="60"/>
  <c r="K33" i="60"/>
  <c r="U109" i="60"/>
  <c r="U167" i="60" s="1"/>
  <c r="AY22" i="60"/>
  <c r="CB22" i="60" s="1"/>
  <c r="U50" i="60"/>
  <c r="K102" i="60"/>
  <c r="K160" i="60" s="1"/>
  <c r="K43" i="60"/>
  <c r="AO15" i="60"/>
  <c r="BR15" i="60" s="1"/>
  <c r="U48" i="60"/>
  <c r="E48" i="60"/>
  <c r="F44" i="60"/>
  <c r="M54" i="60"/>
  <c r="V52" i="60"/>
  <c r="F52" i="60"/>
  <c r="M42" i="60"/>
  <c r="V40" i="60"/>
  <c r="F40" i="60"/>
  <c r="M38" i="60"/>
  <c r="V36" i="60"/>
  <c r="F36" i="60"/>
  <c r="M34" i="60"/>
  <c r="V32" i="60"/>
  <c r="F32" i="60"/>
  <c r="AB121" i="60"/>
  <c r="Q94" i="42"/>
  <c r="Q127" i="42" s="1"/>
  <c r="Q101" i="42"/>
  <c r="AN135" i="60"/>
  <c r="AJ104" i="60"/>
  <c r="AN104" i="60" s="1"/>
  <c r="V2" i="37"/>
  <c r="D2" i="37"/>
  <c r="E2" i="37"/>
  <c r="F2" i="37"/>
  <c r="G2" i="37"/>
  <c r="H2" i="37"/>
  <c r="H27" i="37" s="1"/>
  <c r="H29" i="37" s="1"/>
  <c r="I2" i="37"/>
  <c r="J2" i="37"/>
  <c r="Q2" i="37"/>
  <c r="U2" i="37"/>
  <c r="X2" i="37"/>
  <c r="X27" i="37" s="1"/>
  <c r="X29" i="37" s="1"/>
  <c r="K2" i="37"/>
  <c r="L2" i="37"/>
  <c r="M2" i="37"/>
  <c r="N2" i="37"/>
  <c r="O2" i="37"/>
  <c r="P2" i="37"/>
  <c r="R2" i="37"/>
  <c r="S2" i="37"/>
  <c r="S27" i="37" s="1"/>
  <c r="S29" i="37" s="1"/>
  <c r="T2" i="37"/>
  <c r="O30" i="37"/>
  <c r="G30" i="37"/>
  <c r="I30" i="37"/>
  <c r="S107" i="42"/>
  <c r="AA54" i="60"/>
  <c r="AD83" i="42"/>
  <c r="S116" i="42"/>
  <c r="AB132" i="60"/>
  <c r="Q112" i="42"/>
  <c r="AN141" i="60"/>
  <c r="BC81" i="42"/>
  <c r="BB81" i="42"/>
  <c r="BE20" i="18"/>
  <c r="AC137" i="60"/>
  <c r="AN84" i="42"/>
  <c r="AB84" i="42"/>
  <c r="AB117" i="42" s="1"/>
  <c r="Y117" i="42"/>
  <c r="BH83" i="42"/>
  <c r="AN131" i="60"/>
  <c r="K37" i="18"/>
  <c r="I37" i="18"/>
  <c r="AK37" i="18"/>
  <c r="J37" i="18"/>
  <c r="H37" i="18"/>
  <c r="AJ109" i="60"/>
  <c r="AN109" i="60" s="1"/>
  <c r="AN140" i="60"/>
  <c r="AI86" i="42"/>
  <c r="AI49" i="60" s="1"/>
  <c r="AC33" i="18"/>
  <c r="H108" i="42"/>
  <c r="BH80" i="42"/>
  <c r="AD93" i="42"/>
  <c r="S126" i="42"/>
  <c r="AE145" i="60"/>
  <c r="G26" i="32"/>
  <c r="G27" i="32" s="1"/>
  <c r="F2" i="32"/>
  <c r="AN121" i="60"/>
  <c r="AJ145" i="60"/>
  <c r="AK145" i="60"/>
  <c r="AC126" i="60"/>
  <c r="AN73" i="42"/>
  <c r="AB73" i="42"/>
  <c r="AB106" i="42" s="1"/>
  <c r="Y106" i="42"/>
  <c r="BE18" i="18"/>
  <c r="AN130" i="60"/>
  <c r="L22" i="18"/>
  <c r="BH81" i="42"/>
  <c r="AC128" i="60"/>
  <c r="AN75" i="42"/>
  <c r="AB75" i="42"/>
  <c r="AB108" i="42" s="1"/>
  <c r="Y108" i="42"/>
  <c r="N148" i="10"/>
  <c r="Q18" i="18"/>
  <c r="AA36" i="60"/>
  <c r="BA79" i="42"/>
  <c r="S110" i="42"/>
  <c r="AA53" i="60"/>
  <c r="S79" i="42"/>
  <c r="S94" i="42" s="1"/>
  <c r="S127" i="42" s="1"/>
  <c r="AA35" i="60"/>
  <c r="I19" i="32"/>
  <c r="J19" i="32" s="1"/>
  <c r="AB137" i="60"/>
  <c r="Q117" i="42"/>
  <c r="W19" i="37"/>
  <c r="B19" i="37"/>
  <c r="V19" i="37"/>
  <c r="C19" i="37"/>
  <c r="AA19" i="37" s="1"/>
  <c r="D19" i="37"/>
  <c r="E19" i="37"/>
  <c r="F19" i="37"/>
  <c r="G19" i="37"/>
  <c r="H19" i="37"/>
  <c r="Y19" i="37"/>
  <c r="J19" i="37"/>
  <c r="P19" i="37"/>
  <c r="I19" i="37"/>
  <c r="K19" i="37"/>
  <c r="L19" i="37"/>
  <c r="M19" i="37"/>
  <c r="N19" i="37"/>
  <c r="O19" i="37"/>
  <c r="Q19" i="37"/>
  <c r="R19" i="37"/>
  <c r="S19" i="37"/>
  <c r="T19" i="37"/>
  <c r="U19" i="37"/>
  <c r="X19" i="37"/>
  <c r="AB41" i="60"/>
  <c r="AB33" i="60"/>
  <c r="BA77" i="42"/>
  <c r="BC80" i="42"/>
  <c r="BB80" i="42"/>
  <c r="BA88" i="42"/>
  <c r="W15" i="37"/>
  <c r="B15" i="37"/>
  <c r="Y15" i="37"/>
  <c r="C15" i="37"/>
  <c r="D15" i="37"/>
  <c r="E15" i="37"/>
  <c r="F15" i="37"/>
  <c r="G15" i="37"/>
  <c r="H15" i="37"/>
  <c r="X15" i="37"/>
  <c r="V15" i="37"/>
  <c r="I15" i="37"/>
  <c r="J15" i="37"/>
  <c r="K15" i="37"/>
  <c r="L15" i="37"/>
  <c r="M15" i="37"/>
  <c r="N15" i="37"/>
  <c r="N27" i="37" s="1"/>
  <c r="N29" i="37" s="1"/>
  <c r="Q15" i="37"/>
  <c r="R15" i="37"/>
  <c r="S15" i="37"/>
  <c r="T15" i="37"/>
  <c r="U15" i="37"/>
  <c r="O20" i="32"/>
  <c r="AN143" i="60"/>
  <c r="AC127" i="60"/>
  <c r="AN74" i="42"/>
  <c r="AB74" i="42"/>
  <c r="AB107" i="42" s="1"/>
  <c r="Y107" i="42"/>
  <c r="L25" i="18"/>
  <c r="AG45" i="60"/>
  <c r="BE24" i="18"/>
  <c r="L17" i="18"/>
  <c r="Q20" i="18"/>
  <c r="N18" i="18"/>
  <c r="W109" i="60"/>
  <c r="W167" i="60"/>
  <c r="W50" i="60"/>
  <c r="BA22" i="60"/>
  <c r="CD22" i="60" s="1"/>
  <c r="F104" i="60"/>
  <c r="F162" i="60"/>
  <c r="AJ17" i="60"/>
  <c r="BM17" i="60" s="1"/>
  <c r="F45" i="60"/>
  <c r="H48" i="60"/>
  <c r="T54" i="60"/>
  <c r="O52" i="60"/>
  <c r="J42" i="60"/>
  <c r="X38" i="60"/>
  <c r="K36" i="60"/>
  <c r="F34" i="60"/>
  <c r="C104" i="60"/>
  <c r="C45" i="60"/>
  <c r="AG17" i="60"/>
  <c r="BJ17" i="60" s="1"/>
  <c r="AF135" i="60"/>
  <c r="C162" i="60"/>
  <c r="J104" i="60"/>
  <c r="J162" i="60" s="1"/>
  <c r="J45" i="60"/>
  <c r="AN17" i="60"/>
  <c r="BQ17" i="60" s="1"/>
  <c r="F48" i="60"/>
  <c r="Z54" i="60"/>
  <c r="M52" i="60"/>
  <c r="H42" i="60"/>
  <c r="V38" i="60"/>
  <c r="Q36" i="60"/>
  <c r="D34" i="60"/>
  <c r="O109" i="60"/>
  <c r="O167" i="60" s="1"/>
  <c r="O50" i="60"/>
  <c r="AS22" i="60"/>
  <c r="BV22" i="60" s="1"/>
  <c r="L48" i="60"/>
  <c r="G44" i="60"/>
  <c r="S52" i="60"/>
  <c r="N42" i="60"/>
  <c r="I40" i="60"/>
  <c r="W36" i="60"/>
  <c r="R34" i="60"/>
  <c r="E32" i="60"/>
  <c r="Z48" i="60"/>
  <c r="M44" i="60"/>
  <c r="F54" i="60"/>
  <c r="T42" i="60"/>
  <c r="O40" i="60"/>
  <c r="J38" i="60"/>
  <c r="X34" i="60"/>
  <c r="K32" i="60"/>
  <c r="Y104" i="60"/>
  <c r="BC17" i="60"/>
  <c r="CF17" i="60" s="1"/>
  <c r="Y45" i="60"/>
  <c r="Y162" i="60"/>
  <c r="T102" i="60"/>
  <c r="T43" i="60"/>
  <c r="T160" i="60"/>
  <c r="AX15" i="60"/>
  <c r="CA15" i="60" s="1"/>
  <c r="N109" i="60"/>
  <c r="N50" i="60"/>
  <c r="AR22" i="60"/>
  <c r="BU22" i="60" s="1"/>
  <c r="N167" i="60"/>
  <c r="I104" i="60"/>
  <c r="I45" i="60"/>
  <c r="AM17" i="60"/>
  <c r="BP17" i="60" s="1"/>
  <c r="I162" i="60"/>
  <c r="D102" i="60"/>
  <c r="D43" i="60"/>
  <c r="AH15" i="60"/>
  <c r="BK15" i="60" s="1"/>
  <c r="D160" i="60"/>
  <c r="S49" i="60"/>
  <c r="K49" i="60"/>
  <c r="C49" i="60"/>
  <c r="T47" i="60"/>
  <c r="L47" i="60"/>
  <c r="D47" i="60"/>
  <c r="T46" i="60"/>
  <c r="L46" i="60"/>
  <c r="D46" i="60"/>
  <c r="S31" i="60"/>
  <c r="S145" i="60"/>
  <c r="K31" i="60"/>
  <c r="K145" i="60"/>
  <c r="C31" i="60"/>
  <c r="AF121" i="60"/>
  <c r="C145" i="60"/>
  <c r="T53" i="60"/>
  <c r="L53" i="60"/>
  <c r="D53" i="60"/>
  <c r="S51" i="60"/>
  <c r="K51" i="60"/>
  <c r="C51" i="60"/>
  <c r="T41" i="60"/>
  <c r="L41" i="60"/>
  <c r="D41" i="60"/>
  <c r="S39" i="60"/>
  <c r="K39" i="60"/>
  <c r="C39" i="60"/>
  <c r="T37" i="60"/>
  <c r="L37" i="60"/>
  <c r="D37" i="60"/>
  <c r="S35" i="60"/>
  <c r="K35" i="60"/>
  <c r="C35" i="60"/>
  <c r="T33" i="60"/>
  <c r="L33" i="60"/>
  <c r="D33" i="60"/>
  <c r="W104" i="60"/>
  <c r="W45" i="60"/>
  <c r="BA17" i="60"/>
  <c r="CD17" i="60" s="1"/>
  <c r="W162" i="60"/>
  <c r="R102" i="60"/>
  <c r="AV15" i="60"/>
  <c r="BY15" i="60" s="1"/>
  <c r="R43" i="60"/>
  <c r="R160" i="60"/>
  <c r="L109" i="60"/>
  <c r="AP22" i="60"/>
  <c r="BS22" i="60" s="1"/>
  <c r="L50" i="60"/>
  <c r="L167" i="60"/>
  <c r="G104" i="60"/>
  <c r="G162" i="60" s="1"/>
  <c r="G45" i="60"/>
  <c r="AK17" i="60"/>
  <c r="BN17" i="60" s="1"/>
  <c r="X49" i="60"/>
  <c r="P49" i="60"/>
  <c r="H49" i="60"/>
  <c r="W47" i="60"/>
  <c r="O47" i="60"/>
  <c r="G47" i="60"/>
  <c r="W46" i="60"/>
  <c r="O46" i="60"/>
  <c r="G46" i="60"/>
  <c r="X31" i="60"/>
  <c r="X145" i="60"/>
  <c r="P145" i="60"/>
  <c r="P31" i="60"/>
  <c r="H31" i="60"/>
  <c r="H145" i="60"/>
  <c r="W53" i="60"/>
  <c r="O53" i="60"/>
  <c r="G53" i="60"/>
  <c r="X51" i="60"/>
  <c r="P51" i="60"/>
  <c r="H51" i="60"/>
  <c r="W41" i="60"/>
  <c r="O41" i="60"/>
  <c r="G41" i="60"/>
  <c r="X39" i="60"/>
  <c r="P39" i="60"/>
  <c r="H39" i="60"/>
  <c r="W37" i="60"/>
  <c r="O37" i="60"/>
  <c r="G37" i="60"/>
  <c r="X35" i="60"/>
  <c r="P35" i="60"/>
  <c r="H35" i="60"/>
  <c r="W33" i="60"/>
  <c r="O33" i="60"/>
  <c r="G33" i="60"/>
  <c r="X104" i="60"/>
  <c r="X162" i="60" s="1"/>
  <c r="X45" i="60"/>
  <c r="BB17" i="60"/>
  <c r="CE17" i="60" s="1"/>
  <c r="S102" i="60"/>
  <c r="AW15" i="60"/>
  <c r="BZ15" i="60" s="1"/>
  <c r="S160" i="60"/>
  <c r="S43" i="60"/>
  <c r="M109" i="60"/>
  <c r="AQ22" i="60"/>
  <c r="BT22" i="60" s="1"/>
  <c r="M167" i="60"/>
  <c r="M50" i="60"/>
  <c r="H104" i="60"/>
  <c r="H162" i="60" s="1"/>
  <c r="AL17" i="60"/>
  <c r="BO17" i="60" s="1"/>
  <c r="H45" i="60"/>
  <c r="Y48" i="60"/>
  <c r="Q48" i="60"/>
  <c r="I48" i="60"/>
  <c r="Z44" i="60"/>
  <c r="R44" i="60"/>
  <c r="J44" i="60"/>
  <c r="Y54" i="60"/>
  <c r="Q54" i="60"/>
  <c r="I54" i="60"/>
  <c r="Z52" i="60"/>
  <c r="Z81" i="60" s="1"/>
  <c r="BD24" i="60" s="1"/>
  <c r="CG24" i="60" s="1"/>
  <c r="R52" i="60"/>
  <c r="J52" i="60"/>
  <c r="Y42" i="60"/>
  <c r="Q42" i="60"/>
  <c r="I42" i="60"/>
  <c r="Z40" i="60"/>
  <c r="R40" i="60"/>
  <c r="J40" i="60"/>
  <c r="Y38" i="60"/>
  <c r="Q38" i="60"/>
  <c r="I38" i="60"/>
  <c r="Z36" i="60"/>
  <c r="R36" i="60"/>
  <c r="J36" i="60"/>
  <c r="Y34" i="60"/>
  <c r="Q34" i="60"/>
  <c r="I34" i="60"/>
  <c r="Z32" i="60"/>
  <c r="R32" i="60"/>
  <c r="J32" i="60"/>
  <c r="BH82" i="42"/>
  <c r="AA39" i="60"/>
  <c r="AD145" i="60"/>
  <c r="AD31" i="60"/>
  <c r="BA75" i="42"/>
  <c r="AM82" i="42"/>
  <c r="R28" i="18"/>
  <c r="L28" i="18" s="1"/>
  <c r="Z28" i="18"/>
  <c r="BE21" i="18"/>
  <c r="N21" i="18"/>
  <c r="AN136" i="60"/>
  <c r="AN132" i="60"/>
  <c r="M85" i="42"/>
  <c r="G118" i="42"/>
  <c r="P30" i="37"/>
  <c r="T30" i="37"/>
  <c r="Y30" i="37"/>
  <c r="W30" i="37"/>
  <c r="F30" i="37"/>
  <c r="C30" i="37"/>
  <c r="Q21" i="18"/>
  <c r="D251" i="40"/>
  <c r="EH130" i="9"/>
  <c r="EH134" i="9"/>
  <c r="EH138" i="9"/>
  <c r="EH142" i="9"/>
  <c r="EH146" i="9"/>
  <c r="EH150" i="9"/>
  <c r="EH154" i="9"/>
  <c r="EH162" i="9"/>
  <c r="EH166" i="9"/>
  <c r="EH170" i="9"/>
  <c r="EH174" i="9"/>
  <c r="EH178" i="9"/>
  <c r="EH182" i="9"/>
  <c r="EH186" i="9"/>
  <c r="EH190" i="9"/>
  <c r="EH194" i="9"/>
  <c r="EH198" i="9"/>
  <c r="EH202" i="9"/>
  <c r="EH206" i="9"/>
  <c r="EH210" i="9"/>
  <c r="EH214" i="9"/>
  <c r="EH218" i="9"/>
  <c r="EH222" i="9"/>
  <c r="EH226" i="9"/>
  <c r="EH230" i="9"/>
  <c r="EH234" i="9"/>
  <c r="EH238" i="9"/>
  <c r="EH242" i="9"/>
  <c r="CJ251" i="9"/>
  <c r="CR251" i="9"/>
  <c r="DA251" i="9"/>
  <c r="DK251" i="9"/>
  <c r="CZ251" i="9"/>
  <c r="EH145" i="9"/>
  <c r="EH161" i="9"/>
  <c r="EH177" i="9"/>
  <c r="EH193" i="9"/>
  <c r="EH209" i="9"/>
  <c r="EH225" i="9"/>
  <c r="EH241" i="9"/>
  <c r="BP251" i="9"/>
  <c r="CK251" i="9"/>
  <c r="CS251" i="9"/>
  <c r="DB251" i="9"/>
  <c r="DL251" i="9"/>
  <c r="EH136" i="9"/>
  <c r="EH141" i="9"/>
  <c r="EH152" i="9"/>
  <c r="EH157" i="9"/>
  <c r="EH168" i="9"/>
  <c r="EH173" i="9"/>
  <c r="EH184" i="9"/>
  <c r="EH189" i="9"/>
  <c r="EH200" i="9"/>
  <c r="EH205" i="9"/>
  <c r="EH216" i="9"/>
  <c r="EH221" i="9"/>
  <c r="EH232" i="9"/>
  <c r="EH237" i="9"/>
  <c r="CB251" i="9"/>
  <c r="EH129" i="9"/>
  <c r="Q251" i="9"/>
  <c r="U251" i="9"/>
  <c r="AX251" i="9"/>
  <c r="BU251" i="9"/>
  <c r="EN251" i="9" s="1"/>
  <c r="CA251" i="9"/>
  <c r="CW251" i="9"/>
  <c r="DO251" i="9"/>
  <c r="EH149" i="9"/>
  <c r="EH164" i="9"/>
  <c r="EH169" i="9"/>
  <c r="EH213" i="9"/>
  <c r="EH228" i="9"/>
  <c r="EH233" i="9"/>
  <c r="CI251" i="9"/>
  <c r="H251" i="9"/>
  <c r="R251" i="9"/>
  <c r="AF251" i="9"/>
  <c r="AN251" i="9"/>
  <c r="AU251" i="9"/>
  <c r="BC251" i="9"/>
  <c r="BF251" i="9"/>
  <c r="DY251" i="9" s="1"/>
  <c r="BM251" i="9"/>
  <c r="CN251" i="9"/>
  <c r="DE251" i="9"/>
  <c r="EH133" i="9"/>
  <c r="EH148" i="9"/>
  <c r="EH153" i="9"/>
  <c r="EH197" i="9"/>
  <c r="EH212" i="9"/>
  <c r="EH217" i="9"/>
  <c r="S251" i="9"/>
  <c r="AS251" i="9"/>
  <c r="DT251" i="9" s="1"/>
  <c r="AV251" i="9"/>
  <c r="BA251" i="9"/>
  <c r="DW251" i="9" s="1"/>
  <c r="BD251" i="9"/>
  <c r="BN251" i="9"/>
  <c r="BZ251" i="9"/>
  <c r="CV251" i="9"/>
  <c r="DN251" i="9"/>
  <c r="EH165" i="9"/>
  <c r="EH180" i="9"/>
  <c r="EH185" i="9"/>
  <c r="EH229" i="9"/>
  <c r="EH244" i="9"/>
  <c r="N251" i="9"/>
  <c r="O251" i="9"/>
  <c r="W251" i="9"/>
  <c r="BG251" i="9"/>
  <c r="DZ251" i="9" s="1"/>
  <c r="BJ251" i="9"/>
  <c r="CO251" i="9"/>
  <c r="EH137" i="9"/>
  <c r="D251" i="9"/>
  <c r="AA251" i="9"/>
  <c r="G251" i="40"/>
  <c r="I251" i="40"/>
  <c r="K251" i="40"/>
  <c r="M251" i="40"/>
  <c r="O251" i="40"/>
  <c r="Q251" i="40"/>
  <c r="S251" i="40"/>
  <c r="U251" i="40"/>
  <c r="W251" i="40"/>
  <c r="Y251" i="40"/>
  <c r="AA251" i="40"/>
  <c r="AC251" i="40"/>
  <c r="AE251" i="40"/>
  <c r="DF251" i="9"/>
  <c r="EH181" i="9"/>
  <c r="CF251" i="9"/>
  <c r="EH251" i="9" s="1"/>
  <c r="M251" i="9"/>
  <c r="L251" i="9"/>
  <c r="X251" i="9"/>
  <c r="AJ251" i="9"/>
  <c r="E251" i="40"/>
  <c r="AF251" i="40"/>
  <c r="EH132" i="9"/>
  <c r="EH245" i="9"/>
  <c r="BW251" i="9"/>
  <c r="AZ251" i="9"/>
  <c r="BV251" i="9"/>
  <c r="EH192" i="9"/>
  <c r="V251" i="9"/>
  <c r="BI251" i="9"/>
  <c r="H251" i="40"/>
  <c r="P251" i="40"/>
  <c r="X251" i="40"/>
  <c r="AR251" i="9"/>
  <c r="F251" i="40"/>
  <c r="N251" i="40"/>
  <c r="V251" i="40"/>
  <c r="AD251" i="40"/>
  <c r="J152" i="10"/>
  <c r="EH201" i="9"/>
  <c r="J251" i="40"/>
  <c r="R251" i="40"/>
  <c r="Z251" i="40"/>
  <c r="H152" i="10"/>
  <c r="L251" i="40"/>
  <c r="T251" i="40"/>
  <c r="AB251" i="40"/>
  <c r="I152" i="10"/>
  <c r="O152" i="10"/>
  <c r="EH252" i="9"/>
  <c r="EH176" i="9"/>
  <c r="BS251" i="9"/>
  <c r="EL251" i="9" s="1"/>
  <c r="BL251" i="9"/>
  <c r="AM251" i="9"/>
  <c r="T251" i="9"/>
  <c r="EH240" i="9"/>
  <c r="EH196" i="9"/>
  <c r="EH171" i="9"/>
  <c r="EH160" i="9"/>
  <c r="E251" i="9"/>
  <c r="CY251" i="9"/>
  <c r="CH251" i="9"/>
  <c r="F251" i="9"/>
  <c r="AL251" i="9"/>
  <c r="EH199" i="9"/>
  <c r="EH223" i="9"/>
  <c r="EH143" i="9"/>
  <c r="DC251" i="9"/>
  <c r="CL251" i="9"/>
  <c r="EH243" i="9"/>
  <c r="EH211" i="9"/>
  <c r="EH253" i="9"/>
  <c r="G152" i="10"/>
  <c r="T152" i="10" s="1"/>
  <c r="EH235" i="9"/>
  <c r="BE251" i="9"/>
  <c r="AI251" i="9"/>
  <c r="P251" i="9"/>
  <c r="DM251" i="9"/>
  <c r="AO251" i="9"/>
  <c r="AG251" i="9"/>
  <c r="EH219" i="9"/>
  <c r="EH204" i="9"/>
  <c r="EH167" i="9"/>
  <c r="EH155" i="9"/>
  <c r="CU251" i="9"/>
  <c r="BY251" i="9"/>
  <c r="BQ251" i="9"/>
  <c r="AH251" i="9"/>
  <c r="EH246" i="9"/>
  <c r="EH172" i="9"/>
  <c r="EH135" i="9"/>
  <c r="BH251" i="9"/>
  <c r="EA251" i="9" s="1"/>
  <c r="EH215" i="9"/>
  <c r="EH139" i="9"/>
  <c r="EH191" i="9"/>
  <c r="EH159" i="9"/>
  <c r="CX251" i="9"/>
  <c r="CG251" i="9"/>
  <c r="EH179" i="9"/>
  <c r="EH147" i="9"/>
  <c r="P152" i="10"/>
  <c r="EH224" i="9"/>
  <c r="E152" i="10"/>
  <c r="G251" i="9"/>
  <c r="DR251" i="9" s="1"/>
  <c r="EH156" i="9"/>
  <c r="BB251" i="9"/>
  <c r="DX251" i="9" s="1"/>
  <c r="AW251" i="9"/>
  <c r="AE251" i="9"/>
  <c r="BX251" i="9"/>
  <c r="EH144" i="9"/>
  <c r="EH220" i="9"/>
  <c r="Y251" i="9"/>
  <c r="EH231" i="9"/>
  <c r="DI251" i="9"/>
  <c r="CQ251" i="9"/>
  <c r="BK251" i="9"/>
  <c r="AD251" i="9"/>
  <c r="CD251" i="9"/>
  <c r="CC251" i="9"/>
  <c r="EE251" i="9" s="1"/>
  <c r="EH203" i="9"/>
  <c r="EH188" i="9"/>
  <c r="EH151" i="9"/>
  <c r="BT251" i="9"/>
  <c r="EM251" i="9" s="1"/>
  <c r="EH239" i="9"/>
  <c r="EH158" i="9"/>
  <c r="DJ251" i="9"/>
  <c r="CT251" i="9"/>
  <c r="EH227" i="9"/>
  <c r="K251" i="9"/>
  <c r="AY251" i="9"/>
  <c r="DV251" i="9" s="1"/>
  <c r="EH208" i="9"/>
  <c r="EH183" i="9"/>
  <c r="AT251" i="9"/>
  <c r="DU251" i="9" s="1"/>
  <c r="BR251" i="9"/>
  <c r="AQ251" i="9"/>
  <c r="Z251" i="9"/>
  <c r="AC251" i="9"/>
  <c r="DH251" i="9"/>
  <c r="J251" i="9"/>
  <c r="AK251" i="9"/>
  <c r="AB251" i="9"/>
  <c r="CE251" i="9"/>
  <c r="EH140" i="9"/>
  <c r="DD251" i="9"/>
  <c r="CM251" i="9"/>
  <c r="BO251" i="9"/>
  <c r="EK251" i="9" s="1"/>
  <c r="I251" i="9"/>
  <c r="AP251" i="9"/>
  <c r="EH236" i="9"/>
  <c r="EH187" i="9"/>
  <c r="EH207" i="9"/>
  <c r="EH175" i="9"/>
  <c r="DG251" i="9"/>
  <c r="CP251" i="9"/>
  <c r="EH195" i="9"/>
  <c r="EH163" i="9"/>
  <c r="EH131" i="9"/>
  <c r="S84" i="42"/>
  <c r="AD91" i="42"/>
  <c r="S124" i="42"/>
  <c r="S102" i="42"/>
  <c r="AA49" i="60"/>
  <c r="AB136" i="60"/>
  <c r="Q116" i="42"/>
  <c r="AB128" i="60"/>
  <c r="AF128" i="60" s="1"/>
  <c r="Q108" i="42"/>
  <c r="BA73" i="42"/>
  <c r="BA69" i="42"/>
  <c r="BA90" i="42"/>
  <c r="H26" i="32"/>
  <c r="I2" i="32"/>
  <c r="J2" i="32" s="1"/>
  <c r="AC141" i="60"/>
  <c r="AF141" i="60" s="1"/>
  <c r="AN88" i="42"/>
  <c r="AB88" i="42"/>
  <c r="AB121" i="42" s="1"/>
  <c r="Y121" i="42"/>
  <c r="BA84" i="42"/>
  <c r="BA74" i="42"/>
  <c r="AH94" i="42"/>
  <c r="AN89" i="42"/>
  <c r="AC142" i="60"/>
  <c r="AB89" i="42"/>
  <c r="AB122" i="42" s="1"/>
  <c r="Y122" i="42"/>
  <c r="AN137" i="60"/>
  <c r="Y86" i="42"/>
  <c r="AM81" i="42"/>
  <c r="AM78" i="42"/>
  <c r="M82" i="42"/>
  <c r="G115" i="42"/>
  <c r="AM87" i="42"/>
  <c r="AM85" i="42"/>
  <c r="M81" i="42"/>
  <c r="G114" i="42"/>
  <c r="DP252" i="9"/>
  <c r="P21" i="18"/>
  <c r="Q24" i="18"/>
  <c r="O25" i="18"/>
  <c r="AV249" i="40"/>
  <c r="AV250" i="40"/>
  <c r="AV248" i="40"/>
  <c r="Y76" i="42"/>
  <c r="AJ129" i="60"/>
  <c r="AK76" i="42"/>
  <c r="AK94" i="42" s="1"/>
  <c r="AM94" i="42" s="1"/>
  <c r="W119" i="42"/>
  <c r="AL129" i="60"/>
  <c r="AL76" i="42"/>
  <c r="H105" i="42"/>
  <c r="I119" i="42"/>
  <c r="R38" i="18"/>
  <c r="L38" i="18" s="1"/>
  <c r="W102" i="42"/>
  <c r="R23" i="18"/>
  <c r="L23" i="18"/>
  <c r="H104" i="42"/>
  <c r="H124" i="42"/>
  <c r="H111" i="42"/>
  <c r="H112" i="42"/>
  <c r="G60" i="37" l="1"/>
  <c r="O60" i="37"/>
  <c r="L60" i="37"/>
  <c r="E60" i="37"/>
  <c r="U60" i="37"/>
  <c r="N60" i="37"/>
  <c r="S60" i="37"/>
  <c r="B60" i="37"/>
  <c r="H60" i="37"/>
  <c r="V60" i="37"/>
  <c r="W60" i="37"/>
  <c r="P60" i="37"/>
  <c r="I60" i="37"/>
  <c r="Y60" i="37"/>
  <c r="F60" i="37"/>
  <c r="K60" i="37"/>
  <c r="X60" i="37"/>
  <c r="D60" i="37"/>
  <c r="T60" i="37"/>
  <c r="M60" i="37"/>
  <c r="C60" i="37"/>
  <c r="R60" i="37"/>
  <c r="Q60" i="37"/>
  <c r="J60" i="37"/>
  <c r="AK38" i="18"/>
  <c r="K38" i="18"/>
  <c r="I38" i="18"/>
  <c r="H38" i="18"/>
  <c r="J38" i="18"/>
  <c r="AK34" i="18"/>
  <c r="K34" i="18"/>
  <c r="I34" i="18"/>
  <c r="H34" i="18"/>
  <c r="J34" i="18"/>
  <c r="AK28" i="18"/>
  <c r="J28" i="18"/>
  <c r="H28" i="18"/>
  <c r="I28" i="18"/>
  <c r="K28" i="18"/>
  <c r="K29" i="18"/>
  <c r="I29" i="18"/>
  <c r="J29" i="18"/>
  <c r="H29" i="18"/>
  <c r="AK29" i="18"/>
  <c r="K30" i="18"/>
  <c r="I30" i="18"/>
  <c r="AK30" i="18"/>
  <c r="J30" i="18"/>
  <c r="H30" i="18"/>
  <c r="BC90" i="42"/>
  <c r="BB90" i="42"/>
  <c r="AC36" i="60"/>
  <c r="AM126" i="60"/>
  <c r="S37" i="18"/>
  <c r="AF37" i="18"/>
  <c r="AB42" i="60"/>
  <c r="O55" i="60"/>
  <c r="AF36" i="18"/>
  <c r="S36" i="18"/>
  <c r="AN129" i="60"/>
  <c r="D249" i="40"/>
  <c r="EF130" i="9"/>
  <c r="EF134" i="9"/>
  <c r="EF138" i="9"/>
  <c r="EF142" i="9"/>
  <c r="EF146" i="9"/>
  <c r="EF150" i="9"/>
  <c r="EF162" i="9"/>
  <c r="EF166" i="9"/>
  <c r="EF170" i="9"/>
  <c r="EF174" i="9"/>
  <c r="EF178" i="9"/>
  <c r="EF182" i="9"/>
  <c r="EF186" i="9"/>
  <c r="EF190" i="9"/>
  <c r="EF194" i="9"/>
  <c r="EF198" i="9"/>
  <c r="EF202" i="9"/>
  <c r="EF206" i="9"/>
  <c r="EF210" i="9"/>
  <c r="EF214" i="9"/>
  <c r="EF218" i="9"/>
  <c r="EF222" i="9"/>
  <c r="EF226" i="9"/>
  <c r="EF230" i="9"/>
  <c r="EF234" i="9"/>
  <c r="EF238" i="9"/>
  <c r="EF242" i="9"/>
  <c r="CC249" i="9"/>
  <c r="EE249" i="9" s="1"/>
  <c r="CE249" i="9"/>
  <c r="EF133" i="9"/>
  <c r="EF149" i="9"/>
  <c r="EF165" i="9"/>
  <c r="EF181" i="9"/>
  <c r="EF197" i="9"/>
  <c r="EF213" i="9"/>
  <c r="EF229" i="9"/>
  <c r="EF245" i="9"/>
  <c r="CF249" i="9"/>
  <c r="BT249" i="9"/>
  <c r="EM249" i="9" s="1"/>
  <c r="CH249" i="9"/>
  <c r="CQ249" i="9"/>
  <c r="CY249" i="9"/>
  <c r="DI249" i="9"/>
  <c r="DH249" i="9"/>
  <c r="EF140" i="9"/>
  <c r="EF145" i="9"/>
  <c r="EF156" i="9"/>
  <c r="EF161" i="9"/>
  <c r="EF172" i="9"/>
  <c r="EF177" i="9"/>
  <c r="EF188" i="9"/>
  <c r="EF193" i="9"/>
  <c r="EF204" i="9"/>
  <c r="EF209" i="9"/>
  <c r="EF220" i="9"/>
  <c r="EF225" i="9"/>
  <c r="EF236" i="9"/>
  <c r="EF241" i="9"/>
  <c r="AC249" i="9"/>
  <c r="P249" i="9"/>
  <c r="T249" i="9"/>
  <c r="Z249" i="9"/>
  <c r="AE249" i="9"/>
  <c r="AI249" i="9"/>
  <c r="AM249" i="9"/>
  <c r="AQ249" i="9"/>
  <c r="AW249" i="9"/>
  <c r="BE249" i="9"/>
  <c r="BL249" i="9"/>
  <c r="BR249" i="9"/>
  <c r="AT249" i="9"/>
  <c r="DU249" i="9" s="1"/>
  <c r="BY249" i="9"/>
  <c r="CU249" i="9"/>
  <c r="DM249" i="9"/>
  <c r="EF136" i="9"/>
  <c r="EF157" i="9"/>
  <c r="EF180" i="9"/>
  <c r="EF185" i="9"/>
  <c r="EF200" i="9"/>
  <c r="EF221" i="9"/>
  <c r="EF244" i="9"/>
  <c r="CD249" i="9"/>
  <c r="M249" i="9"/>
  <c r="U249" i="9"/>
  <c r="AF249" i="9"/>
  <c r="AN249" i="9"/>
  <c r="AX249" i="9"/>
  <c r="BM249" i="9"/>
  <c r="BO249" i="9"/>
  <c r="EK249" i="9" s="1"/>
  <c r="EF141" i="9"/>
  <c r="EF169" i="9"/>
  <c r="EF184" i="9"/>
  <c r="EF205" i="9"/>
  <c r="EF233" i="9"/>
  <c r="BF249" i="9"/>
  <c r="DY249" i="9" s="1"/>
  <c r="D249" i="9"/>
  <c r="H249" i="9"/>
  <c r="L249" i="9"/>
  <c r="EF137" i="9"/>
  <c r="EF152" i="9"/>
  <c r="EF173" i="9"/>
  <c r="EF201" i="9"/>
  <c r="EF216" i="9"/>
  <c r="EF237" i="9"/>
  <c r="CB249" i="9"/>
  <c r="BH249" i="9"/>
  <c r="EA249" i="9" s="1"/>
  <c r="BA249" i="9"/>
  <c r="DW249" i="9" s="1"/>
  <c r="DD249" i="9"/>
  <c r="AJ249" i="9"/>
  <c r="AY249" i="9"/>
  <c r="F249" i="9"/>
  <c r="G249" i="40"/>
  <c r="I249" i="40"/>
  <c r="K249" i="40"/>
  <c r="M249" i="40"/>
  <c r="O249" i="40"/>
  <c r="Q249" i="40"/>
  <c r="S249" i="40"/>
  <c r="U249" i="40"/>
  <c r="W249" i="40"/>
  <c r="Y249" i="40"/>
  <c r="AA249" i="40"/>
  <c r="AC249" i="40"/>
  <c r="AE249" i="40"/>
  <c r="EF148" i="9"/>
  <c r="EF217" i="9"/>
  <c r="EF232" i="9"/>
  <c r="AR249" i="9"/>
  <c r="G249" i="9"/>
  <c r="X249" i="9"/>
  <c r="E249" i="40"/>
  <c r="AF249" i="40"/>
  <c r="D150" i="10"/>
  <c r="CM249" i="9"/>
  <c r="EF153" i="9"/>
  <c r="EF168" i="9"/>
  <c r="EF212" i="9"/>
  <c r="AA249" i="9"/>
  <c r="BV249" i="9"/>
  <c r="E249" i="9"/>
  <c r="EF189" i="9"/>
  <c r="BI249" i="9"/>
  <c r="AS249" i="9"/>
  <c r="DT249" i="9" s="1"/>
  <c r="L249" i="40"/>
  <c r="T249" i="40"/>
  <c r="AB249" i="40"/>
  <c r="H150" i="10"/>
  <c r="I249" i="9"/>
  <c r="J249" i="40"/>
  <c r="R249" i="40"/>
  <c r="Z249" i="40"/>
  <c r="O150" i="10"/>
  <c r="Q249" i="9"/>
  <c r="F249" i="40"/>
  <c r="N249" i="40"/>
  <c r="V249" i="40"/>
  <c r="AD249" i="40"/>
  <c r="M150" i="10"/>
  <c r="Y249" i="9"/>
  <c r="X249" i="40"/>
  <c r="G150" i="10"/>
  <c r="H249" i="40"/>
  <c r="P249" i="40"/>
  <c r="K249" i="9"/>
  <c r="BN249" i="9"/>
  <c r="AO249" i="9"/>
  <c r="V249" i="9"/>
  <c r="EF144" i="9"/>
  <c r="EF208" i="9"/>
  <c r="DC249" i="9"/>
  <c r="CP249" i="9"/>
  <c r="CG249" i="9"/>
  <c r="DL249" i="9"/>
  <c r="CS249" i="9"/>
  <c r="BD249" i="9"/>
  <c r="AH249" i="9"/>
  <c r="O249" i="9"/>
  <c r="CI249" i="9"/>
  <c r="EF191" i="9"/>
  <c r="EF176" i="9"/>
  <c r="DO249" i="9"/>
  <c r="CV249" i="9"/>
  <c r="EF211" i="9"/>
  <c r="EF179" i="9"/>
  <c r="DN249" i="9"/>
  <c r="EF167" i="9"/>
  <c r="EF135" i="9"/>
  <c r="P150" i="10"/>
  <c r="I150" i="10"/>
  <c r="J150" i="10"/>
  <c r="U150" i="10" s="1"/>
  <c r="J249" i="9"/>
  <c r="BJ249" i="9"/>
  <c r="AK249" i="9"/>
  <c r="R249" i="9"/>
  <c r="EF164" i="9"/>
  <c r="BG249" i="9"/>
  <c r="DZ249" i="9" s="1"/>
  <c r="EF159" i="9"/>
  <c r="EF132" i="9"/>
  <c r="DG249" i="9"/>
  <c r="CX249" i="9"/>
  <c r="BB249" i="9"/>
  <c r="DX249" i="9" s="1"/>
  <c r="EF187" i="9"/>
  <c r="EF143" i="9"/>
  <c r="EF239" i="9"/>
  <c r="EF224" i="9"/>
  <c r="EF155" i="9"/>
  <c r="DF249" i="9"/>
  <c r="CO249" i="9"/>
  <c r="BP249" i="9"/>
  <c r="AZ249" i="9"/>
  <c r="AV249" i="9"/>
  <c r="AD249" i="9"/>
  <c r="EF235" i="9"/>
  <c r="DK249" i="9"/>
  <c r="CR249" i="9"/>
  <c r="BZ249" i="9"/>
  <c r="BU249" i="9"/>
  <c r="EN249" i="9" s="1"/>
  <c r="EF227" i="9"/>
  <c r="EF147" i="9"/>
  <c r="EF215" i="9"/>
  <c r="EF253" i="9"/>
  <c r="BC249" i="9"/>
  <c r="AG249" i="9"/>
  <c r="N249" i="9"/>
  <c r="EF228" i="9"/>
  <c r="DJ249" i="9"/>
  <c r="DB249" i="9"/>
  <c r="CK249" i="9"/>
  <c r="BQ249" i="9"/>
  <c r="AP249" i="9"/>
  <c r="W249" i="9"/>
  <c r="EF171" i="9"/>
  <c r="DE249" i="9"/>
  <c r="CN249" i="9"/>
  <c r="EF195" i="9"/>
  <c r="EF163" i="9"/>
  <c r="EF183" i="9"/>
  <c r="EF151" i="9"/>
  <c r="EF223" i="9"/>
  <c r="E150" i="10"/>
  <c r="EF203" i="9"/>
  <c r="BX249" i="9"/>
  <c r="EF154" i="9"/>
  <c r="AU249" i="9"/>
  <c r="AB249" i="9"/>
  <c r="EF196" i="9"/>
  <c r="EF129" i="9"/>
  <c r="EF139" i="9"/>
  <c r="CT249" i="9"/>
  <c r="CL249" i="9"/>
  <c r="EF207" i="9"/>
  <c r="EF192" i="9"/>
  <c r="EF158" i="9"/>
  <c r="BW249" i="9"/>
  <c r="EC249" i="9" s="1"/>
  <c r="EF219" i="9"/>
  <c r="EF175" i="9"/>
  <c r="EF160" i="9"/>
  <c r="CW249" i="9"/>
  <c r="CA249" i="9"/>
  <c r="BK249" i="9"/>
  <c r="AL249" i="9"/>
  <c r="S249" i="9"/>
  <c r="EF240" i="9"/>
  <c r="DA249" i="9"/>
  <c r="CJ249" i="9"/>
  <c r="BS249" i="9"/>
  <c r="EL249" i="9" s="1"/>
  <c r="EF243" i="9"/>
  <c r="EF131" i="9"/>
  <c r="CZ249" i="9"/>
  <c r="EF231" i="9"/>
  <c r="EF199" i="9"/>
  <c r="L150" i="10"/>
  <c r="AG249" i="40"/>
  <c r="K150" i="10"/>
  <c r="T150" i="10" s="1"/>
  <c r="N150" i="10"/>
  <c r="F150" i="10"/>
  <c r="EF246" i="9"/>
  <c r="EF252" i="9"/>
  <c r="AC52" i="60"/>
  <c r="AM142" i="60"/>
  <c r="BB73" i="42"/>
  <c r="BC73" i="42"/>
  <c r="AB46" i="60"/>
  <c r="EB251" i="9"/>
  <c r="DS251" i="9"/>
  <c r="EC251" i="9"/>
  <c r="AJ85" i="42"/>
  <c r="AG107" i="60" s="1"/>
  <c r="BD85" i="42"/>
  <c r="M118" i="42"/>
  <c r="H55" i="60"/>
  <c r="X55" i="60"/>
  <c r="AD77" i="42"/>
  <c r="AK22" i="18"/>
  <c r="K22" i="18"/>
  <c r="I22" i="18"/>
  <c r="H22" i="18"/>
  <c r="J22" i="18"/>
  <c r="AH37" i="18"/>
  <c r="T37" i="18"/>
  <c r="AD74" i="42"/>
  <c r="AF136" i="60"/>
  <c r="V36" i="18"/>
  <c r="AJ36" i="18"/>
  <c r="AD81" i="42"/>
  <c r="S114" i="42"/>
  <c r="DQ247" i="9"/>
  <c r="DP247" i="9"/>
  <c r="V148" i="10"/>
  <c r="AD82" i="42"/>
  <c r="AJ20" i="18"/>
  <c r="V20" i="18"/>
  <c r="AB44" i="60"/>
  <c r="AF71" i="42"/>
  <c r="AD104" i="42"/>
  <c r="Q27" i="37"/>
  <c r="Q29" i="37" s="1"/>
  <c r="Q55" i="60"/>
  <c r="U15" i="18"/>
  <c r="AI15" i="18"/>
  <c r="AD33" i="18"/>
  <c r="AC33" i="60"/>
  <c r="AM123" i="60"/>
  <c r="BC71" i="42"/>
  <c r="BB71" i="42"/>
  <c r="DV128" i="9"/>
  <c r="DU4" i="9"/>
  <c r="D27" i="37"/>
  <c r="D29" i="37" s="1"/>
  <c r="BD84" i="42"/>
  <c r="AJ84" i="42"/>
  <c r="AG106" i="60" s="1"/>
  <c r="M117" i="42"/>
  <c r="AF18" i="18"/>
  <c r="S18" i="18"/>
  <c r="AG77" i="60"/>
  <c r="AJ48" i="60"/>
  <c r="U35" i="18"/>
  <c r="AI35" i="18"/>
  <c r="D55" i="60"/>
  <c r="T55" i="60"/>
  <c r="AC34" i="60"/>
  <c r="AM124" i="60"/>
  <c r="N32" i="18"/>
  <c r="O32" i="18"/>
  <c r="P32" i="18"/>
  <c r="BE32" i="18"/>
  <c r="Q32" i="18"/>
  <c r="AB51" i="60"/>
  <c r="AD75" i="42"/>
  <c r="BG22" i="60"/>
  <c r="AC109" i="60"/>
  <c r="AM109" i="60" s="1"/>
  <c r="AM140" i="60"/>
  <c r="AC167" i="60"/>
  <c r="AC50" i="60"/>
  <c r="S26" i="18"/>
  <c r="AF26" i="18"/>
  <c r="AJ26" i="18"/>
  <c r="V26" i="18"/>
  <c r="E30" i="37"/>
  <c r="AG75" i="60"/>
  <c r="AJ46" i="60"/>
  <c r="U21" i="18"/>
  <c r="AI21" i="18"/>
  <c r="AK23" i="18"/>
  <c r="J23" i="18"/>
  <c r="H23" i="18"/>
  <c r="K23" i="18"/>
  <c r="I23" i="18"/>
  <c r="AC129" i="60"/>
  <c r="AN76" i="42"/>
  <c r="AB76" i="42"/>
  <c r="Y109" i="42"/>
  <c r="AG74" i="60"/>
  <c r="AH74" i="60" s="1"/>
  <c r="AI74" i="60" s="1"/>
  <c r="AJ45" i="60"/>
  <c r="BC79" i="42"/>
  <c r="BB79" i="42"/>
  <c r="AF93" i="42"/>
  <c r="AF126" i="42" s="1"/>
  <c r="AD126" i="42"/>
  <c r="AF20" i="18"/>
  <c r="S20" i="18"/>
  <c r="M27" i="37"/>
  <c r="M29" i="37" s="1"/>
  <c r="N55" i="60"/>
  <c r="T15" i="18"/>
  <c r="AH15" i="18"/>
  <c r="AU68" i="42"/>
  <c r="BG15" i="18"/>
  <c r="AN125" i="60"/>
  <c r="BC68" i="42"/>
  <c r="BB68" i="42"/>
  <c r="BA94" i="42"/>
  <c r="AB48" i="60"/>
  <c r="AO80" i="42"/>
  <c r="BJ80" i="42" s="1"/>
  <c r="BI80" i="42" s="1"/>
  <c r="BK80" i="42" s="1"/>
  <c r="CH15" i="60"/>
  <c r="AC46" i="60"/>
  <c r="AM136" i="60"/>
  <c r="R55" i="60"/>
  <c r="M55" i="60"/>
  <c r="J31" i="18"/>
  <c r="H31" i="18"/>
  <c r="AK31" i="18"/>
  <c r="K31" i="18"/>
  <c r="I31" i="18"/>
  <c r="BC86" i="42"/>
  <c r="BB86" i="42"/>
  <c r="AP80" i="42"/>
  <c r="CI15" i="60"/>
  <c r="BD87" i="42"/>
  <c r="M120" i="42"/>
  <c r="AG73" i="60"/>
  <c r="AJ44" i="60"/>
  <c r="AB34" i="60"/>
  <c r="AH35" i="18"/>
  <c r="T35" i="18"/>
  <c r="BC85" i="42"/>
  <c r="BB85" i="42"/>
  <c r="AC41" i="60"/>
  <c r="AM131" i="60"/>
  <c r="U26" i="18"/>
  <c r="AI26" i="18"/>
  <c r="Y94" i="42"/>
  <c r="AF68" i="42"/>
  <c r="AD101" i="42"/>
  <c r="T21" i="18"/>
  <c r="AH21" i="18"/>
  <c r="N23" i="18"/>
  <c r="BE23" i="18"/>
  <c r="O23" i="18"/>
  <c r="P23" i="18"/>
  <c r="Q23" i="18"/>
  <c r="P149" i="10"/>
  <c r="D248" i="40"/>
  <c r="BP248" i="9"/>
  <c r="BU248" i="9"/>
  <c r="BO248" i="9"/>
  <c r="EK248" i="9" s="1"/>
  <c r="BZ248" i="9"/>
  <c r="CJ248" i="9"/>
  <c r="CN248" i="9"/>
  <c r="CR248" i="9"/>
  <c r="CV248" i="9"/>
  <c r="DA248" i="9"/>
  <c r="DE248" i="9"/>
  <c r="DK248" i="9"/>
  <c r="DN248" i="9"/>
  <c r="CZ248" i="9"/>
  <c r="BT248" i="9"/>
  <c r="EM248" i="9" s="1"/>
  <c r="ED137" i="9"/>
  <c r="ED153" i="9"/>
  <c r="ED169" i="9"/>
  <c r="ED185" i="9"/>
  <c r="ED201" i="9"/>
  <c r="ED217" i="9"/>
  <c r="ED233" i="9"/>
  <c r="M248" i="9"/>
  <c r="Q248" i="9"/>
  <c r="U248" i="9"/>
  <c r="AA248" i="9"/>
  <c r="AF248" i="9"/>
  <c r="AJ248" i="9"/>
  <c r="AN248" i="9"/>
  <c r="AR248" i="9"/>
  <c r="AX248" i="9"/>
  <c r="BI248" i="9"/>
  <c r="BM248" i="9"/>
  <c r="BV248" i="9"/>
  <c r="BH248" i="9"/>
  <c r="EA248" i="9" s="1"/>
  <c r="ED133" i="9"/>
  <c r="ED140" i="9"/>
  <c r="ED149" i="9"/>
  <c r="ED156" i="9"/>
  <c r="ED165" i="9"/>
  <c r="ED172" i="9"/>
  <c r="ED181" i="9"/>
  <c r="ED188" i="9"/>
  <c r="ED197" i="9"/>
  <c r="ED204" i="9"/>
  <c r="ED213" i="9"/>
  <c r="ED220" i="9"/>
  <c r="ED229" i="9"/>
  <c r="ED236" i="9"/>
  <c r="ED245" i="9"/>
  <c r="BW248" i="9"/>
  <c r="BB248" i="9"/>
  <c r="DX248" i="9" s="1"/>
  <c r="AT248" i="9"/>
  <c r="DU248" i="9" s="1"/>
  <c r="ED136" i="9"/>
  <c r="ED145" i="9"/>
  <c r="ED173" i="9"/>
  <c r="ED180" i="9"/>
  <c r="ED200" i="9"/>
  <c r="ED209" i="9"/>
  <c r="ED237" i="9"/>
  <c r="ED244" i="9"/>
  <c r="CB248" i="9"/>
  <c r="ED248" i="9" s="1"/>
  <c r="S248" i="9"/>
  <c r="AD248" i="9"/>
  <c r="AL248" i="9"/>
  <c r="AV248" i="9"/>
  <c r="BK248" i="9"/>
  <c r="AS248" i="9"/>
  <c r="DT248" i="9" s="1"/>
  <c r="CS248" i="9"/>
  <c r="DL248" i="9"/>
  <c r="ED157" i="9"/>
  <c r="ED184" i="9"/>
  <c r="ED193" i="9"/>
  <c r="ED221" i="9"/>
  <c r="CC248" i="9"/>
  <c r="EE248" i="9" s="1"/>
  <c r="AC248" i="9"/>
  <c r="T248" i="9"/>
  <c r="AE248" i="9"/>
  <c r="AM248" i="9"/>
  <c r="AW248" i="9"/>
  <c r="BL248" i="9"/>
  <c r="E248" i="9"/>
  <c r="H248" i="9"/>
  <c r="L248" i="9"/>
  <c r="CK248" i="9"/>
  <c r="DB248" i="9"/>
  <c r="ED152" i="9"/>
  <c r="ED161" i="9"/>
  <c r="ED189" i="9"/>
  <c r="ED216" i="9"/>
  <c r="ED225" i="9"/>
  <c r="P248" i="9"/>
  <c r="Z248" i="9"/>
  <c r="AI248" i="9"/>
  <c r="AQ248" i="9"/>
  <c r="BE248" i="9"/>
  <c r="BR248" i="9"/>
  <c r="BG248" i="9"/>
  <c r="DZ248" i="9" s="1"/>
  <c r="ED141" i="9"/>
  <c r="ED241" i="9"/>
  <c r="O248" i="9"/>
  <c r="BD248" i="9"/>
  <c r="G248" i="9"/>
  <c r="X248" i="9"/>
  <c r="ED148" i="9"/>
  <c r="ED232" i="9"/>
  <c r="W248" i="9"/>
  <c r="BQ248" i="9"/>
  <c r="D248" i="9"/>
  <c r="I248" i="9"/>
  <c r="E248" i="40"/>
  <c r="ED168" i="9"/>
  <c r="ED212" i="9"/>
  <c r="AP248" i="9"/>
  <c r="AV252" i="40"/>
  <c r="F248" i="40"/>
  <c r="J248" i="40"/>
  <c r="N248" i="40"/>
  <c r="R248" i="40"/>
  <c r="V248" i="40"/>
  <c r="Z248" i="40"/>
  <c r="AD248" i="40"/>
  <c r="AF248" i="40"/>
  <c r="O248" i="40"/>
  <c r="AE248" i="40"/>
  <c r="E149" i="10"/>
  <c r="G149" i="10"/>
  <c r="ED177" i="9"/>
  <c r="BX248" i="9"/>
  <c r="S248" i="40"/>
  <c r="ED205" i="9"/>
  <c r="J248" i="9"/>
  <c r="K248" i="40"/>
  <c r="AA248" i="40"/>
  <c r="G248" i="40"/>
  <c r="W248" i="40"/>
  <c r="AH248" i="9"/>
  <c r="F248" i="9"/>
  <c r="M149" i="10"/>
  <c r="ED223" i="9"/>
  <c r="Y248" i="9"/>
  <c r="ED203" i="9"/>
  <c r="AG248" i="40"/>
  <c r="I248" i="40"/>
  <c r="ED164" i="9"/>
  <c r="ED154" i="9"/>
  <c r="AB248" i="40"/>
  <c r="ED132" i="9"/>
  <c r="ED228" i="9"/>
  <c r="ED139" i="9"/>
  <c r="DJ248" i="9"/>
  <c r="AY248" i="9"/>
  <c r="AU248" i="9"/>
  <c r="AK248" i="9"/>
  <c r="AB248" i="9"/>
  <c r="ED222" i="9"/>
  <c r="ED207" i="9"/>
  <c r="ED158" i="9"/>
  <c r="ED144" i="9"/>
  <c r="ED138" i="9"/>
  <c r="ED240" i="9"/>
  <c r="ED234" i="9"/>
  <c r="ED219" i="9"/>
  <c r="ED175" i="9"/>
  <c r="DF248" i="9"/>
  <c r="CU248" i="9"/>
  <c r="BY248" i="9"/>
  <c r="ED142" i="9"/>
  <c r="ED243" i="9"/>
  <c r="ED194" i="9"/>
  <c r="ED162" i="9"/>
  <c r="ED131" i="9"/>
  <c r="ED231" i="9"/>
  <c r="ED199" i="9"/>
  <c r="ED182" i="9"/>
  <c r="ED150" i="9"/>
  <c r="ED224" i="9"/>
  <c r="H149" i="10"/>
  <c r="X248" i="40"/>
  <c r="O149" i="10"/>
  <c r="K248" i="9"/>
  <c r="D149" i="10"/>
  <c r="U248" i="40"/>
  <c r="CT248" i="9"/>
  <c r="BS248" i="9"/>
  <c r="CP248" i="9"/>
  <c r="CG248" i="9"/>
  <c r="BN248" i="9"/>
  <c r="V248" i="9"/>
  <c r="ED208" i="9"/>
  <c r="AZ248" i="9"/>
  <c r="CD248" i="9"/>
  <c r="CW248" i="9"/>
  <c r="DI248" i="9"/>
  <c r="CQ248" i="9"/>
  <c r="ED206" i="9"/>
  <c r="ED191" i="9"/>
  <c r="ED242" i="9"/>
  <c r="ED211" i="9"/>
  <c r="ED179" i="9"/>
  <c r="ED130" i="9"/>
  <c r="ED230" i="9"/>
  <c r="ED167" i="9"/>
  <c r="ED135" i="9"/>
  <c r="J149" i="10"/>
  <c r="T248" i="40"/>
  <c r="Q248" i="40"/>
  <c r="Y248" i="40"/>
  <c r="L248" i="40"/>
  <c r="ED196" i="9"/>
  <c r="ED174" i="9"/>
  <c r="ED238" i="9"/>
  <c r="BA248" i="9"/>
  <c r="DW248" i="9" s="1"/>
  <c r="ED159" i="9"/>
  <c r="DG248" i="9"/>
  <c r="CX248" i="9"/>
  <c r="CL248" i="9"/>
  <c r="BJ248" i="9"/>
  <c r="AO248" i="9"/>
  <c r="AG248" i="9"/>
  <c r="R248" i="9"/>
  <c r="ED202" i="9"/>
  <c r="ED187" i="9"/>
  <c r="ED143" i="9"/>
  <c r="ED239" i="9"/>
  <c r="ED190" i="9"/>
  <c r="ED176" i="9"/>
  <c r="ED170" i="9"/>
  <c r="ED155" i="9"/>
  <c r="CO248" i="9"/>
  <c r="DD248" i="9"/>
  <c r="CM248" i="9"/>
  <c r="ED235" i="9"/>
  <c r="DH248" i="9"/>
  <c r="ED227" i="9"/>
  <c r="ED210" i="9"/>
  <c r="ED178" i="9"/>
  <c r="ED147" i="9"/>
  <c r="ED129" i="9"/>
  <c r="ED215" i="9"/>
  <c r="ED198" i="9"/>
  <c r="ED166" i="9"/>
  <c r="ED134" i="9"/>
  <c r="M248" i="40"/>
  <c r="AC248" i="40"/>
  <c r="H248" i="40"/>
  <c r="I149" i="10"/>
  <c r="P248" i="40"/>
  <c r="CE248" i="9"/>
  <c r="EG248" i="9" s="1"/>
  <c r="ED218" i="9"/>
  <c r="ED160" i="9"/>
  <c r="DC248" i="9"/>
  <c r="BF248" i="9"/>
  <c r="DY248" i="9" s="1"/>
  <c r="BC248" i="9"/>
  <c r="N248" i="9"/>
  <c r="CI248" i="9"/>
  <c r="DO248" i="9"/>
  <c r="CA248" i="9"/>
  <c r="CY248" i="9"/>
  <c r="CH248" i="9"/>
  <c r="ED192" i="9"/>
  <c r="ED186" i="9"/>
  <c r="ED171" i="9"/>
  <c r="DM248" i="9"/>
  <c r="ED226" i="9"/>
  <c r="CF248" i="9"/>
  <c r="EH248" i="9" s="1"/>
  <c r="ED195" i="9"/>
  <c r="ED163" i="9"/>
  <c r="ED146" i="9"/>
  <c r="ED246" i="9"/>
  <c r="ED214" i="9"/>
  <c r="ED183" i="9"/>
  <c r="ED151" i="9"/>
  <c r="F149" i="10"/>
  <c r="S149" i="10" s="1"/>
  <c r="ED253" i="9"/>
  <c r="L149" i="10"/>
  <c r="K149" i="10"/>
  <c r="N149" i="10"/>
  <c r="BD81" i="42"/>
  <c r="AJ81" i="42"/>
  <c r="AG103" i="60" s="1"/>
  <c r="M114" i="42"/>
  <c r="AJ82" i="42"/>
  <c r="AG104" i="60" s="1"/>
  <c r="BD82" i="42"/>
  <c r="M115" i="42"/>
  <c r="AC139" i="60"/>
  <c r="AN86" i="42"/>
  <c r="AB86" i="42"/>
  <c r="AB119" i="42" s="1"/>
  <c r="Y119" i="42"/>
  <c r="BC74" i="42"/>
  <c r="BB74" i="42"/>
  <c r="I26" i="32"/>
  <c r="H27" i="32"/>
  <c r="BC69" i="42"/>
  <c r="BB69" i="42"/>
  <c r="AB38" i="60"/>
  <c r="AF91" i="42"/>
  <c r="AD124" i="42"/>
  <c r="V152" i="10"/>
  <c r="U152" i="10"/>
  <c r="DP251" i="9"/>
  <c r="DQ251" i="9"/>
  <c r="AN122" i="60"/>
  <c r="AD55" i="60"/>
  <c r="Z111" i="60"/>
  <c r="Z169" i="60" s="1"/>
  <c r="AK25" i="18"/>
  <c r="K25" i="18"/>
  <c r="I25" i="18"/>
  <c r="J25" i="18"/>
  <c r="H25" i="18"/>
  <c r="AC37" i="60"/>
  <c r="AM127" i="60"/>
  <c r="BB88" i="42"/>
  <c r="BC88" i="42"/>
  <c r="AB47" i="60"/>
  <c r="AC38" i="60"/>
  <c r="AM128" i="60"/>
  <c r="AG49" i="60"/>
  <c r="AI37" i="18"/>
  <c r="U37" i="18"/>
  <c r="AC47" i="60"/>
  <c r="AM137" i="60"/>
  <c r="L55" i="60"/>
  <c r="AI36" i="18"/>
  <c r="U36" i="18"/>
  <c r="AP82" i="42"/>
  <c r="CI17" i="60"/>
  <c r="AD90" i="42"/>
  <c r="S123" i="42"/>
  <c r="ED247" i="9"/>
  <c r="EJ247" i="9"/>
  <c r="DR247" i="9"/>
  <c r="AU73" i="42"/>
  <c r="AL20" i="18"/>
  <c r="AI20" i="18"/>
  <c r="U20" i="18"/>
  <c r="AB36" i="60"/>
  <c r="O45" i="37"/>
  <c r="U51" i="37"/>
  <c r="BD83" i="42"/>
  <c r="AJ83" i="42"/>
  <c r="AG105" i="60" s="1"/>
  <c r="M116" i="42"/>
  <c r="X111" i="60"/>
  <c r="X169" i="60" s="1"/>
  <c r="V15" i="18"/>
  <c r="AJ15" i="18"/>
  <c r="AL15" i="18" s="1"/>
  <c r="B26" i="32"/>
  <c r="BE19" i="18"/>
  <c r="P19" i="18"/>
  <c r="O19" i="18"/>
  <c r="Q19" i="18"/>
  <c r="N19" i="18"/>
  <c r="L16" i="18"/>
  <c r="AC125" i="60"/>
  <c r="AN72" i="42"/>
  <c r="AB72" i="42"/>
  <c r="AB94" i="42" s="1"/>
  <c r="AB127" i="42" s="1"/>
  <c r="Y105" i="42"/>
  <c r="AC48" i="60"/>
  <c r="AM138" i="60"/>
  <c r="BC82" i="42"/>
  <c r="BB82" i="42"/>
  <c r="AD86" i="42"/>
  <c r="S119" i="42"/>
  <c r="M30" i="37"/>
  <c r="ED252" i="9"/>
  <c r="AK24" i="18"/>
  <c r="J24" i="18"/>
  <c r="H24" i="18"/>
  <c r="K24" i="18"/>
  <c r="I24" i="18"/>
  <c r="AC53" i="60"/>
  <c r="AM143" i="60"/>
  <c r="N31" i="18"/>
  <c r="O31" i="18"/>
  <c r="P31" i="18"/>
  <c r="BE31" i="18"/>
  <c r="Q31" i="18"/>
  <c r="T18" i="18"/>
  <c r="AH18" i="18"/>
  <c r="F34" i="54"/>
  <c r="G1" i="54"/>
  <c r="AJ35" i="18"/>
  <c r="V35" i="18"/>
  <c r="R34" i="53"/>
  <c r="R58" i="53" s="1"/>
  <c r="N58" i="53" s="1"/>
  <c r="N60" i="53" s="1"/>
  <c r="P58" i="53"/>
  <c r="BC91" i="42"/>
  <c r="BB91" i="42"/>
  <c r="AU79" i="42"/>
  <c r="AM135" i="60"/>
  <c r="BG17" i="60"/>
  <c r="AC162" i="60"/>
  <c r="AC104" i="60"/>
  <c r="AM104" i="60" s="1"/>
  <c r="AC45" i="60"/>
  <c r="AB53" i="60"/>
  <c r="AD70" i="42"/>
  <c r="AB101" i="42"/>
  <c r="AO82" i="42"/>
  <c r="BJ82" i="42" s="1"/>
  <c r="BI82" i="42" s="1"/>
  <c r="BK82" i="42" s="1"/>
  <c r="CH17" i="60"/>
  <c r="AD73" i="42"/>
  <c r="V21" i="18"/>
  <c r="AJ21" i="18"/>
  <c r="S152" i="10"/>
  <c r="N28" i="18"/>
  <c r="BE28" i="18"/>
  <c r="O28" i="18"/>
  <c r="P28" i="18"/>
  <c r="Q28" i="18"/>
  <c r="AK17" i="18"/>
  <c r="K17" i="18"/>
  <c r="I17" i="18"/>
  <c r="J17" i="18"/>
  <c r="H17" i="18"/>
  <c r="BC77" i="42"/>
  <c r="BB77" i="42"/>
  <c r="AJ37" i="18"/>
  <c r="V37" i="18"/>
  <c r="AF109" i="60"/>
  <c r="AF167" i="60" s="1"/>
  <c r="AA55" i="60"/>
  <c r="K27" i="37"/>
  <c r="K29" i="37" s="1"/>
  <c r="B32" i="37"/>
  <c r="B2" i="37" s="1"/>
  <c r="B27" i="37" s="1"/>
  <c r="B29" i="37" s="1"/>
  <c r="Z26" i="37"/>
  <c r="AK19" i="18"/>
  <c r="J19" i="18"/>
  <c r="H19" i="18"/>
  <c r="K19" i="18"/>
  <c r="I19" i="18"/>
  <c r="AC44" i="60"/>
  <c r="AM134" i="60"/>
  <c r="AB32" i="60"/>
  <c r="AC42" i="60"/>
  <c r="AM132" i="60"/>
  <c r="J55" i="60"/>
  <c r="Z55" i="60"/>
  <c r="E55" i="60"/>
  <c r="U55" i="60"/>
  <c r="AF134" i="60"/>
  <c r="BD80" i="42"/>
  <c r="M113" i="42"/>
  <c r="AC160" i="60"/>
  <c r="BG15" i="60"/>
  <c r="AC102" i="60"/>
  <c r="AM102" i="60" s="1"/>
  <c r="AM133" i="60"/>
  <c r="AC43" i="60"/>
  <c r="AL145" i="60"/>
  <c r="AU71" i="42"/>
  <c r="AC54" i="60"/>
  <c r="AM144" i="60"/>
  <c r="AF78" i="42"/>
  <c r="AD111" i="42"/>
  <c r="M86" i="42"/>
  <c r="G119" i="42"/>
  <c r="AF80" i="42"/>
  <c r="AG80" i="42"/>
  <c r="AD113" i="42"/>
  <c r="AU88" i="42"/>
  <c r="R27" i="18"/>
  <c r="L27" i="18"/>
  <c r="Z27" i="18"/>
  <c r="W39" i="18"/>
  <c r="AD92" i="42"/>
  <c r="S125" i="42"/>
  <c r="AO87" i="42"/>
  <c r="BJ87" i="42" s="1"/>
  <c r="BI87" i="42" s="1"/>
  <c r="BK87" i="42" s="1"/>
  <c r="CH22" i="60"/>
  <c r="AF126" i="60"/>
  <c r="N34" i="18"/>
  <c r="O34" i="18"/>
  <c r="Q34" i="18"/>
  <c r="BE34" i="18"/>
  <c r="P34" i="18"/>
  <c r="N38" i="18"/>
  <c r="O38" i="18"/>
  <c r="P38" i="18"/>
  <c r="BE38" i="18"/>
  <c r="Q38" i="18"/>
  <c r="AM76" i="42"/>
  <c r="D250" i="40"/>
  <c r="P151" i="10"/>
  <c r="CC250" i="9"/>
  <c r="EE250" i="9" s="1"/>
  <c r="CB250" i="9"/>
  <c r="BP250" i="9"/>
  <c r="CH250" i="9"/>
  <c r="CQ250" i="9"/>
  <c r="CY250" i="9"/>
  <c r="DI250" i="9"/>
  <c r="DH250" i="9"/>
  <c r="CE250" i="9"/>
  <c r="EG250" i="9" s="1"/>
  <c r="M250" i="9"/>
  <c r="Q250" i="9"/>
  <c r="U250" i="9"/>
  <c r="AA250" i="9"/>
  <c r="AF250" i="9"/>
  <c r="AJ250" i="9"/>
  <c r="AN250" i="9"/>
  <c r="AR250" i="9"/>
  <c r="AX250" i="9"/>
  <c r="BI250" i="9"/>
  <c r="BM250" i="9"/>
  <c r="BV250" i="9"/>
  <c r="CJ250" i="9"/>
  <c r="CR250" i="9"/>
  <c r="DA250" i="9"/>
  <c r="DK250" i="9"/>
  <c r="CZ250" i="9"/>
  <c r="EG138" i="9"/>
  <c r="EG139" i="9"/>
  <c r="EG154" i="9"/>
  <c r="EG155" i="9"/>
  <c r="EG170" i="9"/>
  <c r="EG171" i="9"/>
  <c r="EG186" i="9"/>
  <c r="EG187" i="9"/>
  <c r="EG202" i="9"/>
  <c r="EG203" i="9"/>
  <c r="EG218" i="9"/>
  <c r="EG219" i="9"/>
  <c r="EG234" i="9"/>
  <c r="EG235" i="9"/>
  <c r="BA250" i="9"/>
  <c r="DW250" i="9" s="1"/>
  <c r="AT250" i="9"/>
  <c r="DU250" i="9" s="1"/>
  <c r="BO250" i="9"/>
  <c r="EK250" i="9" s="1"/>
  <c r="CN250" i="9"/>
  <c r="DE250" i="9"/>
  <c r="EG134" i="9"/>
  <c r="EG135" i="9"/>
  <c r="EG178" i="9"/>
  <c r="EG179" i="9"/>
  <c r="EG198" i="9"/>
  <c r="EG199" i="9"/>
  <c r="EG242" i="9"/>
  <c r="EG243" i="9"/>
  <c r="BB250" i="9"/>
  <c r="DX250" i="9" s="1"/>
  <c r="AS250" i="9"/>
  <c r="DT250" i="9" s="1"/>
  <c r="BU250" i="9"/>
  <c r="EN250" i="9" s="1"/>
  <c r="BY250" i="9"/>
  <c r="CU250" i="9"/>
  <c r="DM250" i="9"/>
  <c r="EG182" i="9"/>
  <c r="EG183" i="9"/>
  <c r="BW250" i="9"/>
  <c r="P250" i="9"/>
  <c r="Z250" i="9"/>
  <c r="AI250" i="9"/>
  <c r="AQ250" i="9"/>
  <c r="BE250" i="9"/>
  <c r="BR250" i="9"/>
  <c r="BG250" i="9"/>
  <c r="DZ250" i="9" s="1"/>
  <c r="AY250" i="9"/>
  <c r="J250" i="9"/>
  <c r="Y250" i="9"/>
  <c r="CM250" i="9"/>
  <c r="DD250" i="9"/>
  <c r="EG150" i="9"/>
  <c r="EG151" i="9"/>
  <c r="EG214" i="9"/>
  <c r="EG215" i="9"/>
  <c r="AC250" i="9"/>
  <c r="T250" i="9"/>
  <c r="AE250" i="9"/>
  <c r="AM250" i="9"/>
  <c r="AW250" i="9"/>
  <c r="BL250" i="9"/>
  <c r="D250" i="9"/>
  <c r="H250" i="9"/>
  <c r="X250" i="9"/>
  <c r="G250" i="40"/>
  <c r="I250" i="40"/>
  <c r="K250" i="40"/>
  <c r="M250" i="40"/>
  <c r="O250" i="40"/>
  <c r="Q250" i="40"/>
  <c r="S250" i="40"/>
  <c r="U250" i="40"/>
  <c r="W250" i="40"/>
  <c r="Y250" i="40"/>
  <c r="AA250" i="40"/>
  <c r="AC250" i="40"/>
  <c r="AE250" i="40"/>
  <c r="BZ250" i="9"/>
  <c r="EG146" i="9"/>
  <c r="EG147" i="9"/>
  <c r="EG230" i="9"/>
  <c r="EG231" i="9"/>
  <c r="AZ250" i="9"/>
  <c r="E250" i="40"/>
  <c r="DN250" i="9"/>
  <c r="EG166" i="9"/>
  <c r="EG167" i="9"/>
  <c r="EG210" i="9"/>
  <c r="EG211" i="9"/>
  <c r="G250" i="9"/>
  <c r="DR250" i="9" s="1"/>
  <c r="L250" i="9"/>
  <c r="CV250" i="9"/>
  <c r="K250" i="9"/>
  <c r="J250" i="40"/>
  <c r="R250" i="40"/>
  <c r="Z250" i="40"/>
  <c r="H250" i="40"/>
  <c r="P250" i="40"/>
  <c r="X250" i="40"/>
  <c r="F250" i="9"/>
  <c r="L250" i="40"/>
  <c r="T250" i="40"/>
  <c r="AB250" i="40"/>
  <c r="E151" i="10"/>
  <c r="M151" i="10"/>
  <c r="AD250" i="40"/>
  <c r="F250" i="40"/>
  <c r="N250" i="40"/>
  <c r="V250" i="40"/>
  <c r="H151" i="10"/>
  <c r="EG224" i="9"/>
  <c r="EG253" i="9"/>
  <c r="E250" i="9"/>
  <c r="AV250" i="9"/>
  <c r="W250" i="9"/>
  <c r="EG190" i="9"/>
  <c r="EG195" i="9"/>
  <c r="EG244" i="9"/>
  <c r="EG208" i="9"/>
  <c r="EG189" i="9"/>
  <c r="EG174" i="9"/>
  <c r="BF250" i="9"/>
  <c r="DY250" i="9" s="1"/>
  <c r="BJ250" i="9"/>
  <c r="AK250" i="9"/>
  <c r="R250" i="9"/>
  <c r="EG212" i="9"/>
  <c r="EG177" i="9"/>
  <c r="EG157" i="9"/>
  <c r="EG142" i="9"/>
  <c r="EG237" i="9"/>
  <c r="EG222" i="9"/>
  <c r="EG164" i="9"/>
  <c r="CT250" i="9"/>
  <c r="EG229" i="9"/>
  <c r="EG200" i="9"/>
  <c r="EG168" i="9"/>
  <c r="EG149" i="9"/>
  <c r="DF250" i="9"/>
  <c r="CO250" i="9"/>
  <c r="EG217" i="9"/>
  <c r="EG188" i="9"/>
  <c r="EG156" i="9"/>
  <c r="G151" i="10"/>
  <c r="J151" i="10"/>
  <c r="EG161" i="9"/>
  <c r="D151" i="10"/>
  <c r="BQ250" i="9"/>
  <c r="AP250" i="9"/>
  <c r="S250" i="9"/>
  <c r="EG196" i="9"/>
  <c r="EG175" i="9"/>
  <c r="EG141" i="9"/>
  <c r="EG239" i="9"/>
  <c r="CD250" i="9"/>
  <c r="EF250" i="9" s="1"/>
  <c r="EG194" i="9"/>
  <c r="EG225" i="9"/>
  <c r="EG162" i="9"/>
  <c r="EG238" i="9"/>
  <c r="BC250" i="9"/>
  <c r="AG250" i="9"/>
  <c r="N250" i="9"/>
  <c r="EG191" i="9"/>
  <c r="EG176" i="9"/>
  <c r="EG173" i="9"/>
  <c r="EG158" i="9"/>
  <c r="DG250" i="9"/>
  <c r="CP250" i="9"/>
  <c r="EG216" i="9"/>
  <c r="EG197" i="9"/>
  <c r="EG165" i="9"/>
  <c r="EG136" i="9"/>
  <c r="DB250" i="9"/>
  <c r="CK250" i="9"/>
  <c r="BS250" i="9"/>
  <c r="EL250" i="9" s="1"/>
  <c r="EG129" i="9"/>
  <c r="EG236" i="9"/>
  <c r="EG204" i="9"/>
  <c r="EG185" i="9"/>
  <c r="EG153" i="9"/>
  <c r="AL250" i="9"/>
  <c r="I250" i="9"/>
  <c r="EG131" i="9"/>
  <c r="EG252" i="9"/>
  <c r="AG250" i="40"/>
  <c r="BK250" i="9"/>
  <c r="AH250" i="9"/>
  <c r="O250" i="9"/>
  <c r="EG130" i="9"/>
  <c r="AF250" i="40"/>
  <c r="EG205" i="9"/>
  <c r="EG160" i="9"/>
  <c r="EG209" i="9"/>
  <c r="CI250" i="9"/>
  <c r="EG159" i="9"/>
  <c r="EG145" i="9"/>
  <c r="AU250" i="9"/>
  <c r="AB250" i="9"/>
  <c r="EG241" i="9"/>
  <c r="EG221" i="9"/>
  <c r="BH250" i="9"/>
  <c r="EA250" i="9" s="1"/>
  <c r="BX250" i="9"/>
  <c r="CF250" i="9"/>
  <c r="EH250" i="9" s="1"/>
  <c r="EG192" i="9"/>
  <c r="DC250" i="9"/>
  <c r="CL250" i="9"/>
  <c r="EG245" i="9"/>
  <c r="EG213" i="9"/>
  <c r="EG184" i="9"/>
  <c r="EG133" i="9"/>
  <c r="DO250" i="9"/>
  <c r="CW250" i="9"/>
  <c r="CA250" i="9"/>
  <c r="EG233" i="9"/>
  <c r="EG201" i="9"/>
  <c r="EG172" i="9"/>
  <c r="EG140" i="9"/>
  <c r="EG226" i="9"/>
  <c r="I151" i="10"/>
  <c r="BD250" i="9"/>
  <c r="AD250" i="9"/>
  <c r="EG163" i="9"/>
  <c r="EG227" i="9"/>
  <c r="EG132" i="9"/>
  <c r="EG223" i="9"/>
  <c r="EG180" i="9"/>
  <c r="EG144" i="9"/>
  <c r="BN250" i="9"/>
  <c r="AO250" i="9"/>
  <c r="V250" i="9"/>
  <c r="EG240" i="9"/>
  <c r="EG206" i="9"/>
  <c r="EG148" i="9"/>
  <c r="BT250" i="9"/>
  <c r="EM250" i="9" s="1"/>
  <c r="EG228" i="9"/>
  <c r="EG207" i="9"/>
  <c r="EG193" i="9"/>
  <c r="EG143" i="9"/>
  <c r="DJ250" i="9"/>
  <c r="CX250" i="9"/>
  <c r="CG250" i="9"/>
  <c r="EG232" i="9"/>
  <c r="EG181" i="9"/>
  <c r="EG152" i="9"/>
  <c r="DL250" i="9"/>
  <c r="CS250" i="9"/>
  <c r="EG220" i="9"/>
  <c r="EG169" i="9"/>
  <c r="EG137" i="9"/>
  <c r="N151" i="10"/>
  <c r="O151" i="10"/>
  <c r="K151" i="10"/>
  <c r="F151" i="10"/>
  <c r="L151" i="10"/>
  <c r="EG246" i="9"/>
  <c r="BC84" i="42"/>
  <c r="BB84" i="42"/>
  <c r="AC51" i="60"/>
  <c r="AM141" i="60"/>
  <c r="AD69" i="42"/>
  <c r="AD84" i="42"/>
  <c r="S117" i="42"/>
  <c r="EG251" i="9"/>
  <c r="EF251" i="9"/>
  <c r="EI251" i="9"/>
  <c r="EJ251" i="9"/>
  <c r="ED251" i="9"/>
  <c r="BB75" i="42"/>
  <c r="BC75" i="42"/>
  <c r="P55" i="60"/>
  <c r="C55" i="60"/>
  <c r="K55" i="60"/>
  <c r="S55" i="60"/>
  <c r="AD79" i="42"/>
  <c r="S112" i="42"/>
  <c r="R27" i="37"/>
  <c r="R29" i="37" s="1"/>
  <c r="F26" i="32"/>
  <c r="AO140" i="60"/>
  <c r="AU90" i="42"/>
  <c r="AF83" i="42"/>
  <c r="AG83" i="42"/>
  <c r="AD116" i="42"/>
  <c r="AO135" i="60"/>
  <c r="AB31" i="60"/>
  <c r="AB145" i="60"/>
  <c r="AF127" i="60"/>
  <c r="AF142" i="60"/>
  <c r="T36" i="18"/>
  <c r="AH36" i="18"/>
  <c r="AU89" i="42"/>
  <c r="EI247" i="9"/>
  <c r="EG247" i="9"/>
  <c r="EB247" i="9"/>
  <c r="DS247" i="9"/>
  <c r="S148" i="10"/>
  <c r="EL247" i="9"/>
  <c r="EC247" i="9"/>
  <c r="EN247" i="9"/>
  <c r="AH20" i="18"/>
  <c r="T20" i="18"/>
  <c r="L30" i="37"/>
  <c r="J27" i="37"/>
  <c r="J29" i="37" s="1"/>
  <c r="Y2" i="37"/>
  <c r="Y27" i="37"/>
  <c r="Y29" i="37" s="1"/>
  <c r="AF133" i="60"/>
  <c r="AF102" i="60"/>
  <c r="AD88" i="42"/>
  <c r="AF15" i="18"/>
  <c r="S15" i="18"/>
  <c r="N16" i="18"/>
  <c r="O16" i="18"/>
  <c r="BE16" i="18"/>
  <c r="Q16" i="18"/>
  <c r="P16" i="18"/>
  <c r="R33" i="18"/>
  <c r="L33" i="18"/>
  <c r="Z33" i="18"/>
  <c r="AB40" i="60"/>
  <c r="AD89" i="42"/>
  <c r="B30" i="37"/>
  <c r="AF132" i="60"/>
  <c r="AB49" i="60"/>
  <c r="U18" i="18"/>
  <c r="AI18" i="18"/>
  <c r="V18" i="18"/>
  <c r="AJ18" i="18"/>
  <c r="T148" i="10"/>
  <c r="S35" i="18"/>
  <c r="X35" i="18" s="1"/>
  <c r="AF35" i="18"/>
  <c r="AL35" i="18" s="1"/>
  <c r="AF87" i="42"/>
  <c r="AG87" i="42"/>
  <c r="AD120" i="42"/>
  <c r="G55" i="60"/>
  <c r="W55" i="60"/>
  <c r="L32" i="18"/>
  <c r="AD85" i="42"/>
  <c r="AP87" i="42"/>
  <c r="CI22" i="60"/>
  <c r="AH26" i="18"/>
  <c r="T26" i="18"/>
  <c r="AG76" i="60"/>
  <c r="AJ47" i="60"/>
  <c r="F55" i="60"/>
  <c r="V55" i="60"/>
  <c r="I55" i="60"/>
  <c r="Y55" i="60"/>
  <c r="N29" i="18"/>
  <c r="O29" i="18"/>
  <c r="P29" i="18"/>
  <c r="Q29" i="18"/>
  <c r="BE29" i="18"/>
  <c r="N30" i="18"/>
  <c r="Q30" i="18"/>
  <c r="BE30" i="18"/>
  <c r="P30" i="18"/>
  <c r="O30" i="18"/>
  <c r="AC40" i="60"/>
  <c r="AM130" i="60"/>
  <c r="AC31" i="60"/>
  <c r="AM121" i="60"/>
  <c r="AF21" i="18"/>
  <c r="S21" i="18"/>
  <c r="AU74" i="42"/>
  <c r="AL21" i="18"/>
  <c r="AC32" i="60"/>
  <c r="AM122" i="60"/>
  <c r="AJ19" i="18" l="1"/>
  <c r="V19" i="18"/>
  <c r="AF86" i="42"/>
  <c r="AG86" i="42"/>
  <c r="AD119" i="42"/>
  <c r="AF31" i="18"/>
  <c r="S31" i="18"/>
  <c r="AC39" i="60"/>
  <c r="AM129" i="60"/>
  <c r="AF129" i="60"/>
  <c r="AI23" i="18"/>
  <c r="U23" i="18"/>
  <c r="AQ87" i="42"/>
  <c r="CJ22" i="60"/>
  <c r="T22" i="18"/>
  <c r="AH22" i="18"/>
  <c r="AF77" i="42"/>
  <c r="AD110" i="42"/>
  <c r="DV249" i="9"/>
  <c r="EF249" i="9"/>
  <c r="EJ249" i="9"/>
  <c r="EH249" i="9"/>
  <c r="AH30" i="18"/>
  <c r="T30" i="18"/>
  <c r="AI29" i="18"/>
  <c r="U29" i="18"/>
  <c r="S28" i="18"/>
  <c r="AF28" i="18"/>
  <c r="AI34" i="18"/>
  <c r="U34" i="18"/>
  <c r="AF38" i="18"/>
  <c r="S38" i="18"/>
  <c r="K33" i="18"/>
  <c r="I33" i="18"/>
  <c r="J33" i="18"/>
  <c r="H33" i="18"/>
  <c r="AK33" i="18"/>
  <c r="AF92" i="42"/>
  <c r="AF125" i="42" s="1"/>
  <c r="AD125" i="42"/>
  <c r="AJ86" i="42"/>
  <c r="AG108" i="60" s="1"/>
  <c r="BD86" i="42"/>
  <c r="M119" i="42"/>
  <c r="AU70" i="42"/>
  <c r="T24" i="18"/>
  <c r="AH24" i="18"/>
  <c r="AI25" i="18"/>
  <c r="U25" i="18"/>
  <c r="AL37" i="18"/>
  <c r="S19" i="18"/>
  <c r="AF19" i="18"/>
  <c r="AQ82" i="42"/>
  <c r="CJ17" i="60"/>
  <c r="V24" i="18"/>
  <c r="AJ24" i="18"/>
  <c r="AG78" i="60"/>
  <c r="AJ49" i="60"/>
  <c r="T25" i="18"/>
  <c r="AH25" i="18"/>
  <c r="J26" i="32"/>
  <c r="I27" i="32"/>
  <c r="T149" i="10"/>
  <c r="U149" i="10"/>
  <c r="EL248" i="9"/>
  <c r="U31" i="18"/>
  <c r="AI31" i="18"/>
  <c r="T23" i="18"/>
  <c r="AH23" i="18"/>
  <c r="AF82" i="42"/>
  <c r="AG82" i="42"/>
  <c r="AD115" i="42"/>
  <c r="ED249" i="9"/>
  <c r="S30" i="18"/>
  <c r="AF30" i="18"/>
  <c r="AL30" i="18" s="1"/>
  <c r="AJ30" i="18"/>
  <c r="V30" i="18"/>
  <c r="T29" i="18"/>
  <c r="AH29" i="18"/>
  <c r="AI28" i="18"/>
  <c r="U28" i="18"/>
  <c r="T38" i="18"/>
  <c r="AH38" i="18"/>
  <c r="AL38" i="18" s="1"/>
  <c r="X21" i="18"/>
  <c r="AC145" i="60"/>
  <c r="AK32" i="18"/>
  <c r="J32" i="18"/>
  <c r="H32" i="18"/>
  <c r="I32" i="18"/>
  <c r="K32" i="18"/>
  <c r="AG140" i="60"/>
  <c r="AH140" i="60" s="1"/>
  <c r="AI140" i="60" s="1"/>
  <c r="AF120" i="42"/>
  <c r="BE87" i="42"/>
  <c r="AB55" i="60"/>
  <c r="AG136" i="60"/>
  <c r="AF116" i="42"/>
  <c r="BE83" i="42"/>
  <c r="AF79" i="42"/>
  <c r="AD112" i="42"/>
  <c r="AF84" i="42"/>
  <c r="AG84" i="42"/>
  <c r="AD117" i="42"/>
  <c r="S151" i="10"/>
  <c r="U151" i="10"/>
  <c r="V151" i="10"/>
  <c r="DS250" i="9"/>
  <c r="EB250" i="9"/>
  <c r="EJ250" i="9"/>
  <c r="N27" i="18"/>
  <c r="O27" i="18"/>
  <c r="BE27" i="18"/>
  <c r="P27" i="18"/>
  <c r="P39" i="18" s="1"/>
  <c r="Q27" i="18"/>
  <c r="AG133" i="60"/>
  <c r="AH133" i="60" s="1"/>
  <c r="AI133" i="60" s="1"/>
  <c r="AF113" i="42"/>
  <c r="AI19" i="18"/>
  <c r="U19" i="18"/>
  <c r="AH17" i="18"/>
  <c r="T17" i="18"/>
  <c r="AF70" i="42"/>
  <c r="AD103" i="42"/>
  <c r="AF24" i="18"/>
  <c r="S24" i="18"/>
  <c r="BE82" i="42"/>
  <c r="AC35" i="60"/>
  <c r="AC55" i="60" s="1"/>
  <c r="AM125" i="60"/>
  <c r="AF125" i="60"/>
  <c r="T51" i="37"/>
  <c r="U21" i="37"/>
  <c r="U27" i="37" s="1"/>
  <c r="U29" i="37" s="1"/>
  <c r="AJ25" i="18"/>
  <c r="V25" i="18"/>
  <c r="AG144" i="60"/>
  <c r="AH144" i="60" s="1"/>
  <c r="AI144" i="60" s="1"/>
  <c r="AF124" i="42"/>
  <c r="EJ248" i="9"/>
  <c r="EF248" i="9"/>
  <c r="DV248" i="9"/>
  <c r="EB248" i="9"/>
  <c r="DS248" i="9"/>
  <c r="AG121" i="60"/>
  <c r="AH121" i="60" s="1"/>
  <c r="AI121" i="60" s="1"/>
  <c r="AF101" i="42"/>
  <c r="AJ31" i="18"/>
  <c r="V31" i="18"/>
  <c r="AB109" i="42"/>
  <c r="AD76" i="42"/>
  <c r="AJ23" i="18"/>
  <c r="V23" i="18"/>
  <c r="X18" i="18"/>
  <c r="AF81" i="42"/>
  <c r="AG81" i="42"/>
  <c r="AD114" i="42"/>
  <c r="U22" i="18"/>
  <c r="AI22" i="18"/>
  <c r="AU75" i="42"/>
  <c r="S150" i="10"/>
  <c r="V150" i="10"/>
  <c r="DP249" i="9"/>
  <c r="DQ249" i="9"/>
  <c r="EI249" i="9"/>
  <c r="X36" i="18"/>
  <c r="X37" i="18"/>
  <c r="AI30" i="18"/>
  <c r="U30" i="18"/>
  <c r="AJ29" i="18"/>
  <c r="V29" i="18"/>
  <c r="AJ28" i="18"/>
  <c r="V28" i="18"/>
  <c r="AL28" i="18"/>
  <c r="T34" i="18"/>
  <c r="AH34" i="18"/>
  <c r="AJ38" i="18"/>
  <c r="V38" i="18"/>
  <c r="AF89" i="42"/>
  <c r="AD122" i="42"/>
  <c r="AF88" i="42"/>
  <c r="AD121" i="42"/>
  <c r="DQ250" i="9"/>
  <c r="DP250" i="9"/>
  <c r="EI250" i="9"/>
  <c r="AQ80" i="42"/>
  <c r="CJ15" i="60"/>
  <c r="AF17" i="18"/>
  <c r="S17" i="18"/>
  <c r="AU77" i="42"/>
  <c r="AB105" i="42"/>
  <c r="AD72" i="42"/>
  <c r="P45" i="37"/>
  <c r="P15" i="37" s="1"/>
  <c r="P27" i="37" s="1"/>
  <c r="P29" i="37" s="1"/>
  <c r="O15" i="37"/>
  <c r="V149" i="10"/>
  <c r="AF85" i="42"/>
  <c r="AG85" i="42"/>
  <c r="AD118" i="42"/>
  <c r="N33" i="18"/>
  <c r="O33" i="18"/>
  <c r="Q33" i="18"/>
  <c r="P33" i="18"/>
  <c r="BE33" i="18"/>
  <c r="X15" i="18"/>
  <c r="AL36" i="18"/>
  <c r="BE84" i="42"/>
  <c r="J27" i="18"/>
  <c r="H27" i="18"/>
  <c r="K27" i="18"/>
  <c r="I27" i="18"/>
  <c r="AK27" i="18"/>
  <c r="AL18" i="18"/>
  <c r="U17" i="18"/>
  <c r="AI17" i="18"/>
  <c r="AF73" i="42"/>
  <c r="AD106" i="42"/>
  <c r="DQ248" i="9"/>
  <c r="DP248" i="9"/>
  <c r="T31" i="18"/>
  <c r="AH31" i="18"/>
  <c r="AN145" i="60"/>
  <c r="AU76" i="42"/>
  <c r="AF75" i="42"/>
  <c r="AD108" i="42"/>
  <c r="DW128" i="9"/>
  <c r="DV4" i="9"/>
  <c r="AJ22" i="18"/>
  <c r="V22" i="18"/>
  <c r="DR249" i="9"/>
  <c r="EG249" i="9"/>
  <c r="R39" i="18"/>
  <c r="S34" i="18"/>
  <c r="AF34" i="18"/>
  <c r="AL34" i="18" s="1"/>
  <c r="AF160" i="60"/>
  <c r="AF69" i="42"/>
  <c r="AD102" i="42"/>
  <c r="T151" i="10"/>
  <c r="DV250" i="9"/>
  <c r="EC250" i="9"/>
  <c r="ED250" i="9"/>
  <c r="AG131" i="60"/>
  <c r="AH131" i="60" s="1"/>
  <c r="AI131" i="60" s="1"/>
  <c r="AF111" i="42"/>
  <c r="AH19" i="18"/>
  <c r="T19" i="18"/>
  <c r="AU72" i="42"/>
  <c r="AL19" i="18"/>
  <c r="AB27" i="37"/>
  <c r="AB26" i="37"/>
  <c r="V17" i="18"/>
  <c r="AJ17" i="18"/>
  <c r="AL26" i="18"/>
  <c r="G34" i="54"/>
  <c r="H1" i="54"/>
  <c r="AI24" i="18"/>
  <c r="U24" i="18"/>
  <c r="AK16" i="18"/>
  <c r="J16" i="18"/>
  <c r="H16" i="18"/>
  <c r="I16" i="18"/>
  <c r="K16" i="18"/>
  <c r="L39" i="18"/>
  <c r="AK39" i="18" s="1"/>
  <c r="AF90" i="42"/>
  <c r="AD123" i="42"/>
  <c r="AF25" i="18"/>
  <c r="AL25" i="18" s="1"/>
  <c r="S25" i="18"/>
  <c r="AU78" i="42"/>
  <c r="AC49" i="60"/>
  <c r="AM139" i="60"/>
  <c r="AF139" i="60"/>
  <c r="EI248" i="9"/>
  <c r="DR248" i="9"/>
  <c r="EC248" i="9"/>
  <c r="EN248" i="9"/>
  <c r="AN94" i="42"/>
  <c r="Y127" i="42"/>
  <c r="AL31" i="18"/>
  <c r="X20" i="18"/>
  <c r="AF104" i="60"/>
  <c r="AF162" i="60" s="1"/>
  <c r="AF23" i="18"/>
  <c r="S23" i="18"/>
  <c r="X23" i="18" s="1"/>
  <c r="X26" i="18"/>
  <c r="AG124" i="60"/>
  <c r="AH124" i="60" s="1"/>
  <c r="AI124" i="60" s="1"/>
  <c r="AF104" i="42"/>
  <c r="AF74" i="42"/>
  <c r="AD107" i="42"/>
  <c r="AF22" i="18"/>
  <c r="S22" i="18"/>
  <c r="EB249" i="9"/>
  <c r="DS249" i="9"/>
  <c r="AF145" i="60"/>
  <c r="AF29" i="18"/>
  <c r="S29" i="18"/>
  <c r="X29" i="18" s="1"/>
  <c r="T28" i="18"/>
  <c r="AH28" i="18"/>
  <c r="AJ34" i="18"/>
  <c r="V34" i="18"/>
  <c r="BE80" i="42"/>
  <c r="U38" i="18"/>
  <c r="AI38" i="18"/>
  <c r="AU91" i="42"/>
  <c r="AD60" i="37"/>
  <c r="U53" i="18" l="1"/>
  <c r="U80" i="18" s="1"/>
  <c r="AP26" i="18" s="1"/>
  <c r="AW26" i="18" s="1"/>
  <c r="U45" i="18"/>
  <c r="U72" i="18" s="1"/>
  <c r="AP18" i="18" s="1"/>
  <c r="AW18" i="18" s="1"/>
  <c r="U51" i="18"/>
  <c r="U78" i="18" s="1"/>
  <c r="AP24" i="18" s="1"/>
  <c r="U47" i="18"/>
  <c r="U74" i="18" s="1"/>
  <c r="AP20" i="18" s="1"/>
  <c r="AW20" i="18" s="1"/>
  <c r="U52" i="18"/>
  <c r="U79" i="18" s="1"/>
  <c r="AP25" i="18" s="1"/>
  <c r="U48" i="18"/>
  <c r="U75" i="18" s="1"/>
  <c r="AP21" i="18" s="1"/>
  <c r="AW21" i="18" s="1"/>
  <c r="U44" i="18"/>
  <c r="U71" i="18" s="1"/>
  <c r="AP17" i="18" s="1"/>
  <c r="U64" i="18"/>
  <c r="U91" i="18" s="1"/>
  <c r="AP37" i="18" s="1"/>
  <c r="AW37" i="18" s="1"/>
  <c r="U49" i="18"/>
  <c r="U76" i="18" s="1"/>
  <c r="AP22" i="18" s="1"/>
  <c r="AW22" i="18" s="1"/>
  <c r="U63" i="18"/>
  <c r="U90" i="18" s="1"/>
  <c r="AP36" i="18" s="1"/>
  <c r="AW36" i="18" s="1"/>
  <c r="U62" i="18"/>
  <c r="U89" i="18" s="1"/>
  <c r="AP35" i="18" s="1"/>
  <c r="AW35" i="18" s="1"/>
  <c r="U42" i="18"/>
  <c r="U50" i="18"/>
  <c r="U77" i="18" s="1"/>
  <c r="AP23" i="18" s="1"/>
  <c r="U59" i="18"/>
  <c r="U86" i="18" s="1"/>
  <c r="AP32" i="18" s="1"/>
  <c r="U56" i="18"/>
  <c r="U83" i="18" s="1"/>
  <c r="AP29" i="18" s="1"/>
  <c r="U55" i="18"/>
  <c r="U82" i="18" s="1"/>
  <c r="AP28" i="18" s="1"/>
  <c r="U58" i="18"/>
  <c r="U85" i="18" s="1"/>
  <c r="AP31" i="18" s="1"/>
  <c r="U43" i="18"/>
  <c r="U70" i="18" s="1"/>
  <c r="AP16" i="18" s="1"/>
  <c r="U46" i="18"/>
  <c r="U73" i="18" s="1"/>
  <c r="AP19" i="18" s="1"/>
  <c r="U61" i="18"/>
  <c r="U88" i="18" s="1"/>
  <c r="AP34" i="18" s="1"/>
  <c r="U57" i="18"/>
  <c r="U84" i="18" s="1"/>
  <c r="AP30" i="18" s="1"/>
  <c r="U65" i="18"/>
  <c r="U92" i="18" s="1"/>
  <c r="AP38" i="18" s="1"/>
  <c r="AG126" i="60"/>
  <c r="AH126" i="60" s="1"/>
  <c r="AI126" i="60" s="1"/>
  <c r="AF106" i="42"/>
  <c r="X25" i="18"/>
  <c r="V16" i="18"/>
  <c r="AJ16" i="18"/>
  <c r="K39" i="18"/>
  <c r="AJ39" i="18" s="1"/>
  <c r="AU69" i="42"/>
  <c r="H34" i="54"/>
  <c r="I1" i="54"/>
  <c r="AG122" i="60"/>
  <c r="AH122" i="60" s="1"/>
  <c r="AI122" i="60" s="1"/>
  <c r="AF102" i="42"/>
  <c r="X34" i="18"/>
  <c r="AG128" i="60"/>
  <c r="AH128" i="60" s="1"/>
  <c r="AI128" i="60" s="1"/>
  <c r="AF108" i="42"/>
  <c r="AF27" i="18"/>
  <c r="S27" i="18"/>
  <c r="V60" i="18"/>
  <c r="V87" i="18" s="1"/>
  <c r="AQ33" i="18" s="1"/>
  <c r="Z45" i="37"/>
  <c r="AL22" i="18"/>
  <c r="AH104" i="60"/>
  <c r="AI104" i="60" s="1"/>
  <c r="T21" i="37"/>
  <c r="Z51" i="37"/>
  <c r="AG123" i="60"/>
  <c r="AH123" i="60" s="1"/>
  <c r="AI123" i="60" s="1"/>
  <c r="AF103" i="42"/>
  <c r="AW19" i="18"/>
  <c r="S32" i="18"/>
  <c r="AF32" i="18"/>
  <c r="AW28" i="18"/>
  <c r="AW31" i="18"/>
  <c r="AF33" i="18"/>
  <c r="S33" i="18"/>
  <c r="X33" i="18" s="1"/>
  <c r="AW34" i="18"/>
  <c r="AW29" i="18"/>
  <c r="AG130" i="60"/>
  <c r="AH130" i="60" s="1"/>
  <c r="AI130" i="60" s="1"/>
  <c r="AF110" i="42"/>
  <c r="AG138" i="60"/>
  <c r="AF118" i="42"/>
  <c r="AG142" i="60"/>
  <c r="AH142" i="60" s="1"/>
  <c r="AI142" i="60" s="1"/>
  <c r="AF122" i="42"/>
  <c r="U32" i="18"/>
  <c r="AI32" i="18"/>
  <c r="AW38" i="18"/>
  <c r="S16" i="18"/>
  <c r="AF16" i="18"/>
  <c r="H39" i="18"/>
  <c r="AF39" i="18" s="1"/>
  <c r="AW24" i="18"/>
  <c r="BE85" i="42"/>
  <c r="AW17" i="18"/>
  <c r="T27" i="18"/>
  <c r="AH27" i="18"/>
  <c r="AL24" i="18"/>
  <c r="X17" i="18"/>
  <c r="AG141" i="60"/>
  <c r="AH141" i="60" s="1"/>
  <c r="AI141" i="60" s="1"/>
  <c r="AF121" i="42"/>
  <c r="AL29" i="18"/>
  <c r="AG134" i="60"/>
  <c r="AF114" i="42"/>
  <c r="BE81" i="42"/>
  <c r="AF76" i="42"/>
  <c r="AD109" i="42"/>
  <c r="Q39" i="18"/>
  <c r="S54" i="18"/>
  <c r="S81" i="18" s="1"/>
  <c r="N39" i="18"/>
  <c r="AH136" i="60"/>
  <c r="AI136" i="60" s="1"/>
  <c r="AE18" i="60"/>
  <c r="AE46" i="60" s="1"/>
  <c r="V32" i="18"/>
  <c r="AJ32" i="18"/>
  <c r="AL32" i="18"/>
  <c r="AM145" i="60"/>
  <c r="X30" i="18"/>
  <c r="AG135" i="60"/>
  <c r="AF115" i="42"/>
  <c r="AW25" i="18"/>
  <c r="T33" i="18"/>
  <c r="AH33" i="18"/>
  <c r="X28" i="18"/>
  <c r="AH16" i="18"/>
  <c r="T16" i="18"/>
  <c r="I39" i="18"/>
  <c r="AH39" i="18" s="1"/>
  <c r="DX128" i="9"/>
  <c r="DW4" i="9"/>
  <c r="AI27" i="18"/>
  <c r="U27" i="18"/>
  <c r="AW30" i="18"/>
  <c r="X24" i="18"/>
  <c r="O39" i="18"/>
  <c r="T54" i="18" s="1"/>
  <c r="T81" i="18" s="1"/>
  <c r="AO27" i="18" s="1"/>
  <c r="U33" i="18"/>
  <c r="AI33" i="18"/>
  <c r="AW23" i="18"/>
  <c r="X22" i="18"/>
  <c r="AG127" i="60"/>
  <c r="AH127" i="60" s="1"/>
  <c r="AI127" i="60" s="1"/>
  <c r="AF107" i="42"/>
  <c r="AG143" i="60"/>
  <c r="AH143" i="60" s="1"/>
  <c r="AI143" i="60" s="1"/>
  <c r="AF123" i="42"/>
  <c r="AL39" i="18"/>
  <c r="AK40" i="18"/>
  <c r="AI16" i="18"/>
  <c r="AW16" i="18" s="1"/>
  <c r="U16" i="18"/>
  <c r="J39" i="18"/>
  <c r="AI39" i="18" s="1"/>
  <c r="AL23" i="18"/>
  <c r="AJ27" i="18"/>
  <c r="V27" i="18"/>
  <c r="U60" i="18"/>
  <c r="U87" i="18" s="1"/>
  <c r="AP33" i="18" s="1"/>
  <c r="O27" i="37"/>
  <c r="O29" i="37" s="1"/>
  <c r="AA15" i="37"/>
  <c r="AF72" i="42"/>
  <c r="AD105" i="42"/>
  <c r="AD94" i="42"/>
  <c r="AD127" i="42" s="1"/>
  <c r="U54" i="18"/>
  <c r="U81" i="18" s="1"/>
  <c r="AP27" i="18"/>
  <c r="AG137" i="60"/>
  <c r="AF117" i="42"/>
  <c r="AG132" i="60"/>
  <c r="AH132" i="60" s="1"/>
  <c r="AI132" i="60" s="1"/>
  <c r="AF112" i="42"/>
  <c r="T32" i="18"/>
  <c r="AH32" i="18"/>
  <c r="X19" i="18"/>
  <c r="AL17" i="18"/>
  <c r="AL33" i="18"/>
  <c r="V33" i="18"/>
  <c r="AJ33" i="18"/>
  <c r="X38" i="18"/>
  <c r="X31" i="18"/>
  <c r="AG139" i="60"/>
  <c r="AF119" i="42"/>
  <c r="BE86" i="42"/>
  <c r="AE62" i="37"/>
  <c r="AE66" i="37"/>
  <c r="AE60" i="37"/>
  <c r="AE63" i="37"/>
  <c r="AE64" i="37"/>
  <c r="AE65" i="37"/>
  <c r="AE67" i="37"/>
  <c r="AE61" i="37"/>
  <c r="Z61" i="37"/>
  <c r="Z66" i="37"/>
  <c r="Z67" i="37"/>
  <c r="Z62" i="37"/>
  <c r="Z63" i="37"/>
  <c r="Z65" i="37"/>
  <c r="AA62" i="37"/>
  <c r="Z64" i="37"/>
  <c r="Z60" i="37"/>
  <c r="AH137" i="60" l="1"/>
  <c r="AI137" i="60" s="1"/>
  <c r="AE19" i="60"/>
  <c r="AE47" i="60" s="1"/>
  <c r="AG125" i="60"/>
  <c r="AH125" i="60" s="1"/>
  <c r="AI125" i="60" s="1"/>
  <c r="AF105" i="42"/>
  <c r="AE75" i="60"/>
  <c r="AF46" i="60"/>
  <c r="AH46" i="60" s="1"/>
  <c r="T60" i="18"/>
  <c r="T87" i="18" s="1"/>
  <c r="AO33" i="18" s="1"/>
  <c r="X32" i="18"/>
  <c r="AX16" i="18"/>
  <c r="V53" i="18"/>
  <c r="V80" i="18" s="1"/>
  <c r="AQ26" i="18" s="1"/>
  <c r="AX26" i="18" s="1"/>
  <c r="V48" i="18"/>
  <c r="V75" i="18" s="1"/>
  <c r="AQ21" i="18" s="1"/>
  <c r="AX21" i="18" s="1"/>
  <c r="V63" i="18"/>
  <c r="V90" i="18" s="1"/>
  <c r="AQ36" i="18" s="1"/>
  <c r="AX36" i="18" s="1"/>
  <c r="V42" i="18"/>
  <c r="V52" i="18"/>
  <c r="V79" i="18" s="1"/>
  <c r="AQ25" i="18" s="1"/>
  <c r="AX25" i="18" s="1"/>
  <c r="V51" i="18"/>
  <c r="V78" i="18" s="1"/>
  <c r="AQ24" i="18" s="1"/>
  <c r="AX24" i="18" s="1"/>
  <c r="V49" i="18"/>
  <c r="V76" i="18" s="1"/>
  <c r="AQ22" i="18" s="1"/>
  <c r="AX22" i="18" s="1"/>
  <c r="V44" i="18"/>
  <c r="V71" i="18" s="1"/>
  <c r="AQ17" i="18" s="1"/>
  <c r="AX17" i="18" s="1"/>
  <c r="V45" i="18"/>
  <c r="V72" i="18" s="1"/>
  <c r="AQ18" i="18" s="1"/>
  <c r="AX18" i="18" s="1"/>
  <c r="V47" i="18"/>
  <c r="V74" i="18" s="1"/>
  <c r="AQ20" i="18" s="1"/>
  <c r="AX20" i="18" s="1"/>
  <c r="V64" i="18"/>
  <c r="V91" i="18" s="1"/>
  <c r="AQ37" i="18" s="1"/>
  <c r="AX37" i="18" s="1"/>
  <c r="V62" i="18"/>
  <c r="V89" i="18" s="1"/>
  <c r="AQ35" i="18" s="1"/>
  <c r="AX35" i="18" s="1"/>
  <c r="V65" i="18"/>
  <c r="V92" i="18" s="1"/>
  <c r="AQ38" i="18" s="1"/>
  <c r="AX38" i="18" s="1"/>
  <c r="V57" i="18"/>
  <c r="V84" i="18" s="1"/>
  <c r="AQ30" i="18" s="1"/>
  <c r="AX30" i="18" s="1"/>
  <c r="V58" i="18"/>
  <c r="V85" i="18" s="1"/>
  <c r="AQ31" i="18" s="1"/>
  <c r="AX31" i="18" s="1"/>
  <c r="V46" i="18"/>
  <c r="V73" i="18" s="1"/>
  <c r="AQ19" i="18" s="1"/>
  <c r="AX19" i="18" s="1"/>
  <c r="V59" i="18"/>
  <c r="V86" i="18" s="1"/>
  <c r="AQ32" i="18" s="1"/>
  <c r="V56" i="18"/>
  <c r="V83" i="18" s="1"/>
  <c r="AQ29" i="18" s="1"/>
  <c r="AX29" i="18" s="1"/>
  <c r="V61" i="18"/>
  <c r="V88" i="18" s="1"/>
  <c r="AQ34" i="18" s="1"/>
  <c r="AX34" i="18" s="1"/>
  <c r="V43" i="18"/>
  <c r="V70" i="18" s="1"/>
  <c r="AQ16" i="18" s="1"/>
  <c r="V55" i="18"/>
  <c r="V82" i="18" s="1"/>
  <c r="AQ28" i="18" s="1"/>
  <c r="AX28" i="18" s="1"/>
  <c r="V50" i="18"/>
  <c r="V77" i="18" s="1"/>
  <c r="AQ23" i="18" s="1"/>
  <c r="AX23" i="18" s="1"/>
  <c r="X16" i="18"/>
  <c r="S39" i="18"/>
  <c r="V39" i="18"/>
  <c r="K41" i="18" s="1"/>
  <c r="K43" i="18" s="1"/>
  <c r="AH139" i="60"/>
  <c r="AI139" i="60" s="1"/>
  <c r="AE21" i="60"/>
  <c r="AE49" i="60" s="1"/>
  <c r="AX33" i="18"/>
  <c r="AI40" i="18"/>
  <c r="AW33" i="18"/>
  <c r="AH40" i="18"/>
  <c r="AV33" i="18"/>
  <c r="AX32" i="18"/>
  <c r="S47" i="18"/>
  <c r="S74" i="18" s="1"/>
  <c r="S53" i="18"/>
  <c r="S80" i="18" s="1"/>
  <c r="S51" i="18"/>
  <c r="S78" i="18" s="1"/>
  <c r="S48" i="18"/>
  <c r="S75" i="18" s="1"/>
  <c r="S44" i="18"/>
  <c r="S71" i="18" s="1"/>
  <c r="S45" i="18"/>
  <c r="S72" i="18" s="1"/>
  <c r="S64" i="18"/>
  <c r="S91" i="18" s="1"/>
  <c r="S49" i="18"/>
  <c r="S76" i="18" s="1"/>
  <c r="S63" i="18"/>
  <c r="S90" i="18" s="1"/>
  <c r="S42" i="18"/>
  <c r="S62" i="18"/>
  <c r="S89" i="18" s="1"/>
  <c r="S52" i="18"/>
  <c r="S79" i="18" s="1"/>
  <c r="S57" i="18"/>
  <c r="S84" i="18" s="1"/>
  <c r="S56" i="18"/>
  <c r="S83" i="18" s="1"/>
  <c r="S65" i="18"/>
  <c r="S92" i="18" s="1"/>
  <c r="S61" i="18"/>
  <c r="S88" i="18" s="1"/>
  <c r="S58" i="18"/>
  <c r="S85" i="18" s="1"/>
  <c r="S46" i="18"/>
  <c r="S73" i="18" s="1"/>
  <c r="S43" i="18"/>
  <c r="S70" i="18" s="1"/>
  <c r="S55" i="18"/>
  <c r="S82" i="18" s="1"/>
  <c r="S50" i="18"/>
  <c r="S77" i="18" s="1"/>
  <c r="S59" i="18"/>
  <c r="S86" i="18" s="1"/>
  <c r="AF94" i="42"/>
  <c r="AG129" i="60"/>
  <c r="AH129" i="60" s="1"/>
  <c r="AI129" i="60" s="1"/>
  <c r="AF109" i="42"/>
  <c r="AH138" i="60"/>
  <c r="AI138" i="60" s="1"/>
  <c r="AE20" i="60"/>
  <c r="AE48" i="60" s="1"/>
  <c r="AA21" i="37"/>
  <c r="T27" i="37"/>
  <c r="T29" i="37" s="1"/>
  <c r="I34" i="54"/>
  <c r="J1" i="54"/>
  <c r="U66" i="18"/>
  <c r="U69" i="18"/>
  <c r="T51" i="18"/>
  <c r="T78" i="18" s="1"/>
  <c r="AO24" i="18" s="1"/>
  <c r="AV24" i="18" s="1"/>
  <c r="T45" i="18"/>
  <c r="T72" i="18" s="1"/>
  <c r="AO18" i="18" s="1"/>
  <c r="AV18" i="18" s="1"/>
  <c r="T48" i="18"/>
  <c r="T75" i="18" s="1"/>
  <c r="AO21" i="18" s="1"/>
  <c r="AV21" i="18" s="1"/>
  <c r="T44" i="18"/>
  <c r="T71" i="18" s="1"/>
  <c r="AO17" i="18" s="1"/>
  <c r="AV17" i="18" s="1"/>
  <c r="T42" i="18"/>
  <c r="T49" i="18"/>
  <c r="T76" i="18" s="1"/>
  <c r="AO22" i="18" s="1"/>
  <c r="AV22" i="18" s="1"/>
  <c r="T62" i="18"/>
  <c r="T89" i="18" s="1"/>
  <c r="AO35" i="18" s="1"/>
  <c r="AV35" i="18" s="1"/>
  <c r="T53" i="18"/>
  <c r="T80" i="18" s="1"/>
  <c r="AO26" i="18" s="1"/>
  <c r="AV26" i="18" s="1"/>
  <c r="T63" i="18"/>
  <c r="T90" i="18" s="1"/>
  <c r="AO36" i="18" s="1"/>
  <c r="AV36" i="18" s="1"/>
  <c r="T52" i="18"/>
  <c r="T79" i="18" s="1"/>
  <c r="AO25" i="18" s="1"/>
  <c r="AV25" i="18" s="1"/>
  <c r="T64" i="18"/>
  <c r="T91" i="18" s="1"/>
  <c r="AO37" i="18" s="1"/>
  <c r="AV37" i="18" s="1"/>
  <c r="T47" i="18"/>
  <c r="T74" i="18" s="1"/>
  <c r="AO20" i="18" s="1"/>
  <c r="AV20" i="18" s="1"/>
  <c r="T56" i="18"/>
  <c r="T83" i="18" s="1"/>
  <c r="AO29" i="18" s="1"/>
  <c r="AV29" i="18" s="1"/>
  <c r="T55" i="18"/>
  <c r="T82" i="18" s="1"/>
  <c r="AO28" i="18" s="1"/>
  <c r="AV28" i="18" s="1"/>
  <c r="T46" i="18"/>
  <c r="T73" i="18" s="1"/>
  <c r="AO19" i="18" s="1"/>
  <c r="AV19" i="18" s="1"/>
  <c r="T61" i="18"/>
  <c r="T88" i="18" s="1"/>
  <c r="AO34" i="18" s="1"/>
  <c r="AV34" i="18" s="1"/>
  <c r="T59" i="18"/>
  <c r="T86" i="18" s="1"/>
  <c r="AO32" i="18" s="1"/>
  <c r="T57" i="18"/>
  <c r="T84" i="18" s="1"/>
  <c r="AO30" i="18" s="1"/>
  <c r="AV30" i="18" s="1"/>
  <c r="T65" i="18"/>
  <c r="T92" i="18" s="1"/>
  <c r="AO38" i="18" s="1"/>
  <c r="AV38" i="18" s="1"/>
  <c r="T50" i="18"/>
  <c r="T77" i="18" s="1"/>
  <c r="AO23" i="18" s="1"/>
  <c r="AV23" i="18" s="1"/>
  <c r="T43" i="18"/>
  <c r="T70" i="18" s="1"/>
  <c r="AO16" i="18" s="1"/>
  <c r="AV16" i="18" s="1"/>
  <c r="T58" i="18"/>
  <c r="T85" i="18" s="1"/>
  <c r="AO31" i="18" s="1"/>
  <c r="AV31" i="18" s="1"/>
  <c r="AH135" i="60"/>
  <c r="AI135" i="60" s="1"/>
  <c r="AE17" i="60"/>
  <c r="AE45" i="60" s="1"/>
  <c r="AF45" i="60" s="1"/>
  <c r="AH45" i="60" s="1"/>
  <c r="AV27" i="18"/>
  <c r="AW27" i="18"/>
  <c r="AH134" i="60"/>
  <c r="AI134" i="60" s="1"/>
  <c r="AE16" i="60"/>
  <c r="AE44" i="60" s="1"/>
  <c r="AL27" i="18"/>
  <c r="X27" i="18"/>
  <c r="AL16" i="18"/>
  <c r="AV32" i="18"/>
  <c r="U39" i="18"/>
  <c r="J41" i="18" s="1"/>
  <c r="J43" i="18" s="1"/>
  <c r="DY128" i="9"/>
  <c r="DX4" i="9"/>
  <c r="T39" i="18"/>
  <c r="I41" i="18" s="1"/>
  <c r="I43" i="18" s="1"/>
  <c r="AM27" i="18"/>
  <c r="AT27" i="18" s="1"/>
  <c r="V54" i="18"/>
  <c r="V81" i="18" s="1"/>
  <c r="AQ27" i="18" s="1"/>
  <c r="AX27" i="18" s="1"/>
  <c r="S60" i="18"/>
  <c r="S87" i="18" s="1"/>
  <c r="AF40" i="18"/>
  <c r="AW32" i="18"/>
  <c r="AJ40" i="18"/>
  <c r="AF60" i="37"/>
  <c r="AA60" i="37"/>
  <c r="DZ128" i="9" l="1"/>
  <c r="DY4" i="9"/>
  <c r="W84" i="18"/>
  <c r="AM30" i="18"/>
  <c r="AT30" i="18" s="1"/>
  <c r="W87" i="18"/>
  <c r="AM33" i="18"/>
  <c r="AT33" i="18" s="1"/>
  <c r="W81" i="18"/>
  <c r="T66" i="18"/>
  <c r="T69" i="18"/>
  <c r="W86" i="18"/>
  <c r="AM32" i="18"/>
  <c r="AT32" i="18" s="1"/>
  <c r="W73" i="18"/>
  <c r="AM19" i="18"/>
  <c r="AT19" i="18" s="1"/>
  <c r="W83" i="18"/>
  <c r="AM29" i="18"/>
  <c r="AT29" i="18" s="1"/>
  <c r="S66" i="18"/>
  <c r="S69" i="18"/>
  <c r="W72" i="18"/>
  <c r="AM18" i="18"/>
  <c r="AT18" i="18" s="1"/>
  <c r="W80" i="18"/>
  <c r="AM26" i="18"/>
  <c r="AT26" i="18" s="1"/>
  <c r="AF49" i="60"/>
  <c r="AH49" i="60" s="1"/>
  <c r="H41" i="18"/>
  <c r="X39" i="18"/>
  <c r="V66" i="18"/>
  <c r="V69" i="18"/>
  <c r="AD75" i="60"/>
  <c r="F75" i="60"/>
  <c r="Q75" i="60"/>
  <c r="O75" i="60"/>
  <c r="R75" i="60"/>
  <c r="E75" i="60"/>
  <c r="G75" i="60"/>
  <c r="J75" i="60"/>
  <c r="N75" i="60"/>
  <c r="H75" i="60"/>
  <c r="U75" i="60"/>
  <c r="Z75" i="60"/>
  <c r="K75" i="60"/>
  <c r="P75" i="60"/>
  <c r="T75" i="60"/>
  <c r="Y75" i="60"/>
  <c r="D75" i="60"/>
  <c r="L75" i="60"/>
  <c r="S75" i="60"/>
  <c r="I75" i="60"/>
  <c r="V75" i="60"/>
  <c r="W75" i="60"/>
  <c r="AA75" i="60"/>
  <c r="C75" i="60"/>
  <c r="M75" i="60"/>
  <c r="X75" i="60"/>
  <c r="AC75" i="60"/>
  <c r="AB75" i="60"/>
  <c r="J34" i="54"/>
  <c r="K1" i="54"/>
  <c r="W77" i="18"/>
  <c r="AM23" i="18"/>
  <c r="AT23" i="18" s="1"/>
  <c r="W90" i="18"/>
  <c r="AM36" i="18"/>
  <c r="AT36" i="18" s="1"/>
  <c r="U93" i="18"/>
  <c r="AP15" i="18"/>
  <c r="AW15" i="18" s="1"/>
  <c r="AE77" i="60"/>
  <c r="AF48" i="60"/>
  <c r="AH48" i="60" s="1"/>
  <c r="W82" i="18"/>
  <c r="AM28" i="18"/>
  <c r="AT28" i="18" s="1"/>
  <c r="W88" i="18"/>
  <c r="AM34" i="18"/>
  <c r="AT34" i="18" s="1"/>
  <c r="W79" i="18"/>
  <c r="AM25" i="18"/>
  <c r="AT25" i="18" s="1"/>
  <c r="W76" i="18"/>
  <c r="AM22" i="18"/>
  <c r="AT22" i="18" s="1"/>
  <c r="W75" i="18"/>
  <c r="AM21" i="18"/>
  <c r="AT21" i="18" s="1"/>
  <c r="AE76" i="60"/>
  <c r="AF47" i="60"/>
  <c r="AH47" i="60" s="1"/>
  <c r="W85" i="18"/>
  <c r="AM31" i="18"/>
  <c r="AT31" i="18" s="1"/>
  <c r="W71" i="18"/>
  <c r="AM17" i="18"/>
  <c r="AT17" i="18" s="1"/>
  <c r="W74" i="18"/>
  <c r="AM20" i="18"/>
  <c r="AT20" i="18" s="1"/>
  <c r="BI18" i="60"/>
  <c r="CL18" i="60" s="1"/>
  <c r="AE163" i="60"/>
  <c r="AE105" i="60"/>
  <c r="AF44" i="60"/>
  <c r="AH44" i="60" s="1"/>
  <c r="AE73" i="60" s="1"/>
  <c r="AG145" i="60"/>
  <c r="AH145" i="60" s="1"/>
  <c r="AI145" i="60" s="1"/>
  <c r="AF127" i="42"/>
  <c r="W70" i="18"/>
  <c r="AM16" i="18"/>
  <c r="AT16" i="18" s="1"/>
  <c r="W92" i="18"/>
  <c r="AM38" i="18"/>
  <c r="AT38" i="18" s="1"/>
  <c r="W89" i="18"/>
  <c r="AM35" i="18"/>
  <c r="AT35" i="18" s="1"/>
  <c r="W91" i="18"/>
  <c r="AM37" i="18"/>
  <c r="AT37" i="18" s="1"/>
  <c r="W78" i="18"/>
  <c r="AM24" i="18"/>
  <c r="AT24" i="18" s="1"/>
  <c r="BI16" i="60" l="1"/>
  <c r="CL16" i="60" s="1"/>
  <c r="AE103" i="60"/>
  <c r="AE161" i="60"/>
  <c r="BI19" i="60"/>
  <c r="CL19" i="60" s="1"/>
  <c r="AE106" i="60"/>
  <c r="AE164" i="60" s="1"/>
  <c r="BI20" i="60"/>
  <c r="CL20" i="60" s="1"/>
  <c r="AE107" i="60"/>
  <c r="AE165" i="60" s="1"/>
  <c r="AZ18" i="60"/>
  <c r="CC18" i="60" s="1"/>
  <c r="V105" i="60"/>
  <c r="V163" i="60"/>
  <c r="AO18" i="60"/>
  <c r="BR18" i="60" s="1"/>
  <c r="K105" i="60"/>
  <c r="K163" i="60" s="1"/>
  <c r="AV18" i="60"/>
  <c r="BY18" i="60" s="1"/>
  <c r="R105" i="60"/>
  <c r="R163" i="60"/>
  <c r="L41" i="18"/>
  <c r="H43" i="18"/>
  <c r="I79" i="42"/>
  <c r="D79" i="42"/>
  <c r="AR26" i="18"/>
  <c r="I72" i="42"/>
  <c r="D72" i="42"/>
  <c r="AR19" i="18"/>
  <c r="I88" i="42"/>
  <c r="D88" i="42"/>
  <c r="AR35" i="18"/>
  <c r="BF18" i="60"/>
  <c r="AB105" i="60"/>
  <c r="AB163" i="60" s="1"/>
  <c r="AM18" i="60"/>
  <c r="BP18" i="60" s="1"/>
  <c r="I105" i="60"/>
  <c r="I163" i="60"/>
  <c r="BC18" i="60"/>
  <c r="CF18" i="60" s="1"/>
  <c r="Y105" i="60"/>
  <c r="Y163" i="60" s="1"/>
  <c r="AN18" i="60"/>
  <c r="BQ18" i="60" s="1"/>
  <c r="J105" i="60"/>
  <c r="J163" i="60"/>
  <c r="AS18" i="60"/>
  <c r="BV18" i="60" s="1"/>
  <c r="O105" i="60"/>
  <c r="O163" i="60"/>
  <c r="V93" i="18"/>
  <c r="AQ15" i="18"/>
  <c r="AX15" i="18" s="1"/>
  <c r="AD78" i="60"/>
  <c r="C78" i="60"/>
  <c r="X78" i="60"/>
  <c r="N78" i="60"/>
  <c r="I78" i="60"/>
  <c r="M78" i="60"/>
  <c r="T78" i="60"/>
  <c r="R78" i="60"/>
  <c r="D78" i="60"/>
  <c r="W78" i="60"/>
  <c r="K78" i="60"/>
  <c r="G78" i="60"/>
  <c r="L78" i="60"/>
  <c r="H78" i="60"/>
  <c r="Y78" i="60"/>
  <c r="E78" i="60"/>
  <c r="AA78" i="60"/>
  <c r="V78" i="60"/>
  <c r="F78" i="60"/>
  <c r="Z78" i="60"/>
  <c r="S78" i="60"/>
  <c r="Q78" i="60"/>
  <c r="U78" i="60"/>
  <c r="P78" i="60"/>
  <c r="J78" i="60"/>
  <c r="O78" i="60"/>
  <c r="AB78" i="60"/>
  <c r="AC78" i="60"/>
  <c r="X81" i="18"/>
  <c r="AR27" i="18"/>
  <c r="X84" i="18"/>
  <c r="AR30" i="18"/>
  <c r="I73" i="42"/>
  <c r="D73" i="42"/>
  <c r="AR20" i="18"/>
  <c r="X85" i="18"/>
  <c r="AR31" i="18"/>
  <c r="I74" i="42"/>
  <c r="D74" i="42"/>
  <c r="AR21" i="18"/>
  <c r="I78" i="42"/>
  <c r="D78" i="42"/>
  <c r="AR25" i="18"/>
  <c r="X82" i="18"/>
  <c r="AR28" i="18"/>
  <c r="U94" i="18"/>
  <c r="AP39" i="18"/>
  <c r="I76" i="42"/>
  <c r="D76" i="42"/>
  <c r="AR23" i="18"/>
  <c r="AJ75" i="60"/>
  <c r="AK75" i="60"/>
  <c r="AK105" i="60" s="1"/>
  <c r="AL75" i="60"/>
  <c r="AL105" i="60" s="1"/>
  <c r="BG18" i="60"/>
  <c r="AM75" i="60"/>
  <c r="AC105" i="60"/>
  <c r="AC163" i="60"/>
  <c r="BE18" i="60"/>
  <c r="AA105" i="60"/>
  <c r="AA163" i="60" s="1"/>
  <c r="AW18" i="60"/>
  <c r="BZ18" i="60" s="1"/>
  <c r="S105" i="60"/>
  <c r="S163" i="60"/>
  <c r="AX18" i="60"/>
  <c r="CA18" i="60" s="1"/>
  <c r="T105" i="60"/>
  <c r="T163" i="60"/>
  <c r="AY18" i="60"/>
  <c r="CB18" i="60" s="1"/>
  <c r="U105" i="60"/>
  <c r="U163" i="60" s="1"/>
  <c r="AK18" i="60"/>
  <c r="BN18" i="60" s="1"/>
  <c r="G163" i="60"/>
  <c r="G105" i="60"/>
  <c r="AU18" i="60"/>
  <c r="BX18" i="60" s="1"/>
  <c r="Q105" i="60"/>
  <c r="Q163" i="60" s="1"/>
  <c r="AE78" i="60"/>
  <c r="I71" i="42"/>
  <c r="D71" i="42"/>
  <c r="AR18" i="18"/>
  <c r="X83" i="18"/>
  <c r="AR29" i="18"/>
  <c r="X86" i="18"/>
  <c r="AR32" i="18"/>
  <c r="AD73" i="60"/>
  <c r="W73" i="60"/>
  <c r="P73" i="60"/>
  <c r="R73" i="60"/>
  <c r="I73" i="60"/>
  <c r="V73" i="60"/>
  <c r="M73" i="60"/>
  <c r="X73" i="60"/>
  <c r="O73" i="60"/>
  <c r="L73" i="60"/>
  <c r="AA73" i="60"/>
  <c r="T73" i="60"/>
  <c r="Q73" i="60"/>
  <c r="C73" i="60"/>
  <c r="G73" i="60"/>
  <c r="U73" i="60"/>
  <c r="N73" i="60"/>
  <c r="K73" i="60"/>
  <c r="Z73" i="60"/>
  <c r="E73" i="60"/>
  <c r="Y73" i="60"/>
  <c r="J73" i="60"/>
  <c r="F73" i="60"/>
  <c r="D73" i="60"/>
  <c r="H73" i="60"/>
  <c r="S73" i="60"/>
  <c r="AB73" i="60"/>
  <c r="AC73" i="60"/>
  <c r="I70" i="42"/>
  <c r="D70" i="42"/>
  <c r="AR17" i="18"/>
  <c r="I75" i="42"/>
  <c r="D75" i="42"/>
  <c r="AR22" i="18"/>
  <c r="X88" i="18"/>
  <c r="AR34" i="18"/>
  <c r="I89" i="42"/>
  <c r="D89" i="42"/>
  <c r="AR36" i="18"/>
  <c r="AQ18" i="60"/>
  <c r="BT18" i="60" s="1"/>
  <c r="M105" i="60"/>
  <c r="M163" i="60"/>
  <c r="AH18" i="60"/>
  <c r="BK18" i="60" s="1"/>
  <c r="D105" i="60"/>
  <c r="D163" i="60" s="1"/>
  <c r="AR18" i="60"/>
  <c r="BU18" i="60" s="1"/>
  <c r="N105" i="60"/>
  <c r="N163" i="60"/>
  <c r="BH18" i="60"/>
  <c r="CK18" i="60" s="1"/>
  <c r="AD105" i="60"/>
  <c r="AD163" i="60"/>
  <c r="I77" i="42"/>
  <c r="D77" i="42"/>
  <c r="AR24" i="18"/>
  <c r="D69" i="42"/>
  <c r="I69" i="42"/>
  <c r="AR16" i="18"/>
  <c r="AF75" i="60"/>
  <c r="AG18" i="60"/>
  <c r="BJ18" i="60" s="1"/>
  <c r="C105" i="60"/>
  <c r="C163" i="60"/>
  <c r="BD18" i="60"/>
  <c r="CG18" i="60" s="1"/>
  <c r="Z105" i="60"/>
  <c r="Z163" i="60"/>
  <c r="I90" i="42"/>
  <c r="D90" i="42"/>
  <c r="AR37" i="18"/>
  <c r="I91" i="42"/>
  <c r="D91" i="42"/>
  <c r="AR38" i="18"/>
  <c r="AD76" i="60"/>
  <c r="P76" i="60"/>
  <c r="U76" i="60"/>
  <c r="S76" i="60"/>
  <c r="F76" i="60"/>
  <c r="D76" i="60"/>
  <c r="C76" i="60"/>
  <c r="L76" i="60"/>
  <c r="I76" i="60"/>
  <c r="J76" i="60"/>
  <c r="M76" i="60"/>
  <c r="Z76" i="60"/>
  <c r="N76" i="60"/>
  <c r="T76" i="60"/>
  <c r="Q76" i="60"/>
  <c r="W76" i="60"/>
  <c r="H76" i="60"/>
  <c r="E76" i="60"/>
  <c r="O76" i="60"/>
  <c r="V76" i="60"/>
  <c r="Y76" i="60"/>
  <c r="AA76" i="60"/>
  <c r="X76" i="60"/>
  <c r="G76" i="60"/>
  <c r="K76" i="60"/>
  <c r="R76" i="60"/>
  <c r="AB76" i="60"/>
  <c r="AC76" i="60"/>
  <c r="AD77" i="60"/>
  <c r="S77" i="60"/>
  <c r="T77" i="60"/>
  <c r="V77" i="60"/>
  <c r="D77" i="60"/>
  <c r="AA77" i="60"/>
  <c r="C77" i="60"/>
  <c r="I77" i="60"/>
  <c r="O77" i="60"/>
  <c r="U77" i="60"/>
  <c r="K77" i="60"/>
  <c r="Q77" i="60"/>
  <c r="N77" i="60"/>
  <c r="Z77" i="60"/>
  <c r="J77" i="60"/>
  <c r="R77" i="60"/>
  <c r="W77" i="60"/>
  <c r="H77" i="60"/>
  <c r="L77" i="60"/>
  <c r="G77" i="60"/>
  <c r="F77" i="60"/>
  <c r="X77" i="60"/>
  <c r="Y77" i="60"/>
  <c r="E77" i="60"/>
  <c r="P77" i="60"/>
  <c r="M77" i="60"/>
  <c r="AC77" i="60"/>
  <c r="AB77" i="60"/>
  <c r="K34" i="54"/>
  <c r="L1" i="54"/>
  <c r="BB18" i="60"/>
  <c r="CE18" i="60" s="1"/>
  <c r="X105" i="60"/>
  <c r="X163" i="60"/>
  <c r="BA18" i="60"/>
  <c r="CD18" i="60" s="1"/>
  <c r="W105" i="60"/>
  <c r="W163" i="60" s="1"/>
  <c r="AP18" i="60"/>
  <c r="BS18" i="60" s="1"/>
  <c r="L163" i="60"/>
  <c r="L105" i="60"/>
  <c r="AT18" i="60"/>
  <c r="BW18" i="60" s="1"/>
  <c r="P105" i="60"/>
  <c r="P163" i="60"/>
  <c r="AL18" i="60"/>
  <c r="BO18" i="60" s="1"/>
  <c r="H105" i="60"/>
  <c r="H163" i="60"/>
  <c r="AI18" i="60"/>
  <c r="BL18" i="60" s="1"/>
  <c r="E105" i="60"/>
  <c r="E163" i="60" s="1"/>
  <c r="AJ18" i="60"/>
  <c r="BM18" i="60" s="1"/>
  <c r="F105" i="60"/>
  <c r="F163" i="60" s="1"/>
  <c r="S93" i="18"/>
  <c r="W69" i="18"/>
  <c r="AM15" i="18"/>
  <c r="AT15" i="18" s="1"/>
  <c r="T93" i="18"/>
  <c r="AO15" i="18"/>
  <c r="AV15" i="18" s="1"/>
  <c r="X87" i="18"/>
  <c r="AR33" i="18"/>
  <c r="EA128" i="9"/>
  <c r="DZ4" i="9"/>
  <c r="W27" i="37"/>
  <c r="W29" i="37" s="1"/>
  <c r="AS33" i="18" l="1"/>
  <c r="AY33" i="18"/>
  <c r="L34" i="54"/>
  <c r="M1" i="54"/>
  <c r="BB20" i="60"/>
  <c r="CE20" i="60" s="1"/>
  <c r="X107" i="60"/>
  <c r="X165" i="60" s="1"/>
  <c r="BD20" i="60"/>
  <c r="CG20" i="60" s="1"/>
  <c r="Z107" i="60"/>
  <c r="Z165" i="60"/>
  <c r="BE20" i="60"/>
  <c r="AA107" i="60"/>
  <c r="AA165" i="60" s="1"/>
  <c r="AV19" i="60"/>
  <c r="BY19" i="60" s="1"/>
  <c r="R164" i="60"/>
  <c r="R106" i="60"/>
  <c r="AI19" i="60"/>
  <c r="BL19" i="60" s="1"/>
  <c r="E106" i="60"/>
  <c r="E164" i="60"/>
  <c r="AN19" i="60"/>
  <c r="BQ19" i="60" s="1"/>
  <c r="J106" i="60"/>
  <c r="J164" i="60" s="1"/>
  <c r="AT19" i="60"/>
  <c r="BW19" i="60" s="1"/>
  <c r="P164" i="60"/>
  <c r="P106" i="60"/>
  <c r="AC17" i="18"/>
  <c r="AD17" i="18" s="1"/>
  <c r="D103" i="42"/>
  <c r="G70" i="42"/>
  <c r="K4" i="32"/>
  <c r="M4" i="32"/>
  <c r="L4" i="32"/>
  <c r="AX70" i="42"/>
  <c r="N4" i="32"/>
  <c r="AS70" i="42"/>
  <c r="BF70" i="42"/>
  <c r="BH70" i="42" s="1"/>
  <c r="BG70" i="42"/>
  <c r="O4" i="32"/>
  <c r="AG70" i="42"/>
  <c r="AT70" i="42"/>
  <c r="AJ16" i="60"/>
  <c r="BM16" i="60" s="1"/>
  <c r="F103" i="60"/>
  <c r="F161" i="60" s="1"/>
  <c r="AK16" i="60"/>
  <c r="BN16" i="60" s="1"/>
  <c r="G103" i="60"/>
  <c r="G161" i="60" s="1"/>
  <c r="BE16" i="60"/>
  <c r="AA161" i="60"/>
  <c r="AA103" i="60"/>
  <c r="AT16" i="60"/>
  <c r="BW16" i="60" s="1"/>
  <c r="P103" i="60"/>
  <c r="P161" i="60"/>
  <c r="AN75" i="60"/>
  <c r="AJ105" i="60"/>
  <c r="AN105" i="60" s="1"/>
  <c r="AC20" i="18"/>
  <c r="AD20" i="18" s="1"/>
  <c r="D106" i="42"/>
  <c r="L7" i="32"/>
  <c r="N7" i="32"/>
  <c r="G73" i="42"/>
  <c r="K7" i="32"/>
  <c r="M7" i="32"/>
  <c r="AX73" i="42"/>
  <c r="BG73" i="42"/>
  <c r="BF73" i="42"/>
  <c r="BH73" i="42" s="1"/>
  <c r="O7" i="32"/>
  <c r="AS73" i="42"/>
  <c r="AG73" i="42"/>
  <c r="BF21" i="60"/>
  <c r="AB108" i="60"/>
  <c r="AB166" i="60" s="1"/>
  <c r="AJ21" i="60"/>
  <c r="BM21" i="60" s="1"/>
  <c r="F108" i="60"/>
  <c r="F166" i="60" s="1"/>
  <c r="AO21" i="60"/>
  <c r="BR21" i="60" s="1"/>
  <c r="K108" i="60"/>
  <c r="K166" i="60" s="1"/>
  <c r="BB21" i="60"/>
  <c r="CE21" i="60" s="1"/>
  <c r="X108" i="60"/>
  <c r="X166" i="60"/>
  <c r="AT20" i="60"/>
  <c r="BW20" i="60" s="1"/>
  <c r="P107" i="60"/>
  <c r="P165" i="60" s="1"/>
  <c r="BA20" i="60"/>
  <c r="CD20" i="60" s="1"/>
  <c r="W107" i="60"/>
  <c r="W165" i="60" s="1"/>
  <c r="AS20" i="60"/>
  <c r="BV20" i="60" s="1"/>
  <c r="O107" i="60"/>
  <c r="O165" i="60" s="1"/>
  <c r="BH20" i="60"/>
  <c r="CK20" i="60" s="1"/>
  <c r="AD107" i="60"/>
  <c r="AD165" i="60" s="1"/>
  <c r="BC19" i="60"/>
  <c r="CF19" i="60" s="1"/>
  <c r="Y106" i="60"/>
  <c r="Y164" i="60" s="1"/>
  <c r="AR19" i="60"/>
  <c r="BU19" i="60" s="1"/>
  <c r="N106" i="60"/>
  <c r="N164" i="60" s="1"/>
  <c r="AJ19" i="60"/>
  <c r="BM19" i="60" s="1"/>
  <c r="F164" i="60"/>
  <c r="F106" i="60"/>
  <c r="AI69" i="42"/>
  <c r="AI32" i="60" s="1"/>
  <c r="AS16" i="18"/>
  <c r="AV69" i="42"/>
  <c r="AT69" i="42" s="1"/>
  <c r="BF16" i="18"/>
  <c r="AY16" i="18"/>
  <c r="AS34" i="18"/>
  <c r="AI87" i="42"/>
  <c r="BF34" i="18"/>
  <c r="AY34" i="18"/>
  <c r="Y17" i="18"/>
  <c r="Z17" i="18" s="1"/>
  <c r="X71" i="18" s="1"/>
  <c r="BB17" i="18"/>
  <c r="BC17" i="18" s="1"/>
  <c r="I103" i="42"/>
  <c r="AN16" i="60"/>
  <c r="BQ16" i="60" s="1"/>
  <c r="J103" i="60"/>
  <c r="J161" i="60"/>
  <c r="AF73" i="60"/>
  <c r="AG16" i="60"/>
  <c r="BJ16" i="60" s="1"/>
  <c r="C103" i="60"/>
  <c r="C161" i="60" s="1"/>
  <c r="AZ16" i="60"/>
  <c r="CC16" i="60" s="1"/>
  <c r="V161" i="60"/>
  <c r="V103" i="60"/>
  <c r="AS29" i="18"/>
  <c r="BF29" i="18"/>
  <c r="AY29" i="18"/>
  <c r="Y18" i="18"/>
  <c r="Z18" i="18" s="1"/>
  <c r="X72" i="18" s="1"/>
  <c r="BB18" i="18"/>
  <c r="BC18" i="18" s="1"/>
  <c r="I104" i="42"/>
  <c r="AO83" i="42"/>
  <c r="BJ83" i="42" s="1"/>
  <c r="BI83" i="42" s="1"/>
  <c r="BK83" i="42" s="1"/>
  <c r="CH18" i="60"/>
  <c r="AI76" i="42"/>
  <c r="AI39" i="60" s="1"/>
  <c r="AS23" i="18"/>
  <c r="AV76" i="42"/>
  <c r="AY23" i="18"/>
  <c r="AS21" i="18"/>
  <c r="AI74" i="42"/>
  <c r="AI37" i="60" s="1"/>
  <c r="AV74" i="42"/>
  <c r="BF21" i="18"/>
  <c r="AY21" i="18"/>
  <c r="Y20" i="18"/>
  <c r="Z20" i="18" s="1"/>
  <c r="X74" i="18" s="1"/>
  <c r="BB20" i="18"/>
  <c r="I106" i="42"/>
  <c r="AS21" i="60"/>
  <c r="BV21" i="60" s="1"/>
  <c r="O108" i="60"/>
  <c r="O166" i="60" s="1"/>
  <c r="AZ21" i="60"/>
  <c r="CC21" i="60" s="1"/>
  <c r="V108" i="60"/>
  <c r="V166" i="60"/>
  <c r="BA21" i="60"/>
  <c r="CD21" i="60" s="1"/>
  <c r="W166" i="60"/>
  <c r="W108" i="60"/>
  <c r="AF78" i="60"/>
  <c r="AG21" i="60"/>
  <c r="BJ21" i="60" s="1"/>
  <c r="C166" i="60"/>
  <c r="C108" i="60"/>
  <c r="AC35" i="18"/>
  <c r="AD35" i="18" s="1"/>
  <c r="D121" i="42"/>
  <c r="G88" i="42"/>
  <c r="N22" i="32"/>
  <c r="M22" i="32"/>
  <c r="K22" i="32"/>
  <c r="AX88" i="42"/>
  <c r="L22" i="32"/>
  <c r="BF88" i="42"/>
  <c r="O22" i="32"/>
  <c r="BG88" i="42"/>
  <c r="AS88" i="42"/>
  <c r="AG88" i="42"/>
  <c r="AC26" i="18"/>
  <c r="AD26" i="18" s="1"/>
  <c r="D112" i="42"/>
  <c r="L13" i="32"/>
  <c r="AX79" i="42"/>
  <c r="N13" i="32"/>
  <c r="K13" i="32"/>
  <c r="G79" i="42"/>
  <c r="M13" i="32"/>
  <c r="AS79" i="42"/>
  <c r="O13" i="32"/>
  <c r="BG79" i="42"/>
  <c r="BF79" i="42"/>
  <c r="AT79" i="42"/>
  <c r="AG79" i="42"/>
  <c r="S94" i="18"/>
  <c r="AM39" i="18"/>
  <c r="BF20" i="60"/>
  <c r="AB107" i="60"/>
  <c r="AB165" i="60"/>
  <c r="AI20" i="60"/>
  <c r="BL20" i="60" s="1"/>
  <c r="E107" i="60"/>
  <c r="E165" i="60" s="1"/>
  <c r="AK20" i="60"/>
  <c r="BN20" i="60" s="1"/>
  <c r="G107" i="60"/>
  <c r="G165" i="60"/>
  <c r="AV20" i="60"/>
  <c r="BY20" i="60" s="1"/>
  <c r="R107" i="60"/>
  <c r="R165" i="60" s="1"/>
  <c r="AU20" i="60"/>
  <c r="BX20" i="60" s="1"/>
  <c r="Q107" i="60"/>
  <c r="Q165" i="60"/>
  <c r="AM20" i="60"/>
  <c r="BP20" i="60" s="1"/>
  <c r="I165" i="60"/>
  <c r="I107" i="60"/>
  <c r="AZ20" i="60"/>
  <c r="CC20" i="60" s="1"/>
  <c r="V107" i="60"/>
  <c r="V165" i="60"/>
  <c r="AL76" i="60"/>
  <c r="AL106" i="60" s="1"/>
  <c r="AK76" i="60"/>
  <c r="AK106" i="60" s="1"/>
  <c r="AJ76" i="60"/>
  <c r="AM76" i="60"/>
  <c r="BG19" i="60"/>
  <c r="AC106" i="60"/>
  <c r="AC164" i="60" s="1"/>
  <c r="AK19" i="60"/>
  <c r="BN19" i="60" s="1"/>
  <c r="G106" i="60"/>
  <c r="G164" i="60" s="1"/>
  <c r="AZ19" i="60"/>
  <c r="CC19" i="60" s="1"/>
  <c r="V106" i="60"/>
  <c r="V164" i="60" s="1"/>
  <c r="BA19" i="60"/>
  <c r="CD19" i="60" s="1"/>
  <c r="W106" i="60"/>
  <c r="W164" i="60"/>
  <c r="BD19" i="60"/>
  <c r="CG19" i="60" s="1"/>
  <c r="Z106" i="60"/>
  <c r="Z164" i="60" s="1"/>
  <c r="AP19" i="60"/>
  <c r="BS19" i="60" s="1"/>
  <c r="L106" i="60"/>
  <c r="L164" i="60"/>
  <c r="AW19" i="60"/>
  <c r="BZ19" i="60" s="1"/>
  <c r="S106" i="60"/>
  <c r="S164" i="60" s="1"/>
  <c r="AS38" i="18"/>
  <c r="AI91" i="42"/>
  <c r="AI54" i="60" s="1"/>
  <c r="BF38" i="18"/>
  <c r="AV91" i="42"/>
  <c r="AY38" i="18"/>
  <c r="AS37" i="18"/>
  <c r="AI90" i="42"/>
  <c r="AI53" i="60" s="1"/>
  <c r="AV90" i="42"/>
  <c r="BF37" i="18"/>
  <c r="AY37" i="18"/>
  <c r="AF105" i="60"/>
  <c r="AH105" i="60" s="1"/>
  <c r="AI105" i="60" s="1"/>
  <c r="Y16" i="18"/>
  <c r="Z16" i="18" s="1"/>
  <c r="X70" i="18" s="1"/>
  <c r="BB16" i="18"/>
  <c r="BC16" i="18" s="1"/>
  <c r="I102" i="42"/>
  <c r="AC24" i="18"/>
  <c r="AD24" i="18" s="1"/>
  <c r="D110" i="42"/>
  <c r="M11" i="32"/>
  <c r="N11" i="32"/>
  <c r="AX77" i="42"/>
  <c r="G77" i="42"/>
  <c r="L11" i="32"/>
  <c r="K11" i="32"/>
  <c r="AS77" i="42"/>
  <c r="BF77" i="42"/>
  <c r="O11" i="32"/>
  <c r="BG77" i="42"/>
  <c r="AG77" i="42"/>
  <c r="AC36" i="18"/>
  <c r="AD36" i="18" s="1"/>
  <c r="D122" i="42"/>
  <c r="M23" i="32"/>
  <c r="AX89" i="42"/>
  <c r="G89" i="42"/>
  <c r="L23" i="32"/>
  <c r="N23" i="32"/>
  <c r="AS89" i="42"/>
  <c r="BF89" i="42"/>
  <c r="BH89" i="42" s="1"/>
  <c r="BG89" i="42"/>
  <c r="O23" i="32"/>
  <c r="K23" i="32"/>
  <c r="AG89" i="42"/>
  <c r="AL16" i="60"/>
  <c r="BO16" i="60" s="1"/>
  <c r="H103" i="60"/>
  <c r="H161" i="60" s="1"/>
  <c r="BC16" i="60"/>
  <c r="CF16" i="60" s="1"/>
  <c r="Y103" i="60"/>
  <c r="Y161" i="60" s="1"/>
  <c r="AR16" i="60"/>
  <c r="BU16" i="60" s="1"/>
  <c r="N103" i="60"/>
  <c r="N161" i="60"/>
  <c r="AU16" i="60"/>
  <c r="BX16" i="60" s="1"/>
  <c r="Q103" i="60"/>
  <c r="Q161" i="60" s="1"/>
  <c r="AS16" i="60"/>
  <c r="BV16" i="60" s="1"/>
  <c r="O103" i="60"/>
  <c r="O161" i="60"/>
  <c r="AM16" i="60"/>
  <c r="BP16" i="60" s="1"/>
  <c r="I103" i="60"/>
  <c r="I161" i="60" s="1"/>
  <c r="BH16" i="60"/>
  <c r="CK16" i="60" s="1"/>
  <c r="AD103" i="60"/>
  <c r="AD161" i="60" s="1"/>
  <c r="AC23" i="18"/>
  <c r="AD23" i="18" s="1"/>
  <c r="AX76" i="42"/>
  <c r="D109" i="42"/>
  <c r="L10" i="32"/>
  <c r="AS76" i="42"/>
  <c r="O10" i="32"/>
  <c r="G76" i="42"/>
  <c r="K10" i="32"/>
  <c r="BF76" i="42"/>
  <c r="N10" i="32"/>
  <c r="M10" i="32"/>
  <c r="BG76" i="42"/>
  <c r="AT76" i="42"/>
  <c r="AG76" i="42"/>
  <c r="AC25" i="18"/>
  <c r="AD25" i="18" s="1"/>
  <c r="D111" i="42"/>
  <c r="M12" i="32"/>
  <c r="N12" i="32"/>
  <c r="G78" i="42"/>
  <c r="L12" i="32"/>
  <c r="AX78" i="42"/>
  <c r="K12" i="32"/>
  <c r="O12" i="32"/>
  <c r="AS78" i="42"/>
  <c r="BF78" i="42"/>
  <c r="BG78" i="42"/>
  <c r="AG78" i="42"/>
  <c r="AC21" i="18"/>
  <c r="AD21" i="18" s="1"/>
  <c r="D107" i="42"/>
  <c r="N8" i="32"/>
  <c r="AX74" i="42"/>
  <c r="G74" i="42"/>
  <c r="K8" i="32"/>
  <c r="M8" i="32"/>
  <c r="L8" i="32"/>
  <c r="BG74" i="42"/>
  <c r="O8" i="32"/>
  <c r="AS74" i="42"/>
  <c r="BF74" i="42"/>
  <c r="BH74" i="42" s="1"/>
  <c r="AG74" i="42"/>
  <c r="AT74" i="42"/>
  <c r="AN21" i="60"/>
  <c r="BQ21" i="60" s="1"/>
  <c r="J166" i="60"/>
  <c r="J108" i="60"/>
  <c r="AW21" i="60"/>
  <c r="BZ21" i="60" s="1"/>
  <c r="S108" i="60"/>
  <c r="S166" i="60" s="1"/>
  <c r="BE21" i="60"/>
  <c r="AA166" i="60"/>
  <c r="AA108" i="60"/>
  <c r="AP21" i="60"/>
  <c r="BS21" i="60" s="1"/>
  <c r="L108" i="60"/>
  <c r="L166" i="60"/>
  <c r="AH21" i="60"/>
  <c r="BK21" i="60" s="1"/>
  <c r="D166" i="60"/>
  <c r="D108" i="60"/>
  <c r="AM21" i="60"/>
  <c r="BP21" i="60" s="1"/>
  <c r="I108" i="60"/>
  <c r="I166" i="60"/>
  <c r="BH21" i="60"/>
  <c r="CK21" i="60" s="1"/>
  <c r="AD166" i="60"/>
  <c r="AD108" i="60"/>
  <c r="Y35" i="18"/>
  <c r="Z35" i="18" s="1"/>
  <c r="X89" i="18" s="1"/>
  <c r="BB35" i="18"/>
  <c r="I121" i="42"/>
  <c r="Y19" i="18"/>
  <c r="Z19" i="18" s="1"/>
  <c r="X73" i="18" s="1"/>
  <c r="BB19" i="18"/>
  <c r="BC19" i="18" s="1"/>
  <c r="I105" i="42"/>
  <c r="Y26" i="18"/>
  <c r="Z26" i="18" s="1"/>
  <c r="X80" i="18" s="1"/>
  <c r="BB26" i="18"/>
  <c r="I112" i="42"/>
  <c r="AQ20" i="60"/>
  <c r="BT20" i="60" s="1"/>
  <c r="M165" i="60"/>
  <c r="M107" i="60"/>
  <c r="AL20" i="60"/>
  <c r="BO20" i="60" s="1"/>
  <c r="H107" i="60"/>
  <c r="H165" i="60"/>
  <c r="AY20" i="60"/>
  <c r="CB20" i="60" s="1"/>
  <c r="U165" i="60"/>
  <c r="U107" i="60"/>
  <c r="AW20" i="60"/>
  <c r="BZ20" i="60" s="1"/>
  <c r="S107" i="60"/>
  <c r="S165" i="60"/>
  <c r="BE19" i="60"/>
  <c r="AA164" i="60"/>
  <c r="AA106" i="60"/>
  <c r="AX19" i="60"/>
  <c r="CA19" i="60" s="1"/>
  <c r="T106" i="60"/>
  <c r="T164" i="60" s="1"/>
  <c r="AH19" i="60"/>
  <c r="BK19" i="60" s="1"/>
  <c r="D164" i="60"/>
  <c r="D106" i="60"/>
  <c r="Y38" i="18"/>
  <c r="Z38" i="18" s="1"/>
  <c r="X92" i="18" s="1"/>
  <c r="BB38" i="18"/>
  <c r="BC38" i="18" s="1"/>
  <c r="I124" i="42"/>
  <c r="Y37" i="18"/>
  <c r="Z37" i="18" s="1"/>
  <c r="X91" i="18" s="1"/>
  <c r="BB37" i="18"/>
  <c r="BC37" i="18" s="1"/>
  <c r="I123" i="42"/>
  <c r="AF163" i="60"/>
  <c r="AH75" i="60"/>
  <c r="AI75" i="60" s="1"/>
  <c r="AC22" i="18"/>
  <c r="AD22" i="18" s="1"/>
  <c r="D108" i="42"/>
  <c r="G75" i="42"/>
  <c r="L9" i="32"/>
  <c r="K9" i="32"/>
  <c r="M9" i="32"/>
  <c r="N9" i="32"/>
  <c r="AX75" i="42"/>
  <c r="AS75" i="42"/>
  <c r="BG75" i="42"/>
  <c r="BF75" i="42"/>
  <c r="BH75" i="42" s="1"/>
  <c r="O9" i="32"/>
  <c r="AG75" i="42"/>
  <c r="BF16" i="60"/>
  <c r="AB103" i="60"/>
  <c r="AB161" i="60"/>
  <c r="BD16" i="60"/>
  <c r="CG16" i="60" s="1"/>
  <c r="Z161" i="60"/>
  <c r="Z103" i="60"/>
  <c r="AQ16" i="60"/>
  <c r="BT16" i="60" s="1"/>
  <c r="M103" i="60"/>
  <c r="M161" i="60" s="1"/>
  <c r="AC18" i="18"/>
  <c r="AD18" i="18" s="1"/>
  <c r="K5" i="32"/>
  <c r="M5" i="32"/>
  <c r="N5" i="32"/>
  <c r="G71" i="42"/>
  <c r="D104" i="42"/>
  <c r="AX71" i="42"/>
  <c r="L5" i="32"/>
  <c r="O5" i="32"/>
  <c r="AS71" i="42"/>
  <c r="BG71" i="42"/>
  <c r="BF71" i="42"/>
  <c r="BH71" i="42" s="1"/>
  <c r="AG71" i="42"/>
  <c r="AY21" i="60"/>
  <c r="CB21" i="60" s="1"/>
  <c r="U108" i="60"/>
  <c r="U166" i="60" s="1"/>
  <c r="BC21" i="60"/>
  <c r="CF21" i="60" s="1"/>
  <c r="Y108" i="60"/>
  <c r="Y166" i="60" s="1"/>
  <c r="AX21" i="60"/>
  <c r="CA21" i="60" s="1"/>
  <c r="T108" i="60"/>
  <c r="T166" i="60"/>
  <c r="V94" i="18"/>
  <c r="AQ39" i="18"/>
  <c r="AI88" i="42"/>
  <c r="AI51" i="60" s="1"/>
  <c r="AS35" i="18"/>
  <c r="BF35" i="18"/>
  <c r="AV88" i="42"/>
  <c r="AT88" i="42" s="1"/>
  <c r="AY35" i="18"/>
  <c r="AI72" i="42"/>
  <c r="AI35" i="60" s="1"/>
  <c r="AS19" i="18"/>
  <c r="AV72" i="42"/>
  <c r="AY19" i="18"/>
  <c r="AS26" i="18"/>
  <c r="AI79" i="42"/>
  <c r="AI42" i="60" s="1"/>
  <c r="AV79" i="42"/>
  <c r="AY26" i="18"/>
  <c r="B10" i="18"/>
  <c r="L43" i="18"/>
  <c r="W93" i="18"/>
  <c r="I68" i="42"/>
  <c r="D68" i="42"/>
  <c r="AR15" i="18"/>
  <c r="AJ20" i="60"/>
  <c r="BM20" i="60" s="1"/>
  <c r="F107" i="60"/>
  <c r="F165" i="60" s="1"/>
  <c r="AR20" i="60"/>
  <c r="BU20" i="60" s="1"/>
  <c r="N107" i="60"/>
  <c r="N165" i="60" s="1"/>
  <c r="AH20" i="60"/>
  <c r="BK20" i="60" s="1"/>
  <c r="D107" i="60"/>
  <c r="D165" i="60"/>
  <c r="AO19" i="60"/>
  <c r="BR19" i="60" s="1"/>
  <c r="K164" i="60"/>
  <c r="K106" i="60"/>
  <c r="AL19" i="60"/>
  <c r="BO19" i="60" s="1"/>
  <c r="H106" i="60"/>
  <c r="H164" i="60" s="1"/>
  <c r="AM19" i="60"/>
  <c r="BP19" i="60" s="1"/>
  <c r="I106" i="60"/>
  <c r="I164" i="60" s="1"/>
  <c r="BH19" i="60"/>
  <c r="CK19" i="60" s="1"/>
  <c r="AD106" i="60"/>
  <c r="AD164" i="60"/>
  <c r="AS24" i="18"/>
  <c r="AI77" i="42"/>
  <c r="AI40" i="60" s="1"/>
  <c r="AV77" i="42"/>
  <c r="AT77" i="42" s="1"/>
  <c r="BF24" i="18"/>
  <c r="AY24" i="18"/>
  <c r="AS36" i="18"/>
  <c r="AI89" i="42"/>
  <c r="AI52" i="60" s="1"/>
  <c r="AV89" i="42"/>
  <c r="AT89" i="42" s="1"/>
  <c r="BF36" i="18"/>
  <c r="AY36" i="18"/>
  <c r="Y22" i="18"/>
  <c r="Z22" i="18" s="1"/>
  <c r="X76" i="18" s="1"/>
  <c r="BB22" i="18"/>
  <c r="BC22" i="18" s="1"/>
  <c r="I108" i="42"/>
  <c r="AW16" i="60"/>
  <c r="BZ16" i="60" s="1"/>
  <c r="S103" i="60"/>
  <c r="S161" i="60"/>
  <c r="AO16" i="60"/>
  <c r="BR16" i="60" s="1"/>
  <c r="K103" i="60"/>
  <c r="K161" i="60" s="1"/>
  <c r="AP16" i="60"/>
  <c r="BS16" i="60" s="1"/>
  <c r="L161" i="60"/>
  <c r="L103" i="60"/>
  <c r="BA16" i="60"/>
  <c r="CD16" i="60" s="1"/>
  <c r="W103" i="60"/>
  <c r="W161" i="60" s="1"/>
  <c r="CJ18" i="60"/>
  <c r="AQ83" i="42"/>
  <c r="AP40" i="18"/>
  <c r="AW39" i="18"/>
  <c r="AI78" i="42"/>
  <c r="AI41" i="60" s="1"/>
  <c r="AS25" i="18"/>
  <c r="AV78" i="42"/>
  <c r="AT78" i="42" s="1"/>
  <c r="BF25" i="18"/>
  <c r="AY25" i="18"/>
  <c r="AS31" i="18"/>
  <c r="BF31" i="18"/>
  <c r="AY31" i="18"/>
  <c r="AI80" i="42"/>
  <c r="AS27" i="18"/>
  <c r="BF27" i="18"/>
  <c r="AY27" i="18"/>
  <c r="AU21" i="60"/>
  <c r="BX21" i="60" s="1"/>
  <c r="Q108" i="60"/>
  <c r="Q166" i="60"/>
  <c r="AL21" i="60"/>
  <c r="BO21" i="60" s="1"/>
  <c r="H166" i="60"/>
  <c r="H108" i="60"/>
  <c r="AQ21" i="60"/>
  <c r="BT21" i="60" s="1"/>
  <c r="M166" i="60"/>
  <c r="M108" i="60"/>
  <c r="AC19" i="18"/>
  <c r="AD19" i="18" s="1"/>
  <c r="D105" i="42"/>
  <c r="BF72" i="42"/>
  <c r="BH72" i="42" s="1"/>
  <c r="M6" i="32"/>
  <c r="BG72" i="42"/>
  <c r="G72" i="42"/>
  <c r="L6" i="32"/>
  <c r="AX72" i="42"/>
  <c r="AS72" i="42"/>
  <c r="N6" i="32"/>
  <c r="O6" i="32"/>
  <c r="K6" i="32"/>
  <c r="AG72" i="42"/>
  <c r="AT72" i="42"/>
  <c r="EB128" i="9"/>
  <c r="EA4" i="9"/>
  <c r="T94" i="18"/>
  <c r="AO39" i="18"/>
  <c r="AJ77" i="60"/>
  <c r="AK77" i="60"/>
  <c r="AK107" i="60" s="1"/>
  <c r="AL77" i="60"/>
  <c r="AL107" i="60" s="1"/>
  <c r="BG20" i="60"/>
  <c r="AM77" i="60"/>
  <c r="AC107" i="60"/>
  <c r="AC165" i="60" s="1"/>
  <c r="BC20" i="60"/>
  <c r="CF20" i="60" s="1"/>
  <c r="Y107" i="60"/>
  <c r="Y165" i="60" s="1"/>
  <c r="AP20" i="60"/>
  <c r="BS20" i="60" s="1"/>
  <c r="L107" i="60"/>
  <c r="L165" i="60" s="1"/>
  <c r="AN20" i="60"/>
  <c r="BQ20" i="60" s="1"/>
  <c r="J107" i="60"/>
  <c r="J165" i="60"/>
  <c r="AO20" i="60"/>
  <c r="BR20" i="60" s="1"/>
  <c r="K165" i="60"/>
  <c r="K107" i="60"/>
  <c r="AF77" i="60"/>
  <c r="AG20" i="60"/>
  <c r="BJ20" i="60" s="1"/>
  <c r="C165" i="60"/>
  <c r="C107" i="60"/>
  <c r="AX20" i="60"/>
  <c r="CA20" i="60" s="1"/>
  <c r="T165" i="60"/>
  <c r="T107" i="60"/>
  <c r="BF19" i="60"/>
  <c r="AB106" i="60"/>
  <c r="AB164" i="60" s="1"/>
  <c r="BB19" i="60"/>
  <c r="CE19" i="60" s="1"/>
  <c r="X106" i="60"/>
  <c r="X164" i="60" s="1"/>
  <c r="AS19" i="60"/>
  <c r="BV19" i="60" s="1"/>
  <c r="O164" i="60"/>
  <c r="O106" i="60"/>
  <c r="AU19" i="60"/>
  <c r="BX19" i="60" s="1"/>
  <c r="Q106" i="60"/>
  <c r="Q164" i="60" s="1"/>
  <c r="AQ19" i="60"/>
  <c r="BT19" i="60" s="1"/>
  <c r="M164" i="60"/>
  <c r="M106" i="60"/>
  <c r="AF76" i="60"/>
  <c r="AG19" i="60"/>
  <c r="BJ19" i="60" s="1"/>
  <c r="C164" i="60"/>
  <c r="C106" i="60"/>
  <c r="AY19" i="60"/>
  <c r="CB19" i="60" s="1"/>
  <c r="U106" i="60"/>
  <c r="U164" i="60"/>
  <c r="AC38" i="18"/>
  <c r="AD38" i="18" s="1"/>
  <c r="D124" i="42"/>
  <c r="AX91" i="42"/>
  <c r="O25" i="32"/>
  <c r="K25" i="32"/>
  <c r="BF91" i="42"/>
  <c r="BH91" i="42" s="1"/>
  <c r="N25" i="32"/>
  <c r="AS91" i="42"/>
  <c r="G91" i="42"/>
  <c r="L25" i="32"/>
  <c r="BG91" i="42"/>
  <c r="M25" i="32"/>
  <c r="AG91" i="42"/>
  <c r="AT91" i="42"/>
  <c r="AC37" i="18"/>
  <c r="AD37" i="18" s="1"/>
  <c r="D123" i="42"/>
  <c r="G90" i="42"/>
  <c r="M24" i="32"/>
  <c r="AS90" i="42"/>
  <c r="BG90" i="42"/>
  <c r="K24" i="32"/>
  <c r="L24" i="32"/>
  <c r="BF90" i="42"/>
  <c r="N24" i="32"/>
  <c r="AX90" i="42"/>
  <c r="O24" i="32"/>
  <c r="AG90" i="42"/>
  <c r="AT90" i="42"/>
  <c r="AC16" i="18"/>
  <c r="AD16" i="18" s="1"/>
  <c r="AX69" i="42"/>
  <c r="K3" i="32"/>
  <c r="D102" i="42"/>
  <c r="G69" i="42"/>
  <c r="M3" i="32"/>
  <c r="N3" i="32"/>
  <c r="L3" i="32"/>
  <c r="AS69" i="42"/>
  <c r="BF69" i="42"/>
  <c r="BH69" i="42" s="1"/>
  <c r="BG69" i="42"/>
  <c r="O3" i="32"/>
  <c r="AG69" i="42"/>
  <c r="Y24" i="18"/>
  <c r="Z24" i="18" s="1"/>
  <c r="X78" i="18" s="1"/>
  <c r="BB24" i="18"/>
  <c r="BC24" i="18" s="1"/>
  <c r="I110" i="42"/>
  <c r="Y36" i="18"/>
  <c r="Z36" i="18" s="1"/>
  <c r="X90" i="18" s="1"/>
  <c r="BB36" i="18"/>
  <c r="BC36" i="18" s="1"/>
  <c r="I122" i="42"/>
  <c r="AI75" i="42"/>
  <c r="AI38" i="60" s="1"/>
  <c r="AS22" i="18"/>
  <c r="AV75" i="42"/>
  <c r="AT75" i="42" s="1"/>
  <c r="AY22" i="18"/>
  <c r="BF22" i="18" s="1"/>
  <c r="AS17" i="18"/>
  <c r="AI70" i="42"/>
  <c r="AI33" i="60" s="1"/>
  <c r="BF17" i="18"/>
  <c r="AV70" i="42"/>
  <c r="AY17" i="18"/>
  <c r="AK73" i="60"/>
  <c r="AK103" i="60" s="1"/>
  <c r="AL73" i="60"/>
  <c r="AL103" i="60" s="1"/>
  <c r="AJ73" i="60"/>
  <c r="AM73" i="60" s="1"/>
  <c r="BG16" i="60"/>
  <c r="AC103" i="60"/>
  <c r="AH16" i="60"/>
  <c r="BK16" i="60" s="1"/>
  <c r="D103" i="60"/>
  <c r="D161" i="60"/>
  <c r="AI16" i="60"/>
  <c r="BL16" i="60" s="1"/>
  <c r="E103" i="60"/>
  <c r="E161" i="60" s="1"/>
  <c r="AY16" i="60"/>
  <c r="CB16" i="60" s="1"/>
  <c r="U161" i="60"/>
  <c r="U103" i="60"/>
  <c r="AX16" i="60"/>
  <c r="CA16" i="60" s="1"/>
  <c r="T103" i="60"/>
  <c r="T161" i="60" s="1"/>
  <c r="BB16" i="60"/>
  <c r="CE16" i="60" s="1"/>
  <c r="X103" i="60"/>
  <c r="X161" i="60"/>
  <c r="AV16" i="60"/>
  <c r="BY16" i="60" s="1"/>
  <c r="R103" i="60"/>
  <c r="R161" i="60" s="1"/>
  <c r="AS32" i="18"/>
  <c r="BF32" i="18"/>
  <c r="AY32" i="18"/>
  <c r="AS18" i="18"/>
  <c r="AI71" i="42"/>
  <c r="AI34" i="60" s="1"/>
  <c r="BF18" i="18"/>
  <c r="AV71" i="42"/>
  <c r="AT71" i="42" s="1"/>
  <c r="AY18" i="18"/>
  <c r="BI21" i="60"/>
  <c r="CL21" i="60" s="1"/>
  <c r="AE166" i="60"/>
  <c r="AE108" i="60"/>
  <c r="AM105" i="60"/>
  <c r="Y23" i="18"/>
  <c r="Z23" i="18" s="1"/>
  <c r="X77" i="18" s="1"/>
  <c r="BB23" i="18"/>
  <c r="I109" i="42"/>
  <c r="AS28" i="18"/>
  <c r="BF28" i="18"/>
  <c r="AY28" i="18"/>
  <c r="Y25" i="18"/>
  <c r="Z25" i="18" s="1"/>
  <c r="X79" i="18" s="1"/>
  <c r="BB25" i="18"/>
  <c r="BC25" i="18" s="1"/>
  <c r="I111" i="42"/>
  <c r="Y21" i="18"/>
  <c r="Z21" i="18" s="1"/>
  <c r="X75" i="18" s="1"/>
  <c r="BB21" i="18"/>
  <c r="BC21" i="18" s="1"/>
  <c r="I107" i="42"/>
  <c r="AI73" i="42"/>
  <c r="AI36" i="60" s="1"/>
  <c r="AS20" i="18"/>
  <c r="AV73" i="42"/>
  <c r="AT73" i="42" s="1"/>
  <c r="AY20" i="18"/>
  <c r="BF20" i="18" s="1"/>
  <c r="AS30" i="18"/>
  <c r="BF30" i="18"/>
  <c r="AY30" i="18"/>
  <c r="AK78" i="60"/>
  <c r="AK108" i="60" s="1"/>
  <c r="AL78" i="60"/>
  <c r="AL108" i="60" s="1"/>
  <c r="AJ78" i="60"/>
  <c r="BG21" i="60"/>
  <c r="AC108" i="60"/>
  <c r="AC166" i="60" s="1"/>
  <c r="AT21" i="60"/>
  <c r="BW21" i="60" s="1"/>
  <c r="P166" i="60"/>
  <c r="P108" i="60"/>
  <c r="BD21" i="60"/>
  <c r="CG21" i="60" s="1"/>
  <c r="Z108" i="60"/>
  <c r="Z166" i="60"/>
  <c r="AI21" i="60"/>
  <c r="BL21" i="60" s="1"/>
  <c r="E108" i="60"/>
  <c r="E166" i="60" s="1"/>
  <c r="AK21" i="60"/>
  <c r="BN21" i="60" s="1"/>
  <c r="G108" i="60"/>
  <c r="G166" i="60" s="1"/>
  <c r="AV21" i="60"/>
  <c r="BY21" i="60" s="1"/>
  <c r="R108" i="60"/>
  <c r="R166" i="60" s="1"/>
  <c r="AR21" i="60"/>
  <c r="BU21" i="60" s="1"/>
  <c r="N108" i="60"/>
  <c r="N166" i="60" s="1"/>
  <c r="AP83" i="42"/>
  <c r="CI18" i="60"/>
  <c r="C32" i="37"/>
  <c r="Z32" i="37" s="1"/>
  <c r="AO40" i="18" l="1"/>
  <c r="AV39" i="18"/>
  <c r="BA26" i="18"/>
  <c r="AZ26" i="18"/>
  <c r="M75" i="42"/>
  <c r="G108" i="42"/>
  <c r="AG53" i="60"/>
  <c r="AE25" i="60"/>
  <c r="AE53" i="60" s="1"/>
  <c r="AP85" i="42"/>
  <c r="CI20" i="60"/>
  <c r="M88" i="42"/>
  <c r="G121" i="42"/>
  <c r="AZ23" i="18"/>
  <c r="BA23" i="18"/>
  <c r="AO85" i="42"/>
  <c r="BJ85" i="42" s="1"/>
  <c r="BI85" i="42" s="1"/>
  <c r="BK85" i="42" s="1"/>
  <c r="CH20" i="60"/>
  <c r="AQ86" i="42"/>
  <c r="CJ21" i="60"/>
  <c r="AZ30" i="18"/>
  <c r="BA30" i="18"/>
  <c r="BC30" i="18"/>
  <c r="AZ18" i="18"/>
  <c r="BA18" i="18"/>
  <c r="AG33" i="60"/>
  <c r="AE5" i="60"/>
  <c r="AE33" i="60" s="1"/>
  <c r="BH90" i="42"/>
  <c r="CI19" i="60"/>
  <c r="AP84" i="42"/>
  <c r="AF107" i="60"/>
  <c r="AH107" i="60" s="1"/>
  <c r="AI107" i="60" s="1"/>
  <c r="AG52" i="60"/>
  <c r="AE24" i="60"/>
  <c r="AE52" i="60" s="1"/>
  <c r="AI68" i="42"/>
  <c r="AS15" i="18"/>
  <c r="BH15" i="18"/>
  <c r="AV68" i="42"/>
  <c r="AT68" i="42" s="1"/>
  <c r="AY15" i="18"/>
  <c r="BF15" i="18" s="1"/>
  <c r="W94" i="18"/>
  <c r="AR39" i="18"/>
  <c r="AZ19" i="18"/>
  <c r="BA19" i="18"/>
  <c r="AE7" i="60"/>
  <c r="AE35" i="60" s="1"/>
  <c r="AG35" i="60"/>
  <c r="BC26" i="18"/>
  <c r="M78" i="42"/>
  <c r="G111" i="42"/>
  <c r="M76" i="42"/>
  <c r="G109" i="42"/>
  <c r="AZ37" i="18"/>
  <c r="BA37" i="18"/>
  <c r="AE26" i="60"/>
  <c r="AE54" i="60" s="1"/>
  <c r="AG54" i="60"/>
  <c r="AN76" i="60"/>
  <c r="AJ106" i="60"/>
  <c r="AN106" i="60" s="1"/>
  <c r="AM40" i="18"/>
  <c r="AT39" i="18"/>
  <c r="BH79" i="42"/>
  <c r="BC20" i="18"/>
  <c r="M73" i="42"/>
  <c r="G106" i="42"/>
  <c r="AO81" i="42"/>
  <c r="BJ81" i="42" s="1"/>
  <c r="BI81" i="42" s="1"/>
  <c r="BK81" i="42" s="1"/>
  <c r="CH16" i="60"/>
  <c r="AZ33" i="18"/>
  <c r="BA33" i="18"/>
  <c r="BC33" i="18"/>
  <c r="AM78" i="60"/>
  <c r="AZ20" i="18"/>
  <c r="BA20" i="18"/>
  <c r="AE6" i="60"/>
  <c r="AE34" i="60" s="1"/>
  <c r="AG34" i="60"/>
  <c r="AM103" i="60"/>
  <c r="CJ20" i="60"/>
  <c r="AQ85" i="42"/>
  <c r="M72" i="42"/>
  <c r="G105" i="42"/>
  <c r="AE11" i="60"/>
  <c r="AE39" i="60" s="1"/>
  <c r="AG39" i="60"/>
  <c r="AF103" i="60"/>
  <c r="AH103" i="60" s="1"/>
  <c r="AI103" i="60" s="1"/>
  <c r="AI50" i="60"/>
  <c r="AJ87" i="42"/>
  <c r="AG109" i="60" s="1"/>
  <c r="AH109" i="60" s="1"/>
  <c r="AI109" i="60" s="1"/>
  <c r="AN78" i="60"/>
  <c r="AJ108" i="60"/>
  <c r="AN108" i="60" s="1"/>
  <c r="AO139" i="60" s="1"/>
  <c r="BA32" i="18"/>
  <c r="AZ32" i="18"/>
  <c r="BC32" i="18"/>
  <c r="CJ16" i="60"/>
  <c r="AQ81" i="42"/>
  <c r="AZ17" i="18"/>
  <c r="BA17" i="18"/>
  <c r="AH76" i="60"/>
  <c r="AI76" i="60" s="1"/>
  <c r="AM107" i="60"/>
  <c r="AI43" i="60"/>
  <c r="AJ80" i="42"/>
  <c r="AG102" i="60" s="1"/>
  <c r="AH102" i="60" s="1"/>
  <c r="AI102" i="60" s="1"/>
  <c r="AZ25" i="18"/>
  <c r="BA25" i="18"/>
  <c r="AG41" i="60"/>
  <c r="AE13" i="60"/>
  <c r="AE41" i="60" s="1"/>
  <c r="AZ36" i="18"/>
  <c r="BA36" i="18"/>
  <c r="AG40" i="60"/>
  <c r="AE12" i="60"/>
  <c r="AE40" i="60" s="1"/>
  <c r="AC15" i="18"/>
  <c r="AD15" i="18" s="1"/>
  <c r="D94" i="42"/>
  <c r="D127" i="42" s="1"/>
  <c r="D101" i="42"/>
  <c r="M2" i="32"/>
  <c r="AX68" i="42"/>
  <c r="N2" i="32"/>
  <c r="G68" i="42"/>
  <c r="L2" i="32"/>
  <c r="K2" i="32"/>
  <c r="AS68" i="42"/>
  <c r="BG68" i="42"/>
  <c r="BF68" i="42"/>
  <c r="O2" i="32"/>
  <c r="AG68" i="42"/>
  <c r="AG94" i="42" s="1"/>
  <c r="BF26" i="18"/>
  <c r="AZ35" i="18"/>
  <c r="BA35" i="18"/>
  <c r="AE23" i="60"/>
  <c r="AE51" i="60" s="1"/>
  <c r="AG51" i="60"/>
  <c r="M89" i="42"/>
  <c r="G122" i="42"/>
  <c r="BA38" i="18"/>
  <c r="AZ38" i="18"/>
  <c r="AM106" i="60"/>
  <c r="M79" i="42"/>
  <c r="G112" i="42"/>
  <c r="BH88" i="42"/>
  <c r="AH78" i="60"/>
  <c r="AI78" i="60" s="1"/>
  <c r="AG37" i="60"/>
  <c r="AE9" i="60"/>
  <c r="AE37" i="60" s="1"/>
  <c r="BF23" i="18"/>
  <c r="BA29" i="18"/>
  <c r="AZ29" i="18"/>
  <c r="BC29" i="18"/>
  <c r="AZ34" i="18"/>
  <c r="BA34" i="18"/>
  <c r="BC34" i="18"/>
  <c r="AZ16" i="18"/>
  <c r="BA16" i="18"/>
  <c r="AG32" i="60"/>
  <c r="AE4" i="60"/>
  <c r="AE32" i="60" s="1"/>
  <c r="AO136" i="60"/>
  <c r="BF33" i="18"/>
  <c r="AG36" i="60"/>
  <c r="AE8" i="60"/>
  <c r="AE36" i="60" s="1"/>
  <c r="AF165" i="60"/>
  <c r="AH77" i="60"/>
  <c r="AI77" i="60" s="1"/>
  <c r="CI16" i="60"/>
  <c r="AP81" i="42"/>
  <c r="AM108" i="60"/>
  <c r="AZ28" i="18"/>
  <c r="BA28" i="18"/>
  <c r="BC28" i="18"/>
  <c r="BC23" i="18"/>
  <c r="AC161" i="60"/>
  <c r="AN73" i="60"/>
  <c r="AJ103" i="60"/>
  <c r="AN103" i="60" s="1"/>
  <c r="BA22" i="18"/>
  <c r="AZ22" i="18"/>
  <c r="AE10" i="60"/>
  <c r="AE38" i="60" s="1"/>
  <c r="AG38" i="60"/>
  <c r="M69" i="42"/>
  <c r="G102" i="42"/>
  <c r="M90" i="42"/>
  <c r="G123" i="42"/>
  <c r="M91" i="42"/>
  <c r="G124" i="42"/>
  <c r="AF106" i="60"/>
  <c r="AH106" i="60" s="1"/>
  <c r="AI106" i="60" s="1"/>
  <c r="AN77" i="60"/>
  <c r="AJ107" i="60"/>
  <c r="AN107" i="60" s="1"/>
  <c r="EC128" i="9"/>
  <c r="EB4" i="9"/>
  <c r="AZ27" i="18"/>
  <c r="BA27" i="18"/>
  <c r="BC27" i="18"/>
  <c r="AZ31" i="18"/>
  <c r="BA31" i="18"/>
  <c r="BC31" i="18"/>
  <c r="AW42" i="18"/>
  <c r="AW43" i="18" s="1"/>
  <c r="AW40" i="18"/>
  <c r="AZ24" i="18"/>
  <c r="BA24" i="18"/>
  <c r="Y15" i="18"/>
  <c r="I94" i="42"/>
  <c r="I127" i="42" s="1"/>
  <c r="BB15" i="18"/>
  <c r="BC15" i="18" s="1"/>
  <c r="I101" i="42"/>
  <c r="AE14" i="60"/>
  <c r="AE42" i="60" s="1"/>
  <c r="AG42" i="60"/>
  <c r="BF19" i="18"/>
  <c r="AQ40" i="18"/>
  <c r="AX39" i="18"/>
  <c r="M71" i="42"/>
  <c r="G104" i="42"/>
  <c r="AO84" i="42"/>
  <c r="BJ84" i="42" s="1"/>
  <c r="BI84" i="42" s="1"/>
  <c r="BK84" i="42" s="1"/>
  <c r="CH19" i="60"/>
  <c r="BC35" i="18"/>
  <c r="AO86" i="42"/>
  <c r="BJ86" i="42" s="1"/>
  <c r="BI86" i="42" s="1"/>
  <c r="BK86" i="42" s="1"/>
  <c r="CH21" i="60"/>
  <c r="M74" i="42"/>
  <c r="G107" i="42"/>
  <c r="BH78" i="42"/>
  <c r="BH76" i="42"/>
  <c r="BH77" i="42"/>
  <c r="M77" i="42"/>
  <c r="G110" i="42"/>
  <c r="AQ84" i="42"/>
  <c r="CJ19" i="60"/>
  <c r="AF108" i="60"/>
  <c r="AH108" i="60" s="1"/>
  <c r="AI108" i="60" s="1"/>
  <c r="BA21" i="18"/>
  <c r="AZ21" i="18"/>
  <c r="AF161" i="60"/>
  <c r="AH73" i="60"/>
  <c r="AI73" i="60" s="1"/>
  <c r="CI21" i="60"/>
  <c r="AP86" i="42"/>
  <c r="M70" i="42"/>
  <c r="G103" i="42"/>
  <c r="M34" i="54"/>
  <c r="N1" i="54"/>
  <c r="C2" i="37"/>
  <c r="AF53" i="60" l="1"/>
  <c r="BD90" i="42"/>
  <c r="BE90" i="42" s="1"/>
  <c r="AJ90" i="42"/>
  <c r="AG112" i="60" s="1"/>
  <c r="M123" i="42"/>
  <c r="AF166" i="60"/>
  <c r="AH96" i="42"/>
  <c r="AH95" i="42"/>
  <c r="AT40" i="18"/>
  <c r="AT42" i="18"/>
  <c r="AT43" i="18" s="1"/>
  <c r="AJ54" i="60"/>
  <c r="AG83" i="60"/>
  <c r="AI94" i="42"/>
  <c r="AI31" i="60"/>
  <c r="BD70" i="42"/>
  <c r="BE70" i="42" s="1"/>
  <c r="AJ70" i="42"/>
  <c r="AG92" i="60" s="1"/>
  <c r="M103" i="42"/>
  <c r="EC4" i="9"/>
  <c r="ED128" i="9"/>
  <c r="AJ89" i="42"/>
  <c r="AG111" i="60" s="1"/>
  <c r="BD89" i="42"/>
  <c r="BE89" i="42" s="1"/>
  <c r="M122" i="42"/>
  <c r="AG50" i="60"/>
  <c r="AE22" i="60"/>
  <c r="AE50" i="60" s="1"/>
  <c r="AF50" i="60" s="1"/>
  <c r="AJ76" i="42"/>
  <c r="AG98" i="60" s="1"/>
  <c r="BD76" i="42"/>
  <c r="BE76" i="42" s="1"/>
  <c r="M109" i="42"/>
  <c r="AG64" i="60"/>
  <c r="AJ35" i="60"/>
  <c r="AE81" i="60"/>
  <c r="AF52" i="60"/>
  <c r="N34" i="54"/>
  <c r="O1" i="54"/>
  <c r="AO138" i="60"/>
  <c r="BD91" i="42"/>
  <c r="BE91" i="42" s="1"/>
  <c r="AJ91" i="42"/>
  <c r="AG113" i="60" s="1"/>
  <c r="M124" i="42"/>
  <c r="BD69" i="42"/>
  <c r="BE69" i="42" s="1"/>
  <c r="AJ69" i="42"/>
  <c r="AG91" i="60" s="1"/>
  <c r="M102" i="42"/>
  <c r="AF37" i="60"/>
  <c r="AH37" i="60" s="1"/>
  <c r="AG80" i="60"/>
  <c r="AJ51" i="60"/>
  <c r="AH51" i="60"/>
  <c r="BH68" i="42"/>
  <c r="BF94" i="42"/>
  <c r="BF86" i="42"/>
  <c r="AF40" i="60"/>
  <c r="AH40" i="60" s="1"/>
  <c r="AF41" i="60"/>
  <c r="AF164" i="60"/>
  <c r="AJ72" i="42"/>
  <c r="AG94" i="60" s="1"/>
  <c r="BD72" i="42"/>
  <c r="BE72" i="42" s="1"/>
  <c r="M105" i="42"/>
  <c r="AG63" i="60"/>
  <c r="AJ34" i="60"/>
  <c r="AO137" i="60"/>
  <c r="AF35" i="60"/>
  <c r="AH35" i="60" s="1"/>
  <c r="AJ52" i="60"/>
  <c r="AH52" i="60"/>
  <c r="AG81" i="60"/>
  <c r="AV42" i="18"/>
  <c r="AV43" i="18" s="1"/>
  <c r="AV40" i="18"/>
  <c r="BD77" i="42"/>
  <c r="BE77" i="42" s="1"/>
  <c r="AJ77" i="42"/>
  <c r="AG99" i="60" s="1"/>
  <c r="M110" i="42"/>
  <c r="AJ71" i="42"/>
  <c r="AG93" i="60" s="1"/>
  <c r="BD71" i="42"/>
  <c r="BE71" i="42" s="1"/>
  <c r="M104" i="42"/>
  <c r="AG71" i="60"/>
  <c r="AJ42" i="60"/>
  <c r="AF38" i="60"/>
  <c r="AH38" i="60" s="1"/>
  <c r="AG65" i="60"/>
  <c r="AJ36" i="60"/>
  <c r="AG61" i="60"/>
  <c r="AJ32" i="60"/>
  <c r="BD79" i="42"/>
  <c r="BE79" i="42" s="1"/>
  <c r="AJ79" i="42"/>
  <c r="AG101" i="60" s="1"/>
  <c r="M112" i="42"/>
  <c r="AF39" i="60"/>
  <c r="AH39" i="60" s="1"/>
  <c r="AJ33" i="60"/>
  <c r="AG62" i="60"/>
  <c r="BD74" i="42"/>
  <c r="BE74" i="42" s="1"/>
  <c r="AJ74" i="42"/>
  <c r="AG96" i="60" s="1"/>
  <c r="M107" i="42"/>
  <c r="AX40" i="18"/>
  <c r="AX42" i="18"/>
  <c r="AX43" i="18" s="1"/>
  <c r="AF42" i="60"/>
  <c r="AH42" i="60" s="1"/>
  <c r="Y39" i="18"/>
  <c r="Z39" i="18" s="1"/>
  <c r="Z15" i="18"/>
  <c r="X69" i="18" s="1"/>
  <c r="AJ73" i="42"/>
  <c r="AG95" i="60" s="1"/>
  <c r="BD73" i="42"/>
  <c r="BE73" i="42" s="1"/>
  <c r="M106" i="42"/>
  <c r="AF54" i="60"/>
  <c r="AH54" i="60" s="1"/>
  <c r="AR40" i="18"/>
  <c r="AS39" i="18"/>
  <c r="AY39" i="18"/>
  <c r="AJ88" i="42"/>
  <c r="AG110" i="60" s="1"/>
  <c r="BD88" i="42"/>
  <c r="BE88" i="42" s="1"/>
  <c r="M121" i="42"/>
  <c r="AH53" i="60"/>
  <c r="AJ53" i="60"/>
  <c r="AG82" i="60"/>
  <c r="AG67" i="60"/>
  <c r="AJ38" i="60"/>
  <c r="AO134" i="60"/>
  <c r="AF36" i="60"/>
  <c r="AH36" i="60" s="1"/>
  <c r="AF32" i="60"/>
  <c r="AH32" i="60" s="1"/>
  <c r="AJ37" i="60"/>
  <c r="AG66" i="60"/>
  <c r="AF51" i="60"/>
  <c r="BG86" i="42"/>
  <c r="BG94" i="42" s="1"/>
  <c r="M68" i="42"/>
  <c r="G94" i="42"/>
  <c r="G127" i="42" s="1"/>
  <c r="G101" i="42"/>
  <c r="AG69" i="60"/>
  <c r="AJ40" i="60"/>
  <c r="AH41" i="60"/>
  <c r="AJ41" i="60"/>
  <c r="AG70" i="60"/>
  <c r="AE15" i="60"/>
  <c r="AE43" i="60" s="1"/>
  <c r="AF43" i="60" s="1"/>
  <c r="AG43" i="60"/>
  <c r="AJ39" i="60"/>
  <c r="AG68" i="60"/>
  <c r="AF34" i="60"/>
  <c r="AH34" i="60" s="1"/>
  <c r="BD78" i="42"/>
  <c r="BE78" i="42" s="1"/>
  <c r="AJ78" i="42"/>
  <c r="AG100" i="60" s="1"/>
  <c r="M111" i="42"/>
  <c r="AZ15" i="18"/>
  <c r="BA15" i="18"/>
  <c r="BI15" i="18"/>
  <c r="AF33" i="60"/>
  <c r="AH33" i="60" s="1"/>
  <c r="AJ75" i="42"/>
  <c r="AG97" i="60" s="1"/>
  <c r="BD75" i="42"/>
  <c r="BE75" i="42" s="1"/>
  <c r="M108" i="42"/>
  <c r="C27" i="37"/>
  <c r="AA2" i="37"/>
  <c r="AD66" i="60" l="1"/>
  <c r="S66" i="60"/>
  <c r="K66" i="60"/>
  <c r="D66" i="60"/>
  <c r="Q66" i="60"/>
  <c r="W66" i="60"/>
  <c r="T66" i="60"/>
  <c r="I66" i="60"/>
  <c r="E66" i="60"/>
  <c r="Y66" i="60"/>
  <c r="N66" i="60"/>
  <c r="L66" i="60"/>
  <c r="G66" i="60"/>
  <c r="Z66" i="60"/>
  <c r="M66" i="60"/>
  <c r="V66" i="60"/>
  <c r="X66" i="60"/>
  <c r="O66" i="60"/>
  <c r="U66" i="60"/>
  <c r="R66" i="60"/>
  <c r="AA66" i="60"/>
  <c r="H66" i="60"/>
  <c r="AB66" i="60"/>
  <c r="P66" i="60"/>
  <c r="F66" i="60"/>
  <c r="J66" i="60"/>
  <c r="C66" i="60"/>
  <c r="AC66" i="60"/>
  <c r="AE66" i="60"/>
  <c r="AD62" i="60"/>
  <c r="G62" i="60"/>
  <c r="E62" i="60"/>
  <c r="I62" i="60"/>
  <c r="S62" i="60"/>
  <c r="O62" i="60"/>
  <c r="K62" i="60"/>
  <c r="V62" i="60"/>
  <c r="R62" i="60"/>
  <c r="AA62" i="60"/>
  <c r="F62" i="60"/>
  <c r="D62" i="60"/>
  <c r="L62" i="60"/>
  <c r="C62" i="60"/>
  <c r="Y62" i="60"/>
  <c r="X62" i="60"/>
  <c r="M62" i="60"/>
  <c r="J62" i="60"/>
  <c r="P62" i="60"/>
  <c r="AB62" i="60"/>
  <c r="Q62" i="60"/>
  <c r="W62" i="60"/>
  <c r="Z62" i="60"/>
  <c r="U62" i="60"/>
  <c r="N62" i="60"/>
  <c r="T62" i="60"/>
  <c r="H62" i="60"/>
  <c r="AC62" i="60"/>
  <c r="AE62" i="60"/>
  <c r="AD61" i="60"/>
  <c r="Y61" i="60"/>
  <c r="C61" i="60"/>
  <c r="H61" i="60"/>
  <c r="D61" i="60"/>
  <c r="Z61" i="60"/>
  <c r="M61" i="60"/>
  <c r="V61" i="60"/>
  <c r="N61" i="60"/>
  <c r="AA61" i="60"/>
  <c r="X61" i="60"/>
  <c r="R61" i="60"/>
  <c r="S61" i="60"/>
  <c r="K61" i="60"/>
  <c r="I61" i="60"/>
  <c r="Q61" i="60"/>
  <c r="G61" i="60"/>
  <c r="P61" i="60"/>
  <c r="T61" i="60"/>
  <c r="J61" i="60"/>
  <c r="E61" i="60"/>
  <c r="L61" i="60"/>
  <c r="U61" i="60"/>
  <c r="W61" i="60"/>
  <c r="O61" i="60"/>
  <c r="F61" i="60"/>
  <c r="AB61" i="60"/>
  <c r="AC61" i="60"/>
  <c r="AE61" i="60"/>
  <c r="AD71" i="60"/>
  <c r="T71" i="60"/>
  <c r="E71" i="60"/>
  <c r="Y71" i="60"/>
  <c r="I71" i="60"/>
  <c r="K71" i="60"/>
  <c r="S71" i="60"/>
  <c r="H71" i="60"/>
  <c r="G71" i="60"/>
  <c r="C71" i="60"/>
  <c r="X71" i="60"/>
  <c r="L71" i="60"/>
  <c r="AA71" i="60"/>
  <c r="R71" i="60"/>
  <c r="Q71" i="60"/>
  <c r="M71" i="60"/>
  <c r="J71" i="60"/>
  <c r="D71" i="60"/>
  <c r="N71" i="60"/>
  <c r="F71" i="60"/>
  <c r="P71" i="60"/>
  <c r="Z71" i="60"/>
  <c r="W71" i="60"/>
  <c r="V71" i="60"/>
  <c r="O71" i="60"/>
  <c r="U71" i="60"/>
  <c r="AB71" i="60"/>
  <c r="AC71" i="60"/>
  <c r="AE71" i="60"/>
  <c r="AD68" i="60"/>
  <c r="W68" i="60"/>
  <c r="C68" i="60"/>
  <c r="F68" i="60"/>
  <c r="AA68" i="60"/>
  <c r="P68" i="60"/>
  <c r="K68" i="60"/>
  <c r="L68" i="60"/>
  <c r="Y68" i="60"/>
  <c r="X68" i="60"/>
  <c r="O68" i="60"/>
  <c r="N68" i="60"/>
  <c r="Q68" i="60"/>
  <c r="G68" i="60"/>
  <c r="H68" i="60"/>
  <c r="T68" i="60"/>
  <c r="E68" i="60"/>
  <c r="S68" i="60"/>
  <c r="V68" i="60"/>
  <c r="Z68" i="60"/>
  <c r="I68" i="60"/>
  <c r="D68" i="60"/>
  <c r="M68" i="60"/>
  <c r="U68" i="60"/>
  <c r="R68" i="60"/>
  <c r="AB68" i="60"/>
  <c r="J68" i="60"/>
  <c r="AC68" i="60"/>
  <c r="AE68" i="60"/>
  <c r="AD67" i="60"/>
  <c r="Q67" i="60"/>
  <c r="T67" i="60"/>
  <c r="H67" i="60"/>
  <c r="M67" i="60"/>
  <c r="C67" i="60"/>
  <c r="X67" i="60"/>
  <c r="E67" i="60"/>
  <c r="Y67" i="60"/>
  <c r="P67" i="60"/>
  <c r="U67" i="60"/>
  <c r="R67" i="60"/>
  <c r="L67" i="60"/>
  <c r="S67" i="60"/>
  <c r="D67" i="60"/>
  <c r="Z67" i="60"/>
  <c r="N67" i="60"/>
  <c r="AA67" i="60"/>
  <c r="G67" i="60"/>
  <c r="O67" i="60"/>
  <c r="V67" i="60"/>
  <c r="K67" i="60"/>
  <c r="F67" i="60"/>
  <c r="J67" i="60"/>
  <c r="W67" i="60"/>
  <c r="I67" i="60"/>
  <c r="AB67" i="60"/>
  <c r="AC67" i="60"/>
  <c r="AE67" i="60"/>
  <c r="AD83" i="60"/>
  <c r="AB83" i="60"/>
  <c r="M83" i="60"/>
  <c r="R83" i="60"/>
  <c r="N83" i="60"/>
  <c r="S83" i="60"/>
  <c r="W83" i="60"/>
  <c r="C83" i="60"/>
  <c r="Z83" i="60"/>
  <c r="J83" i="60"/>
  <c r="X83" i="60"/>
  <c r="T83" i="60"/>
  <c r="D83" i="60"/>
  <c r="H83" i="60"/>
  <c r="AA83" i="60"/>
  <c r="U83" i="60"/>
  <c r="F83" i="60"/>
  <c r="V83" i="60"/>
  <c r="O83" i="60"/>
  <c r="G83" i="60"/>
  <c r="Q83" i="60"/>
  <c r="K83" i="60"/>
  <c r="P83" i="60"/>
  <c r="I83" i="60"/>
  <c r="L83" i="60"/>
  <c r="Y83" i="60"/>
  <c r="E83" i="60"/>
  <c r="AC83" i="60"/>
  <c r="AE83" i="60"/>
  <c r="AD64" i="60"/>
  <c r="W64" i="60"/>
  <c r="Q64" i="60"/>
  <c r="U64" i="60"/>
  <c r="H64" i="60"/>
  <c r="AB64" i="60"/>
  <c r="N64" i="60"/>
  <c r="F64" i="60"/>
  <c r="M64" i="60"/>
  <c r="D64" i="60"/>
  <c r="Y64" i="60"/>
  <c r="V64" i="60"/>
  <c r="Z64" i="60"/>
  <c r="P64" i="60"/>
  <c r="K64" i="60"/>
  <c r="L64" i="60"/>
  <c r="R64" i="60"/>
  <c r="E64" i="60"/>
  <c r="C64" i="60"/>
  <c r="I64" i="60"/>
  <c r="X64" i="60"/>
  <c r="O64" i="60"/>
  <c r="AA64" i="60"/>
  <c r="T64" i="60"/>
  <c r="J64" i="60"/>
  <c r="G64" i="60"/>
  <c r="S64" i="60"/>
  <c r="AC64" i="60"/>
  <c r="AE64" i="60"/>
  <c r="AD63" i="60"/>
  <c r="N63" i="60"/>
  <c r="E63" i="60"/>
  <c r="Y63" i="60"/>
  <c r="D63" i="60"/>
  <c r="H63" i="60"/>
  <c r="R63" i="60"/>
  <c r="V63" i="60"/>
  <c r="Z63" i="60"/>
  <c r="U63" i="60"/>
  <c r="G63" i="60"/>
  <c r="X63" i="60"/>
  <c r="Q63" i="60"/>
  <c r="AA63" i="60"/>
  <c r="J63" i="60"/>
  <c r="F63" i="60"/>
  <c r="M63" i="60"/>
  <c r="K63" i="60"/>
  <c r="P63" i="60"/>
  <c r="I63" i="60"/>
  <c r="S63" i="60"/>
  <c r="L63" i="60"/>
  <c r="C63" i="60"/>
  <c r="O63" i="60"/>
  <c r="W63" i="60"/>
  <c r="T63" i="60"/>
  <c r="AB63" i="60"/>
  <c r="AC63" i="60"/>
  <c r="AE63" i="60"/>
  <c r="AD69" i="60"/>
  <c r="Y69" i="60"/>
  <c r="C69" i="60"/>
  <c r="J69" i="60"/>
  <c r="D69" i="60"/>
  <c r="X69" i="60"/>
  <c r="F69" i="60"/>
  <c r="P69" i="60"/>
  <c r="O69" i="60"/>
  <c r="Z69" i="60"/>
  <c r="R69" i="60"/>
  <c r="G69" i="60"/>
  <c r="U69" i="60"/>
  <c r="Q69" i="60"/>
  <c r="M69" i="60"/>
  <c r="S69" i="60"/>
  <c r="N69" i="60"/>
  <c r="E69" i="60"/>
  <c r="I69" i="60"/>
  <c r="V69" i="60"/>
  <c r="K69" i="60"/>
  <c r="L69" i="60"/>
  <c r="W69" i="60"/>
  <c r="AA69" i="60"/>
  <c r="H69" i="60"/>
  <c r="T69" i="60"/>
  <c r="AC69" i="60"/>
  <c r="AB69" i="60"/>
  <c r="AE69" i="60"/>
  <c r="AD65" i="60"/>
  <c r="W65" i="60"/>
  <c r="AA65" i="60"/>
  <c r="M65" i="60"/>
  <c r="P65" i="60"/>
  <c r="U65" i="60"/>
  <c r="V65" i="60"/>
  <c r="D65" i="60"/>
  <c r="E65" i="60"/>
  <c r="C65" i="60"/>
  <c r="T65" i="60"/>
  <c r="R65" i="60"/>
  <c r="S65" i="60"/>
  <c r="Z65" i="60"/>
  <c r="N65" i="60"/>
  <c r="O65" i="60"/>
  <c r="G65" i="60"/>
  <c r="H65" i="60"/>
  <c r="Q65" i="60"/>
  <c r="K65" i="60"/>
  <c r="F65" i="60"/>
  <c r="X65" i="60"/>
  <c r="L65" i="60"/>
  <c r="Y65" i="60"/>
  <c r="J65" i="60"/>
  <c r="I65" i="60"/>
  <c r="AB65" i="60"/>
  <c r="AC65" i="60"/>
  <c r="AE65" i="60"/>
  <c r="AJ43" i="60"/>
  <c r="AG72" i="60"/>
  <c r="AH72" i="60" s="1"/>
  <c r="AI72" i="60" s="1"/>
  <c r="AH43" i="60"/>
  <c r="AZ39" i="18"/>
  <c r="AY42" i="18"/>
  <c r="AY43" i="18" s="1"/>
  <c r="AY40" i="18"/>
  <c r="BA39" i="18"/>
  <c r="AD80" i="60"/>
  <c r="P80" i="60"/>
  <c r="Z80" i="60"/>
  <c r="M80" i="60"/>
  <c r="Q80" i="60"/>
  <c r="R80" i="60"/>
  <c r="E80" i="60"/>
  <c r="F80" i="60"/>
  <c r="O80" i="60"/>
  <c r="X80" i="60"/>
  <c r="K80" i="60"/>
  <c r="AA80" i="60"/>
  <c r="W80" i="60"/>
  <c r="S80" i="60"/>
  <c r="C80" i="60"/>
  <c r="N80" i="60"/>
  <c r="T80" i="60"/>
  <c r="H80" i="60"/>
  <c r="V80" i="60"/>
  <c r="I80" i="60"/>
  <c r="G80" i="60"/>
  <c r="J80" i="60"/>
  <c r="L80" i="60"/>
  <c r="D80" i="60"/>
  <c r="U80" i="60"/>
  <c r="Y80" i="60"/>
  <c r="AC80" i="60"/>
  <c r="AB80" i="60"/>
  <c r="O34" i="54"/>
  <c r="P1" i="54"/>
  <c r="AI55" i="60"/>
  <c r="AE3" i="60"/>
  <c r="AE31" i="60" s="1"/>
  <c r="AG31" i="60"/>
  <c r="AD81" i="60"/>
  <c r="AB81" i="60"/>
  <c r="P81" i="60"/>
  <c r="F81" i="60"/>
  <c r="J81" i="60"/>
  <c r="O81" i="60"/>
  <c r="N81" i="60"/>
  <c r="Y81" i="60"/>
  <c r="T81" i="60"/>
  <c r="W81" i="60"/>
  <c r="M81" i="60"/>
  <c r="R81" i="60"/>
  <c r="L81" i="60"/>
  <c r="D81" i="60"/>
  <c r="K81" i="60"/>
  <c r="H81" i="60"/>
  <c r="G81" i="60"/>
  <c r="AA81" i="60"/>
  <c r="I81" i="60"/>
  <c r="V81" i="60"/>
  <c r="C81" i="60"/>
  <c r="U81" i="60"/>
  <c r="Q81" i="60"/>
  <c r="E81" i="60"/>
  <c r="S81" i="60"/>
  <c r="AC81" i="60"/>
  <c r="BH86" i="42"/>
  <c r="BM86" i="42"/>
  <c r="BL86" i="42"/>
  <c r="BI24" i="60"/>
  <c r="CL24" i="60" s="1"/>
  <c r="AE111" i="60"/>
  <c r="AE169" i="60"/>
  <c r="AG79" i="60"/>
  <c r="AH79" i="60" s="1"/>
  <c r="AI79" i="60" s="1"/>
  <c r="AJ50" i="60"/>
  <c r="AH50" i="60"/>
  <c r="EE128" i="9"/>
  <c r="ED4" i="9"/>
  <c r="AD70" i="60"/>
  <c r="Y70" i="60"/>
  <c r="D70" i="60"/>
  <c r="S70" i="60"/>
  <c r="Q70" i="60"/>
  <c r="AB70" i="60"/>
  <c r="AA70" i="60"/>
  <c r="N70" i="60"/>
  <c r="X70" i="60"/>
  <c r="M70" i="60"/>
  <c r="Z70" i="60"/>
  <c r="V70" i="60"/>
  <c r="L70" i="60"/>
  <c r="C70" i="60"/>
  <c r="P70" i="60"/>
  <c r="J70" i="60"/>
  <c r="U70" i="60"/>
  <c r="W70" i="60"/>
  <c r="K70" i="60"/>
  <c r="T70" i="60"/>
  <c r="E70" i="60"/>
  <c r="H70" i="60"/>
  <c r="G70" i="60"/>
  <c r="F70" i="60"/>
  <c r="I70" i="60"/>
  <c r="R70" i="60"/>
  <c r="O70" i="60"/>
  <c r="AC70" i="60"/>
  <c r="AD82" i="60"/>
  <c r="X82" i="60"/>
  <c r="E82" i="60"/>
  <c r="L82" i="60"/>
  <c r="F82" i="60"/>
  <c r="D82" i="60"/>
  <c r="Z82" i="60"/>
  <c r="M82" i="60"/>
  <c r="I82" i="60"/>
  <c r="P82" i="60"/>
  <c r="C82" i="60"/>
  <c r="O82" i="60"/>
  <c r="Y82" i="60"/>
  <c r="V82" i="60"/>
  <c r="Q82" i="60"/>
  <c r="N82" i="60"/>
  <c r="S82" i="60"/>
  <c r="W82" i="60"/>
  <c r="K82" i="60"/>
  <c r="R82" i="60"/>
  <c r="U82" i="60"/>
  <c r="J82" i="60"/>
  <c r="AA82" i="60"/>
  <c r="G82" i="60"/>
  <c r="H82" i="60"/>
  <c r="T82" i="60"/>
  <c r="AC82" i="60"/>
  <c r="AB82" i="60"/>
  <c r="M94" i="42"/>
  <c r="M127" i="42" s="1"/>
  <c r="AJ68" i="42"/>
  <c r="BD68" i="42"/>
  <c r="M101" i="42"/>
  <c r="AE80" i="60"/>
  <c r="AE70" i="60"/>
  <c r="BH94" i="42"/>
  <c r="AE82" i="60"/>
  <c r="AA26" i="37"/>
  <c r="AA1" i="37"/>
  <c r="H81" i="37"/>
  <c r="Z27" i="37"/>
  <c r="C29" i="37"/>
  <c r="AJ82" i="60" l="1"/>
  <c r="BG25" i="60"/>
  <c r="AL82" i="60"/>
  <c r="AL112" i="60" s="1"/>
  <c r="AM82" i="60"/>
  <c r="AK82" i="60"/>
  <c r="AK112" i="60" s="1"/>
  <c r="AC112" i="60"/>
  <c r="AC170" i="60"/>
  <c r="BE24" i="60"/>
  <c r="AA111" i="60"/>
  <c r="AA169" i="60" s="1"/>
  <c r="AZ23" i="60"/>
  <c r="CC23" i="60" s="1"/>
  <c r="V110" i="60"/>
  <c r="V168" i="60" s="1"/>
  <c r="BD23" i="60"/>
  <c r="CG23" i="60" s="1"/>
  <c r="Z110" i="60"/>
  <c r="Z168" i="60"/>
  <c r="BD8" i="60"/>
  <c r="CG8" i="60" s="1"/>
  <c r="Z95" i="60"/>
  <c r="Z153" i="60"/>
  <c r="AJ69" i="60"/>
  <c r="AK69" i="60"/>
  <c r="AK99" i="60" s="1"/>
  <c r="AL69" i="60"/>
  <c r="AL99" i="60" s="1"/>
  <c r="BG12" i="60"/>
  <c r="AM69" i="60"/>
  <c r="AC157" i="60"/>
  <c r="AC99" i="60"/>
  <c r="AV12" i="60"/>
  <c r="BY12" i="60" s="1"/>
  <c r="R99" i="60"/>
  <c r="R157" i="60" s="1"/>
  <c r="AS6" i="60"/>
  <c r="BV6" i="60" s="1"/>
  <c r="O93" i="60"/>
  <c r="O151" i="60"/>
  <c r="AZ6" i="60"/>
  <c r="CC6" i="60" s="1"/>
  <c r="V93" i="60"/>
  <c r="V151" i="60"/>
  <c r="AN7" i="60"/>
  <c r="BQ7" i="60" s="1"/>
  <c r="J152" i="60"/>
  <c r="J94" i="60"/>
  <c r="AL7" i="60"/>
  <c r="BO7" i="60" s="1"/>
  <c r="H94" i="60"/>
  <c r="H152" i="60" s="1"/>
  <c r="AZ26" i="60"/>
  <c r="CC26" i="60" s="1"/>
  <c r="V113" i="60"/>
  <c r="V171" i="60"/>
  <c r="BF26" i="60"/>
  <c r="AB113" i="60"/>
  <c r="AB171" i="60" s="1"/>
  <c r="AH10" i="60"/>
  <c r="BK10" i="60" s="1"/>
  <c r="D155" i="60"/>
  <c r="D97" i="60"/>
  <c r="AL68" i="60"/>
  <c r="AL98" i="60" s="1"/>
  <c r="AM68" i="60"/>
  <c r="BG11" i="60"/>
  <c r="AK68" i="60"/>
  <c r="AK98" i="60" s="1"/>
  <c r="AJ68" i="60"/>
  <c r="AC156" i="60"/>
  <c r="AC98" i="60"/>
  <c r="AP11" i="60"/>
  <c r="BS11" i="60" s="1"/>
  <c r="L98" i="60"/>
  <c r="L156" i="60" s="1"/>
  <c r="AK14" i="60"/>
  <c r="BN14" i="60" s="1"/>
  <c r="G101" i="60"/>
  <c r="G159" i="60" s="1"/>
  <c r="BD5" i="60"/>
  <c r="CG5" i="60" s="1"/>
  <c r="Z150" i="60"/>
  <c r="Z92" i="60"/>
  <c r="BD94" i="42"/>
  <c r="BE68" i="42"/>
  <c r="BE94" i="42" s="1"/>
  <c r="BE25" i="60"/>
  <c r="AA112" i="60"/>
  <c r="AA170" i="60"/>
  <c r="AU25" i="60"/>
  <c r="BX25" i="60" s="1"/>
  <c r="Q112" i="60"/>
  <c r="Q170" i="60" s="1"/>
  <c r="BD25" i="60"/>
  <c r="CG25" i="60" s="1"/>
  <c r="Z112" i="60"/>
  <c r="Z170" i="60" s="1"/>
  <c r="AS13" i="60"/>
  <c r="BV13" i="60" s="1"/>
  <c r="O100" i="60"/>
  <c r="O158" i="60" s="1"/>
  <c r="AO13" i="60"/>
  <c r="BR13" i="60" s="1"/>
  <c r="K100" i="60"/>
  <c r="K158" i="60"/>
  <c r="BD13" i="60"/>
  <c r="CG13" i="60" s="1"/>
  <c r="Z100" i="60"/>
  <c r="Z158" i="60" s="1"/>
  <c r="AH13" i="60"/>
  <c r="BK13" i="60" s="1"/>
  <c r="D100" i="60"/>
  <c r="D158" i="60" s="1"/>
  <c r="AK81" i="60"/>
  <c r="AK111" i="60" s="1"/>
  <c r="AL81" i="60"/>
  <c r="AL111" i="60" s="1"/>
  <c r="AM81" i="60"/>
  <c r="AJ81" i="60"/>
  <c r="BG24" i="60"/>
  <c r="AC111" i="60"/>
  <c r="AC169" i="60"/>
  <c r="AH24" i="60"/>
  <c r="BK24" i="60" s="1"/>
  <c r="D111" i="60"/>
  <c r="D169" i="60" s="1"/>
  <c r="AS24" i="60"/>
  <c r="BV24" i="60" s="1"/>
  <c r="O169" i="60"/>
  <c r="O111" i="60"/>
  <c r="AP23" i="60"/>
  <c r="BS23" i="60" s="1"/>
  <c r="L168" i="60"/>
  <c r="L110" i="60"/>
  <c r="AO23" i="60"/>
  <c r="BR23" i="60" s="1"/>
  <c r="K110" i="60"/>
  <c r="K168" i="60" s="1"/>
  <c r="BB8" i="60"/>
  <c r="CE8" i="60" s="1"/>
  <c r="X95" i="60"/>
  <c r="X153" i="60" s="1"/>
  <c r="AF65" i="60"/>
  <c r="AG8" i="60"/>
  <c r="BJ8" i="60" s="1"/>
  <c r="C95" i="60"/>
  <c r="C153" i="60"/>
  <c r="BA8" i="60"/>
  <c r="CD8" i="60" s="1"/>
  <c r="W153" i="60"/>
  <c r="W95" i="60"/>
  <c r="AM12" i="60"/>
  <c r="BP12" i="60" s="1"/>
  <c r="I157" i="60"/>
  <c r="I99" i="60"/>
  <c r="AJ12" i="60"/>
  <c r="BM12" i="60" s="1"/>
  <c r="F99" i="60"/>
  <c r="F157" i="60" s="1"/>
  <c r="BG6" i="60"/>
  <c r="AJ63" i="60"/>
  <c r="AK63" i="60"/>
  <c r="AK93" i="60" s="1"/>
  <c r="AL63" i="60"/>
  <c r="AL93" i="60" s="1"/>
  <c r="AC93" i="60"/>
  <c r="AC151" i="60" s="1"/>
  <c r="AJ6" i="60"/>
  <c r="BM6" i="60" s="1"/>
  <c r="F151" i="60"/>
  <c r="F93" i="60"/>
  <c r="BC6" i="60"/>
  <c r="CF6" i="60" s="1"/>
  <c r="Y93" i="60"/>
  <c r="Y151" i="60" s="1"/>
  <c r="BB7" i="60"/>
  <c r="CE7" i="60" s="1"/>
  <c r="X94" i="60"/>
  <c r="X152" i="60" s="1"/>
  <c r="BD7" i="60"/>
  <c r="CG7" i="60" s="1"/>
  <c r="Z94" i="60"/>
  <c r="Z152" i="60"/>
  <c r="BH7" i="60"/>
  <c r="CK7" i="60" s="1"/>
  <c r="AD152" i="60"/>
  <c r="AD94" i="60"/>
  <c r="AO26" i="60"/>
  <c r="BR26" i="60" s="1"/>
  <c r="K171" i="60"/>
  <c r="K113" i="60"/>
  <c r="AN26" i="60"/>
  <c r="BQ26" i="60" s="1"/>
  <c r="J113" i="60"/>
  <c r="J171" i="60"/>
  <c r="BF10" i="60"/>
  <c r="AB97" i="60"/>
  <c r="AB155" i="60"/>
  <c r="AK10" i="60"/>
  <c r="BN10" i="60" s="1"/>
  <c r="G155" i="60"/>
  <c r="G97" i="60"/>
  <c r="BB10" i="60"/>
  <c r="CE10" i="60" s="1"/>
  <c r="X155" i="60"/>
  <c r="X97" i="60"/>
  <c r="AY11" i="60"/>
  <c r="CB11" i="60" s="1"/>
  <c r="U98" i="60"/>
  <c r="U156" i="60" s="1"/>
  <c r="AX11" i="60"/>
  <c r="CA11" i="60" s="1"/>
  <c r="T98" i="60"/>
  <c r="T156" i="60"/>
  <c r="BI14" i="60"/>
  <c r="CL14" i="60" s="1"/>
  <c r="AE101" i="60"/>
  <c r="AE159" i="60" s="1"/>
  <c r="AT14" i="60"/>
  <c r="BW14" i="60" s="1"/>
  <c r="P101" i="60"/>
  <c r="P159" i="60" s="1"/>
  <c r="BE14" i="60"/>
  <c r="AA101" i="60"/>
  <c r="AA159" i="60" s="1"/>
  <c r="BH14" i="60"/>
  <c r="CK14" i="60" s="1"/>
  <c r="AD101" i="60"/>
  <c r="AD159" i="60"/>
  <c r="AP4" i="60"/>
  <c r="BS4" i="60" s="1"/>
  <c r="L91" i="60"/>
  <c r="L149" i="60" s="1"/>
  <c r="AO4" i="60"/>
  <c r="BR4" i="60" s="1"/>
  <c r="K91" i="60"/>
  <c r="K149" i="60" s="1"/>
  <c r="BD4" i="60"/>
  <c r="CG4" i="60" s="1"/>
  <c r="Z91" i="60"/>
  <c r="Z149" i="60" s="1"/>
  <c r="AL5" i="60"/>
  <c r="BO5" i="60" s="1"/>
  <c r="H92" i="60"/>
  <c r="H150" i="60"/>
  <c r="BC5" i="60"/>
  <c r="CF5" i="60" s="1"/>
  <c r="Y150" i="60"/>
  <c r="Y92" i="60"/>
  <c r="AO5" i="60"/>
  <c r="BR5" i="60" s="1"/>
  <c r="K150" i="60"/>
  <c r="K92" i="60"/>
  <c r="BG9" i="60"/>
  <c r="AL66" i="60"/>
  <c r="AL96" i="60" s="1"/>
  <c r="AK66" i="60"/>
  <c r="AK96" i="60" s="1"/>
  <c r="AJ66" i="60"/>
  <c r="AC96" i="60"/>
  <c r="AC154" i="60" s="1"/>
  <c r="AV9" i="60"/>
  <c r="BY9" i="60" s="1"/>
  <c r="R96" i="60"/>
  <c r="R154" i="60"/>
  <c r="AZ9" i="60"/>
  <c r="CC9" i="60" s="1"/>
  <c r="V96" i="60"/>
  <c r="V154" i="60" s="1"/>
  <c r="AH9" i="60"/>
  <c r="BK9" i="60" s="1"/>
  <c r="D154" i="60"/>
  <c r="D96" i="60"/>
  <c r="AN25" i="60"/>
  <c r="BQ25" i="60" s="1"/>
  <c r="J112" i="60"/>
  <c r="J170" i="60" s="1"/>
  <c r="AZ25" i="60"/>
  <c r="CC25" i="60" s="1"/>
  <c r="V112" i="60"/>
  <c r="V170" i="60" s="1"/>
  <c r="AH25" i="60"/>
  <c r="BK25" i="60" s="1"/>
  <c r="D112" i="60"/>
  <c r="D170" i="60" s="1"/>
  <c r="AV13" i="60"/>
  <c r="BY13" i="60" s="1"/>
  <c r="R158" i="60"/>
  <c r="R100" i="60"/>
  <c r="BA13" i="60"/>
  <c r="CD13" i="60" s="1"/>
  <c r="W100" i="60"/>
  <c r="W158" i="60"/>
  <c r="AQ13" i="60"/>
  <c r="BT13" i="60" s="1"/>
  <c r="M100" i="60"/>
  <c r="M158" i="60"/>
  <c r="BC13" i="60"/>
  <c r="CF13" i="60" s="1"/>
  <c r="Y158" i="60"/>
  <c r="Y100" i="60"/>
  <c r="EF128" i="9"/>
  <c r="EE4" i="9"/>
  <c r="AW24" i="60"/>
  <c r="BZ24" i="60" s="1"/>
  <c r="S111" i="60"/>
  <c r="S169" i="60"/>
  <c r="AK24" i="60"/>
  <c r="BN24" i="60" s="1"/>
  <c r="G111" i="60"/>
  <c r="G169" i="60" s="1"/>
  <c r="AX24" i="60"/>
  <c r="CA24" i="60" s="1"/>
  <c r="T111" i="60"/>
  <c r="T169" i="60" s="1"/>
  <c r="BH24" i="60"/>
  <c r="CK24" i="60" s="1"/>
  <c r="AD111" i="60"/>
  <c r="AD169" i="60" s="1"/>
  <c r="BC23" i="60"/>
  <c r="CF23" i="60" s="1"/>
  <c r="Y110" i="60"/>
  <c r="Y168" i="60" s="1"/>
  <c r="AL23" i="60"/>
  <c r="BO23" i="60" s="1"/>
  <c r="H110" i="60"/>
  <c r="H168" i="60" s="1"/>
  <c r="AW23" i="60"/>
  <c r="BZ23" i="60" s="1"/>
  <c r="S110" i="60"/>
  <c r="S168" i="60" s="1"/>
  <c r="AV23" i="60"/>
  <c r="BY23" i="60" s="1"/>
  <c r="R110" i="60"/>
  <c r="R168" i="60"/>
  <c r="BI8" i="60"/>
  <c r="CL8" i="60" s="1"/>
  <c r="AE95" i="60"/>
  <c r="AE153" i="60"/>
  <c r="AJ8" i="60"/>
  <c r="BM8" i="60" s="1"/>
  <c r="F153" i="60"/>
  <c r="F95" i="60"/>
  <c r="AW8" i="60"/>
  <c r="BZ8" i="60" s="1"/>
  <c r="S95" i="60"/>
  <c r="S153" i="60" s="1"/>
  <c r="AT8" i="60"/>
  <c r="BW8" i="60" s="1"/>
  <c r="P95" i="60"/>
  <c r="P153" i="60" s="1"/>
  <c r="AX12" i="60"/>
  <c r="CA12" i="60" s="1"/>
  <c r="T99" i="60"/>
  <c r="T157" i="60" s="1"/>
  <c r="AI12" i="60"/>
  <c r="BL12" i="60" s="1"/>
  <c r="E157" i="60"/>
  <c r="E99" i="60"/>
  <c r="BD12" i="60"/>
  <c r="CG12" i="60" s="1"/>
  <c r="Z157" i="60"/>
  <c r="Z99" i="60"/>
  <c r="BC12" i="60"/>
  <c r="CF12" i="60" s="1"/>
  <c r="Y99" i="60"/>
  <c r="Y157" i="60" s="1"/>
  <c r="BF6" i="60"/>
  <c r="AB93" i="60"/>
  <c r="AB151" i="60" s="1"/>
  <c r="AN6" i="60"/>
  <c r="BQ6" i="60" s="1"/>
  <c r="J151" i="60"/>
  <c r="J93" i="60"/>
  <c r="AV6" i="60"/>
  <c r="BY6" i="60" s="1"/>
  <c r="R93" i="60"/>
  <c r="R151" i="60" s="1"/>
  <c r="AL64" i="60"/>
  <c r="AL94" i="60" s="1"/>
  <c r="AM64" i="60"/>
  <c r="BG7" i="60"/>
  <c r="AK64" i="60"/>
  <c r="AK94" i="60" s="1"/>
  <c r="AJ64" i="60"/>
  <c r="AC94" i="60"/>
  <c r="AC152" i="60"/>
  <c r="AM7" i="60"/>
  <c r="BP7" i="60" s="1"/>
  <c r="I94" i="60"/>
  <c r="I152" i="60"/>
  <c r="AZ7" i="60"/>
  <c r="CC7" i="60" s="1"/>
  <c r="V94" i="60"/>
  <c r="V152" i="60" s="1"/>
  <c r="AJ7" i="60"/>
  <c r="BM7" i="60" s="1"/>
  <c r="F152" i="60"/>
  <c r="F94" i="60"/>
  <c r="AP26" i="60"/>
  <c r="BS26" i="60" s="1"/>
  <c r="L113" i="60"/>
  <c r="L171" i="60"/>
  <c r="AU26" i="60"/>
  <c r="BX26" i="60" s="1"/>
  <c r="Q113" i="60"/>
  <c r="Q171" i="60"/>
  <c r="BD26" i="60"/>
  <c r="CG26" i="60" s="1"/>
  <c r="Z171" i="60"/>
  <c r="Z113" i="60"/>
  <c r="AR26" i="60"/>
  <c r="BU26" i="60" s="1"/>
  <c r="N171" i="60"/>
  <c r="N113" i="60"/>
  <c r="AM10" i="60"/>
  <c r="BP10" i="60" s="1"/>
  <c r="I97" i="60"/>
  <c r="I155" i="60"/>
  <c r="BE10" i="60"/>
  <c r="AA97" i="60"/>
  <c r="AA155" i="60" s="1"/>
  <c r="AF67" i="60"/>
  <c r="AG10" i="60"/>
  <c r="BJ10" i="60" s="1"/>
  <c r="C97" i="60"/>
  <c r="AU10" i="60"/>
  <c r="BX10" i="60" s="1"/>
  <c r="Q155" i="60"/>
  <c r="Q97" i="60"/>
  <c r="AZ11" i="60"/>
  <c r="CC11" i="60" s="1"/>
  <c r="V156" i="60"/>
  <c r="V98" i="60"/>
  <c r="AL11" i="60"/>
  <c r="BO11" i="60" s="1"/>
  <c r="H98" i="60"/>
  <c r="H156" i="60" s="1"/>
  <c r="AO11" i="60"/>
  <c r="BR11" i="60" s="1"/>
  <c r="K98" i="60"/>
  <c r="K156" i="60" s="1"/>
  <c r="BG14" i="60"/>
  <c r="AJ71" i="60"/>
  <c r="AM71" i="60" s="1"/>
  <c r="AK71" i="60"/>
  <c r="AK101" i="60" s="1"/>
  <c r="AL71" i="60"/>
  <c r="AL101" i="60" s="1"/>
  <c r="AC159" i="60"/>
  <c r="AC101" i="60"/>
  <c r="AJ14" i="60"/>
  <c r="BM14" i="60" s="1"/>
  <c r="F159" i="60"/>
  <c r="F101" i="60"/>
  <c r="AP14" i="60"/>
  <c r="BS14" i="60" s="1"/>
  <c r="L101" i="60"/>
  <c r="L159" i="60" s="1"/>
  <c r="BC14" i="60"/>
  <c r="CF14" i="60" s="1"/>
  <c r="Y101" i="60"/>
  <c r="Y159" i="60"/>
  <c r="AS4" i="60"/>
  <c r="BV4" i="60" s="1"/>
  <c r="O149" i="60"/>
  <c r="O91" i="60"/>
  <c r="AW4" i="60"/>
  <c r="BZ4" i="60" s="1"/>
  <c r="S149" i="60"/>
  <c r="S91" i="60"/>
  <c r="AR4" i="60"/>
  <c r="BU4" i="60" s="1"/>
  <c r="N91" i="60"/>
  <c r="N149" i="60"/>
  <c r="BH4" i="60"/>
  <c r="CK4" i="60" s="1"/>
  <c r="AD91" i="60"/>
  <c r="AD149" i="60" s="1"/>
  <c r="BA5" i="60"/>
  <c r="CD5" i="60" s="1"/>
  <c r="W92" i="60"/>
  <c r="W150" i="60" s="1"/>
  <c r="AF62" i="60"/>
  <c r="AG5" i="60"/>
  <c r="BJ5" i="60" s="1"/>
  <c r="C92" i="60"/>
  <c r="C150" i="60" s="1"/>
  <c r="AK5" i="60"/>
  <c r="BN5" i="60" s="1"/>
  <c r="G150" i="60"/>
  <c r="G92" i="60"/>
  <c r="AF66" i="60"/>
  <c r="AG9" i="60"/>
  <c r="BJ9" i="60" s="1"/>
  <c r="C154" i="60"/>
  <c r="C96" i="60"/>
  <c r="AY9" i="60"/>
  <c r="CB9" i="60" s="1"/>
  <c r="U96" i="60"/>
  <c r="U154" i="60"/>
  <c r="AQ9" i="60"/>
  <c r="BT9" i="60" s="1"/>
  <c r="M96" i="60"/>
  <c r="M154" i="60"/>
  <c r="AR9" i="60"/>
  <c r="BU9" i="60" s="1"/>
  <c r="N154" i="60"/>
  <c r="N96" i="60"/>
  <c r="AO9" i="60"/>
  <c r="BR9" i="60" s="1"/>
  <c r="K154" i="60"/>
  <c r="K96" i="60"/>
  <c r="BI25" i="60"/>
  <c r="CL25" i="60" s="1"/>
  <c r="AE112" i="60"/>
  <c r="AE170" i="60"/>
  <c r="BI13" i="60"/>
  <c r="CL13" i="60" s="1"/>
  <c r="AE100" i="60"/>
  <c r="AE158" i="60" s="1"/>
  <c r="BI23" i="60"/>
  <c r="CL23" i="60" s="1"/>
  <c r="AE110" i="60"/>
  <c r="AE168" i="60" s="1"/>
  <c r="AL25" i="60"/>
  <c r="BO25" i="60" s="1"/>
  <c r="H112" i="60"/>
  <c r="H170" i="60" s="1"/>
  <c r="AY25" i="60"/>
  <c r="CB25" i="60" s="1"/>
  <c r="U112" i="60"/>
  <c r="U170" i="60" s="1"/>
  <c r="AW25" i="60"/>
  <c r="BZ25" i="60" s="1"/>
  <c r="S112" i="60"/>
  <c r="S170" i="60" s="1"/>
  <c r="BC25" i="60"/>
  <c r="CF25" i="60" s="1"/>
  <c r="Y170" i="60"/>
  <c r="Y112" i="60"/>
  <c r="AM25" i="60"/>
  <c r="BP25" i="60" s="1"/>
  <c r="I170" i="60"/>
  <c r="I112" i="60"/>
  <c r="AJ25" i="60"/>
  <c r="BM25" i="60" s="1"/>
  <c r="F112" i="60"/>
  <c r="F170" i="60" s="1"/>
  <c r="BH25" i="60"/>
  <c r="CK25" i="60" s="1"/>
  <c r="AD112" i="60"/>
  <c r="AD170" i="60" s="1"/>
  <c r="AM13" i="60"/>
  <c r="BP13" i="60" s="1"/>
  <c r="I100" i="60"/>
  <c r="I158" i="60" s="1"/>
  <c r="AI13" i="60"/>
  <c r="BL13" i="60" s="1"/>
  <c r="E158" i="60"/>
  <c r="E100" i="60"/>
  <c r="AY13" i="60"/>
  <c r="CB13" i="60" s="1"/>
  <c r="U100" i="60"/>
  <c r="U158" i="60"/>
  <c r="AP13" i="60"/>
  <c r="BS13" i="60" s="1"/>
  <c r="L100" i="60"/>
  <c r="L158" i="60" s="1"/>
  <c r="BB13" i="60"/>
  <c r="CE13" i="60" s="1"/>
  <c r="X158" i="60"/>
  <c r="X100" i="60"/>
  <c r="AU13" i="60"/>
  <c r="BX13" i="60" s="1"/>
  <c r="Q100" i="60"/>
  <c r="Q158" i="60" s="1"/>
  <c r="BH13" i="60"/>
  <c r="CK13" i="60" s="1"/>
  <c r="AD100" i="60"/>
  <c r="AD158" i="60" s="1"/>
  <c r="AI24" i="60"/>
  <c r="BL24" i="60" s="1"/>
  <c r="E111" i="60"/>
  <c r="E169" i="60" s="1"/>
  <c r="AZ24" i="60"/>
  <c r="CC24" i="60" s="1"/>
  <c r="V169" i="60"/>
  <c r="V111" i="60"/>
  <c r="AL24" i="60"/>
  <c r="BO24" i="60" s="1"/>
  <c r="H169" i="60"/>
  <c r="H111" i="60"/>
  <c r="AV24" i="60"/>
  <c r="BY24" i="60" s="1"/>
  <c r="R111" i="60"/>
  <c r="R169" i="60" s="1"/>
  <c r="BC24" i="60"/>
  <c r="CF24" i="60" s="1"/>
  <c r="Y111" i="60"/>
  <c r="Y169" i="60"/>
  <c r="AJ24" i="60"/>
  <c r="BM24" i="60" s="1"/>
  <c r="F111" i="60"/>
  <c r="F169" i="60" s="1"/>
  <c r="AJ31" i="60"/>
  <c r="AG60" i="60"/>
  <c r="AG55" i="60"/>
  <c r="AY23" i="60"/>
  <c r="CB23" i="60" s="1"/>
  <c r="U168" i="60"/>
  <c r="U110" i="60"/>
  <c r="AK23" i="60"/>
  <c r="BN23" i="60" s="1"/>
  <c r="G110" i="60"/>
  <c r="G168" i="60" s="1"/>
  <c r="AX23" i="60"/>
  <c r="CA23" i="60" s="1"/>
  <c r="T110" i="60"/>
  <c r="T168" i="60"/>
  <c r="BA23" i="60"/>
  <c r="CD23" i="60" s="1"/>
  <c r="W168" i="60"/>
  <c r="W110" i="60"/>
  <c r="AS23" i="60"/>
  <c r="BV23" i="60" s="1"/>
  <c r="O110" i="60"/>
  <c r="O168" i="60" s="1"/>
  <c r="AU23" i="60"/>
  <c r="BX23" i="60" s="1"/>
  <c r="Q110" i="60"/>
  <c r="Q168" i="60" s="1"/>
  <c r="BH23" i="60"/>
  <c r="CK23" i="60" s="1"/>
  <c r="AD110" i="60"/>
  <c r="AD168" i="60"/>
  <c r="AJ65" i="60"/>
  <c r="AK65" i="60"/>
  <c r="AK95" i="60" s="1"/>
  <c r="AL65" i="60"/>
  <c r="AL95" i="60" s="1"/>
  <c r="BG8" i="60"/>
  <c r="AM65" i="60"/>
  <c r="AC153" i="60"/>
  <c r="AC95" i="60"/>
  <c r="BC8" i="60"/>
  <c r="CF8" i="60" s="1"/>
  <c r="Y153" i="60"/>
  <c r="Y95" i="60"/>
  <c r="AO8" i="60"/>
  <c r="BR8" i="60" s="1"/>
  <c r="K95" i="60"/>
  <c r="K153" i="60"/>
  <c r="AS8" i="60"/>
  <c r="BV8" i="60" s="1"/>
  <c r="O95" i="60"/>
  <c r="O153" i="60" s="1"/>
  <c r="AV8" i="60"/>
  <c r="BY8" i="60" s="1"/>
  <c r="R153" i="60"/>
  <c r="R95" i="60"/>
  <c r="AH8" i="60"/>
  <c r="BK8" i="60" s="1"/>
  <c r="D95" i="60"/>
  <c r="D153" i="60" s="1"/>
  <c r="AQ8" i="60"/>
  <c r="BT8" i="60" s="1"/>
  <c r="M95" i="60"/>
  <c r="M153" i="60" s="1"/>
  <c r="BI12" i="60"/>
  <c r="CL12" i="60" s="1"/>
  <c r="AE99" i="60"/>
  <c r="AE157" i="60" s="1"/>
  <c r="AL12" i="60"/>
  <c r="BO12" i="60" s="1"/>
  <c r="H99" i="60"/>
  <c r="H157" i="60" s="1"/>
  <c r="AO12" i="60"/>
  <c r="BR12" i="60" s="1"/>
  <c r="K157" i="60"/>
  <c r="K99" i="60"/>
  <c r="AR12" i="60"/>
  <c r="BU12" i="60" s="1"/>
  <c r="N99" i="60"/>
  <c r="N157" i="60" s="1"/>
  <c r="AY12" i="60"/>
  <c r="CB12" i="60" s="1"/>
  <c r="U99" i="60"/>
  <c r="U157" i="60" s="1"/>
  <c r="AS12" i="60"/>
  <c r="BV12" i="60" s="1"/>
  <c r="O157" i="60"/>
  <c r="O99" i="60"/>
  <c r="AH12" i="60"/>
  <c r="BK12" i="60" s="1"/>
  <c r="D99" i="60"/>
  <c r="D157" i="60" s="1"/>
  <c r="BH12" i="60"/>
  <c r="CK12" i="60" s="1"/>
  <c r="AD99" i="60"/>
  <c r="AD157" i="60"/>
  <c r="AX6" i="60"/>
  <c r="CA6" i="60" s="1"/>
  <c r="T93" i="60"/>
  <c r="T151" i="60" s="1"/>
  <c r="AP6" i="60"/>
  <c r="BS6" i="60" s="1"/>
  <c r="L151" i="60"/>
  <c r="L93" i="60"/>
  <c r="AO6" i="60"/>
  <c r="BR6" i="60" s="1"/>
  <c r="K151" i="60"/>
  <c r="K93" i="60"/>
  <c r="BE6" i="60"/>
  <c r="AA93" i="60"/>
  <c r="AA151" i="60" s="1"/>
  <c r="AY6" i="60"/>
  <c r="CB6" i="60" s="1"/>
  <c r="U93" i="60"/>
  <c r="U151" i="60" s="1"/>
  <c r="AL6" i="60"/>
  <c r="BO6" i="60" s="1"/>
  <c r="H151" i="60"/>
  <c r="H93" i="60"/>
  <c r="AR6" i="60"/>
  <c r="BU6" i="60" s="1"/>
  <c r="N151" i="60"/>
  <c r="N93" i="60"/>
  <c r="AW7" i="60"/>
  <c r="BZ7" i="60" s="1"/>
  <c r="S94" i="60"/>
  <c r="S152" i="60" s="1"/>
  <c r="BE7" i="60"/>
  <c r="AA94" i="60"/>
  <c r="AA152" i="60" s="1"/>
  <c r="AF64" i="60"/>
  <c r="AG7" i="60"/>
  <c r="BJ7" i="60" s="1"/>
  <c r="C94" i="60"/>
  <c r="C152" i="60"/>
  <c r="AO7" i="60"/>
  <c r="BR7" i="60" s="1"/>
  <c r="K152" i="60"/>
  <c r="K94" i="60"/>
  <c r="BC7" i="60"/>
  <c r="CF7" i="60" s="1"/>
  <c r="Y152" i="60"/>
  <c r="Y94" i="60"/>
  <c r="AR7" i="60"/>
  <c r="BU7" i="60" s="1"/>
  <c r="N94" i="60"/>
  <c r="N152" i="60" s="1"/>
  <c r="AU7" i="60"/>
  <c r="BX7" i="60" s="1"/>
  <c r="Q94" i="60"/>
  <c r="Q152" i="60" s="1"/>
  <c r="BG26" i="60"/>
  <c r="AK83" i="60"/>
  <c r="AK113" i="60" s="1"/>
  <c r="AL83" i="60"/>
  <c r="AL113" i="60" s="1"/>
  <c r="AJ83" i="60"/>
  <c r="AC171" i="60"/>
  <c r="AC113" i="60"/>
  <c r="AM26" i="60"/>
  <c r="BP26" i="60" s="1"/>
  <c r="I171" i="60"/>
  <c r="I113" i="60"/>
  <c r="AK26" i="60"/>
  <c r="BN26" i="60" s="1"/>
  <c r="G113" i="60"/>
  <c r="G171" i="60" s="1"/>
  <c r="AY26" i="60"/>
  <c r="CB26" i="60" s="1"/>
  <c r="U113" i="60"/>
  <c r="U171" i="60" s="1"/>
  <c r="AX26" i="60"/>
  <c r="CA26" i="60" s="1"/>
  <c r="T113" i="60"/>
  <c r="T171" i="60" s="1"/>
  <c r="AF83" i="60"/>
  <c r="AG26" i="60"/>
  <c r="BJ26" i="60" s="1"/>
  <c r="C113" i="60"/>
  <c r="C171" i="60" s="1"/>
  <c r="AV26" i="60"/>
  <c r="BY26" i="60" s="1"/>
  <c r="R113" i="60"/>
  <c r="R171" i="60" s="1"/>
  <c r="BI10" i="60"/>
  <c r="CL10" i="60" s="1"/>
  <c r="AE97" i="60"/>
  <c r="AE155" i="60"/>
  <c r="BA10" i="60"/>
  <c r="CD10" i="60" s="1"/>
  <c r="W97" i="60"/>
  <c r="W155" i="60"/>
  <c r="AZ10" i="60"/>
  <c r="CC10" i="60" s="1"/>
  <c r="V155" i="60"/>
  <c r="V97" i="60"/>
  <c r="AR10" i="60"/>
  <c r="BU10" i="60" s="1"/>
  <c r="N97" i="60"/>
  <c r="N155" i="60" s="1"/>
  <c r="AP10" i="60"/>
  <c r="BS10" i="60" s="1"/>
  <c r="L97" i="60"/>
  <c r="L155" i="60"/>
  <c r="BC10" i="60"/>
  <c r="CF10" i="60" s="1"/>
  <c r="Y97" i="60"/>
  <c r="Y155" i="60" s="1"/>
  <c r="AQ10" i="60"/>
  <c r="BT10" i="60" s="1"/>
  <c r="M97" i="60"/>
  <c r="M155" i="60" s="1"/>
  <c r="BH10" i="60"/>
  <c r="CK10" i="60" s="1"/>
  <c r="AD155" i="60"/>
  <c r="AD97" i="60"/>
  <c r="BF11" i="60"/>
  <c r="AB98" i="60"/>
  <c r="AB156" i="60"/>
  <c r="AH11" i="60"/>
  <c r="BK11" i="60" s="1"/>
  <c r="D98" i="60"/>
  <c r="D156" i="60" s="1"/>
  <c r="AW11" i="60"/>
  <c r="BZ11" i="60" s="1"/>
  <c r="S156" i="60"/>
  <c r="S98" i="60"/>
  <c r="AK11" i="60"/>
  <c r="BN11" i="60" s="1"/>
  <c r="G156" i="60"/>
  <c r="G98" i="60"/>
  <c r="BB11" i="60"/>
  <c r="CE11" i="60" s="1"/>
  <c r="X98" i="60"/>
  <c r="X156" i="60"/>
  <c r="AT11" i="60"/>
  <c r="BW11" i="60" s="1"/>
  <c r="P98" i="60"/>
  <c r="P156" i="60"/>
  <c r="BA11" i="60"/>
  <c r="CD11" i="60" s="1"/>
  <c r="W98" i="60"/>
  <c r="W156" i="60" s="1"/>
  <c r="BF14" i="60"/>
  <c r="AB159" i="60"/>
  <c r="AB101" i="60"/>
  <c r="BA14" i="60"/>
  <c r="CD14" i="60" s="1"/>
  <c r="W101" i="60"/>
  <c r="W159" i="60" s="1"/>
  <c r="AR14" i="60"/>
  <c r="BU14" i="60" s="1"/>
  <c r="N101" i="60"/>
  <c r="N159" i="60" s="1"/>
  <c r="AU14" i="60"/>
  <c r="BX14" i="60" s="1"/>
  <c r="Q101" i="60"/>
  <c r="Q159" i="60" s="1"/>
  <c r="BB14" i="60"/>
  <c r="CE14" i="60" s="1"/>
  <c r="X159" i="60"/>
  <c r="X101" i="60"/>
  <c r="AW14" i="60"/>
  <c r="BZ14" i="60" s="1"/>
  <c r="S101" i="60"/>
  <c r="S159" i="60"/>
  <c r="AI14" i="60"/>
  <c r="BL14" i="60" s="1"/>
  <c r="E101" i="60"/>
  <c r="E159" i="60"/>
  <c r="AJ61" i="60"/>
  <c r="AM61" i="60" s="1"/>
  <c r="AK61" i="60"/>
  <c r="AK91" i="60" s="1"/>
  <c r="AL61" i="60"/>
  <c r="AL91" i="60" s="1"/>
  <c r="BG4" i="60"/>
  <c r="AC149" i="60"/>
  <c r="AC91" i="60"/>
  <c r="BA4" i="60"/>
  <c r="CD4" i="60" s="1"/>
  <c r="W149" i="60"/>
  <c r="W91" i="60"/>
  <c r="AN4" i="60"/>
  <c r="BQ4" i="60" s="1"/>
  <c r="J91" i="60"/>
  <c r="J149" i="60"/>
  <c r="AU4" i="60"/>
  <c r="BX4" i="60" s="1"/>
  <c r="Q91" i="60"/>
  <c r="Q149" i="60" s="1"/>
  <c r="AV4" i="60"/>
  <c r="BY4" i="60" s="1"/>
  <c r="R91" i="60"/>
  <c r="R149" i="60" s="1"/>
  <c r="AZ4" i="60"/>
  <c r="CC4" i="60" s="1"/>
  <c r="V91" i="60"/>
  <c r="V149" i="60" s="1"/>
  <c r="AL4" i="60"/>
  <c r="BO4" i="60" s="1"/>
  <c r="H91" i="60"/>
  <c r="H149" i="60" s="1"/>
  <c r="BI5" i="60"/>
  <c r="CL5" i="60" s="1"/>
  <c r="AE92" i="60"/>
  <c r="AE150" i="60"/>
  <c r="AR5" i="60"/>
  <c r="BU5" i="60" s="1"/>
  <c r="N150" i="60"/>
  <c r="N92" i="60"/>
  <c r="AU5" i="60"/>
  <c r="BX5" i="60" s="1"/>
  <c r="Q92" i="60"/>
  <c r="Q150" i="60" s="1"/>
  <c r="AQ5" i="60"/>
  <c r="BT5" i="60" s="1"/>
  <c r="M92" i="60"/>
  <c r="M150" i="60" s="1"/>
  <c r="AP5" i="60"/>
  <c r="BS5" i="60" s="1"/>
  <c r="L92" i="60"/>
  <c r="L150" i="60"/>
  <c r="AV5" i="60"/>
  <c r="BY5" i="60" s="1"/>
  <c r="R150" i="60"/>
  <c r="R92" i="60"/>
  <c r="AW5" i="60"/>
  <c r="BZ5" i="60" s="1"/>
  <c r="S92" i="60"/>
  <c r="S150" i="60" s="1"/>
  <c r="BH5" i="60"/>
  <c r="CK5" i="60" s="1"/>
  <c r="AD92" i="60"/>
  <c r="AD150" i="60"/>
  <c r="AN9" i="60"/>
  <c r="BQ9" i="60" s="1"/>
  <c r="J96" i="60"/>
  <c r="J154" i="60" s="1"/>
  <c r="AL9" i="60"/>
  <c r="BO9" i="60" s="1"/>
  <c r="H154" i="60"/>
  <c r="H96" i="60"/>
  <c r="AS9" i="60"/>
  <c r="BV9" i="60" s="1"/>
  <c r="O96" i="60"/>
  <c r="O154" i="60" s="1"/>
  <c r="BD9" i="60"/>
  <c r="CG9" i="60" s="1"/>
  <c r="Z96" i="60"/>
  <c r="Z154" i="60" s="1"/>
  <c r="BC9" i="60"/>
  <c r="CF9" i="60" s="1"/>
  <c r="Y96" i="60"/>
  <c r="Y154" i="60"/>
  <c r="BA9" i="60"/>
  <c r="CD9" i="60" s="1"/>
  <c r="W154" i="60"/>
  <c r="W96" i="60"/>
  <c r="AW9" i="60"/>
  <c r="BZ9" i="60" s="1"/>
  <c r="S154" i="60"/>
  <c r="S96" i="60"/>
  <c r="AO25" i="60"/>
  <c r="BR25" i="60" s="1"/>
  <c r="K112" i="60"/>
  <c r="K170" i="60" s="1"/>
  <c r="AF82" i="60"/>
  <c r="AG25" i="60"/>
  <c r="BJ25" i="60" s="1"/>
  <c r="C112" i="60"/>
  <c r="C170" i="60" s="1"/>
  <c r="AI25" i="60"/>
  <c r="BL25" i="60" s="1"/>
  <c r="E112" i="60"/>
  <c r="E170" i="60"/>
  <c r="AK13" i="60"/>
  <c r="BN13" i="60" s="1"/>
  <c r="G158" i="60"/>
  <c r="G100" i="60"/>
  <c r="AT13" i="60"/>
  <c r="BW13" i="60" s="1"/>
  <c r="P158" i="60"/>
  <c r="P100" i="60"/>
  <c r="BE13" i="60"/>
  <c r="AA100" i="60"/>
  <c r="AA158" i="60" s="1"/>
  <c r="AY24" i="60"/>
  <c r="CB24" i="60" s="1"/>
  <c r="U111" i="60"/>
  <c r="U169" i="60" s="1"/>
  <c r="BA24" i="60"/>
  <c r="CD24" i="60" s="1"/>
  <c r="W169" i="60"/>
  <c r="W111" i="60"/>
  <c r="BF24" i="60"/>
  <c r="AB111" i="60"/>
  <c r="AB169" i="60" s="1"/>
  <c r="AJ80" i="60"/>
  <c r="AM80" i="60"/>
  <c r="BG23" i="60"/>
  <c r="AL80" i="60"/>
  <c r="AL110" i="60" s="1"/>
  <c r="AK80" i="60"/>
  <c r="AK110" i="60" s="1"/>
  <c r="AC110" i="60"/>
  <c r="AC168" i="60"/>
  <c r="AF80" i="60"/>
  <c r="AG23" i="60"/>
  <c r="BJ23" i="60" s="1"/>
  <c r="C110" i="60"/>
  <c r="C168" i="60" s="1"/>
  <c r="AI23" i="60"/>
  <c r="BL23" i="60" s="1"/>
  <c r="E110" i="60"/>
  <c r="E168" i="60" s="1"/>
  <c r="AM8" i="60"/>
  <c r="BP8" i="60" s="1"/>
  <c r="I153" i="60"/>
  <c r="I95" i="60"/>
  <c r="AL8" i="60"/>
  <c r="BO8" i="60" s="1"/>
  <c r="H95" i="60"/>
  <c r="H153" i="60" s="1"/>
  <c r="AY8" i="60"/>
  <c r="CB8" i="60" s="1"/>
  <c r="U95" i="60"/>
  <c r="U153" i="60"/>
  <c r="BA12" i="60"/>
  <c r="CD12" i="60" s="1"/>
  <c r="W99" i="60"/>
  <c r="W157" i="60" s="1"/>
  <c r="AQ12" i="60"/>
  <c r="BT12" i="60" s="1"/>
  <c r="M99" i="60"/>
  <c r="M157" i="60" s="1"/>
  <c r="AF69" i="60"/>
  <c r="AG12" i="60"/>
  <c r="BJ12" i="60" s="1"/>
  <c r="C157" i="60"/>
  <c r="C99" i="60"/>
  <c r="AM6" i="60"/>
  <c r="BP6" i="60" s="1"/>
  <c r="I151" i="60"/>
  <c r="I93" i="60"/>
  <c r="BB6" i="60"/>
  <c r="CE6" i="60" s="1"/>
  <c r="X93" i="60"/>
  <c r="X151" i="60"/>
  <c r="BI7" i="60"/>
  <c r="CL7" i="60" s="1"/>
  <c r="AE94" i="60"/>
  <c r="AE152" i="60"/>
  <c r="AV7" i="60"/>
  <c r="BY7" i="60" s="1"/>
  <c r="R94" i="60"/>
  <c r="R152" i="60" s="1"/>
  <c r="AQ7" i="60"/>
  <c r="BT7" i="60" s="1"/>
  <c r="M94" i="60"/>
  <c r="M152" i="60" s="1"/>
  <c r="BC26" i="60"/>
  <c r="CF26" i="60" s="1"/>
  <c r="Y113" i="60"/>
  <c r="Y171" i="60" s="1"/>
  <c r="AL26" i="60"/>
  <c r="BO26" i="60" s="1"/>
  <c r="H113" i="60"/>
  <c r="H171" i="60"/>
  <c r="AW26" i="60"/>
  <c r="BZ26" i="60" s="1"/>
  <c r="S113" i="60"/>
  <c r="S171" i="60" s="1"/>
  <c r="AJ10" i="60"/>
  <c r="BM10" i="60" s="1"/>
  <c r="F97" i="60"/>
  <c r="F155" i="60" s="1"/>
  <c r="AY10" i="60"/>
  <c r="CB10" i="60" s="1"/>
  <c r="U97" i="60"/>
  <c r="U155" i="60" s="1"/>
  <c r="AX10" i="60"/>
  <c r="CA10" i="60" s="1"/>
  <c r="T97" i="60"/>
  <c r="T155" i="60"/>
  <c r="BD11" i="60"/>
  <c r="CG11" i="60" s="1"/>
  <c r="Z156" i="60"/>
  <c r="Z98" i="60"/>
  <c r="AR11" i="60"/>
  <c r="BU11" i="60" s="1"/>
  <c r="N156" i="60"/>
  <c r="N98" i="60"/>
  <c r="AJ11" i="60"/>
  <c r="BM11" i="60" s="1"/>
  <c r="F98" i="60"/>
  <c r="F156" i="60" s="1"/>
  <c r="AS14" i="60"/>
  <c r="BV14" i="60" s="1"/>
  <c r="O101" i="60"/>
  <c r="O159" i="60" s="1"/>
  <c r="AN14" i="60"/>
  <c r="BQ14" i="60" s="1"/>
  <c r="J101" i="60"/>
  <c r="J159" i="60" s="1"/>
  <c r="AM14" i="60"/>
  <c r="BP14" i="60" s="1"/>
  <c r="I159" i="60"/>
  <c r="I101" i="60"/>
  <c r="AJ4" i="60"/>
  <c r="BM4" i="60" s="1"/>
  <c r="F91" i="60"/>
  <c r="F149" i="60"/>
  <c r="AT4" i="60"/>
  <c r="BW4" i="60" s="1"/>
  <c r="P91" i="60"/>
  <c r="P149" i="60" s="1"/>
  <c r="BE4" i="60"/>
  <c r="AA149" i="60"/>
  <c r="AA91" i="60"/>
  <c r="BC4" i="60"/>
  <c r="CF4" i="60" s="1"/>
  <c r="Y91" i="60"/>
  <c r="Y149" i="60" s="1"/>
  <c r="AT5" i="60"/>
  <c r="BW5" i="60" s="1"/>
  <c r="P92" i="60"/>
  <c r="P150" i="60" s="1"/>
  <c r="AJ5" i="60"/>
  <c r="BM5" i="60" s="1"/>
  <c r="F92" i="60"/>
  <c r="F150" i="60"/>
  <c r="AI5" i="60"/>
  <c r="BL5" i="60" s="1"/>
  <c r="E92" i="60"/>
  <c r="E150" i="60" s="1"/>
  <c r="AT9" i="60"/>
  <c r="BW9" i="60" s="1"/>
  <c r="P96" i="60"/>
  <c r="P154" i="60" s="1"/>
  <c r="AP9" i="60"/>
  <c r="BS9" i="60" s="1"/>
  <c r="L96" i="60"/>
  <c r="L154" i="60"/>
  <c r="AM9" i="60"/>
  <c r="BP9" i="60" s="1"/>
  <c r="I96" i="60"/>
  <c r="I154" i="60" s="1"/>
  <c r="AJ94" i="42"/>
  <c r="AG114" i="60" s="1"/>
  <c r="AG90" i="60"/>
  <c r="AX25" i="60"/>
  <c r="CA25" i="60" s="1"/>
  <c r="T112" i="60"/>
  <c r="T170" i="60"/>
  <c r="BA25" i="60"/>
  <c r="CD25" i="60" s="1"/>
  <c r="W112" i="60"/>
  <c r="W170" i="60" s="1"/>
  <c r="AT25" i="60"/>
  <c r="BW25" i="60" s="1"/>
  <c r="P112" i="60"/>
  <c r="P170" i="60" s="1"/>
  <c r="BB25" i="60"/>
  <c r="CE25" i="60" s="1"/>
  <c r="X170" i="60"/>
  <c r="X112" i="60"/>
  <c r="AL13" i="60"/>
  <c r="BO13" i="60" s="1"/>
  <c r="H100" i="60"/>
  <c r="H158" i="60"/>
  <c r="AG13" i="60"/>
  <c r="BJ13" i="60" s="1"/>
  <c r="AF70" i="60"/>
  <c r="C100" i="60"/>
  <c r="C158" i="60" s="1"/>
  <c r="BF13" i="60"/>
  <c r="AB100" i="60"/>
  <c r="AB158" i="60" s="1"/>
  <c r="AF81" i="60"/>
  <c r="AG24" i="60"/>
  <c r="BJ24" i="60" s="1"/>
  <c r="C111" i="60"/>
  <c r="AP24" i="60"/>
  <c r="BS24" i="60" s="1"/>
  <c r="L169" i="60"/>
  <c r="L111" i="60"/>
  <c r="AN24" i="60"/>
  <c r="BQ24" i="60" s="1"/>
  <c r="J169" i="60"/>
  <c r="J111" i="60"/>
  <c r="P34" i="54"/>
  <c r="Q1" i="54"/>
  <c r="AN23" i="60"/>
  <c r="BQ23" i="60" s="1"/>
  <c r="J168" i="60"/>
  <c r="J110" i="60"/>
  <c r="BB23" i="60"/>
  <c r="CE23" i="60" s="1"/>
  <c r="X168" i="60"/>
  <c r="X110" i="60"/>
  <c r="AT23" i="60"/>
  <c r="BW23" i="60" s="1"/>
  <c r="P110" i="60"/>
  <c r="P168" i="60" s="1"/>
  <c r="AN8" i="60"/>
  <c r="BQ8" i="60" s="1"/>
  <c r="J95" i="60"/>
  <c r="J153" i="60" s="1"/>
  <c r="AK8" i="60"/>
  <c r="BN8" i="60" s="1"/>
  <c r="G95" i="60"/>
  <c r="G153" i="60" s="1"/>
  <c r="AI8" i="60"/>
  <c r="BL8" i="60" s="1"/>
  <c r="E153" i="60"/>
  <c r="E95" i="60"/>
  <c r="BH8" i="60"/>
  <c r="CK8" i="60" s="1"/>
  <c r="AD95" i="60"/>
  <c r="AD153" i="60"/>
  <c r="AP12" i="60"/>
  <c r="BS12" i="60" s="1"/>
  <c r="L99" i="60"/>
  <c r="L157" i="60" s="1"/>
  <c r="AU12" i="60"/>
  <c r="BX12" i="60" s="1"/>
  <c r="Q99" i="60"/>
  <c r="Q157" i="60" s="1"/>
  <c r="BB12" i="60"/>
  <c r="CE12" i="60" s="1"/>
  <c r="X99" i="60"/>
  <c r="X157" i="60" s="1"/>
  <c r="AF63" i="60"/>
  <c r="AG6" i="60"/>
  <c r="BJ6" i="60" s="1"/>
  <c r="C93" i="60"/>
  <c r="AT6" i="60"/>
  <c r="BW6" i="60" s="1"/>
  <c r="P93" i="60"/>
  <c r="P151" i="60" s="1"/>
  <c r="AK6" i="60"/>
  <c r="BN6" i="60" s="1"/>
  <c r="G93" i="60"/>
  <c r="G151" i="60" s="1"/>
  <c r="AI6" i="60"/>
  <c r="BL6" i="60" s="1"/>
  <c r="E151" i="60"/>
  <c r="E93" i="60"/>
  <c r="AX7" i="60"/>
  <c r="CA7" i="60" s="1"/>
  <c r="T94" i="60"/>
  <c r="T152" i="60" s="1"/>
  <c r="AP7" i="60"/>
  <c r="BS7" i="60" s="1"/>
  <c r="L94" i="60"/>
  <c r="L152" i="60"/>
  <c r="AY7" i="60"/>
  <c r="CB7" i="60" s="1"/>
  <c r="U94" i="60"/>
  <c r="U152" i="60" s="1"/>
  <c r="BI26" i="60"/>
  <c r="CL26" i="60" s="1"/>
  <c r="AE171" i="60"/>
  <c r="AE113" i="60"/>
  <c r="AJ26" i="60"/>
  <c r="BM26" i="60" s="1"/>
  <c r="F113" i="60"/>
  <c r="F171" i="60" s="1"/>
  <c r="AH26" i="60"/>
  <c r="BK26" i="60" s="1"/>
  <c r="D113" i="60"/>
  <c r="D171" i="60"/>
  <c r="BH26" i="60"/>
  <c r="CK26" i="60" s="1"/>
  <c r="AD113" i="60"/>
  <c r="AD171" i="60" s="1"/>
  <c r="AO10" i="60"/>
  <c r="BR10" i="60" s="1"/>
  <c r="K155" i="60"/>
  <c r="K97" i="60"/>
  <c r="AW10" i="60"/>
  <c r="BZ10" i="60" s="1"/>
  <c r="S97" i="60"/>
  <c r="S155" i="60" s="1"/>
  <c r="AT10" i="60"/>
  <c r="BW10" i="60" s="1"/>
  <c r="P97" i="60"/>
  <c r="P155" i="60" s="1"/>
  <c r="AN11" i="60"/>
  <c r="BQ11" i="60" s="1"/>
  <c r="J98" i="60"/>
  <c r="J156" i="60"/>
  <c r="AQ11" i="60"/>
  <c r="BT11" i="60" s="1"/>
  <c r="M156" i="60"/>
  <c r="M98" i="60"/>
  <c r="AS11" i="60"/>
  <c r="BV11" i="60" s="1"/>
  <c r="O156" i="60"/>
  <c r="O98" i="60"/>
  <c r="AF68" i="60"/>
  <c r="AG11" i="60"/>
  <c r="BJ11" i="60" s="1"/>
  <c r="C98" i="60"/>
  <c r="AZ14" i="60"/>
  <c r="CC14" i="60" s="1"/>
  <c r="V101" i="60"/>
  <c r="V159" i="60" s="1"/>
  <c r="AQ14" i="60"/>
  <c r="BT14" i="60" s="1"/>
  <c r="M101" i="60"/>
  <c r="M159" i="60"/>
  <c r="AL14" i="60"/>
  <c r="BO14" i="60" s="1"/>
  <c r="H159" i="60"/>
  <c r="H101" i="60"/>
  <c r="BI4" i="60"/>
  <c r="CL4" i="60" s="1"/>
  <c r="AE149" i="60"/>
  <c r="AE91" i="60"/>
  <c r="AI4" i="60"/>
  <c r="BL4" i="60" s="1"/>
  <c r="E91" i="60"/>
  <c r="E149" i="60" s="1"/>
  <c r="AK4" i="60"/>
  <c r="BN4" i="60" s="1"/>
  <c r="G91" i="60"/>
  <c r="G149" i="60" s="1"/>
  <c r="AH4" i="60"/>
  <c r="BK4" i="60" s="1"/>
  <c r="D149" i="60"/>
  <c r="D91" i="60"/>
  <c r="AX5" i="60"/>
  <c r="CA5" i="60" s="1"/>
  <c r="T92" i="60"/>
  <c r="T150" i="60" s="1"/>
  <c r="AN5" i="60"/>
  <c r="BQ5" i="60" s="1"/>
  <c r="J92" i="60"/>
  <c r="J150" i="60" s="1"/>
  <c r="BE5" i="60"/>
  <c r="AA92" i="60"/>
  <c r="AA150" i="60"/>
  <c r="AS5" i="60"/>
  <c r="BV5" i="60" s="1"/>
  <c r="O150" i="60"/>
  <c r="O92" i="60"/>
  <c r="BF9" i="60"/>
  <c r="AB96" i="60"/>
  <c r="AB154" i="60" s="1"/>
  <c r="AX9" i="60"/>
  <c r="CA9" i="60" s="1"/>
  <c r="T96" i="60"/>
  <c r="T154" i="60" s="1"/>
  <c r="BF25" i="60"/>
  <c r="AB112" i="60"/>
  <c r="AB170" i="60" s="1"/>
  <c r="AK25" i="60"/>
  <c r="BN25" i="60" s="1"/>
  <c r="G170" i="60"/>
  <c r="G112" i="60"/>
  <c r="AV25" i="60"/>
  <c r="BY25" i="60" s="1"/>
  <c r="R170" i="60"/>
  <c r="R112" i="60"/>
  <c r="AR25" i="60"/>
  <c r="BU25" i="60" s="1"/>
  <c r="N112" i="60"/>
  <c r="N170" i="60"/>
  <c r="AS25" i="60"/>
  <c r="BV25" i="60" s="1"/>
  <c r="O112" i="60"/>
  <c r="O170" i="60"/>
  <c r="AQ25" i="60"/>
  <c r="BT25" i="60" s="1"/>
  <c r="M170" i="60"/>
  <c r="M112" i="60"/>
  <c r="AP25" i="60"/>
  <c r="BS25" i="60" s="1"/>
  <c r="L112" i="60"/>
  <c r="L170" i="60" s="1"/>
  <c r="BG13" i="60"/>
  <c r="AL70" i="60"/>
  <c r="AL100" i="60" s="1"/>
  <c r="AK70" i="60"/>
  <c r="AK100" i="60" s="1"/>
  <c r="AJ70" i="60"/>
  <c r="AC100" i="60"/>
  <c r="AC158" i="60"/>
  <c r="AJ13" i="60"/>
  <c r="BM13" i="60" s="1"/>
  <c r="F100" i="60"/>
  <c r="F158" i="60"/>
  <c r="AX13" i="60"/>
  <c r="CA13" i="60" s="1"/>
  <c r="T100" i="60"/>
  <c r="T158" i="60" s="1"/>
  <c r="AN13" i="60"/>
  <c r="BQ13" i="60" s="1"/>
  <c r="J158" i="60"/>
  <c r="J100" i="60"/>
  <c r="AZ13" i="60"/>
  <c r="CC13" i="60" s="1"/>
  <c r="V100" i="60"/>
  <c r="V158" i="60" s="1"/>
  <c r="AR13" i="60"/>
  <c r="BU13" i="60" s="1"/>
  <c r="N100" i="60"/>
  <c r="N158" i="60" s="1"/>
  <c r="AW13" i="60"/>
  <c r="BZ13" i="60" s="1"/>
  <c r="S100" i="60"/>
  <c r="S158" i="60" s="1"/>
  <c r="AU24" i="60"/>
  <c r="BX24" i="60" s="1"/>
  <c r="Q169" i="60"/>
  <c r="Q111" i="60"/>
  <c r="AM24" i="60"/>
  <c r="BP24" i="60" s="1"/>
  <c r="I111" i="60"/>
  <c r="I169" i="60" s="1"/>
  <c r="AO24" i="60"/>
  <c r="BR24" i="60" s="1"/>
  <c r="K111" i="60"/>
  <c r="K169" i="60" s="1"/>
  <c r="AQ24" i="60"/>
  <c r="BT24" i="60" s="1"/>
  <c r="M169" i="60"/>
  <c r="M111" i="60"/>
  <c r="AR24" i="60"/>
  <c r="BU24" i="60" s="1"/>
  <c r="N169" i="60"/>
  <c r="N111" i="60"/>
  <c r="AT24" i="60"/>
  <c r="BW24" i="60" s="1"/>
  <c r="P111" i="60"/>
  <c r="P169" i="60"/>
  <c r="AE55" i="60"/>
  <c r="AF31" i="60"/>
  <c r="AF55" i="60" s="1"/>
  <c r="BF23" i="60"/>
  <c r="AB110" i="60"/>
  <c r="AB168" i="60" s="1"/>
  <c r="AH23" i="60"/>
  <c r="BK23" i="60" s="1"/>
  <c r="D168" i="60"/>
  <c r="D110" i="60"/>
  <c r="AM23" i="60"/>
  <c r="BP23" i="60" s="1"/>
  <c r="I110" i="60"/>
  <c r="I168" i="60"/>
  <c r="AR23" i="60"/>
  <c r="BU23" i="60" s="1"/>
  <c r="N110" i="60"/>
  <c r="N168" i="60" s="1"/>
  <c r="BE23" i="60"/>
  <c r="AA110" i="60"/>
  <c r="AA168" i="60" s="1"/>
  <c r="AJ23" i="60"/>
  <c r="BM23" i="60" s="1"/>
  <c r="F110" i="60"/>
  <c r="F168" i="60" s="1"/>
  <c r="AQ23" i="60"/>
  <c r="BT23" i="60" s="1"/>
  <c r="M110" i="60"/>
  <c r="M168" i="60"/>
  <c r="BF8" i="60"/>
  <c r="AB95" i="60"/>
  <c r="AB153" i="60"/>
  <c r="AP8" i="60"/>
  <c r="BS8" i="60" s="1"/>
  <c r="L95" i="60"/>
  <c r="L153" i="60"/>
  <c r="AU8" i="60"/>
  <c r="BX8" i="60" s="1"/>
  <c r="Q95" i="60"/>
  <c r="Q153" i="60" s="1"/>
  <c r="AR8" i="60"/>
  <c r="BU8" i="60" s="1"/>
  <c r="N95" i="60"/>
  <c r="N153" i="60"/>
  <c r="AX8" i="60"/>
  <c r="CA8" i="60" s="1"/>
  <c r="T95" i="60"/>
  <c r="T153" i="60" s="1"/>
  <c r="AZ8" i="60"/>
  <c r="CC8" i="60" s="1"/>
  <c r="V95" i="60"/>
  <c r="V153" i="60"/>
  <c r="BE8" i="60"/>
  <c r="AA153" i="60"/>
  <c r="AA95" i="60"/>
  <c r="BF12" i="60"/>
  <c r="AB99" i="60"/>
  <c r="AB157" i="60" s="1"/>
  <c r="BE12" i="60"/>
  <c r="CH12" i="60" s="1"/>
  <c r="AA99" i="60"/>
  <c r="AA157" i="60" s="1"/>
  <c r="AZ12" i="60"/>
  <c r="CC12" i="60" s="1"/>
  <c r="V99" i="60"/>
  <c r="V157" i="60" s="1"/>
  <c r="AW12" i="60"/>
  <c r="BZ12" i="60" s="1"/>
  <c r="S99" i="60"/>
  <c r="S157" i="60" s="1"/>
  <c r="AK12" i="60"/>
  <c r="BN12" i="60" s="1"/>
  <c r="G99" i="60"/>
  <c r="G157" i="60" s="1"/>
  <c r="AT12" i="60"/>
  <c r="BW12" i="60" s="1"/>
  <c r="P99" i="60"/>
  <c r="P157" i="60"/>
  <c r="AN12" i="60"/>
  <c r="BQ12" i="60" s="1"/>
  <c r="J99" i="60"/>
  <c r="J157" i="60"/>
  <c r="BI6" i="60"/>
  <c r="CL6" i="60" s="1"/>
  <c r="AE93" i="60"/>
  <c r="AE151" i="60" s="1"/>
  <c r="BA6" i="60"/>
  <c r="CD6" i="60" s="1"/>
  <c r="W93" i="60"/>
  <c r="W151" i="60"/>
  <c r="AW6" i="60"/>
  <c r="BZ6" i="60" s="1"/>
  <c r="S93" i="60"/>
  <c r="S151" i="60" s="1"/>
  <c r="AQ6" i="60"/>
  <c r="BT6" i="60" s="1"/>
  <c r="M93" i="60"/>
  <c r="M151" i="60" s="1"/>
  <c r="AU6" i="60"/>
  <c r="BX6" i="60" s="1"/>
  <c r="Q93" i="60"/>
  <c r="Q151" i="60" s="1"/>
  <c r="BD6" i="60"/>
  <c r="CG6" i="60" s="1"/>
  <c r="Z93" i="60"/>
  <c r="Z151" i="60"/>
  <c r="AH6" i="60"/>
  <c r="BK6" i="60" s="1"/>
  <c r="D93" i="60"/>
  <c r="D151" i="60" s="1"/>
  <c r="BH6" i="60"/>
  <c r="CK6" i="60" s="1"/>
  <c r="AD93" i="60"/>
  <c r="AD151" i="60"/>
  <c r="AK7" i="60"/>
  <c r="BN7" i="60" s="1"/>
  <c r="G94" i="60"/>
  <c r="G152" i="60" s="1"/>
  <c r="AS7" i="60"/>
  <c r="BV7" i="60" s="1"/>
  <c r="O94" i="60"/>
  <c r="O152" i="60"/>
  <c r="AI7" i="60"/>
  <c r="BL7" i="60" s="1"/>
  <c r="E94" i="60"/>
  <c r="E152" i="60" s="1"/>
  <c r="AT7" i="60"/>
  <c r="BW7" i="60" s="1"/>
  <c r="P94" i="60"/>
  <c r="P152" i="60" s="1"/>
  <c r="AH7" i="60"/>
  <c r="BK7" i="60" s="1"/>
  <c r="D94" i="60"/>
  <c r="D152" i="60" s="1"/>
  <c r="BF7" i="60"/>
  <c r="AB94" i="60"/>
  <c r="AB152" i="60" s="1"/>
  <c r="BA7" i="60"/>
  <c r="CD7" i="60" s="1"/>
  <c r="W94" i="60"/>
  <c r="W152" i="60" s="1"/>
  <c r="AI26" i="60"/>
  <c r="BL26" i="60" s="1"/>
  <c r="E171" i="60"/>
  <c r="E113" i="60"/>
  <c r="AT26" i="60"/>
  <c r="BW26" i="60" s="1"/>
  <c r="P113" i="60"/>
  <c r="P171" i="60" s="1"/>
  <c r="AS26" i="60"/>
  <c r="BV26" i="60" s="1"/>
  <c r="O113" i="60"/>
  <c r="O171" i="60" s="1"/>
  <c r="BE26" i="60"/>
  <c r="AA113" i="60"/>
  <c r="AA171" i="60" s="1"/>
  <c r="BB26" i="60"/>
  <c r="CE26" i="60" s="1"/>
  <c r="X113" i="60"/>
  <c r="X171" i="60"/>
  <c r="BA26" i="60"/>
  <c r="CD26" i="60" s="1"/>
  <c r="W113" i="60"/>
  <c r="W171" i="60" s="1"/>
  <c r="AQ26" i="60"/>
  <c r="BT26" i="60" s="1"/>
  <c r="M113" i="60"/>
  <c r="M171" i="60" s="1"/>
  <c r="BG10" i="60"/>
  <c r="AJ67" i="60"/>
  <c r="AK67" i="60"/>
  <c r="AK97" i="60" s="1"/>
  <c r="AL67" i="60"/>
  <c r="AL97" i="60" s="1"/>
  <c r="AC97" i="60"/>
  <c r="AC155" i="60" s="1"/>
  <c r="AN10" i="60"/>
  <c r="BQ10" i="60" s="1"/>
  <c r="J97" i="60"/>
  <c r="J155" i="60" s="1"/>
  <c r="AS10" i="60"/>
  <c r="BV10" i="60" s="1"/>
  <c r="O155" i="60"/>
  <c r="O97" i="60"/>
  <c r="BD10" i="60"/>
  <c r="CG10" i="60" s="1"/>
  <c r="Z97" i="60"/>
  <c r="Z155" i="60"/>
  <c r="AV10" i="60"/>
  <c r="BY10" i="60" s="1"/>
  <c r="R97" i="60"/>
  <c r="R155" i="60"/>
  <c r="AI10" i="60"/>
  <c r="BL10" i="60" s="1"/>
  <c r="E97" i="60"/>
  <c r="E155" i="60"/>
  <c r="AL10" i="60"/>
  <c r="BO10" i="60" s="1"/>
  <c r="H155" i="60"/>
  <c r="H97" i="60"/>
  <c r="BI11" i="60"/>
  <c r="CL11" i="60" s="1"/>
  <c r="AE98" i="60"/>
  <c r="AE156" i="60" s="1"/>
  <c r="AV11" i="60"/>
  <c r="BY11" i="60" s="1"/>
  <c r="R98" i="60"/>
  <c r="R156" i="60" s="1"/>
  <c r="AM11" i="60"/>
  <c r="BP11" i="60" s="1"/>
  <c r="I98" i="60"/>
  <c r="I156" i="60" s="1"/>
  <c r="AI11" i="60"/>
  <c r="BL11" i="60" s="1"/>
  <c r="E156" i="60"/>
  <c r="E98" i="60"/>
  <c r="AU11" i="60"/>
  <c r="BX11" i="60" s="1"/>
  <c r="Q98" i="60"/>
  <c r="Q156" i="60"/>
  <c r="BC11" i="60"/>
  <c r="CF11" i="60" s="1"/>
  <c r="Y98" i="60"/>
  <c r="Y156" i="60" s="1"/>
  <c r="BE11" i="60"/>
  <c r="AA98" i="60"/>
  <c r="AA156" i="60" s="1"/>
  <c r="BH11" i="60"/>
  <c r="CK11" i="60" s="1"/>
  <c r="AD98" i="60"/>
  <c r="AD156" i="60" s="1"/>
  <c r="AY14" i="60"/>
  <c r="CB14" i="60" s="1"/>
  <c r="U101" i="60"/>
  <c r="U159" i="60"/>
  <c r="BD14" i="60"/>
  <c r="CG14" i="60" s="1"/>
  <c r="Z101" i="60"/>
  <c r="Z159" i="60" s="1"/>
  <c r="AH14" i="60"/>
  <c r="BK14" i="60" s="1"/>
  <c r="D101" i="60"/>
  <c r="D159" i="60"/>
  <c r="AV14" i="60"/>
  <c r="BY14" i="60" s="1"/>
  <c r="R101" i="60"/>
  <c r="R159" i="60" s="1"/>
  <c r="AF71" i="60"/>
  <c r="AG14" i="60"/>
  <c r="BJ14" i="60" s="1"/>
  <c r="C101" i="60"/>
  <c r="AF101" i="60" s="1"/>
  <c r="AH101" i="60" s="1"/>
  <c r="AI101" i="60" s="1"/>
  <c r="AO14" i="60"/>
  <c r="BR14" i="60" s="1"/>
  <c r="K101" i="60"/>
  <c r="K159" i="60"/>
  <c r="AX14" i="60"/>
  <c r="CA14" i="60" s="1"/>
  <c r="T101" i="60"/>
  <c r="T159" i="60" s="1"/>
  <c r="BF4" i="60"/>
  <c r="AB91" i="60"/>
  <c r="AB149" i="60"/>
  <c r="AY4" i="60"/>
  <c r="CB4" i="60" s="1"/>
  <c r="U149" i="60"/>
  <c r="U91" i="60"/>
  <c r="AX4" i="60"/>
  <c r="CA4" i="60" s="1"/>
  <c r="T91" i="60"/>
  <c r="T149" i="60"/>
  <c r="AM4" i="60"/>
  <c r="BP4" i="60" s="1"/>
  <c r="I91" i="60"/>
  <c r="I149" i="60"/>
  <c r="BB4" i="60"/>
  <c r="CE4" i="60" s="1"/>
  <c r="X91" i="60"/>
  <c r="X149" i="60"/>
  <c r="AQ4" i="60"/>
  <c r="BT4" i="60" s="1"/>
  <c r="M149" i="60"/>
  <c r="M91" i="60"/>
  <c r="AF61" i="60"/>
  <c r="AG4" i="60"/>
  <c r="BJ4" i="60" s="1"/>
  <c r="C91" i="60"/>
  <c r="AF91" i="60" s="1"/>
  <c r="AH91" i="60" s="1"/>
  <c r="AI91" i="60" s="1"/>
  <c r="BG5" i="60"/>
  <c r="AL62" i="60"/>
  <c r="AL92" i="60" s="1"/>
  <c r="AK62" i="60"/>
  <c r="AK92" i="60" s="1"/>
  <c r="AJ62" i="60"/>
  <c r="AC92" i="60"/>
  <c r="AC150" i="60"/>
  <c r="AY5" i="60"/>
  <c r="CB5" i="60" s="1"/>
  <c r="U92" i="60"/>
  <c r="U150" i="60" s="1"/>
  <c r="BF5" i="60"/>
  <c r="AB92" i="60"/>
  <c r="AB150" i="60" s="1"/>
  <c r="BB5" i="60"/>
  <c r="CE5" i="60" s="1"/>
  <c r="X150" i="60"/>
  <c r="X92" i="60"/>
  <c r="AH5" i="60"/>
  <c r="BK5" i="60" s="1"/>
  <c r="D92" i="60"/>
  <c r="D150" i="60"/>
  <c r="AZ5" i="60"/>
  <c r="CC5" i="60" s="1"/>
  <c r="V92" i="60"/>
  <c r="V150" i="60" s="1"/>
  <c r="AM5" i="60"/>
  <c r="BP5" i="60" s="1"/>
  <c r="I92" i="60"/>
  <c r="I150" i="60"/>
  <c r="BI9" i="60"/>
  <c r="CL9" i="60" s="1"/>
  <c r="AE96" i="60"/>
  <c r="AE154" i="60" s="1"/>
  <c r="AJ9" i="60"/>
  <c r="BM9" i="60" s="1"/>
  <c r="F96" i="60"/>
  <c r="F154" i="60"/>
  <c r="BE9" i="60"/>
  <c r="AA96" i="60"/>
  <c r="AA154" i="60"/>
  <c r="BB9" i="60"/>
  <c r="CE9" i="60" s="1"/>
  <c r="X96" i="60"/>
  <c r="X154" i="60"/>
  <c r="AK9" i="60"/>
  <c r="BN9" i="60" s="1"/>
  <c r="G96" i="60"/>
  <c r="G154" i="60" s="1"/>
  <c r="AI9" i="60"/>
  <c r="BL9" i="60" s="1"/>
  <c r="E96" i="60"/>
  <c r="E154" i="60"/>
  <c r="AU9" i="60"/>
  <c r="BX9" i="60" s="1"/>
  <c r="Q96" i="60"/>
  <c r="Q154" i="60" s="1"/>
  <c r="BH9" i="60"/>
  <c r="CK9" i="60" s="1"/>
  <c r="AD96" i="60"/>
  <c r="AD154" i="60" s="1"/>
  <c r="AP69" i="42" l="1"/>
  <c r="CI4" i="60"/>
  <c r="AO76" i="42"/>
  <c r="BJ76" i="42" s="1"/>
  <c r="BI76" i="42" s="1"/>
  <c r="BK76" i="42" s="1"/>
  <c r="CH11" i="60"/>
  <c r="AO88" i="42"/>
  <c r="BJ88" i="42" s="1"/>
  <c r="BI88" i="42" s="1"/>
  <c r="BK88" i="42" s="1"/>
  <c r="CH23" i="60"/>
  <c r="AF98" i="60"/>
  <c r="AH98" i="60" s="1"/>
  <c r="AI98" i="60" s="1"/>
  <c r="AF93" i="60"/>
  <c r="AH93" i="60" s="1"/>
  <c r="AI93" i="60" s="1"/>
  <c r="AH81" i="60"/>
  <c r="AI81" i="60" s="1"/>
  <c r="AQ88" i="42"/>
  <c r="CJ23" i="60"/>
  <c r="AN83" i="60"/>
  <c r="AJ113" i="60"/>
  <c r="AN113" i="60" s="1"/>
  <c r="AO144" i="60" s="1"/>
  <c r="AN65" i="60"/>
  <c r="AJ95" i="60"/>
  <c r="AN95" i="60" s="1"/>
  <c r="AQ79" i="42"/>
  <c r="CJ14" i="60"/>
  <c r="AH67" i="60"/>
  <c r="AI67" i="60" s="1"/>
  <c r="AM67" i="60"/>
  <c r="Q34" i="54"/>
  <c r="R1" i="54"/>
  <c r="AF111" i="60"/>
  <c r="AH111" i="60" s="1"/>
  <c r="AI111" i="60" s="1"/>
  <c r="AP89" i="42"/>
  <c r="CI24" i="60"/>
  <c r="CI14" i="60"/>
  <c r="AP79" i="42"/>
  <c r="AH83" i="60"/>
  <c r="AI83" i="60" s="1"/>
  <c r="AQ73" i="42"/>
  <c r="CJ8" i="60"/>
  <c r="AH62" i="60"/>
  <c r="AI62" i="60" s="1"/>
  <c r="AF97" i="60"/>
  <c r="AH97" i="60" s="1"/>
  <c r="AI97" i="60" s="1"/>
  <c r="EG128" i="9"/>
  <c r="EF4" i="9"/>
  <c r="AN68" i="60"/>
  <c r="AJ98" i="60"/>
  <c r="AN98" i="60" s="1"/>
  <c r="AN62" i="60"/>
  <c r="AJ92" i="60"/>
  <c r="AN92" i="60" s="1"/>
  <c r="AO123" i="60" s="1"/>
  <c r="AQ70" i="42"/>
  <c r="CJ5" i="60"/>
  <c r="AF149" i="60"/>
  <c r="AH61" i="60"/>
  <c r="AI61" i="60" s="1"/>
  <c r="AF159" i="60"/>
  <c r="AH71" i="60"/>
  <c r="AI71" i="60" s="1"/>
  <c r="AN67" i="60"/>
  <c r="AJ97" i="60"/>
  <c r="AN97" i="60" s="1"/>
  <c r="AO128" i="60" s="1"/>
  <c r="AP72" i="42"/>
  <c r="CI7" i="60"/>
  <c r="AP77" i="42"/>
  <c r="CI12" i="60"/>
  <c r="AN70" i="60"/>
  <c r="AJ100" i="60"/>
  <c r="AN100" i="60" s="1"/>
  <c r="AQ78" i="42"/>
  <c r="CJ13" i="60"/>
  <c r="AF156" i="60"/>
  <c r="AH68" i="60"/>
  <c r="AI68" i="60" s="1"/>
  <c r="AF151" i="60"/>
  <c r="AH63" i="60"/>
  <c r="AI63" i="60" s="1"/>
  <c r="C169" i="60"/>
  <c r="AH70" i="60"/>
  <c r="AI70" i="60" s="1"/>
  <c r="AF99" i="60"/>
  <c r="AH99" i="60" s="1"/>
  <c r="AI99" i="60" s="1"/>
  <c r="AN80" i="60"/>
  <c r="AJ110" i="60"/>
  <c r="AN110" i="60" s="1"/>
  <c r="AO78" i="42"/>
  <c r="BJ78" i="42" s="1"/>
  <c r="BI78" i="42" s="1"/>
  <c r="BK78" i="42" s="1"/>
  <c r="CH13" i="60"/>
  <c r="AP76" i="42"/>
  <c r="CI11" i="60"/>
  <c r="AM113" i="60"/>
  <c r="AM83" i="60"/>
  <c r="AF94" i="60"/>
  <c r="AH94" i="60" s="1"/>
  <c r="AI94" i="60" s="1"/>
  <c r="AO71" i="42"/>
  <c r="BJ71" i="42" s="1"/>
  <c r="BI71" i="42" s="1"/>
  <c r="BK71" i="42" s="1"/>
  <c r="CH6" i="60"/>
  <c r="AM95" i="60"/>
  <c r="AH31" i="60"/>
  <c r="AH66" i="60"/>
  <c r="AI66" i="60" s="1"/>
  <c r="AM101" i="60"/>
  <c r="C155" i="60"/>
  <c r="AN64" i="60"/>
  <c r="AJ94" i="60"/>
  <c r="AN94" i="60" s="1"/>
  <c r="AO125" i="60" s="1"/>
  <c r="AN66" i="60"/>
  <c r="AJ96" i="60"/>
  <c r="AN96" i="60" s="1"/>
  <c r="AQ74" i="42"/>
  <c r="CJ9" i="60"/>
  <c r="AO79" i="42"/>
  <c r="BJ79" i="42" s="1"/>
  <c r="BI79" i="42" s="1"/>
  <c r="BK79" i="42" s="1"/>
  <c r="CH14" i="60"/>
  <c r="AN63" i="60"/>
  <c r="AJ93" i="60"/>
  <c r="AN93" i="60" s="1"/>
  <c r="AO124" i="60" s="1"/>
  <c r="AF95" i="60"/>
  <c r="AH95" i="60" s="1"/>
  <c r="AI95" i="60" s="1"/>
  <c r="AQ89" i="42"/>
  <c r="CJ24" i="60"/>
  <c r="AM112" i="60"/>
  <c r="AQ90" i="42"/>
  <c r="CJ25" i="60"/>
  <c r="AP70" i="42"/>
  <c r="CI5" i="60"/>
  <c r="AP88" i="42"/>
  <c r="CI23" i="60"/>
  <c r="AF100" i="60"/>
  <c r="AH100" i="60" s="1"/>
  <c r="AI100" i="60" s="1"/>
  <c r="AO69" i="42"/>
  <c r="BJ69" i="42" s="1"/>
  <c r="BI69" i="42" s="1"/>
  <c r="BK69" i="42" s="1"/>
  <c r="CH4" i="60"/>
  <c r="AF110" i="60"/>
  <c r="AH110" i="60" s="1"/>
  <c r="AI110" i="60" s="1"/>
  <c r="AF112" i="60"/>
  <c r="AH112" i="60" s="1"/>
  <c r="AI112" i="60" s="1"/>
  <c r="AQ69" i="42"/>
  <c r="CJ4" i="60"/>
  <c r="AN61" i="60"/>
  <c r="AJ91" i="60"/>
  <c r="AN91" i="60" s="1"/>
  <c r="AO122" i="60" s="1"/>
  <c r="AQ91" i="42"/>
  <c r="CJ26" i="60"/>
  <c r="AF152" i="60"/>
  <c r="AH64" i="60"/>
  <c r="AI64" i="60" s="1"/>
  <c r="AG84" i="60"/>
  <c r="AQ72" i="42"/>
  <c r="CJ7" i="60"/>
  <c r="AM96" i="60"/>
  <c r="AH65" i="60"/>
  <c r="AI65" i="60" s="1"/>
  <c r="AN69" i="60"/>
  <c r="AJ99" i="60"/>
  <c r="AN99" i="60" s="1"/>
  <c r="AO89" i="42"/>
  <c r="BJ89" i="42" s="1"/>
  <c r="BI89" i="42" s="1"/>
  <c r="BK89" i="42" s="1"/>
  <c r="CH24" i="60"/>
  <c r="AM92" i="60"/>
  <c r="AM97" i="60"/>
  <c r="AO73" i="42"/>
  <c r="BJ73" i="42" s="1"/>
  <c r="BI73" i="42" s="1"/>
  <c r="BK73" i="42" s="1"/>
  <c r="CH8" i="60"/>
  <c r="AM100" i="60"/>
  <c r="AP74" i="42"/>
  <c r="CI9" i="60"/>
  <c r="AF157" i="60"/>
  <c r="AH69" i="60"/>
  <c r="AI69" i="60" s="1"/>
  <c r="AM110" i="60"/>
  <c r="AM94" i="60"/>
  <c r="AM93" i="60"/>
  <c r="AM63" i="60"/>
  <c r="AQ77" i="42"/>
  <c r="CJ12" i="60"/>
  <c r="AO74" i="42"/>
  <c r="BJ74" i="42" s="1"/>
  <c r="BI74" i="42" s="1"/>
  <c r="BK74" i="42" s="1"/>
  <c r="CH9" i="60"/>
  <c r="AM62" i="60"/>
  <c r="C149" i="60"/>
  <c r="C159" i="60"/>
  <c r="AQ75" i="42"/>
  <c r="CJ10" i="60"/>
  <c r="AO91" i="42"/>
  <c r="BJ91" i="42" s="1"/>
  <c r="BI91" i="42" s="1"/>
  <c r="BK91" i="42" s="1"/>
  <c r="CH26" i="60"/>
  <c r="AP73" i="42"/>
  <c r="CI8" i="60"/>
  <c r="AM70" i="60"/>
  <c r="AP90" i="42"/>
  <c r="CI25" i="60"/>
  <c r="AO70" i="42"/>
  <c r="BJ70" i="42" s="1"/>
  <c r="BI70" i="42" s="1"/>
  <c r="BK70" i="42" s="1"/>
  <c r="CH5" i="60"/>
  <c r="C156" i="60"/>
  <c r="C151" i="60"/>
  <c r="AP78" i="42"/>
  <c r="CI13" i="60"/>
  <c r="AF168" i="60"/>
  <c r="AH80" i="60"/>
  <c r="AI80" i="60" s="1"/>
  <c r="AH82" i="60"/>
  <c r="AI82" i="60" s="1"/>
  <c r="AF113" i="60"/>
  <c r="AH113" i="60" s="1"/>
  <c r="AI113" i="60" s="1"/>
  <c r="AO72" i="42"/>
  <c r="BJ72" i="42" s="1"/>
  <c r="BI72" i="42" s="1"/>
  <c r="BK72" i="42" s="1"/>
  <c r="CH7" i="60"/>
  <c r="AF96" i="60"/>
  <c r="AH96" i="60" s="1"/>
  <c r="AI96" i="60" s="1"/>
  <c r="AF92" i="60"/>
  <c r="AH92" i="60" s="1"/>
  <c r="AI92" i="60" s="1"/>
  <c r="AN71" i="60"/>
  <c r="AJ101" i="60"/>
  <c r="AN101" i="60" s="1"/>
  <c r="AO75" i="42"/>
  <c r="BJ75" i="42" s="1"/>
  <c r="BI75" i="42" s="1"/>
  <c r="BK75" i="42" s="1"/>
  <c r="CH10" i="60"/>
  <c r="CI6" i="60"/>
  <c r="AP71" i="42"/>
  <c r="AM66" i="60"/>
  <c r="AP75" i="42"/>
  <c r="CI10" i="60"/>
  <c r="AQ71" i="42"/>
  <c r="CJ6" i="60"/>
  <c r="AN81" i="60"/>
  <c r="AJ111" i="60"/>
  <c r="AN111" i="60" s="1"/>
  <c r="AO90" i="42"/>
  <c r="BJ90" i="42" s="1"/>
  <c r="BI90" i="42" s="1"/>
  <c r="BK90" i="42" s="1"/>
  <c r="CH25" i="60"/>
  <c r="AM98" i="60"/>
  <c r="AQ76" i="42"/>
  <c r="CJ11" i="60"/>
  <c r="AP91" i="42"/>
  <c r="CI26" i="60"/>
  <c r="AN82" i="60"/>
  <c r="AJ112" i="60"/>
  <c r="AN112" i="60" s="1"/>
  <c r="AD58" i="37"/>
  <c r="AM91" i="60" l="1"/>
  <c r="AO142" i="60"/>
  <c r="AO130" i="60"/>
  <c r="AO127" i="60"/>
  <c r="AH55" i="60"/>
  <c r="L60" i="60"/>
  <c r="E60" i="60"/>
  <c r="K60" i="60"/>
  <c r="G60" i="60"/>
  <c r="Y60" i="60"/>
  <c r="H60" i="60"/>
  <c r="U60" i="60"/>
  <c r="C60" i="60"/>
  <c r="S60" i="60"/>
  <c r="W60" i="60"/>
  <c r="I60" i="60"/>
  <c r="F60" i="60"/>
  <c r="O60" i="60"/>
  <c r="X60" i="60"/>
  <c r="D60" i="60"/>
  <c r="AA60" i="60"/>
  <c r="J60" i="60"/>
  <c r="V60" i="60"/>
  <c r="R60" i="60"/>
  <c r="M60" i="60"/>
  <c r="P60" i="60"/>
  <c r="Q60" i="60"/>
  <c r="T60" i="60"/>
  <c r="N60" i="60"/>
  <c r="AD60" i="60"/>
  <c r="Z60" i="60"/>
  <c r="AB60" i="60"/>
  <c r="AC60" i="60"/>
  <c r="AE60" i="60"/>
  <c r="AO141" i="60"/>
  <c r="AF158" i="60"/>
  <c r="AO131" i="60"/>
  <c r="AO129" i="60"/>
  <c r="EG4" i="9"/>
  <c r="EH128" i="9"/>
  <c r="AO126" i="60"/>
  <c r="S1" i="54"/>
  <c r="R34" i="54"/>
  <c r="AM99" i="60"/>
  <c r="AM111" i="60"/>
  <c r="AF155" i="60"/>
  <c r="AO143" i="60"/>
  <c r="AO132" i="60"/>
  <c r="AF170" i="60"/>
  <c r="AF153" i="60"/>
  <c r="AF154" i="60"/>
  <c r="AF150" i="60"/>
  <c r="AF171" i="60"/>
  <c r="AF169" i="60"/>
  <c r="AE59" i="37"/>
  <c r="Z58" i="37"/>
  <c r="Z59" i="37"/>
  <c r="AA59" i="37"/>
  <c r="AE58" i="37"/>
  <c r="AD84" i="60" l="1"/>
  <c r="BH3" i="60"/>
  <c r="CK3" i="60" s="1"/>
  <c r="AD90" i="60"/>
  <c r="AD114" i="60" s="1"/>
  <c r="Z84" i="60"/>
  <c r="BD3" i="60"/>
  <c r="CG3" i="60" s="1"/>
  <c r="Z90" i="60"/>
  <c r="Z114" i="60" s="1"/>
  <c r="Q84" i="60"/>
  <c r="AU3" i="60"/>
  <c r="BX3" i="60" s="1"/>
  <c r="Q148" i="60"/>
  <c r="Q90" i="60"/>
  <c r="Q114" i="60" s="1"/>
  <c r="V84" i="60"/>
  <c r="AZ3" i="60"/>
  <c r="CC3" i="60" s="1"/>
  <c r="V148" i="60"/>
  <c r="V90" i="60"/>
  <c r="V114" i="60" s="1"/>
  <c r="X84" i="60"/>
  <c r="BB3" i="60"/>
  <c r="CE3" i="60" s="1"/>
  <c r="X148" i="60"/>
  <c r="X90" i="60"/>
  <c r="X114" i="60" s="1"/>
  <c r="W84" i="60"/>
  <c r="BA3" i="60"/>
  <c r="CD3" i="60" s="1"/>
  <c r="W148" i="60"/>
  <c r="W90" i="60"/>
  <c r="W114" i="60" s="1"/>
  <c r="H84" i="60"/>
  <c r="AL3" i="60"/>
  <c r="BO3" i="60" s="1"/>
  <c r="H148" i="60"/>
  <c r="H90" i="60"/>
  <c r="H114" i="60" s="1"/>
  <c r="E84" i="60"/>
  <c r="AI3" i="60"/>
  <c r="BL3" i="60" s="1"/>
  <c r="E90" i="60"/>
  <c r="E114" i="60" s="1"/>
  <c r="S34" i="54"/>
  <c r="T1" i="54"/>
  <c r="AE84" i="60"/>
  <c r="AE172" i="60" s="1"/>
  <c r="BI3" i="60"/>
  <c r="CL3" i="60" s="1"/>
  <c r="AE90" i="60"/>
  <c r="AE114" i="60" s="1"/>
  <c r="J84" i="60"/>
  <c r="J172" i="60" s="1"/>
  <c r="AN3" i="60"/>
  <c r="BQ3" i="60" s="1"/>
  <c r="J90" i="60"/>
  <c r="J114" i="60" s="1"/>
  <c r="J148" i="60"/>
  <c r="S84" i="60"/>
  <c r="S172" i="60" s="1"/>
  <c r="AW3" i="60"/>
  <c r="BZ3" i="60" s="1"/>
  <c r="S90" i="60"/>
  <c r="S114" i="60" s="1"/>
  <c r="S148" i="60"/>
  <c r="L84" i="60"/>
  <c r="L172" i="60" s="1"/>
  <c r="AP3" i="60"/>
  <c r="BS3" i="60" s="1"/>
  <c r="L90" i="60"/>
  <c r="L114" i="60" s="1"/>
  <c r="L148" i="60"/>
  <c r="BG3" i="60"/>
  <c r="AL60" i="60"/>
  <c r="AC84" i="60"/>
  <c r="AK60" i="60"/>
  <c r="AM60" i="60"/>
  <c r="AJ60" i="60"/>
  <c r="AC90" i="60"/>
  <c r="N84" i="60"/>
  <c r="N172" i="60" s="1"/>
  <c r="AR3" i="60"/>
  <c r="BU3" i="60" s="1"/>
  <c r="N90" i="60"/>
  <c r="N114" i="60" s="1"/>
  <c r="N148" i="60"/>
  <c r="M84" i="60"/>
  <c r="M172" i="60" s="1"/>
  <c r="AQ3" i="60"/>
  <c r="BT3" i="60" s="1"/>
  <c r="M90" i="60"/>
  <c r="M114" i="60" s="1"/>
  <c r="AA84" i="60"/>
  <c r="AA172" i="60" s="1"/>
  <c r="BE3" i="60"/>
  <c r="AA90" i="60"/>
  <c r="AA114" i="60" s="1"/>
  <c r="F84" i="60"/>
  <c r="F172" i="60" s="1"/>
  <c r="AJ3" i="60"/>
  <c r="BM3" i="60" s="1"/>
  <c r="F148" i="60"/>
  <c r="F90" i="60"/>
  <c r="F114" i="60" s="1"/>
  <c r="C84" i="60"/>
  <c r="AF60" i="60"/>
  <c r="AG3" i="60"/>
  <c r="BJ3" i="60" s="1"/>
  <c r="C90" i="60"/>
  <c r="G84" i="60"/>
  <c r="G172" i="60" s="1"/>
  <c r="AK3" i="60"/>
  <c r="BN3" i="60" s="1"/>
  <c r="G90" i="60"/>
  <c r="G114" i="60" s="1"/>
  <c r="G148" i="60"/>
  <c r="P84" i="60"/>
  <c r="P172" i="60" s="1"/>
  <c r="AT3" i="60"/>
  <c r="BW3" i="60" s="1"/>
  <c r="P90" i="60"/>
  <c r="P114" i="60" s="1"/>
  <c r="P148" i="60"/>
  <c r="O84" i="60"/>
  <c r="O172" i="60" s="1"/>
  <c r="AS3" i="60"/>
  <c r="BV3" i="60" s="1"/>
  <c r="O90" i="60"/>
  <c r="O114" i="60" s="1"/>
  <c r="O148" i="60"/>
  <c r="Y84" i="60"/>
  <c r="BC3" i="60"/>
  <c r="CF3" i="60" s="1"/>
  <c r="Y90" i="60"/>
  <c r="Y114" i="60" s="1"/>
  <c r="EI128" i="9"/>
  <c r="EH4" i="9"/>
  <c r="AB84" i="60"/>
  <c r="BF3" i="60"/>
  <c r="AB148" i="60"/>
  <c r="AB90" i="60"/>
  <c r="AB114" i="60" s="1"/>
  <c r="T84" i="60"/>
  <c r="AX3" i="60"/>
  <c r="CA3" i="60" s="1"/>
  <c r="T148" i="60"/>
  <c r="T90" i="60"/>
  <c r="T114" i="60" s="1"/>
  <c r="R84" i="60"/>
  <c r="AV3" i="60"/>
  <c r="BY3" i="60" s="1"/>
  <c r="R90" i="60"/>
  <c r="R114" i="60" s="1"/>
  <c r="D84" i="60"/>
  <c r="AH3" i="60"/>
  <c r="BK3" i="60" s="1"/>
  <c r="D148" i="60"/>
  <c r="D90" i="60"/>
  <c r="D114" i="60" s="1"/>
  <c r="I84" i="60"/>
  <c r="AM3" i="60"/>
  <c r="BP3" i="60" s="1"/>
  <c r="I148" i="60"/>
  <c r="I90" i="60"/>
  <c r="I114" i="60" s="1"/>
  <c r="U84" i="60"/>
  <c r="AY3" i="60"/>
  <c r="CB3" i="60" s="1"/>
  <c r="U90" i="60"/>
  <c r="U114" i="60" s="1"/>
  <c r="K84" i="60"/>
  <c r="AO3" i="60"/>
  <c r="BR3" i="60" s="1"/>
  <c r="K148" i="60"/>
  <c r="K90" i="60"/>
  <c r="K114" i="60" s="1"/>
  <c r="AA58" i="37"/>
  <c r="AF58" i="37"/>
  <c r="C114" i="60" l="1"/>
  <c r="AF90" i="60"/>
  <c r="EJ128" i="9"/>
  <c r="EI4" i="9"/>
  <c r="Y172" i="60"/>
  <c r="AF84" i="60"/>
  <c r="AF148" i="60"/>
  <c r="AH60" i="60"/>
  <c r="AI60" i="60" s="1"/>
  <c r="AO68" i="42"/>
  <c r="BJ68" i="42" s="1"/>
  <c r="CH3" i="60"/>
  <c r="AJ84" i="60"/>
  <c r="AN84" i="60" s="1"/>
  <c r="AN60" i="60"/>
  <c r="AJ90" i="60"/>
  <c r="AL84" i="60"/>
  <c r="AL90" i="60"/>
  <c r="AL114" i="60" s="1"/>
  <c r="AL146" i="60" s="1"/>
  <c r="E148" i="60"/>
  <c r="Z148" i="60"/>
  <c r="AD148" i="60"/>
  <c r="CI3" i="60"/>
  <c r="AP68" i="42"/>
  <c r="AQ68" i="42"/>
  <c r="CJ3" i="60"/>
  <c r="K172" i="60"/>
  <c r="U172" i="60"/>
  <c r="I172" i="60"/>
  <c r="D172" i="60"/>
  <c r="R172" i="60"/>
  <c r="T172" i="60"/>
  <c r="AB172" i="60"/>
  <c r="Y148" i="60"/>
  <c r="C148" i="60"/>
  <c r="AA148" i="60"/>
  <c r="M148" i="60"/>
  <c r="AC114" i="60"/>
  <c r="AK84" i="60"/>
  <c r="AK90" i="60"/>
  <c r="AK114" i="60" s="1"/>
  <c r="T34" i="54"/>
  <c r="U1" i="54"/>
  <c r="C172" i="60"/>
  <c r="U148" i="60"/>
  <c r="R148" i="60"/>
  <c r="AC148" i="60"/>
  <c r="AE148" i="60"/>
  <c r="E172" i="60"/>
  <c r="H172" i="60"/>
  <c r="W172" i="60"/>
  <c r="X172" i="60"/>
  <c r="V172" i="60"/>
  <c r="Q172" i="60"/>
  <c r="Z172" i="60"/>
  <c r="AD172" i="60"/>
  <c r="G59" i="53"/>
  <c r="G60" i="53" s="1"/>
  <c r="O59" i="53"/>
  <c r="O60" i="53" s="1"/>
  <c r="Q59" i="53"/>
  <c r="Q60" i="53" s="1"/>
  <c r="AM84" i="60" l="1"/>
  <c r="EK128" i="9"/>
  <c r="EJ4" i="9"/>
  <c r="AM90" i="60"/>
  <c r="AH84" i="60"/>
  <c r="AI84" i="60" s="1"/>
  <c r="AF114" i="60"/>
  <c r="AH114" i="60" s="1"/>
  <c r="AI114" i="60" s="1"/>
  <c r="AH90" i="60"/>
  <c r="AI90" i="60" s="1"/>
  <c r="V1" i="54"/>
  <c r="U34" i="54"/>
  <c r="AC172" i="60"/>
  <c r="AK146" i="60"/>
  <c r="AJ114" i="60"/>
  <c r="AN90" i="60"/>
  <c r="AO121" i="60" s="1"/>
  <c r="BJ94" i="42"/>
  <c r="BI68" i="42"/>
  <c r="R59" i="53"/>
  <c r="R60" i="53" s="1"/>
  <c r="M59" i="53"/>
  <c r="AN114" i="60" l="1"/>
  <c r="AO145" i="60" s="1"/>
  <c r="AJ146" i="60"/>
  <c r="V34" i="54"/>
  <c r="W1" i="54"/>
  <c r="AF172" i="60"/>
  <c r="AM114" i="60"/>
  <c r="EL128" i="9"/>
  <c r="EK4" i="9"/>
  <c r="BI94" i="42"/>
  <c r="BK94" i="42" s="1"/>
  <c r="BK68" i="42"/>
  <c r="M60" i="53"/>
  <c r="M63" i="53" s="1"/>
  <c r="M62" i="53"/>
  <c r="EM128" i="9" l="1"/>
  <c r="EL4" i="9"/>
  <c r="X1" i="54"/>
  <c r="W34" i="54"/>
  <c r="R2" i="32" a="1"/>
  <c r="S2" i="32" a="1"/>
  <c r="Q2" i="32" a="1"/>
  <c r="X34" i="54" l="1"/>
  <c r="Y1" i="54"/>
  <c r="Y34" i="54" s="1"/>
  <c r="EN128" i="9"/>
  <c r="EN4" i="9" s="1"/>
  <c r="EM4" i="9"/>
  <c r="Q16" i="32"/>
  <c r="T16" i="32" s="1"/>
  <c r="Q9" i="32"/>
  <c r="T9" i="32" s="1"/>
  <c r="Q14" i="32"/>
  <c r="T14" i="32" s="1"/>
  <c r="Q15" i="32"/>
  <c r="T15" i="32" s="1"/>
  <c r="Q25" i="32"/>
  <c r="T25" i="32" s="1"/>
  <c r="Q3" i="32"/>
  <c r="T3" i="32" s="1"/>
  <c r="Q11" i="32"/>
  <c r="T11" i="32" s="1"/>
  <c r="Q21" i="32"/>
  <c r="T21" i="32" s="1"/>
  <c r="Q22" i="32"/>
  <c r="T22" i="32" s="1"/>
  <c r="Q5" i="32"/>
  <c r="T5" i="32" s="1"/>
  <c r="Q2" i="32"/>
  <c r="T2" i="32" s="1"/>
  <c r="Q19" i="32"/>
  <c r="T19" i="32" s="1"/>
  <c r="Q6" i="32"/>
  <c r="T6" i="32" s="1"/>
  <c r="Q12" i="32"/>
  <c r="T12" i="32" s="1"/>
  <c r="Q4" i="32"/>
  <c r="T4" i="32" s="1"/>
  <c r="Q7" i="32"/>
  <c r="T7" i="32" s="1"/>
  <c r="Q13" i="32"/>
  <c r="T13" i="32" s="1"/>
  <c r="Q17" i="32"/>
  <c r="T17" i="32" s="1"/>
  <c r="Q8" i="32"/>
  <c r="T8" i="32" s="1"/>
  <c r="Q10" i="32"/>
  <c r="T10" i="32" s="1"/>
  <c r="Q20" i="32"/>
  <c r="T20" i="32" s="1"/>
  <c r="Q24" i="32"/>
  <c r="T24" i="32" s="1"/>
  <c r="Q23" i="32"/>
  <c r="T23" i="32" s="1"/>
  <c r="Q18" i="32"/>
  <c r="T18" i="32" s="1"/>
  <c r="S20" i="32"/>
  <c r="V20" i="32" s="1"/>
  <c r="S11" i="32"/>
  <c r="V11" i="32" s="1"/>
  <c r="S14" i="32"/>
  <c r="V14" i="32" s="1"/>
  <c r="S12" i="32"/>
  <c r="V12" i="32" s="1"/>
  <c r="S22" i="32"/>
  <c r="V22" i="32" s="1"/>
  <c r="S13" i="32"/>
  <c r="V13" i="32" s="1"/>
  <c r="S7" i="32"/>
  <c r="V7" i="32" s="1"/>
  <c r="S23" i="32"/>
  <c r="V23" i="32" s="1"/>
  <c r="S6" i="32"/>
  <c r="V6" i="32" s="1"/>
  <c r="S24" i="32"/>
  <c r="V24" i="32" s="1"/>
  <c r="S9" i="32"/>
  <c r="V9" i="32" s="1"/>
  <c r="S4" i="32"/>
  <c r="V4" i="32" s="1"/>
  <c r="S10" i="32"/>
  <c r="V10" i="32" s="1"/>
  <c r="S17" i="32"/>
  <c r="V17" i="32" s="1"/>
  <c r="S8" i="32"/>
  <c r="V8" i="32" s="1"/>
  <c r="S2" i="32"/>
  <c r="V2" i="32" s="1"/>
  <c r="S25" i="32"/>
  <c r="V25" i="32" s="1"/>
  <c r="S21" i="32"/>
  <c r="V21" i="32" s="1"/>
  <c r="S18" i="32"/>
  <c r="V18" i="32" s="1"/>
  <c r="S19" i="32"/>
  <c r="V19" i="32" s="1"/>
  <c r="S16" i="32"/>
  <c r="V16" i="32" s="1"/>
  <c r="S5" i="32"/>
  <c r="V5" i="32" s="1"/>
  <c r="S3" i="32"/>
  <c r="V3" i="32" s="1"/>
  <c r="S15" i="32"/>
  <c r="V15" i="32" s="1"/>
  <c r="R5" i="32"/>
  <c r="U5" i="32" s="1"/>
  <c r="R20" i="32"/>
  <c r="U20" i="32" s="1"/>
  <c r="R25" i="32"/>
  <c r="U25" i="32" s="1"/>
  <c r="R7" i="32"/>
  <c r="U7" i="32" s="1"/>
  <c r="R6" i="32"/>
  <c r="U6" i="32" s="1"/>
  <c r="R2" i="32"/>
  <c r="U2" i="32" s="1"/>
  <c r="R8" i="32"/>
  <c r="U8" i="32" s="1"/>
  <c r="R16" i="32"/>
  <c r="U16" i="32" s="1"/>
  <c r="R11" i="32"/>
  <c r="U11" i="32" s="1"/>
  <c r="R14" i="32"/>
  <c r="U14" i="32" s="1"/>
  <c r="R12" i="32"/>
  <c r="U12" i="32" s="1"/>
  <c r="R19" i="32"/>
  <c r="U19" i="32" s="1"/>
  <c r="R15" i="32"/>
  <c r="U15" i="32" s="1"/>
  <c r="R17" i="32"/>
  <c r="U17" i="32" s="1"/>
  <c r="R18" i="32"/>
  <c r="U18" i="32" s="1"/>
  <c r="R10" i="32"/>
  <c r="U10" i="32" s="1"/>
  <c r="R13" i="32"/>
  <c r="U13" i="32" s="1"/>
  <c r="R3" i="32"/>
  <c r="U3" i="32" s="1"/>
  <c r="R22" i="32"/>
  <c r="U22" i="32" s="1"/>
  <c r="R4" i="32"/>
  <c r="U4" i="32" s="1"/>
  <c r="R23" i="32"/>
  <c r="U23" i="32" s="1"/>
  <c r="R24" i="32"/>
  <c r="U24" i="32" s="1"/>
  <c r="R21" i="32"/>
  <c r="U21" i="32" s="1"/>
  <c r="R9" i="32"/>
  <c r="U9" i="32" s="1"/>
  <c r="AC73" i="37" l="1"/>
  <c r="AC72" i="37"/>
  <c r="AC71" i="37"/>
  <c r="AC70" i="37"/>
  <c r="D71" i="37" l="1"/>
  <c r="T71" i="37"/>
  <c r="M71" i="37"/>
  <c r="G71" i="37"/>
  <c r="J71" i="37"/>
  <c r="S71" i="37"/>
  <c r="E71" i="37"/>
  <c r="W71" i="37"/>
  <c r="H71" i="37"/>
  <c r="X71" i="37"/>
  <c r="Q71" i="37"/>
  <c r="O71" i="37"/>
  <c r="R71" i="37"/>
  <c r="F71" i="37"/>
  <c r="L71" i="37"/>
  <c r="U71" i="37"/>
  <c r="C71" i="37"/>
  <c r="N71" i="37"/>
  <c r="P71" i="37"/>
  <c r="I71" i="37"/>
  <c r="Y71" i="37"/>
  <c r="B71" i="37"/>
  <c r="K71" i="37"/>
  <c r="V71" i="37"/>
  <c r="L72" i="37"/>
  <c r="E72" i="37"/>
  <c r="U72" i="37"/>
  <c r="W72" i="37"/>
  <c r="C72" i="37"/>
  <c r="N72" i="37"/>
  <c r="T72" i="37"/>
  <c r="J72" i="37"/>
  <c r="X72" i="37"/>
  <c r="O72" i="37"/>
  <c r="F72" i="37"/>
  <c r="P72" i="37"/>
  <c r="I72" i="37"/>
  <c r="Y72" i="37"/>
  <c r="B72" i="37"/>
  <c r="K72" i="37"/>
  <c r="V72" i="37"/>
  <c r="D72" i="37"/>
  <c r="M72" i="37"/>
  <c r="G72" i="37"/>
  <c r="S72" i="37"/>
  <c r="H72" i="37"/>
  <c r="Q72" i="37"/>
  <c r="R72" i="37"/>
  <c r="AC69" i="37"/>
  <c r="AC68" i="37"/>
  <c r="D70" i="37"/>
  <c r="T70" i="37"/>
  <c r="M70" i="37"/>
  <c r="G70" i="37"/>
  <c r="J70" i="37"/>
  <c r="S70" i="37"/>
  <c r="L70" i="37"/>
  <c r="U70" i="37"/>
  <c r="C70" i="37"/>
  <c r="P70" i="37"/>
  <c r="B70" i="37"/>
  <c r="H70" i="37"/>
  <c r="X70" i="37"/>
  <c r="Q70" i="37"/>
  <c r="O70" i="37"/>
  <c r="R70" i="37"/>
  <c r="F70" i="37"/>
  <c r="E70" i="37"/>
  <c r="W70" i="37"/>
  <c r="N70" i="37"/>
  <c r="I70" i="37"/>
  <c r="Y70" i="37"/>
  <c r="K70" i="37"/>
  <c r="V70" i="37"/>
  <c r="D73" i="37"/>
  <c r="T73" i="37"/>
  <c r="M73" i="37"/>
  <c r="G73" i="37"/>
  <c r="J73" i="37"/>
  <c r="S73" i="37"/>
  <c r="U73" i="37"/>
  <c r="N73" i="37"/>
  <c r="P73" i="37"/>
  <c r="I73" i="37"/>
  <c r="B73" i="37"/>
  <c r="K73" i="37"/>
  <c r="H73" i="37"/>
  <c r="X73" i="37"/>
  <c r="Q73" i="37"/>
  <c r="O73" i="37"/>
  <c r="R73" i="37"/>
  <c r="F73" i="37"/>
  <c r="L73" i="37"/>
  <c r="E73" i="37"/>
  <c r="W73" i="37"/>
  <c r="C73" i="37"/>
  <c r="Y73" i="37"/>
  <c r="V73" i="37"/>
  <c r="Z71" i="37" l="1"/>
  <c r="D68" i="37"/>
  <c r="T68" i="37"/>
  <c r="M68" i="37"/>
  <c r="B68" i="37"/>
  <c r="R68" i="37"/>
  <c r="G68" i="37"/>
  <c r="L68" i="37"/>
  <c r="U68" i="37"/>
  <c r="C68" i="37"/>
  <c r="H68" i="37"/>
  <c r="X68" i="37"/>
  <c r="Q68" i="37"/>
  <c r="F68" i="37"/>
  <c r="V68" i="37"/>
  <c r="W68" i="37"/>
  <c r="E68" i="37"/>
  <c r="J68" i="37"/>
  <c r="K68" i="37"/>
  <c r="P68" i="37"/>
  <c r="I68" i="37"/>
  <c r="Y68" i="37"/>
  <c r="N68" i="37"/>
  <c r="S68" i="37"/>
  <c r="O68" i="37"/>
  <c r="AD68" i="37"/>
  <c r="Z72" i="37"/>
  <c r="D69" i="37"/>
  <c r="T69" i="37"/>
  <c r="M69" i="37"/>
  <c r="B69" i="37"/>
  <c r="J69" i="37"/>
  <c r="S69" i="37"/>
  <c r="O69" i="37"/>
  <c r="N69" i="37"/>
  <c r="P69" i="37"/>
  <c r="I69" i="37"/>
  <c r="W69" i="37"/>
  <c r="V69" i="37"/>
  <c r="H69" i="37"/>
  <c r="X69" i="37"/>
  <c r="Q69" i="37"/>
  <c r="G69" i="37"/>
  <c r="R69" i="37"/>
  <c r="F69" i="37"/>
  <c r="L69" i="37"/>
  <c r="E69" i="37"/>
  <c r="U69" i="37"/>
  <c r="C69" i="37"/>
  <c r="Y69" i="37"/>
  <c r="K69" i="37"/>
  <c r="Z73" i="37"/>
  <c r="Z70" i="37"/>
  <c r="Z69" i="37" l="1"/>
  <c r="Z68" i="37"/>
  <c r="AA70" i="37"/>
  <c r="AE68" i="37" l="1"/>
  <c r="AE69" i="37"/>
  <c r="AA68" i="37"/>
  <c r="AE73" i="37"/>
  <c r="AE70" i="37"/>
  <c r="AE72" i="37"/>
  <c r="AE71" i="37"/>
  <c r="AF68" i="37" l="1"/>
</calcChain>
</file>

<file path=xl/comments1.xml><?xml version="1.0" encoding="utf-8"?>
<comments xmlns="http://schemas.openxmlformats.org/spreadsheetml/2006/main">
  <authors>
    <author>Frédéric Reynès</author>
    <author>yeddir-tamsamani</author>
  </authors>
  <commentList>
    <comment ref="C3" authorId="0" shapeId="0">
      <text>
        <r>
          <rPr>
            <b/>
            <sz val="9"/>
            <color indexed="81"/>
            <rFont val="Tahoma"/>
            <family val="2"/>
          </rPr>
          <t>Frédéric Reynès:</t>
        </r>
        <r>
          <rPr>
            <sz val="9"/>
            <color indexed="81"/>
            <rFont val="Tahoma"/>
            <family val="2"/>
          </rPr>
          <t xml:space="preserve">
Data in red to reactualised.</t>
        </r>
      </text>
    </comment>
    <comment ref="AD19" authorId="1" shapeId="0">
      <text>
        <r>
          <rPr>
            <b/>
            <sz val="8"/>
            <color indexed="81"/>
            <rFont val="Tahoma"/>
            <family val="2"/>
          </rPr>
          <t>le 2% est choisi arbtrairement afin d'éviter des valeurs négatives du pdt  22 domestiques</t>
        </r>
      </text>
    </comment>
    <comment ref="AA123" authorId="1" shapeId="0">
      <text>
        <r>
          <rPr>
            <b/>
            <sz val="8"/>
            <color indexed="81"/>
            <rFont val="Tahoma"/>
            <family val="2"/>
          </rPr>
          <t>yeddir-tamsamani:</t>
        </r>
        <r>
          <rPr>
            <sz val="8"/>
            <color indexed="81"/>
            <rFont val="Tahoma"/>
            <family val="2"/>
          </rPr>
          <t xml:space="preserve">
Ce compte ne contient que l'achat des équipements d'automobiles. L'achat des voitures neuves et d'occasions sont comptabilisés comme des invest dans le FBCF</t>
        </r>
      </text>
    </comment>
  </commentList>
</comments>
</file>

<file path=xl/comments2.xml><?xml version="1.0" encoding="utf-8"?>
<comments xmlns="http://schemas.openxmlformats.org/spreadsheetml/2006/main">
  <authors>
    <author>Frédéric Reynès</author>
  </authors>
  <commentList>
    <comment ref="AI2" authorId="0" shapeId="0">
      <text>
        <r>
          <rPr>
            <b/>
            <sz val="9"/>
            <color indexed="81"/>
            <rFont val="Tahoma"/>
            <family val="2"/>
          </rPr>
          <t>Frédéric Reynès:</t>
        </r>
        <r>
          <rPr>
            <sz val="9"/>
            <color indexed="81"/>
            <rFont val="Tahoma"/>
            <family val="2"/>
          </rPr>
          <t xml:space="preserve">
Modify repartition of tax to get the correct VAT Rate?</t>
        </r>
      </text>
    </comment>
  </commentList>
</comments>
</file>

<file path=xl/comments3.xml><?xml version="1.0" encoding="utf-8"?>
<comments xmlns="http://schemas.openxmlformats.org/spreadsheetml/2006/main">
  <authors>
    <author>yeddir-tamsamani</author>
    <author>Rapporteur</author>
  </authors>
  <commentList>
    <comment ref="C2" authorId="0" shapeId="0">
      <text>
        <r>
          <rPr>
            <b/>
            <sz val="8"/>
            <color indexed="81"/>
            <rFont val="Tahoma"/>
            <family val="2"/>
          </rPr>
          <t>yeddir-tamsamani:</t>
        </r>
        <r>
          <rPr>
            <sz val="8"/>
            <color indexed="81"/>
            <rFont val="Tahoma"/>
            <family val="2"/>
          </rPr>
          <t xml:space="preserve">
Source: comptes de l'agriculture (INSEE)</t>
        </r>
      </text>
    </comment>
    <comment ref="C15" authorId="0" shapeId="0">
      <text>
        <r>
          <rPr>
            <b/>
            <sz val="8"/>
            <color indexed="81"/>
            <rFont val="Tahoma"/>
            <family val="2"/>
          </rPr>
          <t>yeddir-tamsamani:</t>
        </r>
        <r>
          <rPr>
            <sz val="8"/>
            <color indexed="81"/>
            <rFont val="Tahoma"/>
            <family val="2"/>
          </rPr>
          <t xml:space="preserve">
ces données sont qualifiées de secrètes, les montants correspondants sont déduits par soldes</t>
        </r>
      </text>
    </comment>
    <comment ref="E15" authorId="0" shapeId="0">
      <text>
        <r>
          <rPr>
            <b/>
            <sz val="8"/>
            <color indexed="81"/>
            <rFont val="Tahoma"/>
            <family val="2"/>
          </rPr>
          <t>yeddir-tamsamani:</t>
        </r>
        <r>
          <rPr>
            <sz val="8"/>
            <color indexed="81"/>
            <rFont val="Tahoma"/>
            <family val="2"/>
          </rPr>
          <t xml:space="preserve">
la somme de tous les moyens de transport</t>
        </r>
      </text>
    </comment>
    <comment ref="C24" authorId="0" shapeId="0">
      <text>
        <r>
          <rPr>
            <b/>
            <sz val="8"/>
            <color indexed="81"/>
            <rFont val="Tahoma"/>
            <family val="2"/>
          </rPr>
          <t>yeddir-tamsamani:</t>
        </r>
        <r>
          <rPr>
            <sz val="8"/>
            <color indexed="81"/>
            <rFont val="Tahoma"/>
            <family val="2"/>
          </rPr>
          <t xml:space="preserve">
c'est le montant totalde G2A+G2B, des données plus détaillées sont secrètes selon SUSE-INSEE</t>
        </r>
      </text>
    </comment>
    <comment ref="C30" authorId="1" shapeId="0">
      <text>
        <r>
          <rPr>
            <b/>
            <sz val="8"/>
            <color indexed="81"/>
            <rFont val="Tahoma"/>
            <family val="2"/>
          </rPr>
          <t>Rapporteur:</t>
        </r>
        <r>
          <rPr>
            <sz val="8"/>
            <color indexed="81"/>
            <rFont val="Tahoma"/>
            <family val="2"/>
          </rPr>
          <t xml:space="preserve">
Quelque différence avec nouvelle donnée. Nous avons retenu les taux seulement.
 </t>
        </r>
      </text>
    </comment>
    <comment ref="B53" authorId="0" shapeId="0">
      <text>
        <r>
          <rPr>
            <b/>
            <sz val="8"/>
            <color indexed="81"/>
            <rFont val="Tahoma"/>
            <family val="2"/>
          </rPr>
          <t>yeddir-tamsamani:</t>
        </r>
        <r>
          <rPr>
            <sz val="8"/>
            <color indexed="81"/>
            <rFont val="Tahoma"/>
            <family val="2"/>
          </rPr>
          <t xml:space="preserve">
</t>
        </r>
        <r>
          <rPr>
            <sz val="11"/>
            <color indexed="81"/>
            <rFont val="Tahoma"/>
            <family val="2"/>
          </rPr>
          <t xml:space="preserve">Imprtations en gaz ne sont pas  comptabilisés dans le compte du secteur de la prod et distr de combu gazeaux. Il sont peut être comptés dans les importations du secteur d'extraction des hydroc et le secteur de gaz les consomment sous forme de CI, </t>
        </r>
      </text>
    </comment>
  </commentList>
</comments>
</file>

<file path=xl/sharedStrings.xml><?xml version="1.0" encoding="utf-8"?>
<sst xmlns="http://schemas.openxmlformats.org/spreadsheetml/2006/main" count="2018" uniqueCount="914">
  <si>
    <t>TABLEAU DES RESSOURCES EN PRODUITS</t>
  </si>
  <si>
    <t>PRODUITS</t>
  </si>
  <si>
    <t>Production des produits (1)</t>
  </si>
  <si>
    <t xml:space="preserve">Importations de biens    </t>
  </si>
  <si>
    <t>Importations de services</t>
  </si>
  <si>
    <t>Correction CAF/FAB</t>
  </si>
  <si>
    <t>TOTAL DES RESSOURCES (2)</t>
  </si>
  <si>
    <t>Marges commerciales</t>
  </si>
  <si>
    <t>Marges de transport</t>
  </si>
  <si>
    <t>Impôts sur produits - total -</t>
  </si>
  <si>
    <t>dont TVA</t>
  </si>
  <si>
    <t>Subventions sur produits</t>
  </si>
  <si>
    <t>TOTAL DES RESSOURCES (3)</t>
  </si>
  <si>
    <t>TABLEAU DES EMPLOIS FINALS</t>
  </si>
  <si>
    <t>Dépenses de consommation finale</t>
  </si>
  <si>
    <t xml:space="preserve">Formation brute de capital fixe </t>
  </si>
  <si>
    <t>Ménages</t>
  </si>
  <si>
    <t>Collective APU</t>
  </si>
  <si>
    <t>Individuelle APU</t>
  </si>
  <si>
    <t>Total APU</t>
  </si>
  <si>
    <t>ISBLSM</t>
  </si>
  <si>
    <t>DEPENSE TOTALE</t>
  </si>
  <si>
    <t>SNFEI</t>
  </si>
  <si>
    <t xml:space="preserve">Ménages </t>
  </si>
  <si>
    <t>Sociétés financières</t>
  </si>
  <si>
    <t>APU</t>
  </si>
  <si>
    <t>FBCF TOTALE</t>
  </si>
  <si>
    <t>Objets de valeur</t>
  </si>
  <si>
    <t>Variation de stocks</t>
  </si>
  <si>
    <t xml:space="preserve">FBC totale </t>
  </si>
  <si>
    <t xml:space="preserve">Exportations </t>
  </si>
  <si>
    <t>Total des emplois finals</t>
  </si>
  <si>
    <t>TABLEAU DES ENTREES INTERMEDIAIRES</t>
  </si>
  <si>
    <t>BRANCHES</t>
  </si>
  <si>
    <t>COMPTE DE PRODUCTION PAR BRANCHE</t>
  </si>
  <si>
    <t>P2</t>
  </si>
  <si>
    <t>Conso. intermédiaire</t>
  </si>
  <si>
    <t>B1</t>
  </si>
  <si>
    <t xml:space="preserve">Valeur ajoutée </t>
  </si>
  <si>
    <t>P1</t>
  </si>
  <si>
    <t>PROD. DES BRANCHES</t>
  </si>
  <si>
    <t>P11</t>
  </si>
  <si>
    <t xml:space="preserve"> Prod. marchande </t>
  </si>
  <si>
    <t>P12</t>
  </si>
  <si>
    <t xml:space="preserve"> Prod. pour emploi final propre </t>
  </si>
  <si>
    <t>P13</t>
  </si>
  <si>
    <t>Autre prod. non marchande</t>
  </si>
  <si>
    <t>TR11</t>
  </si>
  <si>
    <t>Transf. de produits fatals</t>
  </si>
  <si>
    <t>TR12</t>
  </si>
  <si>
    <t>Transferts agricoles</t>
  </si>
  <si>
    <t>TR13</t>
  </si>
  <si>
    <t>Transf. ventes résiduelles</t>
  </si>
  <si>
    <t>PRODUCTION DES PRODUITS</t>
  </si>
  <si>
    <t>COMPTE D'EXPLOITATION PAR BRANCHE</t>
  </si>
  <si>
    <t>VALEUR AJOUTEE</t>
  </si>
  <si>
    <t xml:space="preserve">D1 </t>
  </si>
  <si>
    <t>Rémunération des salariés</t>
  </si>
  <si>
    <t>B2 ou B3</t>
  </si>
  <si>
    <t>EBE ou revenu mixte (1)</t>
  </si>
  <si>
    <t>D29</t>
  </si>
  <si>
    <t>Autres impôts sur la prod.</t>
  </si>
  <si>
    <t>D39</t>
  </si>
  <si>
    <t>Subventions d'exploitation</t>
  </si>
  <si>
    <t>(1) EBE : excédent brut d'exploitation</t>
  </si>
  <si>
    <t>TOTAL</t>
  </si>
  <si>
    <t>PCAFAB</t>
  </si>
  <si>
    <t xml:space="preserve">PCHTR </t>
  </si>
  <si>
    <t>EDITION  IMPRIMERIE  REPRODUCTION</t>
  </si>
  <si>
    <t>BATIMENT</t>
  </si>
  <si>
    <t>TRAVAUX PUBLICS</t>
  </si>
  <si>
    <t>COMMERCE ET REPARATION AUTOMOBILE</t>
  </si>
  <si>
    <t>COMMERCE DE GROS  INTERMEDIAIRES</t>
  </si>
  <si>
    <t>COMMERCE DE DETAIL ET REPARATIONS</t>
  </si>
  <si>
    <t>INTERMEDIATION FINANCIERE</t>
  </si>
  <si>
    <t>PROMOTION  GESTION IMMOBILIERE</t>
  </si>
  <si>
    <t>LOCATION IMMOBILIERE</t>
  </si>
  <si>
    <t>HOTELS ET RESTAURANTS</t>
  </si>
  <si>
    <t>ADMINISTRATION PUBLIQUE</t>
  </si>
  <si>
    <t>ACTIVITES ASSOCIATIVES</t>
  </si>
  <si>
    <t>PRODUITS CONSOMMES HORS DU TERRITOIRE DE</t>
  </si>
  <si>
    <t>Total des produits</t>
  </si>
  <si>
    <t>AGRICULTURE  CHASSE  SERVICES ANNEXES</t>
  </si>
  <si>
    <t>PRODUITS SYLVICOLES</t>
  </si>
  <si>
    <t>PRODUITS DE LA PECHE ET DE L AQUACULTURE</t>
  </si>
  <si>
    <t>INDUSTRIE DES VIANDES</t>
  </si>
  <si>
    <t>INDUSTRIE DU LAIT</t>
  </si>
  <si>
    <t>INDUSTRIE DES BOISSONS</t>
  </si>
  <si>
    <t>TRAVAIL DU GRAIN: FABRICATION D ALIMENTS</t>
  </si>
  <si>
    <t>INDUSTRIES ALIMENTAIRES DIVERSES</t>
  </si>
  <si>
    <t>INDUSTRIE DU TABAC</t>
  </si>
  <si>
    <t>INDUSTRIE DE L HABILLEMENT ET DES FOURRU</t>
  </si>
  <si>
    <t>INDUSTRIE DU CUIR ET DE LA CHAUSSURE</t>
  </si>
  <si>
    <t>INDUSTRIE PHARMACEUTIQUE</t>
  </si>
  <si>
    <t>FABRICATION DE SAVONS  DE PARFUM ET DE P</t>
  </si>
  <si>
    <t>FABRICATION DE MEUBLES</t>
  </si>
  <si>
    <t xml:space="preserve">BIJOUTERIE ET FABRICATION D INSTRUMENTS </t>
  </si>
  <si>
    <t>FABRICATION D ARTICLES DE SPORTS  JEUX E</t>
  </si>
  <si>
    <t>FABRICATION D APPAREILS DOMESTIQUES</t>
  </si>
  <si>
    <t>FABRICATION D APPAREILS DE RECEPTION  EN</t>
  </si>
  <si>
    <t>FABRICATION DE MATERIEL OPTIQUE ET PHOTO</t>
  </si>
  <si>
    <t>CONSTRUCTION AUTOMOBILE</t>
  </si>
  <si>
    <t>FABRICATION D EQUIPEMENTS AUTOMOBILES</t>
  </si>
  <si>
    <t>CONSTRUCTION NAVALE</t>
  </si>
  <si>
    <t>CONSTRUCTION DE MATERIEL FERROVIAIRE ROU</t>
  </si>
  <si>
    <t>CONSTRUCTION AERONAUTIQUE ET SPATIALE</t>
  </si>
  <si>
    <t>FABRICATION DE CYCLES  MOTOCYCLES  MATER</t>
  </si>
  <si>
    <t xml:space="preserve">FABRICATION D ELEMENTS EN METAL POUR LA </t>
  </si>
  <si>
    <t>CHAUDRONNERIE  FABRICATION DE RESERVOIRS</t>
  </si>
  <si>
    <t>FABRICATION D EQUIPEMENTS MECANIQUES</t>
  </si>
  <si>
    <t>FABRICATION DE MACHINES D USAGE GENERAL</t>
  </si>
  <si>
    <t>FABRICATION DE MACHINES AGRICOLES</t>
  </si>
  <si>
    <t>FABRICATION DE MACHINES OUTILS</t>
  </si>
  <si>
    <t>FABRICATION D AUTRES MACHINES A USAGE SP</t>
  </si>
  <si>
    <t>FABRICATION D ARMES ET MUNITIONS</t>
  </si>
  <si>
    <t>FABRICATION DE MACHINES DE BUREAU ET MAT</t>
  </si>
  <si>
    <t xml:space="preserve">FABRICATION DE MOTEURS  GENERATRICES ET </t>
  </si>
  <si>
    <t>FABRICATION D APPAREILS D EMISSION ET DE</t>
  </si>
  <si>
    <t>FABRICATION DE MATERIEL MEDICO_CHIRURGIC</t>
  </si>
  <si>
    <t xml:space="preserve">FABRICATION DE MATERIEL DE MESURE ET DE </t>
  </si>
  <si>
    <t>EXTRACTION DE MINERAIS METALLIQUES</t>
  </si>
  <si>
    <t>AUTRES INDUSTRIES EXTRACTIVES</t>
  </si>
  <si>
    <t>FABRICATION DE VERRE ET D ARTICLES EN VE</t>
  </si>
  <si>
    <t>FABRICATION DE PRODUITS CERAMIQUES ET DE</t>
  </si>
  <si>
    <t>FILATURE ET TISSAGE</t>
  </si>
  <si>
    <t>FABRICATION DE PRODUITS TEXTILES</t>
  </si>
  <si>
    <t>FABRICATION D ETOFFES ET D ARTICLES A MA</t>
  </si>
  <si>
    <t>TRAVAIL DU BOIS ET FABRICATION D ARTICLE</t>
  </si>
  <si>
    <t xml:space="preserve">FABRICATION DE PATE A PAPIER  DE PAPIER </t>
  </si>
  <si>
    <t>FABRICATION D ARTICLES EN PAPIER ET EN C</t>
  </si>
  <si>
    <t>INDUSTRIE CHIMIQUE MINERALE</t>
  </si>
  <si>
    <t>INDUSTRIE CHIMIQUE ORGANIQUE</t>
  </si>
  <si>
    <t>PARACHIMIE</t>
  </si>
  <si>
    <t>FABRICATION DE FIBRES ARTIFICIELLES OU S</t>
  </si>
  <si>
    <t>INDUSTRIE DU CAOUTCHOUC</t>
  </si>
  <si>
    <t>TRANSFORMATION DES MATIERES PLASTIQUES</t>
  </si>
  <si>
    <t>SIDERURGIE ET PREMIERE TRANSFORMATION DE</t>
  </si>
  <si>
    <t>PRODUCTION DE METAUX NON FERREUX</t>
  </si>
  <si>
    <t>FONDERIE</t>
  </si>
  <si>
    <t>SERVICES INDUSTRIELS DU TRAVAIL DES META</t>
  </si>
  <si>
    <t>FABRICATION DE PRODUITS METALLIQUES</t>
  </si>
  <si>
    <t>RECUPERATION</t>
  </si>
  <si>
    <t>FABRICATION DE MATERIEL ELECTRIQUE</t>
  </si>
  <si>
    <t>FABRICATION DE COMPOSANTS ELECTRONIQUES</t>
  </si>
  <si>
    <t>EXTRACTION ET AGGLOMERATION DE LA HOUILL</t>
  </si>
  <si>
    <t>EXTRACTION D HYDROCARBURES  SERVICES ANN</t>
  </si>
  <si>
    <t>EXTRACTION DE MINERAIS D URANIUM</t>
  </si>
  <si>
    <t>COKEFACTION ET INDUSTRIE NUCLEAIRE</t>
  </si>
  <si>
    <t>RAFFINAGE DE PETROLE</t>
  </si>
  <si>
    <t>PRODUCTION ET DISTRIBUTION D ELECTRICITE</t>
  </si>
  <si>
    <t>PRODUCTION ET DISTRIBUTION DE COMBUSTIBL</t>
  </si>
  <si>
    <t>CAPTAGE  TRAITEMENT ET DISTRIBUTION D EA</t>
  </si>
  <si>
    <t>TRANSPORTS FERROVIAIRES</t>
  </si>
  <si>
    <t>TRANSPORT ROUTIER DE VOYAGEURS</t>
  </si>
  <si>
    <t xml:space="preserve">TRANSPORT ROUTIER (OU PAR CONDUITES) DE </t>
  </si>
  <si>
    <t>TRANSPORTS PAR EAU</t>
  </si>
  <si>
    <t>TRANSPORTS AERIENS</t>
  </si>
  <si>
    <t>MANUTENTION  ENTREPOSAGE ET GESTION D IN</t>
  </si>
  <si>
    <t>AGENCES DE VOYAGE</t>
  </si>
  <si>
    <t>ASSURANCES</t>
  </si>
  <si>
    <t>AUXILIAIRES FINANCIERS ET D ASSURANCE</t>
  </si>
  <si>
    <t>ACTIVITES INFORMATIQUES</t>
  </si>
  <si>
    <t>SERVICES PROFESSIONNELS</t>
  </si>
  <si>
    <t>ADMINISTRATION D ENTREPRISES</t>
  </si>
  <si>
    <t>PUBLICITE ET ETUDES DE MARCHE</t>
  </si>
  <si>
    <t>ARCHITECTURE  INGENIERIE  CONTROLE</t>
  </si>
  <si>
    <t>LOCATION SANS OPERATEUR</t>
  </si>
  <si>
    <t>SELECTION ET FOURNITURE DE PERSONNEL</t>
  </si>
  <si>
    <t>SECURITE  NETTOYAGE ET SERVICES DIVERS A</t>
  </si>
  <si>
    <t>ASSAINISSEMENT  VOIRIE ET GESTION DES DE</t>
  </si>
  <si>
    <t>RECHERCHE ET DEVELOPPEMENT MARCHANDS</t>
  </si>
  <si>
    <t>RECHERCHE ET DEVELOPPEMENT NON MARCHANDS</t>
  </si>
  <si>
    <t>ACTIVITES AUDIOVISUELLES</t>
  </si>
  <si>
    <t>AUTRES ACTIVITES RECREATIVES  CULTURELLE</t>
  </si>
  <si>
    <t>SERVICES PERSONNELS</t>
  </si>
  <si>
    <t>SERVICES DOMESTIQUES</t>
  </si>
  <si>
    <t>EDUCATION MARCHANDE</t>
  </si>
  <si>
    <t>EDUCATION NON MARCHANDE</t>
  </si>
  <si>
    <t>SANTE HUMAINE (PARTIE MARCHANDE)</t>
  </si>
  <si>
    <t>SANTE NON MARCHANDE</t>
  </si>
  <si>
    <t>ACTIVITES VETERINAIRES</t>
  </si>
  <si>
    <t>ACTION SOCIALE (PARTIE MARCHANDE)</t>
  </si>
  <si>
    <t>ACTION SOCIALE NON MARCHANDE</t>
  </si>
  <si>
    <t>Produit CORRECTION CAF/FAB</t>
  </si>
  <si>
    <t xml:space="preserve">GA01 </t>
  </si>
  <si>
    <t xml:space="preserve">GA02 </t>
  </si>
  <si>
    <t xml:space="preserve">GA03 </t>
  </si>
  <si>
    <t xml:space="preserve">GB01 </t>
  </si>
  <si>
    <t xml:space="preserve">GB02 </t>
  </si>
  <si>
    <t xml:space="preserve">GB03 </t>
  </si>
  <si>
    <t xml:space="preserve">GB04 </t>
  </si>
  <si>
    <t xml:space="preserve">GB05 </t>
  </si>
  <si>
    <t xml:space="preserve">GB06 </t>
  </si>
  <si>
    <t xml:space="preserve">GC11 </t>
  </si>
  <si>
    <t xml:space="preserve">GC12 </t>
  </si>
  <si>
    <t xml:space="preserve">GC20 </t>
  </si>
  <si>
    <t xml:space="preserve">GC31 </t>
  </si>
  <si>
    <t xml:space="preserve">GC32 </t>
  </si>
  <si>
    <t xml:space="preserve">GC41 </t>
  </si>
  <si>
    <t xml:space="preserve">GC42 </t>
  </si>
  <si>
    <t xml:space="preserve">GC43 </t>
  </si>
  <si>
    <t xml:space="preserve">GC44 </t>
  </si>
  <si>
    <t xml:space="preserve">GC45 </t>
  </si>
  <si>
    <t xml:space="preserve">GC46 </t>
  </si>
  <si>
    <t xml:space="preserve">GD01 </t>
  </si>
  <si>
    <t xml:space="preserve">GD02 </t>
  </si>
  <si>
    <t xml:space="preserve">GE11 </t>
  </si>
  <si>
    <t xml:space="preserve">GE12 </t>
  </si>
  <si>
    <t xml:space="preserve">GE13 </t>
  </si>
  <si>
    <t xml:space="preserve">GE14 </t>
  </si>
  <si>
    <t xml:space="preserve">GE21 </t>
  </si>
  <si>
    <t xml:space="preserve">GE22 </t>
  </si>
  <si>
    <t xml:space="preserve">GE23 </t>
  </si>
  <si>
    <t xml:space="preserve">GE24 </t>
  </si>
  <si>
    <t xml:space="preserve">GE25 </t>
  </si>
  <si>
    <t xml:space="preserve">GE26 </t>
  </si>
  <si>
    <t xml:space="preserve">GE27 </t>
  </si>
  <si>
    <t xml:space="preserve">GE28 </t>
  </si>
  <si>
    <t xml:space="preserve">GE31 </t>
  </si>
  <si>
    <t xml:space="preserve">GE32 </t>
  </si>
  <si>
    <t xml:space="preserve">GE33 </t>
  </si>
  <si>
    <t xml:space="preserve">GE34 </t>
  </si>
  <si>
    <t xml:space="preserve">GE35 </t>
  </si>
  <si>
    <t xml:space="preserve">GF11 </t>
  </si>
  <si>
    <t xml:space="preserve">GF12 </t>
  </si>
  <si>
    <t xml:space="preserve">GF13 </t>
  </si>
  <si>
    <t xml:space="preserve">GF14 </t>
  </si>
  <si>
    <t xml:space="preserve">GF21 </t>
  </si>
  <si>
    <t xml:space="preserve">GF22 </t>
  </si>
  <si>
    <t xml:space="preserve">GF23 </t>
  </si>
  <si>
    <t xml:space="preserve">GF31 </t>
  </si>
  <si>
    <t xml:space="preserve">GF32 </t>
  </si>
  <si>
    <t xml:space="preserve">GF33 </t>
  </si>
  <si>
    <t xml:space="preserve">GF41 </t>
  </si>
  <si>
    <t xml:space="preserve">GF42 </t>
  </si>
  <si>
    <t xml:space="preserve">GF43 </t>
  </si>
  <si>
    <t xml:space="preserve">GF44 </t>
  </si>
  <si>
    <t xml:space="preserve">GF45 </t>
  </si>
  <si>
    <t xml:space="preserve">GF46 </t>
  </si>
  <si>
    <t xml:space="preserve">GF51 </t>
  </si>
  <si>
    <t xml:space="preserve">GF52 </t>
  </si>
  <si>
    <t xml:space="preserve">GF53 </t>
  </si>
  <si>
    <t xml:space="preserve">GF54 </t>
  </si>
  <si>
    <t xml:space="preserve">GF55 </t>
  </si>
  <si>
    <t xml:space="preserve">GF56 </t>
  </si>
  <si>
    <t xml:space="preserve">GF61 </t>
  </si>
  <si>
    <t xml:space="preserve">GF62 </t>
  </si>
  <si>
    <t xml:space="preserve">GG11 </t>
  </si>
  <si>
    <t xml:space="preserve">GG12 </t>
  </si>
  <si>
    <t xml:space="preserve">GG13 </t>
  </si>
  <si>
    <t xml:space="preserve">GG14 </t>
  </si>
  <si>
    <t xml:space="preserve">GG15 </t>
  </si>
  <si>
    <t xml:space="preserve">GG2A </t>
  </si>
  <si>
    <t xml:space="preserve">GG2B </t>
  </si>
  <si>
    <t xml:space="preserve">GG22 </t>
  </si>
  <si>
    <t xml:space="preserve">GH01 </t>
  </si>
  <si>
    <t xml:space="preserve">GH02 </t>
  </si>
  <si>
    <t xml:space="preserve">GJ10 </t>
  </si>
  <si>
    <t xml:space="preserve">GJ20 </t>
  </si>
  <si>
    <t xml:space="preserve">GJ30 </t>
  </si>
  <si>
    <t xml:space="preserve">GK01 </t>
  </si>
  <si>
    <t xml:space="preserve">GK02 </t>
  </si>
  <si>
    <t xml:space="preserve">GK03 </t>
  </si>
  <si>
    <t xml:space="preserve">GK04 </t>
  </si>
  <si>
    <t xml:space="preserve">GK05 </t>
  </si>
  <si>
    <t xml:space="preserve">GK07 </t>
  </si>
  <si>
    <t xml:space="preserve">GK08 </t>
  </si>
  <si>
    <t xml:space="preserve">GK69 </t>
  </si>
  <si>
    <t xml:space="preserve">GL01 </t>
  </si>
  <si>
    <t xml:space="preserve">GL02 </t>
  </si>
  <si>
    <t xml:space="preserve">GL03 </t>
  </si>
  <si>
    <t xml:space="preserve">GM01 </t>
  </si>
  <si>
    <t xml:space="preserve">GM02 </t>
  </si>
  <si>
    <t xml:space="preserve">GN10 </t>
  </si>
  <si>
    <t xml:space="preserve">GN21 </t>
  </si>
  <si>
    <t xml:space="preserve">GN22 </t>
  </si>
  <si>
    <t xml:space="preserve">GN23 </t>
  </si>
  <si>
    <t xml:space="preserve">GN24 </t>
  </si>
  <si>
    <t xml:space="preserve">GN25 </t>
  </si>
  <si>
    <t xml:space="preserve">GN31 </t>
  </si>
  <si>
    <t xml:space="preserve">GN32 </t>
  </si>
  <si>
    <t xml:space="preserve">GN33 </t>
  </si>
  <si>
    <t xml:space="preserve">GN34 </t>
  </si>
  <si>
    <t xml:space="preserve">GN4A </t>
  </si>
  <si>
    <t xml:space="preserve">GN4B </t>
  </si>
  <si>
    <t xml:space="preserve">GP10 </t>
  </si>
  <si>
    <t xml:space="preserve">GP21 </t>
  </si>
  <si>
    <t xml:space="preserve">GP2A </t>
  </si>
  <si>
    <t xml:space="preserve">GP2B </t>
  </si>
  <si>
    <t xml:space="preserve">GP31 </t>
  </si>
  <si>
    <t xml:space="preserve">GP32 </t>
  </si>
  <si>
    <t xml:space="preserve">GQ1A </t>
  </si>
  <si>
    <t xml:space="preserve">GQ1B </t>
  </si>
  <si>
    <t xml:space="preserve">GQ2A </t>
  </si>
  <si>
    <t xml:space="preserve">GQ2B </t>
  </si>
  <si>
    <t xml:space="preserve">GQ2C </t>
  </si>
  <si>
    <t xml:space="preserve">GQ2D </t>
  </si>
  <si>
    <t xml:space="preserve">GQ2E </t>
  </si>
  <si>
    <t xml:space="preserve">GR10 </t>
  </si>
  <si>
    <t xml:space="preserve">GR20 </t>
  </si>
  <si>
    <t>TR10</t>
  </si>
  <si>
    <t>Total des transferts</t>
  </si>
  <si>
    <t>ORGANISATION DU TRANSPORT DE FRET ET TRANSPORT SPATIAL</t>
  </si>
  <si>
    <t>TELECOMMUNICATION, POSTE ET COURRIER</t>
  </si>
  <si>
    <t>Année 2006</t>
  </si>
  <si>
    <t>Consommation inter</t>
  </si>
  <si>
    <t xml:space="preserve">Total des emplois </t>
  </si>
  <si>
    <t>Automobile</t>
  </si>
  <si>
    <t>Papier ert carton</t>
  </si>
  <si>
    <t>Autres</t>
  </si>
  <si>
    <t>BTP</t>
  </si>
  <si>
    <t>Services marchands</t>
  </si>
  <si>
    <t>Services non marchands</t>
  </si>
  <si>
    <t>  Agriculture, sylviculture et pêche</t>
  </si>
  <si>
    <t xml:space="preserve"> Industrie agro-alimentaire</t>
  </si>
  <si>
    <t>Impôts hors TVA</t>
  </si>
  <si>
    <t>MC</t>
  </si>
  <si>
    <t>MT</t>
  </si>
  <si>
    <t>Agri</t>
  </si>
  <si>
    <t>agro alim</t>
  </si>
  <si>
    <t>Bien de consomm</t>
  </si>
  <si>
    <t>automibil</t>
  </si>
  <si>
    <t>biens d'équipement</t>
  </si>
  <si>
    <t>biens intermédiaires</t>
  </si>
  <si>
    <t>produits énergétiques</t>
  </si>
  <si>
    <t>L</t>
  </si>
  <si>
    <t>Y</t>
  </si>
  <si>
    <t>MTD</t>
  </si>
  <si>
    <t>MTM</t>
  </si>
  <si>
    <t>Tableau de base</t>
  </si>
  <si>
    <t>Total</t>
  </si>
  <si>
    <t>Source : Comptes nationaux - Base 2000, Insee</t>
  </si>
  <si>
    <t xml:space="preserve"> TVA </t>
  </si>
  <si>
    <t>TIPP</t>
  </si>
  <si>
    <t>TICE</t>
  </si>
  <si>
    <t>TICGN</t>
  </si>
  <si>
    <t>TICC</t>
  </si>
  <si>
    <t>autres impôts</t>
  </si>
  <si>
    <t>AGRICULTURE  SYLVICULTURE  PECHE</t>
  </si>
  <si>
    <t>INDUSTRIES DE LA VIANDE ET DU LAIT</t>
  </si>
  <si>
    <t>AUTRES INDUSTRIES AGRICOLES ET ALIMENTAIRES</t>
  </si>
  <si>
    <t>TRAVAIL DU GRAIN: FABRICATION D ALIMENTS POUR ANIMAUX</t>
  </si>
  <si>
    <t>HABILLEMENT  CUIR</t>
  </si>
  <si>
    <t>INDUSTRIE DE L HABILLEMENT ET DES FOURRURES</t>
  </si>
  <si>
    <t>PHARMACIE  PARFUMERIE ET ENTRETIEN</t>
  </si>
  <si>
    <t>FABRICATION DE SAVONS  DE PARFUM ET DE PRODUITS D ENTRETIEN</t>
  </si>
  <si>
    <t>INDUSTRIES DES EQUIPEMENTS DU FOYER</t>
  </si>
  <si>
    <t>BIJOUTERIE ET FABRICATION D INSTRUMENTS DE MUSIQUE</t>
  </si>
  <si>
    <t>FABRICATION D ARTICLES DE SPORTS  JEUX ET JOUETS ET PRODUITS</t>
  </si>
  <si>
    <t>FABRICATION D APPAREILS DE RECEPTION  ENREGISTREMENT OU REPR</t>
  </si>
  <si>
    <t>FABRICATION DE MATERIEL OPTIQUE ET PHOTOGRAPHIQUE  HORLOGERI</t>
  </si>
  <si>
    <t>INDUSTRIE AUTOMOBILE</t>
  </si>
  <si>
    <t>CONSTRUCTION NAVALE  AERONAUTIQUE ET FERROVIAIRE</t>
  </si>
  <si>
    <t>CONSTRUCTION DE MATERIEL FERROVIAIRE ROULANT</t>
  </si>
  <si>
    <t>FABRICATION DE CYCLES  MOTOCYCLES  MATERIEL DE TRANSPORT NCA</t>
  </si>
  <si>
    <t>INDUSTRIES DES BIENS D EQUIPEMENTS MECANIQUES</t>
  </si>
  <si>
    <t>FABRICATION D ELEMENTS EN METAL POUR LA CONSTRUCTION</t>
  </si>
  <si>
    <t>CHAUDRONNERIE  FABRICATION DE RESERVOIRS METALLIQUES ET DE C</t>
  </si>
  <si>
    <t>FABRICATION D AUTRES MACHINES A USAGE SPECIFIQUE</t>
  </si>
  <si>
    <t>INDUSTRIES DES EQUIPEMENTS ELECTRIQUES ET ELECTRONIQUES</t>
  </si>
  <si>
    <t>FABRICATION DE MACHINES DE BUREAU ET MATERIEL INFORMATIQUE</t>
  </si>
  <si>
    <t>FABRICATION DE MOTEURS  GENERATRICES ET TRANSFORMATEURS ELEC</t>
  </si>
  <si>
    <t>FABRICATION D APPAREILS D EMISSION ET DE TRANSMISSION</t>
  </si>
  <si>
    <t>FABRICATION DE MATERIEL MEDICO_CHIRURGICAL ET D ORTHOPEDIE</t>
  </si>
  <si>
    <t>FABRICATION DE MATERIEL DE MESURE ET DE CONTROLE</t>
  </si>
  <si>
    <t>INDUSTRIES DES PRODUITS MINERAUX</t>
  </si>
  <si>
    <t>FABRICATION DE VERRE ET D ARTICLES EN VERRE</t>
  </si>
  <si>
    <t>FABRICATION DE PRODUITS CERAMIQUES ET DE MATERIAUX DE CONSTR</t>
  </si>
  <si>
    <t>INDUSTRIE TEXTILE</t>
  </si>
  <si>
    <t>FABRICATION D ETOFFES ET D ARTICLES A MAILLE</t>
  </si>
  <si>
    <t>INDUSTRIES DU BOIS ET DU PAPIER</t>
  </si>
  <si>
    <t>TRAVAIL DU BOIS ET FABRICATION D ARTICLES EN BOIS</t>
  </si>
  <si>
    <t>FABRICATION DE PATE A PAPIER  DE PAPIER ET DE CARTON</t>
  </si>
  <si>
    <t>FABRICATION D ARTICLES EN PAPIER ET EN CARTON</t>
  </si>
  <si>
    <t>CHIMIE  CAOUTCHOUC  PLASTIQUES</t>
  </si>
  <si>
    <t>FABRICATION DE FIBRES ARTIFICIELLES OU SYNTHETIQUES</t>
  </si>
  <si>
    <t>METALLURGIE ET TRANSFORMATION DES METAUX</t>
  </si>
  <si>
    <t>SIDERURGIE ET PREMIERE TRANSFORMATION DE L ACIER</t>
  </si>
  <si>
    <t>SERVICES INDUSTRIELS DU TRAVAIL DES METAUX</t>
  </si>
  <si>
    <t>INDUSTRIE DES COMPOSANTS ELECTRIQUES ET ELECTRONIQUES</t>
  </si>
  <si>
    <t>PRODUCTION DE COMBUSTIBLES ET DE CARBURANTS</t>
  </si>
  <si>
    <t>EXTRACTION ET AGGLOMERATION DE LA HOUILLE  DU LIGNITE ET DE</t>
  </si>
  <si>
    <t>EXTRACTION D HYDROCARBURES  SERVICES ANNEXES</t>
  </si>
  <si>
    <t>EAU  GAZ  ELECTRICITE</t>
  </si>
  <si>
    <t>CAPTAGE  TRAITEMENT ET DISTRIBUTION D EAU</t>
  </si>
  <si>
    <t>PRODUCTION ET DISTRIBUTION DE COMBUSTIBLES GAZEUX ET DE CHAL</t>
  </si>
  <si>
    <t>TRANSPORTS</t>
  </si>
  <si>
    <t>TRANSPORT ROUTIER (OU PAR CONDUITES) DE MARCHANDISES</t>
  </si>
  <si>
    <t>TRANSPORTS SPATIAUX</t>
  </si>
  <si>
    <t>MANUTENTION  ENTREPOSAGE ET GESTION D INFRASTRUCTURES</t>
  </si>
  <si>
    <t>ORGANISATION DU TRANSPORT DE FRET</t>
  </si>
  <si>
    <t>ORGANISATION DU TRANSPORT DE FRET ET TRANSPORTS SPATIAUX</t>
  </si>
  <si>
    <t>ASSURANCES ET AUXILIAIRES FINANCIERS</t>
  </si>
  <si>
    <t>POSTES ET TELECOMMUNICATIONS</t>
  </si>
  <si>
    <t>TELECOMMUNICATIONS, POSTE ET COURRIER</t>
  </si>
  <si>
    <t>ACTIVITES DE POSTE ET DE COURRIER</t>
  </si>
  <si>
    <t>TELECOMMUNICATIONS</t>
  </si>
  <si>
    <t>CONSEILS ET ASSISTANCE</t>
  </si>
  <si>
    <t>SERVICES OPERATIONNELS</t>
  </si>
  <si>
    <t>SECURITE  NETTOYAGE ET SERVICES DIVERS AUX ENTREPRISES</t>
  </si>
  <si>
    <t>ASSAINISSEMENT  VOIRIE ET GESTION DES DECHETS</t>
  </si>
  <si>
    <t>RECHERCHE ET DEVELOPPEMENT</t>
  </si>
  <si>
    <t>ACTIVITES RECREATIVES  CULTURELLES ET SPORTIVES</t>
  </si>
  <si>
    <t>AUTRES ACTIVITES RECREATIVES  CULTURELLES ET SPORTIVES MARCHANDE</t>
  </si>
  <si>
    <t>AUTRES ACTIVITES RECREATIVES  CULTURELLES ET SPORTIVES NON MARCHANDES</t>
  </si>
  <si>
    <t>SERVICES PERSONNELS ET DOMESTIQUES</t>
  </si>
  <si>
    <t>EDUCATION</t>
  </si>
  <si>
    <t>SANTE</t>
  </si>
  <si>
    <t>ACTION SOCIALE</t>
  </si>
  <si>
    <t>Total des branches</t>
  </si>
  <si>
    <t>Milliers de personnes en équivalent temps plein</t>
  </si>
  <si>
    <t>n.c. : non communiqué</t>
  </si>
  <si>
    <t>n.c.</t>
  </si>
  <si>
    <t xml:space="preserve">FA0 </t>
  </si>
  <si>
    <t>GA01</t>
  </si>
  <si>
    <t>GA02</t>
  </si>
  <si>
    <t>GA03</t>
  </si>
  <si>
    <t xml:space="preserve">FB1 </t>
  </si>
  <si>
    <t>GB01</t>
  </si>
  <si>
    <t>GB02</t>
  </si>
  <si>
    <t xml:space="preserve">FB2 </t>
  </si>
  <si>
    <t>GB03</t>
  </si>
  <si>
    <t>GB04</t>
  </si>
  <si>
    <t>GB05</t>
  </si>
  <si>
    <t>GB06</t>
  </si>
  <si>
    <t xml:space="preserve">FC1 </t>
  </si>
  <si>
    <t>GC11</t>
  </si>
  <si>
    <t>GC12</t>
  </si>
  <si>
    <t xml:space="preserve">FC2 </t>
  </si>
  <si>
    <t>GC20</t>
  </si>
  <si>
    <t xml:space="preserve">FC3 </t>
  </si>
  <si>
    <t>GC31</t>
  </si>
  <si>
    <t>GC32</t>
  </si>
  <si>
    <t xml:space="preserve">FC4 </t>
  </si>
  <si>
    <t>GC41</t>
  </si>
  <si>
    <t>GC42</t>
  </si>
  <si>
    <t>GC43</t>
  </si>
  <si>
    <t>GC44</t>
  </si>
  <si>
    <t>GC45</t>
  </si>
  <si>
    <t>GC46</t>
  </si>
  <si>
    <t xml:space="preserve">FD0 </t>
  </si>
  <si>
    <t>GD01</t>
  </si>
  <si>
    <t>GD02</t>
  </si>
  <si>
    <t xml:space="preserve">FE1 </t>
  </si>
  <si>
    <t>GE11</t>
  </si>
  <si>
    <t>GE12</t>
  </si>
  <si>
    <t>GE13</t>
  </si>
  <si>
    <t>GE14</t>
  </si>
  <si>
    <t xml:space="preserve">FE2 </t>
  </si>
  <si>
    <t>GE21</t>
  </si>
  <si>
    <t>GE22</t>
  </si>
  <si>
    <t>GE23</t>
  </si>
  <si>
    <t>GE24</t>
  </si>
  <si>
    <t>GE25</t>
  </si>
  <si>
    <t>GE26</t>
  </si>
  <si>
    <t>GE27</t>
  </si>
  <si>
    <t>GE28</t>
  </si>
  <si>
    <t xml:space="preserve">FE3 </t>
  </si>
  <si>
    <t>GE31</t>
  </si>
  <si>
    <t>GE32</t>
  </si>
  <si>
    <t>GE33</t>
  </si>
  <si>
    <t>GE34</t>
  </si>
  <si>
    <t>GE35</t>
  </si>
  <si>
    <t xml:space="preserve">FF1 </t>
  </si>
  <si>
    <t>GF11</t>
  </si>
  <si>
    <t>GF12</t>
  </si>
  <si>
    <t>GF13</t>
  </si>
  <si>
    <t>GF14</t>
  </si>
  <si>
    <t xml:space="preserve">FF2 </t>
  </si>
  <si>
    <t>GF21</t>
  </si>
  <si>
    <t>GF22</t>
  </si>
  <si>
    <t>GF23</t>
  </si>
  <si>
    <t xml:space="preserve">FF3 </t>
  </si>
  <si>
    <t>GF31</t>
  </si>
  <si>
    <t>GF32</t>
  </si>
  <si>
    <t>GF33</t>
  </si>
  <si>
    <t xml:space="preserve">FF4 </t>
  </si>
  <si>
    <t>GF41</t>
  </si>
  <si>
    <t>GF42</t>
  </si>
  <si>
    <t>GF43</t>
  </si>
  <si>
    <t>GF44</t>
  </si>
  <si>
    <t>GF45</t>
  </si>
  <si>
    <t>GF46</t>
  </si>
  <si>
    <t xml:space="preserve">FF5 </t>
  </si>
  <si>
    <t>GF51</t>
  </si>
  <si>
    <t>GF52</t>
  </si>
  <si>
    <t>GF53</t>
  </si>
  <si>
    <t>GF54</t>
  </si>
  <si>
    <t>GF55</t>
  </si>
  <si>
    <t>GF56</t>
  </si>
  <si>
    <t xml:space="preserve">FF6 </t>
  </si>
  <si>
    <t>GF61</t>
  </si>
  <si>
    <t>GF62</t>
  </si>
  <si>
    <t xml:space="preserve">FG1 </t>
  </si>
  <si>
    <t>GG11</t>
  </si>
  <si>
    <t>GG12</t>
  </si>
  <si>
    <t>GG13</t>
  </si>
  <si>
    <t>GG14</t>
  </si>
  <si>
    <t>GG15</t>
  </si>
  <si>
    <t xml:space="preserve">FG2 </t>
  </si>
  <si>
    <t>GG22</t>
  </si>
  <si>
    <t>GG2A</t>
  </si>
  <si>
    <t>GG2B</t>
  </si>
  <si>
    <t xml:space="preserve">FH1 </t>
  </si>
  <si>
    <t>GH01</t>
  </si>
  <si>
    <t xml:space="preserve">FH2 </t>
  </si>
  <si>
    <t>GH02</t>
  </si>
  <si>
    <t xml:space="preserve">FJ1 </t>
  </si>
  <si>
    <t>GJ10</t>
  </si>
  <si>
    <t xml:space="preserve">FJ2 </t>
  </si>
  <si>
    <t>GJ20</t>
  </si>
  <si>
    <t xml:space="preserve">FJ3 </t>
  </si>
  <si>
    <t>GJ30</t>
  </si>
  <si>
    <t xml:space="preserve">FK0 </t>
  </si>
  <si>
    <t>GK01</t>
  </si>
  <si>
    <t>GK02</t>
  </si>
  <si>
    <t>GK03</t>
  </si>
  <si>
    <t>GK04</t>
  </si>
  <si>
    <t>GK05</t>
  </si>
  <si>
    <t>GK06</t>
  </si>
  <si>
    <t>GK07</t>
  </si>
  <si>
    <t>GK08</t>
  </si>
  <si>
    <t>GK09</t>
  </si>
  <si>
    <t>GK69</t>
  </si>
  <si>
    <t xml:space="preserve">FL1 </t>
  </si>
  <si>
    <t>GL01</t>
  </si>
  <si>
    <t xml:space="preserve">FL2 </t>
  </si>
  <si>
    <t>GL02</t>
  </si>
  <si>
    <t>GL03</t>
  </si>
  <si>
    <t xml:space="preserve">FM1 </t>
  </si>
  <si>
    <t>GM01</t>
  </si>
  <si>
    <t xml:space="preserve">FM2 </t>
  </si>
  <si>
    <t>GM02</t>
  </si>
  <si>
    <t xml:space="preserve">FN1 </t>
  </si>
  <si>
    <t>GN10</t>
  </si>
  <si>
    <t>GN11</t>
  </si>
  <si>
    <t>GN12</t>
  </si>
  <si>
    <t xml:space="preserve">FN2 </t>
  </si>
  <si>
    <t>GN21</t>
  </si>
  <si>
    <t>GN22</t>
  </si>
  <si>
    <t>GN23</t>
  </si>
  <si>
    <t>GN24</t>
  </si>
  <si>
    <t>GN25</t>
  </si>
  <si>
    <t xml:space="preserve">FN3 </t>
  </si>
  <si>
    <t>GN31</t>
  </si>
  <si>
    <t>GN32</t>
  </si>
  <si>
    <t>GN33</t>
  </si>
  <si>
    <t>GN34</t>
  </si>
  <si>
    <t xml:space="preserve">FN4 </t>
  </si>
  <si>
    <t>GN4A</t>
  </si>
  <si>
    <t>GN4B</t>
  </si>
  <si>
    <t xml:space="preserve">FP1 </t>
  </si>
  <si>
    <t>GP10</t>
  </si>
  <si>
    <t xml:space="preserve">FP2 </t>
  </si>
  <si>
    <t>GP21</t>
  </si>
  <si>
    <t>GP2A</t>
  </si>
  <si>
    <t>GP2B</t>
  </si>
  <si>
    <t xml:space="preserve">FP3 </t>
  </si>
  <si>
    <t>GP31</t>
  </si>
  <si>
    <t>GP32</t>
  </si>
  <si>
    <t xml:space="preserve">FQ1 </t>
  </si>
  <si>
    <t>GQ1A</t>
  </si>
  <si>
    <t>GQ1B</t>
  </si>
  <si>
    <t xml:space="preserve">FQ2 </t>
  </si>
  <si>
    <t>GQ2A</t>
  </si>
  <si>
    <t>GQ2B</t>
  </si>
  <si>
    <t>GQ2C</t>
  </si>
  <si>
    <t xml:space="preserve">FQ3 </t>
  </si>
  <si>
    <t>GQ2D</t>
  </si>
  <si>
    <t>GQ2E</t>
  </si>
  <si>
    <t xml:space="preserve">FR1 </t>
  </si>
  <si>
    <t>GR10</t>
  </si>
  <si>
    <t xml:space="preserve">FR2 </t>
  </si>
  <si>
    <t>GR20</t>
  </si>
  <si>
    <t>charges sociales</t>
  </si>
  <si>
    <t>charges sociales employeur</t>
  </si>
  <si>
    <t>TCE</t>
  </si>
  <si>
    <t>salaires et traitements bruts avant déduction des charges sociales salariales</t>
  </si>
  <si>
    <t>Entreprises</t>
  </si>
  <si>
    <t>ménage</t>
  </si>
  <si>
    <t>Verif</t>
  </si>
  <si>
    <t>TOTAL D+M</t>
  </si>
  <si>
    <t>Target</t>
  </si>
  <si>
    <t>Target = 0</t>
  </si>
  <si>
    <t>Correction</t>
  </si>
  <si>
    <t>Erreur depart</t>
  </si>
  <si>
    <t>Tableau de base corrigé</t>
  </si>
  <si>
    <t>YQ_01</t>
  </si>
  <si>
    <t>YQ_02</t>
  </si>
  <si>
    <t>YQ_03</t>
  </si>
  <si>
    <t>YQ_04</t>
  </si>
  <si>
    <t>YQ_05</t>
  </si>
  <si>
    <t>YQ_06</t>
  </si>
  <si>
    <t>YQ_07</t>
  </si>
  <si>
    <t>YQ_08</t>
  </si>
  <si>
    <t>YQ_09</t>
  </si>
  <si>
    <t>YQ_10</t>
  </si>
  <si>
    <t>YQ_11</t>
  </si>
  <si>
    <t>YQ_12</t>
  </si>
  <si>
    <t>YQ_13</t>
  </si>
  <si>
    <t>YQ_14</t>
  </si>
  <si>
    <t>YQ_15</t>
  </si>
  <si>
    <t>YQ_16</t>
  </si>
  <si>
    <t>YQ_17</t>
  </si>
  <si>
    <t>YQ_18</t>
  </si>
  <si>
    <t>YQ_19</t>
  </si>
  <si>
    <t>YQ_20</t>
  </si>
  <si>
    <t>YQ_21</t>
  </si>
  <si>
    <t>YQ_22</t>
  </si>
  <si>
    <t>YQ_23</t>
  </si>
  <si>
    <t>YQ_24</t>
  </si>
  <si>
    <t>YQ</t>
  </si>
  <si>
    <t>Y_01</t>
  </si>
  <si>
    <t>TR_01</t>
  </si>
  <si>
    <t>Y_02</t>
  </si>
  <si>
    <t>TR_02</t>
  </si>
  <si>
    <t>Y_03</t>
  </si>
  <si>
    <t>TR_03</t>
  </si>
  <si>
    <t>Y_04</t>
  </si>
  <si>
    <t>TR_04</t>
  </si>
  <si>
    <t>Y_05</t>
  </si>
  <si>
    <t>TR_05</t>
  </si>
  <si>
    <t>Y_06</t>
  </si>
  <si>
    <t>TR_06</t>
  </si>
  <si>
    <t>Y_07</t>
  </si>
  <si>
    <t>TR_07</t>
  </si>
  <si>
    <t>Y_08</t>
  </si>
  <si>
    <t>TR_08</t>
  </si>
  <si>
    <t>Y_09</t>
  </si>
  <si>
    <t>TR_09</t>
  </si>
  <si>
    <t>Y_10</t>
  </si>
  <si>
    <t>TR_10</t>
  </si>
  <si>
    <t>Y_11</t>
  </si>
  <si>
    <t>TR_11</t>
  </si>
  <si>
    <t>Y_12</t>
  </si>
  <si>
    <t>TR_12</t>
  </si>
  <si>
    <t>Y_13</t>
  </si>
  <si>
    <t>TR_13</t>
  </si>
  <si>
    <t>Y_14</t>
  </si>
  <si>
    <t>TR_14</t>
  </si>
  <si>
    <t>Y_15</t>
  </si>
  <si>
    <t>TR_15</t>
  </si>
  <si>
    <t>Y_16</t>
  </si>
  <si>
    <t>TR_16</t>
  </si>
  <si>
    <t>Y_17</t>
  </si>
  <si>
    <t>TR_17</t>
  </si>
  <si>
    <t>Y_18</t>
  </si>
  <si>
    <t>TR_18</t>
  </si>
  <si>
    <t>Y_19</t>
  </si>
  <si>
    <t>TR_19</t>
  </si>
  <si>
    <t>Y_20</t>
  </si>
  <si>
    <t>TR_20</t>
  </si>
  <si>
    <t>Y_21</t>
  </si>
  <si>
    <t>TR_21</t>
  </si>
  <si>
    <t>Y_22</t>
  </si>
  <si>
    <t>TR_22</t>
  </si>
  <si>
    <t>Y_23</t>
  </si>
  <si>
    <t>TR_23</t>
  </si>
  <si>
    <t>Y_24</t>
  </si>
  <si>
    <t>TR_24</t>
  </si>
  <si>
    <t>TR=0</t>
  </si>
  <si>
    <t>TR</t>
  </si>
  <si>
    <t>Y_2201</t>
  </si>
  <si>
    <t>Y_2202</t>
  </si>
  <si>
    <t>Y_2301</t>
  </si>
  <si>
    <t>Y_2302</t>
  </si>
  <si>
    <t>Y_2303</t>
  </si>
  <si>
    <t>Y_2304</t>
  </si>
  <si>
    <t>Y_2305</t>
  </si>
  <si>
    <t>Y_2306</t>
  </si>
  <si>
    <t>Y_2307</t>
  </si>
  <si>
    <t>Y_2308</t>
  </si>
  <si>
    <t>Y_2401</t>
  </si>
  <si>
    <t>Y_2402</t>
  </si>
  <si>
    <t>Y_2403</t>
  </si>
  <si>
    <t>Y_2404</t>
  </si>
  <si>
    <t>Y_2405</t>
  </si>
  <si>
    <t>Y_2406</t>
  </si>
  <si>
    <t>Verif Total</t>
  </si>
  <si>
    <t>Code</t>
  </si>
  <si>
    <t>Prod</t>
  </si>
  <si>
    <t>ImportB</t>
  </si>
  <si>
    <t>ImportS</t>
  </si>
  <si>
    <t>CorrCAF_FAB</t>
  </si>
  <si>
    <t>TOTAL_RES_2</t>
  </si>
  <si>
    <t>IPTot</t>
  </si>
  <si>
    <t>TVA</t>
  </si>
  <si>
    <t>Subv</t>
  </si>
  <si>
    <t>TOTAL_RES_3</t>
  </si>
  <si>
    <t>C_MEN</t>
  </si>
  <si>
    <t>C_APU</t>
  </si>
  <si>
    <t>C_CAPU</t>
  </si>
  <si>
    <t>C_IAPU</t>
  </si>
  <si>
    <t>C_ISBLSM</t>
  </si>
  <si>
    <t>FBCF_SNFEI</t>
  </si>
  <si>
    <t>FBCF_MEN</t>
  </si>
  <si>
    <t>FBCF_SF</t>
  </si>
  <si>
    <t>FBCF_APU</t>
  </si>
  <si>
    <t>FBCF_ISBLSM</t>
  </si>
  <si>
    <t>FBCF_TOT</t>
  </si>
  <si>
    <t>OV</t>
  </si>
  <si>
    <t>VS</t>
  </si>
  <si>
    <t>FBC_T</t>
  </si>
  <si>
    <t>Export</t>
  </si>
  <si>
    <t>TEF</t>
  </si>
  <si>
    <t>CI</t>
  </si>
  <si>
    <t>TE</t>
  </si>
  <si>
    <t>Sum of Prod</t>
  </si>
  <si>
    <t>Sum of ImportB</t>
  </si>
  <si>
    <t>Sum of ImportS</t>
  </si>
  <si>
    <t>Sum of CorrCAF_FAB</t>
  </si>
  <si>
    <t>Sum of TOTAL_RES_2</t>
  </si>
  <si>
    <t>Sum of MC</t>
  </si>
  <si>
    <t>Sum of MT</t>
  </si>
  <si>
    <t>Sum of IPTot</t>
  </si>
  <si>
    <t>Sum of TVA</t>
  </si>
  <si>
    <t>Sum of Subv</t>
  </si>
  <si>
    <t>Sum of TOTAL_RES_3</t>
  </si>
  <si>
    <t>Sum of C_MEN</t>
  </si>
  <si>
    <t>Sum of C_CAPU</t>
  </si>
  <si>
    <t>Sum of C_IAPU</t>
  </si>
  <si>
    <t>Sum of C_APU</t>
  </si>
  <si>
    <t>Sum of C_ISBLSM</t>
  </si>
  <si>
    <t>Sum of DEPENSE TOTALE</t>
  </si>
  <si>
    <t>Sum of FBCF_SNFEI</t>
  </si>
  <si>
    <t>Sum of FBCF_MEN</t>
  </si>
  <si>
    <t>Sum of FBCF_SF</t>
  </si>
  <si>
    <t>Sum of FBCF_APU</t>
  </si>
  <si>
    <t>Sum of FBCF_ISBLSM</t>
  </si>
  <si>
    <t>Sum of FBCF_TOT</t>
  </si>
  <si>
    <t>Sum of OV</t>
  </si>
  <si>
    <t>Sum of VS</t>
  </si>
  <si>
    <t>Sum of FBC_T</t>
  </si>
  <si>
    <t>Sum of Export</t>
  </si>
  <si>
    <t>Sum of TEF</t>
  </si>
  <si>
    <t>Sum of CI</t>
  </si>
  <si>
    <t>Sum of TE</t>
  </si>
  <si>
    <t>COPIE TABLEAU PRECEDENT</t>
  </si>
  <si>
    <t>TABLEAU CORRIGE</t>
  </si>
  <si>
    <t>VERIF</t>
  </si>
  <si>
    <t>MT_TOTAL</t>
  </si>
  <si>
    <t>Parts</t>
  </si>
  <si>
    <t>Target = 1</t>
  </si>
  <si>
    <t>MT_CorrCAF/FAB</t>
  </si>
  <si>
    <t>PETROLE TOTAL</t>
  </si>
  <si>
    <t>GAZ TOTAL</t>
  </si>
  <si>
    <t>PRODUCTION ET DISTRIBUTION DE COMBUSTIBLE GAZEUX</t>
  </si>
  <si>
    <t>D+M</t>
  </si>
  <si>
    <t>PART_RETENUE</t>
  </si>
  <si>
    <t>TRANSPORT ROUTIER (OU PAR CONDUITES) DE marchandises</t>
  </si>
  <si>
    <t>PART_Dans D+M</t>
  </si>
  <si>
    <t>PART_MARCHANDISES</t>
  </si>
  <si>
    <t xml:space="preserve">D+M _MARCHANDISES </t>
  </si>
  <si>
    <t>PART_Dans D+M _MARCHANDISES</t>
  </si>
  <si>
    <t>FABRICATION DE CYCLES  MOTOCYCLES  MATERriel de transport non classé ailleurs</t>
  </si>
  <si>
    <t>AUTOMOBILES (VOITURE + MOTOCYCLE)</t>
  </si>
  <si>
    <t>FABRICATION CYCLE</t>
  </si>
  <si>
    <t>PART DANS CYCLE + MOTOCYCLE</t>
  </si>
  <si>
    <t>112-3</t>
  </si>
  <si>
    <t>122-24</t>
  </si>
  <si>
    <t>Autres industries</t>
  </si>
  <si>
    <t>Charbon</t>
  </si>
  <si>
    <t>PETROLE</t>
  </si>
  <si>
    <t>ELECTRICITE</t>
  </si>
  <si>
    <t>GAZ</t>
  </si>
  <si>
    <t>114-16-17-18</t>
  </si>
  <si>
    <t xml:space="preserve">Part Import </t>
  </si>
  <si>
    <t>Part Import _ New</t>
  </si>
  <si>
    <t>Target =0</t>
  </si>
  <si>
    <t>Ecart-type de l'erreur sur marge</t>
  </si>
  <si>
    <t>MT_TOTAL_NEW</t>
  </si>
  <si>
    <t>new-old</t>
  </si>
  <si>
    <t>Marges sur produits domestiques</t>
  </si>
  <si>
    <t>Marges sur produits importé</t>
  </si>
  <si>
    <t>TOTAL MTD</t>
  </si>
  <si>
    <t>TOTAL MTM</t>
  </si>
  <si>
    <t>Marges totales</t>
  </si>
  <si>
    <t>TOTAL MT</t>
  </si>
  <si>
    <t>Tableaux finals pour les marges de transport</t>
  </si>
  <si>
    <t>Data</t>
  </si>
  <si>
    <t>VA</t>
  </si>
  <si>
    <t>PROD_M</t>
  </si>
  <si>
    <t>PROD_EFP</t>
  </si>
  <si>
    <t>PROD_NM</t>
  </si>
  <si>
    <t>TrAg</t>
  </si>
  <si>
    <t>TrPF</t>
  </si>
  <si>
    <t>TrVR</t>
  </si>
  <si>
    <t>TrTOT</t>
  </si>
  <si>
    <t>PROD_PROD</t>
  </si>
  <si>
    <t>PROD_BRANCHE</t>
  </si>
  <si>
    <t>RS</t>
  </si>
  <si>
    <t>EBE</t>
  </si>
  <si>
    <t>IP</t>
  </si>
  <si>
    <t>SE</t>
  </si>
  <si>
    <t>TOTAL BRANCHE</t>
  </si>
  <si>
    <t>Sum of PROD_BRANCHE</t>
  </si>
  <si>
    <t>Sum of VA</t>
  </si>
  <si>
    <t>Sum of PROD_PROD</t>
  </si>
  <si>
    <t>Sum of TrTOT</t>
  </si>
  <si>
    <t>Sum of RS</t>
  </si>
  <si>
    <t>Sum of EBE</t>
  </si>
  <si>
    <t>Sum of IP</t>
  </si>
  <si>
    <t>Sum of SE</t>
  </si>
  <si>
    <t>Ecart-type Erreur</t>
  </si>
  <si>
    <t>Sum of 1</t>
  </si>
  <si>
    <t>Sum of 2</t>
  </si>
  <si>
    <t>Sum of 3</t>
  </si>
  <si>
    <t>Sum of 4</t>
  </si>
  <si>
    <t>Sum of 5</t>
  </si>
  <si>
    <t>Sum of 6</t>
  </si>
  <si>
    <t>Sum of 7</t>
  </si>
  <si>
    <t>Sum of 8</t>
  </si>
  <si>
    <t>Sum of 9</t>
  </si>
  <si>
    <t>Sum of 10</t>
  </si>
  <si>
    <t>Sum of 11</t>
  </si>
  <si>
    <t>Sum of 12</t>
  </si>
  <si>
    <t>Sum of 13</t>
  </si>
  <si>
    <t>Sum of 14</t>
  </si>
  <si>
    <t>Sum of 15</t>
  </si>
  <si>
    <t>Sum of 16</t>
  </si>
  <si>
    <t>Sum of 17</t>
  </si>
  <si>
    <t>Sum of 18</t>
  </si>
  <si>
    <t>Sum of 19</t>
  </si>
  <si>
    <t>Sum of 20</t>
  </si>
  <si>
    <t>Sum of 21</t>
  </si>
  <si>
    <t>Sum of 22</t>
  </si>
  <si>
    <t>Sum of 23</t>
  </si>
  <si>
    <t>Sum of 24</t>
  </si>
  <si>
    <t>Sum of CI_27</t>
  </si>
  <si>
    <t>COPIE TABLEAU CI-DESSUS</t>
  </si>
  <si>
    <t>PRODUIT EN LIGNE</t>
  </si>
  <si>
    <t>BRANCHE EN COLONNE</t>
  </si>
  <si>
    <t>VERIF TOTAL</t>
  </si>
  <si>
    <t>VERIF avec TRP</t>
  </si>
  <si>
    <t>VERIF avec CPR_CEB</t>
  </si>
  <si>
    <t>Verif TRP</t>
  </si>
  <si>
    <t>PIB DEF EMPLOI</t>
  </si>
  <si>
    <t>PIB DEF VA</t>
  </si>
  <si>
    <t>TARGET=0</t>
  </si>
  <si>
    <t>M_PxMarché_0</t>
  </si>
  <si>
    <t>Q_PxMarché_0</t>
  </si>
  <si>
    <t>VERIF TOTAL TRP</t>
  </si>
  <si>
    <t>ISIC Rev.3</t>
  </si>
  <si>
    <t>Domestic</t>
  </si>
  <si>
    <t>INPUT</t>
  </si>
  <si>
    <t>verif</t>
  </si>
  <si>
    <t>M_verif</t>
  </si>
  <si>
    <t>VSM</t>
  </si>
  <si>
    <t>X</t>
  </si>
  <si>
    <t>FBCF</t>
  </si>
  <si>
    <t>INDAPU</t>
  </si>
  <si>
    <t>MENAGE</t>
  </si>
  <si>
    <t>PRODUITS/final demand</t>
  </si>
  <si>
    <t>Imported modified</t>
  </si>
  <si>
    <t>M_TARGET_0</t>
  </si>
  <si>
    <t>ERREUR</t>
  </si>
  <si>
    <t>M_TARGET</t>
  </si>
  <si>
    <t xml:space="preserve">Imported </t>
  </si>
  <si>
    <t>CORRECTION</t>
  </si>
  <si>
    <t>PARTS CORRIGEES</t>
  </si>
  <si>
    <t>Conso</t>
  </si>
  <si>
    <t>Imports shares 2005, à prix courants</t>
  </si>
  <si>
    <t>Total général</t>
  </si>
  <si>
    <t>FBCF_BRANCHES_Marchandes</t>
  </si>
  <si>
    <t>TauxMargeC</t>
  </si>
  <si>
    <t>TauxMargeTr</t>
  </si>
  <si>
    <t>TauxSub</t>
  </si>
  <si>
    <t>Assiette:</t>
  </si>
  <si>
    <t>Prod. Domestique</t>
  </si>
  <si>
    <t>Prod+Import</t>
  </si>
  <si>
    <t>TauxAutresIP</t>
  </si>
  <si>
    <t>TauxTVA_Conso</t>
  </si>
  <si>
    <t>TauxTVA_Autre</t>
  </si>
  <si>
    <t>TVA autre</t>
  </si>
  <si>
    <t>TVA_Conso</t>
  </si>
  <si>
    <t>TauxTVA_CI</t>
  </si>
  <si>
    <t>RES4_MargeCI</t>
  </si>
  <si>
    <t>MCsurM</t>
  </si>
  <si>
    <t>MCsurDomest</t>
  </si>
  <si>
    <t>Part Import 0</t>
  </si>
  <si>
    <t>TVA_Conso_D</t>
  </si>
  <si>
    <t>TVA_Conso_M</t>
  </si>
  <si>
    <t>ImportShare_CMEN</t>
  </si>
  <si>
    <t>ImportShare_CAPU</t>
  </si>
  <si>
    <t>ImportShare_FBCF</t>
  </si>
  <si>
    <t>ImportShare_CI</t>
  </si>
  <si>
    <t>CI+INV+G</t>
  </si>
  <si>
    <t>TauxMargeTr_D</t>
  </si>
  <si>
    <t>TauxMargeTr_M</t>
  </si>
  <si>
    <t>Import</t>
  </si>
  <si>
    <t>TI..</t>
  </si>
  <si>
    <t>Tx_CS_Salaries</t>
  </si>
  <si>
    <t>Salaire Brut(W)</t>
  </si>
  <si>
    <t>Salaire net</t>
  </si>
  <si>
    <t>CS_Employeur</t>
  </si>
  <si>
    <t>CS_Salaries</t>
  </si>
  <si>
    <t>Grand Total</t>
  </si>
  <si>
    <t>LABOR</t>
  </si>
  <si>
    <t>Sum of LABOR</t>
  </si>
  <si>
    <t>Tx_Impot Prod</t>
  </si>
  <si>
    <t>Tx_SubvExploitation</t>
  </si>
  <si>
    <t>Tx_CS_Employeur_Corrig</t>
  </si>
  <si>
    <t>Change</t>
  </si>
  <si>
    <t>Target TEE2006</t>
  </si>
  <si>
    <t>Erreur</t>
  </si>
  <si>
    <t>Tx_CS_Employeur_0</t>
  </si>
  <si>
    <t>FBCF_SFEI</t>
  </si>
  <si>
    <t>FBCF_BRANCHES_NonMarch</t>
  </si>
  <si>
    <t>Part FBCF 20 ds Secteur</t>
  </si>
  <si>
    <t>Part FBCF 20 ds total</t>
  </si>
  <si>
    <t>SECTEURS</t>
  </si>
  <si>
    <t>March+Non M</t>
  </si>
  <si>
    <t>Verif Share</t>
  </si>
  <si>
    <t>Shares calibrée yc agricilture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</si>
</sst>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4">
    <numFmt numFmtId="164" formatCode="_-* #,##0.00\ _€_-;\-* #,##0.00\ _€_-;_-* &quot;-&quot;??\ _€_-;_-@_-"/>
    <numFmt numFmtId="165" formatCode="0.0000"/>
    <numFmt numFmtId="166" formatCode="_-* #,##0\ _€_-;\-* #,##0\ _€_-;_-* &quot;-&quot;??\ _€_-;_-@_-"/>
    <numFmt numFmtId="167" formatCode="_-* #,##0.0000\ _€_-;\-* #,##0.0000\ _€_-;_-* &quot;-&quot;??\ _€_-;_-@_-"/>
    <numFmt numFmtId="168" formatCode="#,##0.00_ ;\-#,##0.00\ "/>
    <numFmt numFmtId="169" formatCode="#,##0.0000_ ;\-#,##0.0000\ "/>
    <numFmt numFmtId="170" formatCode="0.0"/>
    <numFmt numFmtId="171" formatCode="0.000"/>
    <numFmt numFmtId="172" formatCode="0.000000"/>
    <numFmt numFmtId="173" formatCode="0.0000000"/>
    <numFmt numFmtId="174" formatCode="0.00000000"/>
    <numFmt numFmtId="175" formatCode="0.000%"/>
    <numFmt numFmtId="176" formatCode="0.0%"/>
    <numFmt numFmtId="177" formatCode="0.0000%"/>
  </numFmts>
  <fonts count="54" x14ac:knownFonts="1">
    <font>
      <sz val="10"/>
      <name val="Arial"/>
    </font>
    <font>
      <sz val="11"/>
      <color theme="1"/>
      <name val="Calibri"/>
      <family val="2"/>
      <scheme val="minor"/>
    </font>
    <font>
      <sz val="10"/>
      <name val="Arial"/>
      <family val="2"/>
    </font>
    <font>
      <b/>
      <sz val="10"/>
      <name val="Arial"/>
      <family val="2"/>
    </font>
    <font>
      <b/>
      <sz val="8"/>
      <name val="Arial"/>
      <family val="2"/>
    </font>
    <font>
      <b/>
      <i/>
      <sz val="8"/>
      <name val="Arial"/>
      <family val="2"/>
    </font>
    <font>
      <sz val="7"/>
      <name val="Arial"/>
      <family val="2"/>
    </font>
    <font>
      <b/>
      <sz val="7"/>
      <name val="Arial"/>
      <family val="2"/>
    </font>
    <font>
      <sz val="8"/>
      <name val="Arial"/>
      <family val="2"/>
    </font>
    <font>
      <sz val="6"/>
      <name val="Arial"/>
      <family val="2"/>
    </font>
    <font>
      <sz val="8"/>
      <name val="Times New Roman"/>
      <family val="1"/>
    </font>
    <font>
      <sz val="10"/>
      <name val="Arial"/>
      <family val="2"/>
    </font>
    <font>
      <sz val="8"/>
      <name val="Arial"/>
      <family val="2"/>
    </font>
    <font>
      <sz val="8"/>
      <color indexed="81"/>
      <name val="Tahoma"/>
      <family val="2"/>
    </font>
    <font>
      <b/>
      <sz val="8"/>
      <color indexed="81"/>
      <name val="Tahoma"/>
      <family val="2"/>
    </font>
    <font>
      <sz val="11"/>
      <color indexed="81"/>
      <name val="Tahoma"/>
      <family val="2"/>
    </font>
    <font>
      <sz val="12"/>
      <name val="Arial"/>
      <family val="2"/>
    </font>
    <font>
      <b/>
      <sz val="9"/>
      <color indexed="8"/>
      <name val="Arial"/>
      <family val="2"/>
    </font>
    <font>
      <sz val="10"/>
      <name val="Arial"/>
      <family val="2"/>
    </font>
    <font>
      <sz val="10"/>
      <color indexed="12"/>
      <name val="Arial"/>
      <family val="2"/>
    </font>
    <font>
      <b/>
      <sz val="9"/>
      <name val="Arial"/>
      <family val="2"/>
    </font>
    <font>
      <sz val="10"/>
      <name val="Arial"/>
      <family val="2"/>
    </font>
    <font>
      <sz val="10"/>
      <name val="Arial"/>
      <family val="2"/>
    </font>
    <font>
      <sz val="10"/>
      <name val="Arial"/>
      <family val="2"/>
    </font>
    <font>
      <sz val="10"/>
      <name val="Arial"/>
      <family val="2"/>
    </font>
    <font>
      <sz val="8"/>
      <color indexed="8"/>
      <name val="Calibri"/>
      <family val="2"/>
    </font>
    <font>
      <sz val="9"/>
      <color indexed="81"/>
      <name val="Tahoma"/>
      <family val="2"/>
    </font>
    <font>
      <b/>
      <sz val="9"/>
      <color indexed="81"/>
      <name val="Tahoma"/>
      <family val="2"/>
    </font>
    <font>
      <sz val="11"/>
      <color theme="1"/>
      <name val="Calibri"/>
      <family val="2"/>
      <scheme val="minor"/>
    </font>
    <font>
      <b/>
      <sz val="11"/>
      <color theme="1"/>
      <name val="Calibri"/>
      <family val="2"/>
      <scheme val="minor"/>
    </font>
    <font>
      <sz val="11"/>
      <color rgb="FFFF0000"/>
      <name val="Calibri"/>
      <family val="2"/>
      <scheme val="minor"/>
    </font>
    <font>
      <sz val="10"/>
      <color rgb="FFFF0000"/>
      <name val="Arial"/>
      <family val="2"/>
    </font>
    <font>
      <sz val="11"/>
      <color theme="0" tint="-0.499984740745262"/>
      <name val="Calibri"/>
      <family val="2"/>
      <scheme val="minor"/>
    </font>
    <font>
      <sz val="11"/>
      <name val="Calibri"/>
      <family val="2"/>
      <scheme val="minor"/>
    </font>
    <font>
      <b/>
      <sz val="10"/>
      <color rgb="FFFF0000"/>
      <name val="Arial"/>
      <family val="2"/>
    </font>
    <font>
      <sz val="10"/>
      <color theme="5"/>
      <name val="Arial"/>
      <family val="2"/>
    </font>
    <font>
      <sz val="10"/>
      <color rgb="FF00B0F0"/>
      <name val="Arial"/>
      <family val="2"/>
    </font>
    <font>
      <sz val="7"/>
      <color rgb="FFFF0000"/>
      <name val="Arial"/>
      <family val="2"/>
    </font>
    <font>
      <sz val="10"/>
      <color theme="1"/>
      <name val="Arial"/>
      <family val="2"/>
    </font>
    <font>
      <sz val="10"/>
      <color theme="0" tint="-0.499984740745262"/>
      <name val="Arial"/>
      <family val="2"/>
    </font>
    <font>
      <i/>
      <sz val="10"/>
      <color theme="0" tint="-0.499984740745262"/>
      <name val="Arial"/>
      <family val="2"/>
    </font>
    <font>
      <b/>
      <sz val="8"/>
      <color rgb="FFFF0000"/>
      <name val="Arial"/>
      <family val="2"/>
    </font>
    <font>
      <sz val="8"/>
      <color rgb="FFFF0000"/>
      <name val="Arial"/>
      <family val="2"/>
    </font>
    <font>
      <b/>
      <sz val="7"/>
      <color rgb="FFFF0000"/>
      <name val="Arial"/>
      <family val="2"/>
    </font>
    <font>
      <b/>
      <sz val="14"/>
      <color rgb="FFFF0000"/>
      <name val="Calibri"/>
      <family val="2"/>
      <scheme val="minor"/>
    </font>
    <font>
      <b/>
      <sz val="8"/>
      <color theme="9" tint="-0.249977111117893"/>
      <name val="Arial"/>
      <family val="2"/>
    </font>
    <font>
      <b/>
      <sz val="10"/>
      <color theme="0" tint="-0.34998626667073579"/>
      <name val="Arial"/>
      <family val="2"/>
    </font>
    <font>
      <sz val="10"/>
      <color theme="0" tint="-0.34998626667073579"/>
      <name val="Arial"/>
      <family val="2"/>
    </font>
    <font>
      <sz val="10"/>
      <color rgb="FF0070C0"/>
      <name val="Arial"/>
      <family val="2"/>
    </font>
    <font>
      <b/>
      <sz val="10"/>
      <color rgb="FF0070C0"/>
      <name val="Arial"/>
      <family val="2"/>
    </font>
    <font>
      <sz val="11"/>
      <color theme="0" tint="-0.34998626667073579"/>
      <name val="Calibri"/>
      <family val="2"/>
      <scheme val="minor"/>
    </font>
    <font>
      <b/>
      <sz val="11"/>
      <color rgb="FFFF0000"/>
      <name val="Calibri"/>
      <family val="2"/>
      <scheme val="minor"/>
    </font>
    <font>
      <sz val="36"/>
      <color rgb="FF000000"/>
      <name val="Arial"/>
      <family val="2"/>
    </font>
    <font>
      <sz val="28"/>
      <color rgb="FF000000"/>
      <name val="Arial"/>
      <family val="2"/>
    </font>
  </fonts>
  <fills count="38">
    <fill>
      <patternFill patternType="none"/>
    </fill>
    <fill>
      <patternFill patternType="gray125"/>
    </fill>
    <fill>
      <patternFill patternType="solid">
        <fgColor indexed="11"/>
        <bgColor indexed="64"/>
      </patternFill>
    </fill>
    <fill>
      <patternFill patternType="solid">
        <fgColor indexed="51"/>
        <bgColor indexed="64"/>
      </patternFill>
    </fill>
    <fill>
      <patternFill patternType="solid">
        <fgColor indexed="43"/>
        <bgColor indexed="64"/>
      </patternFill>
    </fill>
    <fill>
      <patternFill patternType="solid">
        <fgColor indexed="10"/>
        <bgColor indexed="64"/>
      </patternFill>
    </fill>
    <fill>
      <patternFill patternType="solid">
        <fgColor indexed="13"/>
        <bgColor indexed="64"/>
      </patternFill>
    </fill>
    <fill>
      <patternFill patternType="solid">
        <fgColor indexed="47"/>
        <bgColor indexed="64"/>
      </patternFill>
    </fill>
    <fill>
      <patternFill patternType="solid">
        <fgColor indexed="52"/>
        <bgColor indexed="64"/>
      </patternFill>
    </fill>
    <fill>
      <patternFill patternType="solid">
        <fgColor indexed="53"/>
        <bgColor indexed="64"/>
      </patternFill>
    </fill>
    <fill>
      <patternFill patternType="solid">
        <fgColor indexed="45"/>
        <bgColor indexed="64"/>
      </patternFill>
    </fill>
    <fill>
      <patternFill patternType="solid">
        <fgColor indexed="14"/>
        <bgColor indexed="64"/>
      </patternFill>
    </fill>
    <fill>
      <patternFill patternType="solid">
        <fgColor indexed="42"/>
        <bgColor indexed="64"/>
      </patternFill>
    </fill>
    <fill>
      <patternFill patternType="solid">
        <fgColor indexed="57"/>
        <bgColor indexed="64"/>
      </patternFill>
    </fill>
    <fill>
      <patternFill patternType="solid">
        <fgColor indexed="46"/>
        <bgColor indexed="64"/>
      </patternFill>
    </fill>
    <fill>
      <patternFill patternType="solid">
        <fgColor indexed="44"/>
        <bgColor indexed="64"/>
      </patternFill>
    </fill>
    <fill>
      <patternFill patternType="solid">
        <fgColor indexed="40"/>
        <bgColor indexed="64"/>
      </patternFill>
    </fill>
    <fill>
      <patternFill patternType="solid">
        <fgColor indexed="15"/>
        <bgColor indexed="64"/>
      </patternFill>
    </fill>
    <fill>
      <patternFill patternType="solid">
        <fgColor indexed="22"/>
        <bgColor indexed="64"/>
      </patternFill>
    </fill>
    <fill>
      <patternFill patternType="solid">
        <fgColor indexed="50"/>
        <bgColor indexed="64"/>
      </patternFill>
    </fill>
    <fill>
      <patternFill patternType="solid">
        <fgColor indexed="41"/>
        <bgColor indexed="64"/>
      </patternFill>
    </fill>
    <fill>
      <patternFill patternType="solid">
        <fgColor rgb="FFFFFF00"/>
        <bgColor indexed="64"/>
      </patternFill>
    </fill>
    <fill>
      <patternFill patternType="solid">
        <fgColor rgb="FF92D050"/>
        <bgColor indexed="64"/>
      </patternFill>
    </fill>
    <fill>
      <patternFill patternType="solid">
        <fgColor rgb="FFFFC000"/>
        <bgColor indexed="64"/>
      </patternFill>
    </fill>
    <fill>
      <patternFill patternType="solid">
        <fgColor theme="0" tint="-0.34998626667073579"/>
        <bgColor indexed="64"/>
      </patternFill>
    </fill>
    <fill>
      <patternFill patternType="solid">
        <fgColor rgb="FFFF0000"/>
        <bgColor indexed="64"/>
      </patternFill>
    </fill>
    <fill>
      <patternFill patternType="solid">
        <fgColor theme="3" tint="0.59999389629810485"/>
        <bgColor indexed="64"/>
      </patternFill>
    </fill>
    <fill>
      <patternFill patternType="solid">
        <fgColor theme="5" tint="0.79998168889431442"/>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9" tint="-0.249977111117893"/>
        <bgColor indexed="64"/>
      </patternFill>
    </fill>
    <fill>
      <patternFill patternType="solid">
        <fgColor theme="8" tint="0.39997558519241921"/>
        <bgColor indexed="64"/>
      </patternFill>
    </fill>
    <fill>
      <patternFill patternType="solid">
        <fgColor rgb="FF00B0F0"/>
        <bgColor indexed="64"/>
      </patternFill>
    </fill>
    <fill>
      <patternFill patternType="solid">
        <fgColor theme="0" tint="-4.9989318521683403E-2"/>
        <bgColor indexed="64"/>
      </patternFill>
    </fill>
    <fill>
      <patternFill patternType="solid">
        <fgColor theme="6" tint="0.59999389629810485"/>
        <bgColor indexed="64"/>
      </patternFill>
    </fill>
  </fills>
  <borders count="37">
    <border>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diagonal/>
    </border>
    <border>
      <left/>
      <right style="thin">
        <color indexed="8"/>
      </right>
      <top/>
      <bottom/>
      <diagonal/>
    </border>
    <border>
      <left style="thin">
        <color indexed="8"/>
      </left>
      <right/>
      <top style="thin">
        <color indexed="8"/>
      </top>
      <bottom style="thin">
        <color indexed="8"/>
      </bottom>
      <diagonal/>
    </border>
    <border>
      <left/>
      <right style="thin">
        <color indexed="8"/>
      </right>
      <top style="thin">
        <color indexed="8"/>
      </top>
      <bottom style="thin">
        <color indexed="8"/>
      </bottom>
      <diagonal/>
    </border>
    <border>
      <left/>
      <right/>
      <top style="thin">
        <color indexed="8"/>
      </top>
      <bottom/>
      <diagonal/>
    </border>
    <border>
      <left/>
      <right/>
      <top style="thin">
        <color indexed="8"/>
      </top>
      <bottom style="thin">
        <color indexed="8"/>
      </bottom>
      <diagonal/>
    </border>
    <border>
      <left style="thin">
        <color indexed="65"/>
      </left>
      <right/>
      <top style="thin">
        <color indexed="8"/>
      </top>
      <bottom/>
      <diagonal/>
    </border>
    <border>
      <left style="thin">
        <color indexed="65"/>
      </left>
      <right style="thin">
        <color indexed="8"/>
      </right>
      <top style="thin">
        <color indexed="8"/>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0">
    <xf numFmtId="0" fontId="0" fillId="0" borderId="0"/>
    <xf numFmtId="164" fontId="2" fillId="0" borderId="0" applyFont="0" applyFill="0" applyBorder="0" applyAlignment="0" applyProtection="0"/>
    <xf numFmtId="164" fontId="11" fillId="0" borderId="0" applyFont="0" applyFill="0" applyBorder="0" applyAlignment="0" applyProtection="0"/>
    <xf numFmtId="0" fontId="18" fillId="0" borderId="0"/>
    <xf numFmtId="0" fontId="11" fillId="0" borderId="0"/>
    <xf numFmtId="0" fontId="11" fillId="0" borderId="0"/>
    <xf numFmtId="0" fontId="28" fillId="0" borderId="0"/>
    <xf numFmtId="9" fontId="2" fillId="0" borderId="0" applyFont="0" applyFill="0" applyBorder="0" applyAlignment="0" applyProtection="0"/>
    <xf numFmtId="9" fontId="28" fillId="0" borderId="0" applyFont="0" applyFill="0" applyBorder="0" applyAlignment="0" applyProtection="0"/>
    <xf numFmtId="9" fontId="11" fillId="0" borderId="0" applyFont="0" applyFill="0" applyBorder="0" applyAlignment="0" applyProtection="0"/>
  </cellStyleXfs>
  <cellXfs count="843">
    <xf numFmtId="0" fontId="0" fillId="0" borderId="0" xfId="0"/>
    <xf numFmtId="0" fontId="3" fillId="0" borderId="0" xfId="3" applyFont="1"/>
    <xf numFmtId="166" fontId="2" fillId="0" borderId="0" xfId="1" applyNumberFormat="1" applyFill="1"/>
    <xf numFmtId="1" fontId="16" fillId="0" borderId="0" xfId="3" applyNumberFormat="1" applyFont="1" applyFill="1" applyBorder="1" applyAlignment="1">
      <alignment horizontal="right"/>
    </xf>
    <xf numFmtId="164" fontId="3" fillId="0" borderId="0" xfId="1" applyFont="1" applyFill="1"/>
    <xf numFmtId="0" fontId="17" fillId="0" borderId="0" xfId="3" applyFont="1" applyAlignment="1">
      <alignment horizontal="right"/>
    </xf>
    <xf numFmtId="0" fontId="3" fillId="0" borderId="0" xfId="3" applyFont="1" applyAlignment="1">
      <alignment horizontal="center"/>
    </xf>
    <xf numFmtId="0" fontId="3" fillId="0" borderId="0" xfId="3" applyFont="1" applyAlignment="1">
      <alignment horizontal="left"/>
    </xf>
    <xf numFmtId="0" fontId="31" fillId="0" borderId="0" xfId="0" applyFont="1"/>
    <xf numFmtId="0" fontId="11" fillId="0" borderId="0" xfId="0" applyFont="1"/>
    <xf numFmtId="0" fontId="28" fillId="0" borderId="0" xfId="6"/>
    <xf numFmtId="0" fontId="28" fillId="21" borderId="0" xfId="6" applyFill="1"/>
    <xf numFmtId="0" fontId="30" fillId="0" borderId="0" xfId="6" applyFont="1"/>
    <xf numFmtId="170" fontId="11" fillId="0" borderId="0" xfId="4" applyNumberFormat="1" applyFont="1" applyFill="1"/>
    <xf numFmtId="0" fontId="32" fillId="0" borderId="0" xfId="6" applyFont="1"/>
    <xf numFmtId="0" fontId="28" fillId="22" borderId="0" xfId="6" applyFill="1"/>
    <xf numFmtId="0" fontId="33" fillId="0" borderId="0" xfId="6" applyFont="1"/>
    <xf numFmtId="10" fontId="30" fillId="23" borderId="0" xfId="8" applyNumberFormat="1" applyFont="1" applyFill="1"/>
    <xf numFmtId="10" fontId="30" fillId="0" borderId="0" xfId="8" applyNumberFormat="1" applyFont="1" applyFill="1"/>
    <xf numFmtId="10" fontId="28" fillId="0" borderId="0" xfId="8" applyNumberFormat="1" applyFont="1"/>
    <xf numFmtId="10" fontId="28" fillId="21" borderId="0" xfId="8" applyNumberFormat="1" applyFont="1" applyFill="1"/>
    <xf numFmtId="175" fontId="29" fillId="21" borderId="0" xfId="8" applyNumberFormat="1" applyFont="1" applyFill="1"/>
    <xf numFmtId="175" fontId="29" fillId="0" borderId="0" xfId="8" applyNumberFormat="1" applyFont="1"/>
    <xf numFmtId="10" fontId="29" fillId="0" borderId="0" xfId="8" applyNumberFormat="1" applyFont="1"/>
    <xf numFmtId="0" fontId="28" fillId="0" borderId="0" xfId="8" quotePrefix="1" applyNumberFormat="1" applyFont="1"/>
    <xf numFmtId="170" fontId="28" fillId="0" borderId="0" xfId="6" applyNumberFormat="1" applyFill="1"/>
    <xf numFmtId="0" fontId="34" fillId="0" borderId="0" xfId="0" applyFont="1"/>
    <xf numFmtId="0" fontId="28" fillId="0" borderId="1" xfId="6" applyBorder="1"/>
    <xf numFmtId="0" fontId="28" fillId="0" borderId="2" xfId="6" applyBorder="1"/>
    <xf numFmtId="0" fontId="28" fillId="0" borderId="3" xfId="8" applyNumberFormat="1" applyFont="1" applyBorder="1"/>
    <xf numFmtId="0" fontId="30" fillId="0" borderId="3" xfId="6" applyFont="1" applyBorder="1"/>
    <xf numFmtId="0" fontId="28" fillId="0" borderId="4" xfId="6" applyBorder="1"/>
    <xf numFmtId="0" fontId="28" fillId="0" borderId="5" xfId="8" applyNumberFormat="1" applyFont="1" applyBorder="1"/>
    <xf numFmtId="0" fontId="30" fillId="0" borderId="5" xfId="6" applyFont="1" applyBorder="1"/>
    <xf numFmtId="0" fontId="28" fillId="0" borderId="6" xfId="6" applyBorder="1"/>
    <xf numFmtId="0" fontId="28" fillId="0" borderId="0" xfId="8" applyNumberFormat="1" applyFont="1" applyBorder="1"/>
    <xf numFmtId="0" fontId="30" fillId="0" borderId="0" xfId="6" applyFont="1" applyBorder="1"/>
    <xf numFmtId="0" fontId="30" fillId="0" borderId="1" xfId="6" applyFont="1" applyBorder="1"/>
    <xf numFmtId="0" fontId="30" fillId="0" borderId="7" xfId="6" applyFont="1" applyBorder="1"/>
    <xf numFmtId="0" fontId="30" fillId="0" borderId="8" xfId="6" applyFont="1" applyBorder="1"/>
    <xf numFmtId="174" fontId="28" fillId="0" borderId="0" xfId="6" applyNumberFormat="1"/>
    <xf numFmtId="174" fontId="28" fillId="0" borderId="1" xfId="6" applyNumberFormat="1" applyBorder="1"/>
    <xf numFmtId="0" fontId="28" fillId="0" borderId="1" xfId="1" applyNumberFormat="1" applyFont="1" applyBorder="1"/>
    <xf numFmtId="0" fontId="28" fillId="0" borderId="7" xfId="6" applyNumberFormat="1" applyBorder="1"/>
    <xf numFmtId="0" fontId="28" fillId="0" borderId="8" xfId="1" applyNumberFormat="1" applyFont="1" applyBorder="1"/>
    <xf numFmtId="0" fontId="28" fillId="0" borderId="8" xfId="6" applyNumberFormat="1" applyBorder="1"/>
    <xf numFmtId="0" fontId="11" fillId="0" borderId="0" xfId="4" applyNumberFormat="1" applyFont="1" applyFill="1" applyAlignment="1">
      <alignment horizontal="left"/>
    </xf>
    <xf numFmtId="168" fontId="11" fillId="0" borderId="0" xfId="2" applyNumberFormat="1" applyFont="1" applyFill="1"/>
    <xf numFmtId="172" fontId="11" fillId="0" borderId="0" xfId="2" applyNumberFormat="1" applyFont="1" applyFill="1"/>
    <xf numFmtId="173" fontId="11" fillId="0" borderId="0" xfId="2" applyNumberFormat="1" applyFont="1" applyFill="1"/>
    <xf numFmtId="172" fontId="19" fillId="0" borderId="0" xfId="2" applyNumberFormat="1" applyFont="1" applyFill="1"/>
    <xf numFmtId="0" fontId="28" fillId="23" borderId="0" xfId="6" applyFill="1"/>
    <xf numFmtId="0" fontId="30" fillId="0" borderId="0" xfId="6" applyNumberFormat="1" applyFont="1"/>
    <xf numFmtId="0" fontId="30" fillId="0" borderId="0" xfId="6" applyNumberFormat="1" applyFont="1" applyFill="1"/>
    <xf numFmtId="0" fontId="30" fillId="23" borderId="0" xfId="6" applyNumberFormat="1" applyFont="1" applyFill="1"/>
    <xf numFmtId="0" fontId="30" fillId="22" borderId="0" xfId="6" applyNumberFormat="1" applyFont="1" applyFill="1"/>
    <xf numFmtId="166" fontId="3" fillId="0" borderId="0" xfId="2" applyNumberFormat="1" applyFont="1"/>
    <xf numFmtId="0" fontId="8" fillId="0" borderId="0" xfId="0" applyFont="1"/>
    <xf numFmtId="0" fontId="0" fillId="0" borderId="9" xfId="0" applyNumberFormat="1" applyBorder="1"/>
    <xf numFmtId="0" fontId="0" fillId="0" borderId="10" xfId="0" applyNumberFormat="1" applyBorder="1"/>
    <xf numFmtId="0" fontId="0" fillId="0" borderId="11" xfId="0" applyNumberFormat="1" applyBorder="1"/>
    <xf numFmtId="0" fontId="0" fillId="0" borderId="12" xfId="0" applyNumberFormat="1" applyBorder="1"/>
    <xf numFmtId="0" fontId="0" fillId="0" borderId="13" xfId="0" applyNumberFormat="1" applyBorder="1"/>
    <xf numFmtId="0" fontId="0" fillId="0" borderId="14" xfId="0" applyNumberFormat="1" applyBorder="1"/>
    <xf numFmtId="0" fontId="0" fillId="0" borderId="15" xfId="0" applyNumberFormat="1" applyBorder="1"/>
    <xf numFmtId="0" fontId="0" fillId="0" borderId="0" xfId="0" applyNumberFormat="1"/>
    <xf numFmtId="0" fontId="0" fillId="0" borderId="16" xfId="0" applyNumberFormat="1" applyBorder="1"/>
    <xf numFmtId="0" fontId="0" fillId="0" borderId="17" xfId="0" applyNumberFormat="1" applyBorder="1"/>
    <xf numFmtId="0" fontId="0" fillId="0" borderId="18" xfId="0" applyNumberFormat="1" applyBorder="1"/>
    <xf numFmtId="0" fontId="34" fillId="0" borderId="0" xfId="0" applyNumberFormat="1" applyFont="1"/>
    <xf numFmtId="0" fontId="0" fillId="24" borderId="0" xfId="0" applyNumberFormat="1" applyFill="1"/>
    <xf numFmtId="0" fontId="31" fillId="0" borderId="0" xfId="0" applyNumberFormat="1" applyFont="1"/>
    <xf numFmtId="0" fontId="35" fillId="0" borderId="0" xfId="0" applyNumberFormat="1" applyFont="1"/>
    <xf numFmtId="0" fontId="0" fillId="0" borderId="0" xfId="0" applyNumberFormat="1" applyFill="1"/>
    <xf numFmtId="0" fontId="0" fillId="0" borderId="0" xfId="1" applyNumberFormat="1" applyFont="1"/>
    <xf numFmtId="0" fontId="0" fillId="0" borderId="0" xfId="3" applyNumberFormat="1" applyFont="1" applyFill="1"/>
    <xf numFmtId="0" fontId="36" fillId="0" borderId="0" xfId="0" applyNumberFormat="1" applyFont="1"/>
    <xf numFmtId="2" fontId="0" fillId="0" borderId="0" xfId="0" applyNumberFormat="1"/>
    <xf numFmtId="2" fontId="0" fillId="0" borderId="0" xfId="1" applyNumberFormat="1" applyFont="1"/>
    <xf numFmtId="2" fontId="0" fillId="0" borderId="0" xfId="3" applyNumberFormat="1" applyFont="1" applyFill="1"/>
    <xf numFmtId="2" fontId="0" fillId="0" borderId="0" xfId="3" applyNumberFormat="1" applyFont="1"/>
    <xf numFmtId="2" fontId="31" fillId="0" borderId="0" xfId="0" applyNumberFormat="1" applyFont="1"/>
    <xf numFmtId="2" fontId="2" fillId="0" borderId="0" xfId="1" applyNumberFormat="1" applyFill="1"/>
    <xf numFmtId="2" fontId="11" fillId="0" borderId="0" xfId="0" applyNumberFormat="1" applyFont="1"/>
    <xf numFmtId="2" fontId="6" fillId="0" borderId="0" xfId="3" applyNumberFormat="1" applyFont="1" applyFill="1" applyBorder="1" applyAlignment="1">
      <alignment horizontal="right"/>
    </xf>
    <xf numFmtId="2" fontId="6" fillId="4" borderId="0" xfId="3" applyNumberFormat="1" applyFont="1" applyFill="1" applyBorder="1" applyAlignment="1">
      <alignment horizontal="right"/>
    </xf>
    <xf numFmtId="2" fontId="6" fillId="0" borderId="0" xfId="3" applyNumberFormat="1" applyFont="1" applyBorder="1" applyAlignment="1">
      <alignment horizontal="right"/>
    </xf>
    <xf numFmtId="2" fontId="37" fillId="0" borderId="0" xfId="3" applyNumberFormat="1" applyFont="1" applyFill="1" applyBorder="1" applyAlignment="1">
      <alignment horizontal="right"/>
    </xf>
    <xf numFmtId="2" fontId="23" fillId="21" borderId="0" xfId="1" applyNumberFormat="1" applyFont="1" applyFill="1"/>
    <xf numFmtId="0" fontId="38" fillId="0" borderId="0" xfId="0" applyNumberFormat="1" applyFont="1"/>
    <xf numFmtId="2" fontId="0" fillId="0" borderId="0" xfId="0" applyNumberFormat="1" applyFill="1"/>
    <xf numFmtId="2" fontId="0" fillId="0" borderId="0" xfId="1" applyNumberFormat="1" applyFont="1" applyFill="1"/>
    <xf numFmtId="0" fontId="31" fillId="0" borderId="0" xfId="1" applyNumberFormat="1" applyFont="1" applyFill="1"/>
    <xf numFmtId="10" fontId="0" fillId="0" borderId="0" xfId="7" applyNumberFormat="1" applyFont="1"/>
    <xf numFmtId="0" fontId="31" fillId="0" borderId="0" xfId="0" applyNumberFormat="1" applyFont="1" applyFill="1"/>
    <xf numFmtId="0" fontId="11" fillId="0" borderId="0" xfId="0" applyNumberFormat="1" applyFont="1"/>
    <xf numFmtId="2" fontId="3" fillId="0" borderId="1" xfId="0" applyNumberFormat="1" applyFont="1" applyBorder="1"/>
    <xf numFmtId="2" fontId="3" fillId="0" borderId="8" xfId="0" applyNumberFormat="1" applyFont="1" applyBorder="1"/>
    <xf numFmtId="2" fontId="3" fillId="0" borderId="7" xfId="0" applyNumberFormat="1" applyFont="1" applyBorder="1"/>
    <xf numFmtId="2" fontId="3" fillId="0" borderId="19" xfId="0" applyNumberFormat="1" applyFont="1" applyBorder="1"/>
    <xf numFmtId="2" fontId="3" fillId="0" borderId="20" xfId="0" applyNumberFormat="1" applyFont="1" applyFill="1" applyBorder="1"/>
    <xf numFmtId="2" fontId="3" fillId="0" borderId="21" xfId="0" applyNumberFormat="1" applyFont="1" applyBorder="1"/>
    <xf numFmtId="0" fontId="0" fillId="0" borderId="2" xfId="0" applyNumberFormat="1" applyBorder="1"/>
    <xf numFmtId="2" fontId="0" fillId="0" borderId="3" xfId="0" applyNumberFormat="1" applyFill="1" applyBorder="1"/>
    <xf numFmtId="0" fontId="0" fillId="0" borderId="6" xfId="0" applyNumberFormat="1" applyBorder="1"/>
    <xf numFmtId="2" fontId="0" fillId="0" borderId="0" xfId="0" applyNumberFormat="1" applyFill="1" applyBorder="1"/>
    <xf numFmtId="0" fontId="0" fillId="0" borderId="4" xfId="0" applyNumberFormat="1" applyBorder="1"/>
    <xf numFmtId="2" fontId="0" fillId="0" borderId="5" xfId="0" applyNumberFormat="1" applyFill="1" applyBorder="1"/>
    <xf numFmtId="2" fontId="0" fillId="0" borderId="2" xfId="0" applyNumberFormat="1" applyFill="1" applyBorder="1"/>
    <xf numFmtId="2" fontId="0" fillId="0" borderId="22" xfId="0" applyNumberFormat="1" applyFill="1" applyBorder="1"/>
    <xf numFmtId="2" fontId="0" fillId="0" borderId="6" xfId="0" applyNumberFormat="1" applyFill="1" applyBorder="1"/>
    <xf numFmtId="2" fontId="0" fillId="0" borderId="23" xfId="0" applyNumberFormat="1" applyFill="1" applyBorder="1"/>
    <xf numFmtId="2" fontId="0" fillId="0" borderId="4" xfId="0" applyNumberFormat="1" applyFill="1" applyBorder="1"/>
    <xf numFmtId="2" fontId="0" fillId="0" borderId="24" xfId="0" applyNumberFormat="1" applyFill="1" applyBorder="1"/>
    <xf numFmtId="2" fontId="31" fillId="0" borderId="21" xfId="3" applyNumberFormat="1" applyFont="1" applyFill="1" applyBorder="1"/>
    <xf numFmtId="0" fontId="31" fillId="0" borderId="21" xfId="3" applyNumberFormat="1" applyFont="1" applyFill="1" applyBorder="1"/>
    <xf numFmtId="2" fontId="31" fillId="0" borderId="21" xfId="3" applyNumberFormat="1" applyFont="1" applyFill="1" applyBorder="1" applyAlignment="1">
      <alignment wrapText="1"/>
    </xf>
    <xf numFmtId="2" fontId="31" fillId="0" borderId="0" xfId="3" applyNumberFormat="1" applyFont="1" applyFill="1" applyBorder="1" applyAlignment="1">
      <alignment wrapText="1"/>
    </xf>
    <xf numFmtId="0" fontId="31" fillId="0" borderId="0" xfId="0" applyNumberFormat="1" applyFont="1" applyFill="1" applyBorder="1"/>
    <xf numFmtId="0" fontId="31" fillId="21" borderId="0" xfId="0" applyNumberFormat="1" applyFont="1" applyFill="1"/>
    <xf numFmtId="0" fontId="38" fillId="21" borderId="0" xfId="0" applyNumberFormat="1" applyFont="1" applyFill="1"/>
    <xf numFmtId="2" fontId="31" fillId="21" borderId="0" xfId="0" applyNumberFormat="1" applyFont="1" applyFill="1"/>
    <xf numFmtId="2" fontId="39" fillId="0" borderId="0" xfId="0" applyNumberFormat="1" applyFont="1"/>
    <xf numFmtId="2" fontId="39" fillId="0" borderId="0" xfId="3" applyNumberFormat="1" applyFont="1" applyFill="1"/>
    <xf numFmtId="0" fontId="3" fillId="0" borderId="0" xfId="0" applyNumberFormat="1" applyFont="1"/>
    <xf numFmtId="2" fontId="3" fillId="0" borderId="0" xfId="1" applyNumberFormat="1" applyFont="1"/>
    <xf numFmtId="2" fontId="0" fillId="0" borderId="0" xfId="0" applyNumberFormat="1" applyBorder="1"/>
    <xf numFmtId="0" fontId="31" fillId="0" borderId="0" xfId="0" applyNumberFormat="1" applyFont="1" applyBorder="1"/>
    <xf numFmtId="0" fontId="0" fillId="0" borderId="0" xfId="0" applyNumberFormat="1" applyBorder="1"/>
    <xf numFmtId="2" fontId="3" fillId="22" borderId="0" xfId="0" applyNumberFormat="1" applyFont="1" applyFill="1"/>
    <xf numFmtId="2" fontId="3" fillId="22" borderId="0" xfId="1" applyNumberFormat="1" applyFont="1" applyFill="1"/>
    <xf numFmtId="2" fontId="0" fillId="22" borderId="0" xfId="0" applyNumberFormat="1" applyFill="1"/>
    <xf numFmtId="2" fontId="24" fillId="22" borderId="0" xfId="1" applyNumberFormat="1" applyFont="1" applyFill="1"/>
    <xf numFmtId="0" fontId="24" fillId="22" borderId="0" xfId="1" applyNumberFormat="1" applyFont="1" applyFill="1"/>
    <xf numFmtId="0" fontId="31" fillId="22" borderId="0" xfId="0" applyNumberFormat="1" applyFont="1" applyFill="1"/>
    <xf numFmtId="0" fontId="11" fillId="0" borderId="19" xfId="0" applyNumberFormat="1" applyFont="1" applyBorder="1"/>
    <xf numFmtId="2" fontId="11" fillId="0" borderId="20" xfId="0" applyNumberFormat="1" applyFont="1" applyFill="1" applyBorder="1"/>
    <xf numFmtId="2" fontId="11" fillId="0" borderId="25" xfId="0" applyNumberFormat="1" applyFont="1" applyFill="1" applyBorder="1"/>
    <xf numFmtId="2" fontId="11" fillId="0" borderId="19" xfId="0" applyNumberFormat="1" applyFont="1" applyFill="1" applyBorder="1"/>
    <xf numFmtId="0" fontId="0" fillId="0" borderId="0" xfId="7" applyNumberFormat="1" applyFont="1"/>
    <xf numFmtId="2" fontId="11" fillId="0" borderId="2" xfId="0" applyNumberFormat="1" applyFont="1" applyBorder="1"/>
    <xf numFmtId="0" fontId="0" fillId="0" borderId="22" xfId="0" applyNumberFormat="1" applyFill="1" applyBorder="1"/>
    <xf numFmtId="10" fontId="0" fillId="0" borderId="23" xfId="7" applyNumberFormat="1" applyFont="1" applyFill="1" applyBorder="1"/>
    <xf numFmtId="10" fontId="0" fillId="0" borderId="24" xfId="7" applyNumberFormat="1" applyFont="1" applyFill="1" applyBorder="1"/>
    <xf numFmtId="10" fontId="0" fillId="0" borderId="22" xfId="7" applyNumberFormat="1" applyFont="1" applyFill="1" applyBorder="1"/>
    <xf numFmtId="0" fontId="0" fillId="0" borderId="2" xfId="0" applyNumberFormat="1" applyFill="1" applyBorder="1"/>
    <xf numFmtId="10" fontId="0" fillId="0" borderId="2" xfId="7" applyNumberFormat="1" applyFont="1" applyFill="1" applyBorder="1"/>
    <xf numFmtId="10" fontId="0" fillId="0" borderId="6" xfId="7" applyNumberFormat="1" applyFont="1" applyFill="1" applyBorder="1"/>
    <xf numFmtId="10" fontId="0" fillId="0" borderId="4" xfId="7" applyNumberFormat="1" applyFont="1" applyFill="1" applyBorder="1"/>
    <xf numFmtId="0" fontId="0" fillId="0" borderId="1" xfId="0" applyNumberFormat="1" applyFill="1" applyBorder="1"/>
    <xf numFmtId="10" fontId="0" fillId="0" borderId="1" xfId="7" applyNumberFormat="1" applyFont="1" applyFill="1" applyBorder="1"/>
    <xf numFmtId="10" fontId="0" fillId="0" borderId="8" xfId="7" applyNumberFormat="1" applyFont="1" applyFill="1" applyBorder="1"/>
    <xf numFmtId="10" fontId="0" fillId="0" borderId="7" xfId="7" applyNumberFormat="1" applyFont="1" applyFill="1" applyBorder="1"/>
    <xf numFmtId="0" fontId="39" fillId="0" borderId="0" xfId="0" applyNumberFormat="1" applyFont="1" applyBorder="1"/>
    <xf numFmtId="0" fontId="11" fillId="0" borderId="0" xfId="0" applyNumberFormat="1" applyFont="1" applyBorder="1"/>
    <xf numFmtId="2" fontId="0" fillId="22" borderId="0" xfId="0" applyNumberFormat="1" applyFill="1" applyBorder="1"/>
    <xf numFmtId="0" fontId="39" fillId="22" borderId="0" xfId="0" applyNumberFormat="1" applyFont="1" applyFill="1" applyBorder="1"/>
    <xf numFmtId="0" fontId="31" fillId="22" borderId="0" xfId="0" applyNumberFormat="1" applyFont="1" applyFill="1" applyBorder="1"/>
    <xf numFmtId="2" fontId="0" fillId="0" borderId="26" xfId="0" applyNumberFormat="1" applyBorder="1"/>
    <xf numFmtId="2" fontId="0" fillId="0" borderId="27" xfId="0" applyNumberFormat="1" applyBorder="1"/>
    <xf numFmtId="0" fontId="11" fillId="0" borderId="26" xfId="0" applyNumberFormat="1" applyFont="1" applyBorder="1"/>
    <xf numFmtId="0" fontId="0" fillId="0" borderId="27" xfId="0" applyNumberFormat="1" applyBorder="1"/>
    <xf numFmtId="2" fontId="0" fillId="22" borderId="26" xfId="0" applyNumberFormat="1" applyFill="1" applyBorder="1"/>
    <xf numFmtId="2" fontId="0" fillId="22" borderId="27" xfId="0" applyNumberFormat="1" applyFill="1" applyBorder="1"/>
    <xf numFmtId="2" fontId="0" fillId="0" borderId="28" xfId="0" applyNumberFormat="1" applyBorder="1"/>
    <xf numFmtId="2" fontId="0" fillId="0" borderId="29" xfId="0" applyNumberFormat="1" applyBorder="1"/>
    <xf numFmtId="2" fontId="0" fillId="0" borderId="30" xfId="0" applyNumberFormat="1" applyBorder="1"/>
    <xf numFmtId="2" fontId="0" fillId="21" borderId="31" xfId="0" applyNumberFormat="1" applyFill="1" applyBorder="1"/>
    <xf numFmtId="2" fontId="0" fillId="21" borderId="32" xfId="0" applyNumberFormat="1" applyFill="1" applyBorder="1"/>
    <xf numFmtId="2" fontId="0" fillId="21" borderId="33" xfId="0" applyNumberFormat="1" applyFill="1" applyBorder="1"/>
    <xf numFmtId="2" fontId="0" fillId="21" borderId="26" xfId="0" applyNumberFormat="1" applyFill="1" applyBorder="1"/>
    <xf numFmtId="2" fontId="3" fillId="21" borderId="0" xfId="0" applyNumberFormat="1" applyFont="1" applyFill="1" applyBorder="1"/>
    <xf numFmtId="2" fontId="0" fillId="21" borderId="0" xfId="0" applyNumberFormat="1" applyFill="1" applyBorder="1"/>
    <xf numFmtId="2" fontId="0" fillId="21" borderId="27" xfId="0" applyNumberFormat="1" applyFill="1" applyBorder="1"/>
    <xf numFmtId="2" fontId="0" fillId="21" borderId="28" xfId="0" applyNumberFormat="1" applyFill="1" applyBorder="1"/>
    <xf numFmtId="2" fontId="3" fillId="21" borderId="29" xfId="0" applyNumberFormat="1" applyFont="1" applyFill="1" applyBorder="1"/>
    <xf numFmtId="2" fontId="0" fillId="21" borderId="29" xfId="0" applyNumberFormat="1" applyFill="1" applyBorder="1"/>
    <xf numFmtId="2" fontId="0" fillId="21" borderId="30" xfId="0" applyNumberFormat="1" applyFill="1" applyBorder="1"/>
    <xf numFmtId="2" fontId="3" fillId="21" borderId="34" xfId="0" applyNumberFormat="1" applyFont="1" applyFill="1" applyBorder="1"/>
    <xf numFmtId="2" fontId="3" fillId="21" borderId="35" xfId="0" applyNumberFormat="1" applyFont="1" applyFill="1" applyBorder="1"/>
    <xf numFmtId="2" fontId="3" fillId="21" borderId="36" xfId="0" applyNumberFormat="1" applyFont="1" applyFill="1" applyBorder="1"/>
    <xf numFmtId="2" fontId="0" fillId="21" borderId="35" xfId="0" applyNumberFormat="1" applyFill="1" applyBorder="1"/>
    <xf numFmtId="2" fontId="0" fillId="21" borderId="36" xfId="0" applyNumberFormat="1" applyFill="1" applyBorder="1"/>
    <xf numFmtId="0" fontId="0" fillId="0" borderId="32" xfId="0" applyNumberFormat="1" applyBorder="1"/>
    <xf numFmtId="0" fontId="0" fillId="0" borderId="33" xfId="0" applyNumberFormat="1" applyBorder="1"/>
    <xf numFmtId="0" fontId="0" fillId="0" borderId="26" xfId="0" applyNumberFormat="1" applyBorder="1"/>
    <xf numFmtId="0" fontId="0" fillId="25" borderId="0" xfId="0" applyNumberFormat="1" applyFill="1" applyBorder="1"/>
    <xf numFmtId="0" fontId="0" fillId="24" borderId="0" xfId="0" applyNumberFormat="1" applyFill="1" applyBorder="1"/>
    <xf numFmtId="2" fontId="0" fillId="25" borderId="0" xfId="0" applyNumberFormat="1" applyFill="1" applyBorder="1"/>
    <xf numFmtId="0" fontId="40" fillId="0" borderId="0" xfId="0" applyNumberFormat="1" applyFont="1" applyBorder="1"/>
    <xf numFmtId="0" fontId="11" fillId="25" borderId="0" xfId="0" applyNumberFormat="1" applyFont="1" applyFill="1" applyBorder="1"/>
    <xf numFmtId="0" fontId="0" fillId="0" borderId="0" xfId="0" applyNumberFormat="1" applyFill="1" applyBorder="1"/>
    <xf numFmtId="0" fontId="0" fillId="0" borderId="27" xfId="0" applyNumberFormat="1" applyFill="1" applyBorder="1"/>
    <xf numFmtId="0" fontId="0" fillId="24" borderId="26" xfId="0" applyNumberFormat="1" applyFill="1" applyBorder="1"/>
    <xf numFmtId="0" fontId="40" fillId="24" borderId="0" xfId="0" applyNumberFormat="1" applyFont="1" applyFill="1" applyBorder="1"/>
    <xf numFmtId="0" fontId="0" fillId="0" borderId="28" xfId="0" applyNumberFormat="1" applyBorder="1"/>
    <xf numFmtId="0" fontId="0" fillId="0" borderId="29" xfId="0" applyNumberFormat="1" applyBorder="1"/>
    <xf numFmtId="0" fontId="0" fillId="0" borderId="30" xfId="0" applyNumberFormat="1" applyBorder="1"/>
    <xf numFmtId="0" fontId="34" fillId="21" borderId="31" xfId="0" applyNumberFormat="1" applyFont="1" applyFill="1" applyBorder="1"/>
    <xf numFmtId="0" fontId="0" fillId="0" borderId="9" xfId="0" applyBorder="1"/>
    <xf numFmtId="0" fontId="0" fillId="0" borderId="17" xfId="0" applyBorder="1"/>
    <xf numFmtId="0" fontId="0" fillId="0" borderId="18" xfId="0" applyBorder="1"/>
    <xf numFmtId="0" fontId="0" fillId="0" borderId="15" xfId="0" applyBorder="1"/>
    <xf numFmtId="0" fontId="0" fillId="0" borderId="11" xfId="0" applyBorder="1"/>
    <xf numFmtId="0" fontId="0" fillId="0" borderId="13" xfId="0" applyBorder="1"/>
    <xf numFmtId="0" fontId="0" fillId="0" borderId="9" xfId="0" pivotButton="1" applyBorder="1"/>
    <xf numFmtId="0" fontId="3" fillId="0" borderId="2" xfId="3" applyNumberFormat="1" applyFont="1" applyBorder="1" applyAlignment="1">
      <alignment horizontal="left"/>
    </xf>
    <xf numFmtId="0" fontId="0" fillId="0" borderId="3" xfId="3" applyNumberFormat="1" applyFont="1" applyBorder="1" applyAlignment="1">
      <alignment horizontal="left"/>
    </xf>
    <xf numFmtId="0" fontId="20" fillId="0" borderId="22" xfId="3" applyNumberFormat="1" applyFont="1" applyBorder="1" applyAlignment="1">
      <alignment horizontal="left"/>
    </xf>
    <xf numFmtId="0" fontId="0" fillId="0" borderId="4" xfId="3" applyNumberFormat="1" applyFont="1" applyBorder="1" applyAlignment="1">
      <alignment horizontal="left"/>
    </xf>
    <xf numFmtId="0" fontId="0" fillId="0" borderId="5" xfId="3" applyNumberFormat="1" applyFont="1" applyBorder="1" applyAlignment="1">
      <alignment horizontal="left"/>
    </xf>
    <xf numFmtId="0" fontId="0" fillId="0" borderId="24" xfId="3" applyNumberFormat="1" applyFont="1" applyBorder="1" applyAlignment="1">
      <alignment horizontal="left"/>
    </xf>
    <xf numFmtId="0" fontId="7" fillId="0" borderId="2" xfId="3" quotePrefix="1" applyNumberFormat="1" applyFont="1" applyBorder="1" applyAlignment="1">
      <alignment horizontal="right"/>
    </xf>
    <xf numFmtId="0" fontId="7" fillId="0" borderId="3" xfId="3" applyNumberFormat="1" applyFont="1" applyBorder="1" applyAlignment="1">
      <alignment horizontal="right"/>
    </xf>
    <xf numFmtId="0" fontId="20" fillId="0" borderId="1" xfId="3" applyNumberFormat="1" applyFont="1" applyBorder="1" applyAlignment="1">
      <alignment horizontal="right"/>
    </xf>
    <xf numFmtId="0" fontId="7" fillId="0" borderId="4" xfId="3" applyNumberFormat="1" applyFont="1" applyBorder="1"/>
    <xf numFmtId="0" fontId="7" fillId="0" borderId="5" xfId="3" applyNumberFormat="1" applyFont="1" applyBorder="1" applyAlignment="1">
      <alignment horizontal="center"/>
    </xf>
    <xf numFmtId="0" fontId="20" fillId="0" borderId="7" xfId="3" applyNumberFormat="1" applyFont="1" applyBorder="1" applyAlignment="1">
      <alignment horizontal="center"/>
    </xf>
    <xf numFmtId="0" fontId="9" fillId="0" borderId="8" xfId="3" applyNumberFormat="1" applyFont="1" applyBorder="1"/>
    <xf numFmtId="0" fontId="7" fillId="0" borderId="1" xfId="3" quotePrefix="1" applyNumberFormat="1" applyFont="1" applyBorder="1"/>
    <xf numFmtId="0" fontId="6" fillId="0" borderId="0" xfId="3" applyNumberFormat="1" applyFont="1" applyBorder="1" applyAlignment="1">
      <alignment horizontal="right"/>
    </xf>
    <xf numFmtId="0" fontId="20" fillId="0" borderId="8" xfId="3" applyNumberFormat="1" applyFont="1" applyBorder="1" applyAlignment="1">
      <alignment horizontal="right"/>
    </xf>
    <xf numFmtId="0" fontId="7" fillId="0" borderId="8" xfId="3" quotePrefix="1" applyNumberFormat="1" applyFont="1" applyBorder="1"/>
    <xf numFmtId="0" fontId="9" fillId="0" borderId="8" xfId="3" quotePrefix="1" applyNumberFormat="1" applyFont="1" applyBorder="1"/>
    <xf numFmtId="0" fontId="7" fillId="0" borderId="7" xfId="3" quotePrefix="1" applyNumberFormat="1" applyFont="1" applyBorder="1"/>
    <xf numFmtId="0" fontId="9" fillId="0" borderId="21" xfId="3" applyNumberFormat="1" applyFont="1" applyBorder="1"/>
    <xf numFmtId="0" fontId="7" fillId="0" borderId="20" xfId="3" applyNumberFormat="1" applyFont="1" applyBorder="1" applyAlignment="1">
      <alignment horizontal="right"/>
    </xf>
    <xf numFmtId="0" fontId="20" fillId="0" borderId="21" xfId="3" applyNumberFormat="1" applyFont="1" applyBorder="1" applyAlignment="1">
      <alignment horizontal="right"/>
    </xf>
    <xf numFmtId="0" fontId="8" fillId="0" borderId="0" xfId="0" applyNumberFormat="1" applyFont="1"/>
    <xf numFmtId="0" fontId="41" fillId="0" borderId="8" xfId="3" applyNumberFormat="1" applyFont="1" applyFill="1" applyBorder="1"/>
    <xf numFmtId="0" fontId="42" fillId="0" borderId="0" xfId="0" applyNumberFormat="1" applyFont="1"/>
    <xf numFmtId="0" fontId="20" fillId="0" borderId="0" xfId="0" applyNumberFormat="1" applyFont="1"/>
    <xf numFmtId="0" fontId="4" fillId="0" borderId="0" xfId="0" applyNumberFormat="1" applyFont="1"/>
    <xf numFmtId="0" fontId="4" fillId="0" borderId="0" xfId="2" applyNumberFormat="1" applyFont="1"/>
    <xf numFmtId="0" fontId="0" fillId="0" borderId="3" xfId="3" applyNumberFormat="1" applyFont="1" applyBorder="1"/>
    <xf numFmtId="0" fontId="0" fillId="0" borderId="5" xfId="3" applyNumberFormat="1" applyFont="1" applyBorder="1" applyAlignment="1">
      <alignment horizontal="center"/>
    </xf>
    <xf numFmtId="0" fontId="0" fillId="0" borderId="4" xfId="3" applyNumberFormat="1" applyFont="1" applyBorder="1"/>
    <xf numFmtId="0" fontId="0" fillId="0" borderId="1" xfId="3" applyNumberFormat="1" applyFont="1" applyBorder="1"/>
    <xf numFmtId="0" fontId="4" fillId="0" borderId="19" xfId="3" applyNumberFormat="1" applyFont="1" applyBorder="1" applyAlignment="1">
      <alignment textRotation="90"/>
    </xf>
    <xf numFmtId="0" fontId="4" fillId="0" borderId="20" xfId="3" applyNumberFormat="1" applyFont="1" applyBorder="1" applyAlignment="1">
      <alignment textRotation="90"/>
    </xf>
    <xf numFmtId="0" fontId="4" fillId="0" borderId="21" xfId="3" applyNumberFormat="1" applyFont="1" applyBorder="1" applyAlignment="1">
      <alignment textRotation="90"/>
    </xf>
    <xf numFmtId="0" fontId="5" fillId="0" borderId="20" xfId="3" applyNumberFormat="1" applyFont="1" applyBorder="1" applyAlignment="1">
      <alignment textRotation="90"/>
    </xf>
    <xf numFmtId="0" fontId="4" fillId="0" borderId="25" xfId="3" applyNumberFormat="1" applyFont="1" applyBorder="1" applyAlignment="1">
      <alignment textRotation="90"/>
    </xf>
    <xf numFmtId="0" fontId="7" fillId="0" borderId="21" xfId="3" applyNumberFormat="1" applyFont="1" applyBorder="1" applyAlignment="1">
      <alignment textRotation="90"/>
    </xf>
    <xf numFmtId="0" fontId="4" fillId="0" borderId="7" xfId="3" applyNumberFormat="1" applyFont="1" applyBorder="1" applyAlignment="1">
      <alignment textRotation="90"/>
    </xf>
    <xf numFmtId="0" fontId="4" fillId="0" borderId="8" xfId="3" applyNumberFormat="1" applyFont="1" applyFill="1" applyBorder="1" applyAlignment="1">
      <alignment textRotation="90"/>
    </xf>
    <xf numFmtId="0" fontId="41" fillId="0" borderId="8" xfId="3" applyNumberFormat="1" applyFont="1" applyFill="1" applyBorder="1" applyAlignment="1">
      <alignment textRotation="90"/>
    </xf>
    <xf numFmtId="0" fontId="0" fillId="6" borderId="0" xfId="3" applyNumberFormat="1" applyFont="1" applyFill="1"/>
    <xf numFmtId="0" fontId="9" fillId="6" borderId="1" xfId="3" quotePrefix="1" applyNumberFormat="1" applyFont="1" applyFill="1" applyBorder="1"/>
    <xf numFmtId="0" fontId="7" fillId="6" borderId="1" xfId="3" quotePrefix="1" applyNumberFormat="1" applyFont="1" applyFill="1" applyBorder="1"/>
    <xf numFmtId="0" fontId="6" fillId="6" borderId="2" xfId="3" applyNumberFormat="1" applyFont="1" applyFill="1" applyBorder="1" applyAlignment="1">
      <alignment horizontal="right"/>
    </xf>
    <xf numFmtId="0" fontId="6" fillId="6" borderId="3" xfId="3" quotePrefix="1" applyNumberFormat="1" applyFont="1" applyFill="1" applyBorder="1" applyAlignment="1">
      <alignment horizontal="right"/>
    </xf>
    <xf numFmtId="0" fontId="6" fillId="6" borderId="3" xfId="3" applyNumberFormat="1" applyFont="1" applyFill="1" applyBorder="1" applyAlignment="1">
      <alignment horizontal="right"/>
    </xf>
    <xf numFmtId="0" fontId="7" fillId="6" borderId="1" xfId="3" applyNumberFormat="1" applyFont="1" applyFill="1" applyBorder="1" applyAlignment="1">
      <alignment horizontal="right"/>
    </xf>
    <xf numFmtId="0" fontId="6" fillId="6" borderId="22" xfId="3" applyNumberFormat="1" applyFont="1" applyFill="1" applyBorder="1" applyAlignment="1">
      <alignment horizontal="right"/>
    </xf>
    <xf numFmtId="0" fontId="6" fillId="6" borderId="2" xfId="3" quotePrefix="1" applyNumberFormat="1" applyFont="1" applyFill="1" applyBorder="1" applyAlignment="1">
      <alignment horizontal="right"/>
    </xf>
    <xf numFmtId="0" fontId="6" fillId="6" borderId="0" xfId="3" applyNumberFormat="1" applyFont="1" applyFill="1" applyAlignment="1">
      <alignment horizontal="right"/>
    </xf>
    <xf numFmtId="0" fontId="6" fillId="6" borderId="1" xfId="3" applyNumberFormat="1" applyFont="1" applyFill="1" applyBorder="1" applyAlignment="1">
      <alignment horizontal="right"/>
    </xf>
    <xf numFmtId="0" fontId="7" fillId="6" borderId="8" xfId="3" applyNumberFormat="1" applyFont="1" applyFill="1" applyBorder="1" applyAlignment="1">
      <alignment horizontal="right"/>
    </xf>
    <xf numFmtId="0" fontId="31" fillId="6" borderId="0" xfId="3" applyNumberFormat="1" applyFont="1" applyFill="1"/>
    <xf numFmtId="0" fontId="9" fillId="6" borderId="8" xfId="3" quotePrefix="1" applyNumberFormat="1" applyFont="1" applyFill="1" applyBorder="1"/>
    <xf numFmtId="0" fontId="7" fillId="6" borderId="8" xfId="3" applyNumberFormat="1" applyFont="1" applyFill="1" applyBorder="1"/>
    <xf numFmtId="0" fontId="6" fillId="6" borderId="6" xfId="3" applyNumberFormat="1" applyFont="1" applyFill="1" applyBorder="1" applyAlignment="1">
      <alignment horizontal="right"/>
    </xf>
    <xf numFmtId="0" fontId="6" fillId="6" borderId="0" xfId="3" applyNumberFormat="1" applyFont="1" applyFill="1" applyBorder="1" applyAlignment="1">
      <alignment horizontal="right"/>
    </xf>
    <xf numFmtId="0" fontId="6" fillId="6" borderId="23" xfId="3" applyNumberFormat="1" applyFont="1" applyFill="1" applyBorder="1" applyAlignment="1">
      <alignment horizontal="right"/>
    </xf>
    <xf numFmtId="0" fontId="6" fillId="6" borderId="8" xfId="3" applyNumberFormat="1" applyFont="1" applyFill="1" applyBorder="1" applyAlignment="1">
      <alignment horizontal="right"/>
    </xf>
    <xf numFmtId="0" fontId="0" fillId="7" borderId="0" xfId="3" applyNumberFormat="1" applyFont="1" applyFill="1"/>
    <xf numFmtId="0" fontId="9" fillId="7" borderId="8" xfId="3" quotePrefix="1" applyNumberFormat="1" applyFont="1" applyFill="1" applyBorder="1"/>
    <xf numFmtId="0" fontId="7" fillId="7" borderId="8" xfId="3" applyNumberFormat="1" applyFont="1" applyFill="1" applyBorder="1"/>
    <xf numFmtId="0" fontId="6" fillId="7" borderId="6" xfId="3" applyNumberFormat="1" applyFont="1" applyFill="1" applyBorder="1" applyAlignment="1">
      <alignment horizontal="right"/>
    </xf>
    <xf numFmtId="0" fontId="6" fillId="7" borderId="0" xfId="3" applyNumberFormat="1" applyFont="1" applyFill="1" applyBorder="1" applyAlignment="1">
      <alignment horizontal="right"/>
    </xf>
    <xf numFmtId="0" fontId="7" fillId="7" borderId="8" xfId="3" applyNumberFormat="1" applyFont="1" applyFill="1" applyBorder="1" applyAlignment="1">
      <alignment horizontal="right"/>
    </xf>
    <xf numFmtId="0" fontId="6" fillId="7" borderId="23" xfId="3" applyNumberFormat="1" applyFont="1" applyFill="1" applyBorder="1" applyAlignment="1">
      <alignment horizontal="right"/>
    </xf>
    <xf numFmtId="0" fontId="6" fillId="7" borderId="0" xfId="3" applyNumberFormat="1" applyFont="1" applyFill="1" applyAlignment="1">
      <alignment horizontal="right"/>
    </xf>
    <xf numFmtId="0" fontId="6" fillId="7" borderId="8" xfId="3" applyNumberFormat="1" applyFont="1" applyFill="1" applyBorder="1" applyAlignment="1">
      <alignment horizontal="right"/>
    </xf>
    <xf numFmtId="0" fontId="31" fillId="7" borderId="0" xfId="3" applyNumberFormat="1" applyFont="1" applyFill="1"/>
    <xf numFmtId="0" fontId="0" fillId="0" borderId="0" xfId="3" applyNumberFormat="1" applyFont="1" applyFill="1" applyBorder="1"/>
    <xf numFmtId="0" fontId="7" fillId="0" borderId="8" xfId="3" applyNumberFormat="1" applyFont="1" applyBorder="1"/>
    <xf numFmtId="0" fontId="6" fillId="0" borderId="6" xfId="3" applyNumberFormat="1" applyFont="1" applyBorder="1" applyAlignment="1">
      <alignment horizontal="right"/>
    </xf>
    <xf numFmtId="0" fontId="7" fillId="0" borderId="8" xfId="3" applyNumberFormat="1" applyFont="1" applyBorder="1" applyAlignment="1">
      <alignment horizontal="right"/>
    </xf>
    <xf numFmtId="0" fontId="6" fillId="0" borderId="23" xfId="3" applyNumberFormat="1" applyFont="1" applyBorder="1" applyAlignment="1">
      <alignment horizontal="right"/>
    </xf>
    <xf numFmtId="0" fontId="6" fillId="0" borderId="0" xfId="3" applyNumberFormat="1" applyFont="1" applyAlignment="1">
      <alignment horizontal="right"/>
    </xf>
    <xf numFmtId="0" fontId="6" fillId="0" borderId="8" xfId="3" applyNumberFormat="1" applyFont="1" applyBorder="1" applyAlignment="1">
      <alignment horizontal="right"/>
    </xf>
    <xf numFmtId="0" fontId="0" fillId="0" borderId="0" xfId="3" applyNumberFormat="1" applyFont="1"/>
    <xf numFmtId="0" fontId="0" fillId="3" borderId="0" xfId="3" applyNumberFormat="1" applyFont="1" applyFill="1"/>
    <xf numFmtId="0" fontId="9" fillId="3" borderId="8" xfId="3" quotePrefix="1" applyNumberFormat="1" applyFont="1" applyFill="1" applyBorder="1"/>
    <xf numFmtId="0" fontId="7" fillId="3" borderId="8" xfId="3" applyNumberFormat="1" applyFont="1" applyFill="1" applyBorder="1"/>
    <xf numFmtId="0" fontId="6" fillId="3" borderId="6" xfId="3" applyNumberFormat="1" applyFont="1" applyFill="1" applyBorder="1" applyAlignment="1">
      <alignment horizontal="right"/>
    </xf>
    <xf numFmtId="0" fontId="6" fillId="3" borderId="0" xfId="3" applyNumberFormat="1" applyFont="1" applyFill="1" applyBorder="1" applyAlignment="1">
      <alignment horizontal="right"/>
    </xf>
    <xf numFmtId="0" fontId="7" fillId="3" borderId="8" xfId="3" applyNumberFormat="1" applyFont="1" applyFill="1" applyBorder="1" applyAlignment="1">
      <alignment horizontal="right"/>
    </xf>
    <xf numFmtId="0" fontId="6" fillId="3" borderId="23" xfId="3" applyNumberFormat="1" applyFont="1" applyFill="1" applyBorder="1" applyAlignment="1">
      <alignment horizontal="right"/>
    </xf>
    <xf numFmtId="0" fontId="6" fillId="3" borderId="0" xfId="3" applyNumberFormat="1" applyFont="1" applyFill="1" applyAlignment="1">
      <alignment horizontal="right"/>
    </xf>
    <xf numFmtId="0" fontId="6" fillId="3" borderId="8" xfId="3" applyNumberFormat="1" applyFont="1" applyFill="1" applyBorder="1" applyAlignment="1">
      <alignment horizontal="right"/>
    </xf>
    <xf numFmtId="0" fontId="31" fillId="3" borderId="0" xfId="3" applyNumberFormat="1" applyFont="1" applyFill="1"/>
    <xf numFmtId="0" fontId="9" fillId="8" borderId="8" xfId="3" quotePrefix="1" applyNumberFormat="1" applyFont="1" applyFill="1" applyBorder="1"/>
    <xf numFmtId="0" fontId="7" fillId="8" borderId="8" xfId="3" applyNumberFormat="1" applyFont="1" applyFill="1" applyBorder="1"/>
    <xf numFmtId="0" fontId="6" fillId="8" borderId="6" xfId="3" applyNumberFormat="1" applyFont="1" applyFill="1" applyBorder="1" applyAlignment="1">
      <alignment horizontal="right"/>
    </xf>
    <xf numFmtId="0" fontId="6" fillId="8" borderId="0" xfId="3" applyNumberFormat="1" applyFont="1" applyFill="1" applyBorder="1" applyAlignment="1">
      <alignment horizontal="right"/>
    </xf>
    <xf numFmtId="0" fontId="7" fillId="8" borderId="8" xfId="3" applyNumberFormat="1" applyFont="1" applyFill="1" applyBorder="1" applyAlignment="1">
      <alignment horizontal="right"/>
    </xf>
    <xf numFmtId="0" fontId="6" fillId="8" borderId="23" xfId="3" applyNumberFormat="1" applyFont="1" applyFill="1" applyBorder="1" applyAlignment="1">
      <alignment horizontal="right"/>
    </xf>
    <xf numFmtId="0" fontId="6" fillId="8" borderId="0" xfId="3" applyNumberFormat="1" applyFont="1" applyFill="1" applyAlignment="1">
      <alignment horizontal="right"/>
    </xf>
    <xf numFmtId="0" fontId="6" fillId="8" borderId="8" xfId="3" applyNumberFormat="1" applyFont="1" applyFill="1" applyBorder="1" applyAlignment="1">
      <alignment horizontal="right"/>
    </xf>
    <xf numFmtId="0" fontId="0" fillId="8" borderId="0" xfId="3" applyNumberFormat="1" applyFont="1" applyFill="1"/>
    <xf numFmtId="0" fontId="31" fillId="8" borderId="0" xfId="3" applyNumberFormat="1" applyFont="1" applyFill="1"/>
    <xf numFmtId="0" fontId="9" fillId="9" borderId="8" xfId="3" quotePrefix="1" applyNumberFormat="1" applyFont="1" applyFill="1" applyBorder="1"/>
    <xf numFmtId="0" fontId="7" fillId="9" borderId="8" xfId="3" applyNumberFormat="1" applyFont="1" applyFill="1" applyBorder="1"/>
    <xf numFmtId="0" fontId="6" fillId="9" borderId="6" xfId="3" applyNumberFormat="1" applyFont="1" applyFill="1" applyBorder="1" applyAlignment="1">
      <alignment horizontal="right"/>
    </xf>
    <xf numFmtId="0" fontId="6" fillId="9" borderId="0" xfId="3" applyNumberFormat="1" applyFont="1" applyFill="1" applyBorder="1" applyAlignment="1">
      <alignment horizontal="right"/>
    </xf>
    <xf numFmtId="0" fontId="7" fillId="9" borderId="8" xfId="3" applyNumberFormat="1" applyFont="1" applyFill="1" applyBorder="1" applyAlignment="1">
      <alignment horizontal="right"/>
    </xf>
    <xf numFmtId="0" fontId="6" fillId="9" borderId="23" xfId="3" applyNumberFormat="1" applyFont="1" applyFill="1" applyBorder="1" applyAlignment="1">
      <alignment horizontal="right"/>
    </xf>
    <xf numFmtId="0" fontId="6" fillId="9" borderId="0" xfId="3" applyNumberFormat="1" applyFont="1" applyFill="1" applyAlignment="1">
      <alignment horizontal="right"/>
    </xf>
    <xf numFmtId="0" fontId="6" fillId="9" borderId="8" xfId="3" applyNumberFormat="1" applyFont="1" applyFill="1" applyBorder="1" applyAlignment="1">
      <alignment horizontal="right"/>
    </xf>
    <xf numFmtId="0" fontId="0" fillId="9" borderId="0" xfId="3" applyNumberFormat="1" applyFont="1" applyFill="1"/>
    <xf numFmtId="0" fontId="31" fillId="9" borderId="0" xfId="3" applyNumberFormat="1" applyFont="1" applyFill="1"/>
    <xf numFmtId="0" fontId="9" fillId="10" borderId="8" xfId="3" quotePrefix="1" applyNumberFormat="1" applyFont="1" applyFill="1" applyBorder="1"/>
    <xf numFmtId="0" fontId="7" fillId="10" borderId="8" xfId="3" applyNumberFormat="1" applyFont="1" applyFill="1" applyBorder="1"/>
    <xf numFmtId="0" fontId="6" fillId="10" borderId="6" xfId="3" applyNumberFormat="1" applyFont="1" applyFill="1" applyBorder="1" applyAlignment="1">
      <alignment horizontal="right"/>
    </xf>
    <xf numFmtId="0" fontId="6" fillId="10" borderId="0" xfId="3" applyNumberFormat="1" applyFont="1" applyFill="1" applyBorder="1" applyAlignment="1">
      <alignment horizontal="right"/>
    </xf>
    <xf numFmtId="0" fontId="7" fillId="10" borderId="8" xfId="3" applyNumberFormat="1" applyFont="1" applyFill="1" applyBorder="1" applyAlignment="1">
      <alignment horizontal="right"/>
    </xf>
    <xf numFmtId="0" fontId="6" fillId="10" borderId="23" xfId="3" applyNumberFormat="1" applyFont="1" applyFill="1" applyBorder="1" applyAlignment="1">
      <alignment horizontal="right"/>
    </xf>
    <xf numFmtId="0" fontId="6" fillId="10" borderId="0" xfId="3" applyNumberFormat="1" applyFont="1" applyFill="1" applyAlignment="1">
      <alignment horizontal="right"/>
    </xf>
    <xf numFmtId="0" fontId="6" fillId="10" borderId="8" xfId="3" applyNumberFormat="1" applyFont="1" applyFill="1" applyBorder="1" applyAlignment="1">
      <alignment horizontal="right"/>
    </xf>
    <xf numFmtId="0" fontId="0" fillId="10" borderId="0" xfId="3" applyNumberFormat="1" applyFont="1" applyFill="1"/>
    <xf numFmtId="0" fontId="31" fillId="10" borderId="0" xfId="3" applyNumberFormat="1" applyFont="1" applyFill="1"/>
    <xf numFmtId="0" fontId="9" fillId="11" borderId="8" xfId="3" quotePrefix="1" applyNumberFormat="1" applyFont="1" applyFill="1" applyBorder="1"/>
    <xf numFmtId="0" fontId="7" fillId="11" borderId="8" xfId="3" applyNumberFormat="1" applyFont="1" applyFill="1" applyBorder="1"/>
    <xf numFmtId="0" fontId="6" fillId="11" borderId="6" xfId="3" applyNumberFormat="1" applyFont="1" applyFill="1" applyBorder="1" applyAlignment="1">
      <alignment horizontal="right"/>
    </xf>
    <xf numFmtId="0" fontId="6" fillId="11" borderId="0" xfId="3" applyNumberFormat="1" applyFont="1" applyFill="1" applyBorder="1" applyAlignment="1">
      <alignment horizontal="right"/>
    </xf>
    <xf numFmtId="0" fontId="7" fillId="11" borderId="8" xfId="3" applyNumberFormat="1" applyFont="1" applyFill="1" applyBorder="1" applyAlignment="1">
      <alignment horizontal="right"/>
    </xf>
    <xf numFmtId="0" fontId="6" fillId="11" borderId="23" xfId="3" applyNumberFormat="1" applyFont="1" applyFill="1" applyBorder="1" applyAlignment="1">
      <alignment horizontal="right"/>
    </xf>
    <xf numFmtId="0" fontId="6" fillId="11" borderId="0" xfId="3" applyNumberFormat="1" applyFont="1" applyFill="1" applyAlignment="1">
      <alignment horizontal="right"/>
    </xf>
    <xf numFmtId="0" fontId="6" fillId="11" borderId="8" xfId="3" applyNumberFormat="1" applyFont="1" applyFill="1" applyBorder="1" applyAlignment="1">
      <alignment horizontal="right"/>
    </xf>
    <xf numFmtId="0" fontId="0" fillId="11" borderId="0" xfId="3" applyNumberFormat="1" applyFont="1" applyFill="1"/>
    <xf numFmtId="0" fontId="31" fillId="11" borderId="0" xfId="3" applyNumberFormat="1" applyFont="1" applyFill="1"/>
    <xf numFmtId="0" fontId="9" fillId="5" borderId="8" xfId="3" quotePrefix="1" applyNumberFormat="1" applyFont="1" applyFill="1" applyBorder="1"/>
    <xf numFmtId="0" fontId="7" fillId="5" borderId="8" xfId="3" applyNumberFormat="1" applyFont="1" applyFill="1" applyBorder="1"/>
    <xf numFmtId="0" fontId="6" fillId="5" borderId="6" xfId="3" applyNumberFormat="1" applyFont="1" applyFill="1" applyBorder="1" applyAlignment="1">
      <alignment horizontal="right"/>
    </xf>
    <xf numFmtId="0" fontId="6" fillId="5" borderId="0" xfId="3" applyNumberFormat="1" applyFont="1" applyFill="1" applyBorder="1" applyAlignment="1">
      <alignment horizontal="right"/>
    </xf>
    <xf numFmtId="0" fontId="7" fillId="5" borderId="8" xfId="3" applyNumberFormat="1" applyFont="1" applyFill="1" applyBorder="1" applyAlignment="1">
      <alignment horizontal="right"/>
    </xf>
    <xf numFmtId="0" fontId="6" fillId="5" borderId="23" xfId="3" applyNumberFormat="1" applyFont="1" applyFill="1" applyBorder="1" applyAlignment="1">
      <alignment horizontal="right"/>
    </xf>
    <xf numFmtId="0" fontId="6" fillId="5" borderId="0" xfId="3" applyNumberFormat="1" applyFont="1" applyFill="1" applyAlignment="1">
      <alignment horizontal="right"/>
    </xf>
    <xf numFmtId="0" fontId="6" fillId="5" borderId="8" xfId="3" applyNumberFormat="1" applyFont="1" applyFill="1" applyBorder="1" applyAlignment="1">
      <alignment horizontal="right"/>
    </xf>
    <xf numFmtId="0" fontId="0" fillId="5" borderId="0" xfId="3" applyNumberFormat="1" applyFont="1" applyFill="1"/>
    <xf numFmtId="0" fontId="31" fillId="5" borderId="0" xfId="3" applyNumberFormat="1" applyFont="1" applyFill="1"/>
    <xf numFmtId="0" fontId="9" fillId="12" borderId="8" xfId="3" quotePrefix="1" applyNumberFormat="1" applyFont="1" applyFill="1" applyBorder="1"/>
    <xf numFmtId="0" fontId="7" fillId="12" borderId="8" xfId="3" applyNumberFormat="1" applyFont="1" applyFill="1" applyBorder="1"/>
    <xf numFmtId="0" fontId="6" fillId="12" borderId="6" xfId="3" applyNumberFormat="1" applyFont="1" applyFill="1" applyBorder="1" applyAlignment="1">
      <alignment horizontal="right"/>
    </xf>
    <xf numFmtId="0" fontId="6" fillId="12" borderId="0" xfId="3" applyNumberFormat="1" applyFont="1" applyFill="1" applyBorder="1" applyAlignment="1">
      <alignment horizontal="right"/>
    </xf>
    <xf numFmtId="0" fontId="7" fillId="12" borderId="8" xfId="3" applyNumberFormat="1" applyFont="1" applyFill="1" applyBorder="1" applyAlignment="1">
      <alignment horizontal="right"/>
    </xf>
    <xf numFmtId="0" fontId="6" fillId="12" borderId="23" xfId="3" applyNumberFormat="1" applyFont="1" applyFill="1" applyBorder="1" applyAlignment="1">
      <alignment horizontal="right"/>
    </xf>
    <xf numFmtId="0" fontId="6" fillId="12" borderId="0" xfId="3" applyNumberFormat="1" applyFont="1" applyFill="1" applyAlignment="1">
      <alignment horizontal="right"/>
    </xf>
    <xf numFmtId="0" fontId="6" fillId="12" borderId="8" xfId="3" applyNumberFormat="1" applyFont="1" applyFill="1" applyBorder="1" applyAlignment="1">
      <alignment horizontal="right"/>
    </xf>
    <xf numFmtId="0" fontId="0" fillId="12" borderId="0" xfId="3" applyNumberFormat="1" applyFont="1" applyFill="1"/>
    <xf numFmtId="0" fontId="31" fillId="12" borderId="0" xfId="3" applyNumberFormat="1" applyFont="1" applyFill="1"/>
    <xf numFmtId="0" fontId="9" fillId="2" borderId="8" xfId="3" quotePrefix="1" applyNumberFormat="1" applyFont="1" applyFill="1" applyBorder="1"/>
    <xf numFmtId="0" fontId="7" fillId="2" borderId="8" xfId="3" applyNumberFormat="1" applyFont="1" applyFill="1" applyBorder="1"/>
    <xf numFmtId="0" fontId="6" fillId="2" borderId="6" xfId="3" applyNumberFormat="1" applyFont="1" applyFill="1" applyBorder="1" applyAlignment="1">
      <alignment horizontal="right"/>
    </xf>
    <xf numFmtId="0" fontId="6" fillId="2" borderId="0" xfId="3" applyNumberFormat="1" applyFont="1" applyFill="1" applyBorder="1" applyAlignment="1">
      <alignment horizontal="right"/>
    </xf>
    <xf numFmtId="0" fontId="7" fillId="2" borderId="8" xfId="3" applyNumberFormat="1" applyFont="1" applyFill="1" applyBorder="1" applyAlignment="1">
      <alignment horizontal="right"/>
    </xf>
    <xf numFmtId="0" fontId="6" fillId="2" borderId="23" xfId="3" applyNumberFormat="1" applyFont="1" applyFill="1" applyBorder="1" applyAlignment="1">
      <alignment horizontal="right"/>
    </xf>
    <xf numFmtId="0" fontId="6" fillId="2" borderId="0" xfId="3" applyNumberFormat="1" applyFont="1" applyFill="1" applyAlignment="1">
      <alignment horizontal="right"/>
    </xf>
    <xf numFmtId="0" fontId="6" fillId="2" borderId="8" xfId="3" applyNumberFormat="1" applyFont="1" applyFill="1" applyBorder="1" applyAlignment="1">
      <alignment horizontal="right"/>
    </xf>
    <xf numFmtId="0" fontId="0" fillId="2" borderId="0" xfId="3" applyNumberFormat="1" applyFont="1" applyFill="1"/>
    <xf numFmtId="0" fontId="31" fillId="2" borderId="0" xfId="3" applyNumberFormat="1" applyFont="1" applyFill="1"/>
    <xf numFmtId="0" fontId="9" fillId="13" borderId="8" xfId="3" quotePrefix="1" applyNumberFormat="1" applyFont="1" applyFill="1" applyBorder="1"/>
    <xf numFmtId="0" fontId="7" fillId="13" borderId="8" xfId="3" applyNumberFormat="1" applyFont="1" applyFill="1" applyBorder="1"/>
    <xf numFmtId="0" fontId="6" fillId="13" borderId="6" xfId="3" applyNumberFormat="1" applyFont="1" applyFill="1" applyBorder="1" applyAlignment="1">
      <alignment horizontal="right"/>
    </xf>
    <xf numFmtId="0" fontId="6" fillId="13" borderId="0" xfId="3" applyNumberFormat="1" applyFont="1" applyFill="1" applyBorder="1" applyAlignment="1">
      <alignment horizontal="right"/>
    </xf>
    <xf numFmtId="0" fontId="7" fillId="13" borderId="8" xfId="3" applyNumberFormat="1" applyFont="1" applyFill="1" applyBorder="1" applyAlignment="1">
      <alignment horizontal="right"/>
    </xf>
    <xf numFmtId="0" fontId="6" fillId="13" borderId="23" xfId="3" applyNumberFormat="1" applyFont="1" applyFill="1" applyBorder="1" applyAlignment="1">
      <alignment horizontal="right"/>
    </xf>
    <xf numFmtId="0" fontId="6" fillId="13" borderId="0" xfId="3" applyNumberFormat="1" applyFont="1" applyFill="1" applyAlignment="1">
      <alignment horizontal="right"/>
    </xf>
    <xf numFmtId="0" fontId="6" fillId="13" borderId="8" xfId="3" applyNumberFormat="1" applyFont="1" applyFill="1" applyBorder="1" applyAlignment="1">
      <alignment horizontal="right"/>
    </xf>
    <xf numFmtId="0" fontId="0" fillId="13" borderId="0" xfId="3" applyNumberFormat="1" applyFont="1" applyFill="1"/>
    <xf numFmtId="0" fontId="31" fillId="13" borderId="0" xfId="3" applyNumberFormat="1" applyFont="1" applyFill="1"/>
    <xf numFmtId="0" fontId="0" fillId="22" borderId="0" xfId="0" applyNumberFormat="1" applyFill="1"/>
    <xf numFmtId="0" fontId="9" fillId="22" borderId="8" xfId="3" quotePrefix="1" applyNumberFormat="1" applyFont="1" applyFill="1" applyBorder="1"/>
    <xf numFmtId="0" fontId="7" fillId="22" borderId="8" xfId="3" applyNumberFormat="1" applyFont="1" applyFill="1" applyBorder="1"/>
    <xf numFmtId="0" fontId="6" fillId="22" borderId="6" xfId="3" applyNumberFormat="1" applyFont="1" applyFill="1" applyBorder="1" applyAlignment="1">
      <alignment horizontal="right"/>
    </xf>
    <xf numFmtId="0" fontId="6" fillId="22" borderId="0" xfId="3" applyNumberFormat="1" applyFont="1" applyFill="1" applyBorder="1" applyAlignment="1">
      <alignment horizontal="right"/>
    </xf>
    <xf numFmtId="0" fontId="7" fillId="22" borderId="8" xfId="3" applyNumberFormat="1" applyFont="1" applyFill="1" applyBorder="1" applyAlignment="1">
      <alignment horizontal="right"/>
    </xf>
    <xf numFmtId="0" fontId="6" fillId="22" borderId="23" xfId="3" applyNumberFormat="1" applyFont="1" applyFill="1" applyBorder="1" applyAlignment="1">
      <alignment horizontal="right"/>
    </xf>
    <xf numFmtId="0" fontId="6" fillId="22" borderId="0" xfId="3" applyNumberFormat="1" applyFont="1" applyFill="1" applyAlignment="1">
      <alignment horizontal="right"/>
    </xf>
    <xf numFmtId="0" fontId="6" fillId="22" borderId="8" xfId="3" applyNumberFormat="1" applyFont="1" applyFill="1" applyBorder="1" applyAlignment="1">
      <alignment horizontal="right"/>
    </xf>
    <xf numFmtId="0" fontId="21" fillId="22" borderId="0" xfId="3" applyNumberFormat="1" applyFont="1" applyFill="1"/>
    <xf numFmtId="0" fontId="0" fillId="14" borderId="0" xfId="3" applyNumberFormat="1" applyFont="1" applyFill="1"/>
    <xf numFmtId="0" fontId="9" fillId="14" borderId="8" xfId="3" quotePrefix="1" applyNumberFormat="1" applyFont="1" applyFill="1" applyBorder="1"/>
    <xf numFmtId="0" fontId="7" fillId="14" borderId="8" xfId="3" applyNumberFormat="1" applyFont="1" applyFill="1" applyBorder="1"/>
    <xf numFmtId="0" fontId="6" fillId="14" borderId="6" xfId="3" applyNumberFormat="1" applyFont="1" applyFill="1" applyBorder="1" applyAlignment="1">
      <alignment horizontal="right"/>
    </xf>
    <xf numFmtId="0" fontId="6" fillId="14" borderId="0" xfId="3" applyNumberFormat="1" applyFont="1" applyFill="1" applyBorder="1" applyAlignment="1">
      <alignment horizontal="right"/>
    </xf>
    <xf numFmtId="0" fontId="7" fillId="14" borderId="8" xfId="3" applyNumberFormat="1" applyFont="1" applyFill="1" applyBorder="1" applyAlignment="1">
      <alignment horizontal="right"/>
    </xf>
    <xf numFmtId="0" fontId="6" fillId="14" borderId="23" xfId="3" applyNumberFormat="1" applyFont="1" applyFill="1" applyBorder="1" applyAlignment="1">
      <alignment horizontal="right"/>
    </xf>
    <xf numFmtId="0" fontId="6" fillId="14" borderId="0" xfId="3" applyNumberFormat="1" applyFont="1" applyFill="1" applyAlignment="1">
      <alignment horizontal="right"/>
    </xf>
    <xf numFmtId="0" fontId="6" fillId="14" borderId="8" xfId="3" applyNumberFormat="1" applyFont="1" applyFill="1" applyBorder="1" applyAlignment="1">
      <alignment horizontal="right"/>
    </xf>
    <xf numFmtId="0" fontId="31" fillId="14" borderId="0" xfId="3" applyNumberFormat="1" applyFont="1" applyFill="1"/>
    <xf numFmtId="0" fontId="0" fillId="15" borderId="0" xfId="3" applyNumberFormat="1" applyFont="1" applyFill="1"/>
    <xf numFmtId="0" fontId="9" fillId="15" borderId="8" xfId="3" quotePrefix="1" applyNumberFormat="1" applyFont="1" applyFill="1" applyBorder="1"/>
    <xf numFmtId="0" fontId="7" fillId="15" borderId="8" xfId="3" applyNumberFormat="1" applyFont="1" applyFill="1" applyBorder="1"/>
    <xf numFmtId="0" fontId="6" fillId="15" borderId="6" xfId="3" applyNumberFormat="1" applyFont="1" applyFill="1" applyBorder="1" applyAlignment="1">
      <alignment horizontal="right"/>
    </xf>
    <xf numFmtId="0" fontId="6" fillId="15" borderId="0" xfId="3" applyNumberFormat="1" applyFont="1" applyFill="1" applyBorder="1" applyAlignment="1">
      <alignment horizontal="right"/>
    </xf>
    <xf numFmtId="0" fontId="7" fillId="15" borderId="8" xfId="3" applyNumberFormat="1" applyFont="1" applyFill="1" applyBorder="1" applyAlignment="1">
      <alignment horizontal="right"/>
    </xf>
    <xf numFmtId="0" fontId="6" fillId="15" borderId="23" xfId="3" applyNumberFormat="1" applyFont="1" applyFill="1" applyBorder="1" applyAlignment="1">
      <alignment horizontal="right"/>
    </xf>
    <xf numFmtId="0" fontId="6" fillId="15" borderId="0" xfId="3" applyNumberFormat="1" applyFont="1" applyFill="1" applyAlignment="1">
      <alignment horizontal="right"/>
    </xf>
    <xf numFmtId="0" fontId="6" fillId="15" borderId="8" xfId="3" applyNumberFormat="1" applyFont="1" applyFill="1" applyBorder="1" applyAlignment="1">
      <alignment horizontal="right"/>
    </xf>
    <xf numFmtId="0" fontId="31" fillId="15" borderId="0" xfId="3" applyNumberFormat="1" applyFont="1" applyFill="1"/>
    <xf numFmtId="0" fontId="0" fillId="16" borderId="0" xfId="3" applyNumberFormat="1" applyFont="1" applyFill="1"/>
    <xf numFmtId="0" fontId="9" fillId="16" borderId="8" xfId="3" quotePrefix="1" applyNumberFormat="1" applyFont="1" applyFill="1" applyBorder="1"/>
    <xf numFmtId="0" fontId="7" fillId="16" borderId="8" xfId="3" applyNumberFormat="1" applyFont="1" applyFill="1" applyBorder="1"/>
    <xf numFmtId="0" fontId="6" fillId="16" borderId="6" xfId="3" applyNumberFormat="1" applyFont="1" applyFill="1" applyBorder="1" applyAlignment="1">
      <alignment horizontal="right"/>
    </xf>
    <xf numFmtId="0" fontId="6" fillId="16" borderId="0" xfId="3" applyNumberFormat="1" applyFont="1" applyFill="1" applyBorder="1" applyAlignment="1">
      <alignment horizontal="right"/>
    </xf>
    <xf numFmtId="0" fontId="7" fillId="16" borderId="8" xfId="3" applyNumberFormat="1" applyFont="1" applyFill="1" applyBorder="1" applyAlignment="1">
      <alignment horizontal="right"/>
    </xf>
    <xf numFmtId="0" fontId="6" fillId="16" borderId="23" xfId="3" applyNumberFormat="1" applyFont="1" applyFill="1" applyBorder="1" applyAlignment="1">
      <alignment horizontal="right"/>
    </xf>
    <xf numFmtId="0" fontId="6" fillId="16" borderId="0" xfId="3" applyNumberFormat="1" applyFont="1" applyFill="1" applyAlignment="1">
      <alignment horizontal="right"/>
    </xf>
    <xf numFmtId="0" fontId="6" fillId="16" borderId="8" xfId="3" applyNumberFormat="1" applyFont="1" applyFill="1" applyBorder="1" applyAlignment="1">
      <alignment horizontal="right"/>
    </xf>
    <xf numFmtId="0" fontId="31" fillId="16" borderId="0" xfId="3" applyNumberFormat="1" applyFont="1" applyFill="1"/>
    <xf numFmtId="0" fontId="0" fillId="17" borderId="0" xfId="3" applyNumberFormat="1" applyFont="1" applyFill="1"/>
    <xf numFmtId="0" fontId="9" fillId="17" borderId="8" xfId="3" quotePrefix="1" applyNumberFormat="1" applyFont="1" applyFill="1" applyBorder="1"/>
    <xf numFmtId="0" fontId="7" fillId="17" borderId="8" xfId="3" applyNumberFormat="1" applyFont="1" applyFill="1" applyBorder="1"/>
    <xf numFmtId="0" fontId="6" fillId="17" borderId="6" xfId="3" applyNumberFormat="1" applyFont="1" applyFill="1" applyBorder="1" applyAlignment="1">
      <alignment horizontal="right"/>
    </xf>
    <xf numFmtId="0" fontId="6" fillId="17" borderId="0" xfId="3" applyNumberFormat="1" applyFont="1" applyFill="1" applyBorder="1" applyAlignment="1">
      <alignment horizontal="right"/>
    </xf>
    <xf numFmtId="0" fontId="7" fillId="17" borderId="8" xfId="3" applyNumberFormat="1" applyFont="1" applyFill="1" applyBorder="1" applyAlignment="1">
      <alignment horizontal="right"/>
    </xf>
    <xf numFmtId="0" fontId="6" fillId="17" borderId="23" xfId="3" applyNumberFormat="1" applyFont="1" applyFill="1" applyBorder="1" applyAlignment="1">
      <alignment horizontal="right"/>
    </xf>
    <xf numFmtId="0" fontId="6" fillId="17" borderId="0" xfId="3" applyNumberFormat="1" applyFont="1" applyFill="1" applyAlignment="1">
      <alignment horizontal="right"/>
    </xf>
    <xf numFmtId="0" fontId="6" fillId="17" borderId="8" xfId="3" applyNumberFormat="1" applyFont="1" applyFill="1" applyBorder="1" applyAlignment="1">
      <alignment horizontal="right"/>
    </xf>
    <xf numFmtId="0" fontId="31" fillId="17" borderId="0" xfId="3" applyNumberFormat="1" applyFont="1" applyFill="1"/>
    <xf numFmtId="0" fontId="9" fillId="18" borderId="8" xfId="3" quotePrefix="1" applyNumberFormat="1" applyFont="1" applyFill="1" applyBorder="1"/>
    <xf numFmtId="0" fontId="7" fillId="18" borderId="8" xfId="3" applyNumberFormat="1" applyFont="1" applyFill="1" applyBorder="1"/>
    <xf numFmtId="0" fontId="6" fillId="18" borderId="6" xfId="3" applyNumberFormat="1" applyFont="1" applyFill="1" applyBorder="1" applyAlignment="1">
      <alignment horizontal="right"/>
    </xf>
    <xf numFmtId="0" fontId="6" fillId="18" borderId="0" xfId="3" applyNumberFormat="1" applyFont="1" applyFill="1" applyBorder="1" applyAlignment="1">
      <alignment horizontal="right"/>
    </xf>
    <xf numFmtId="0" fontId="7" fillId="18" borderId="8" xfId="3" applyNumberFormat="1" applyFont="1" applyFill="1" applyBorder="1" applyAlignment="1">
      <alignment horizontal="right"/>
    </xf>
    <xf numFmtId="0" fontId="6" fillId="18" borderId="23" xfId="3" applyNumberFormat="1" applyFont="1" applyFill="1" applyBorder="1" applyAlignment="1">
      <alignment horizontal="right"/>
    </xf>
    <xf numFmtId="0" fontId="6" fillId="18" borderId="0" xfId="3" applyNumberFormat="1" applyFont="1" applyFill="1" applyAlignment="1">
      <alignment horizontal="right"/>
    </xf>
    <xf numFmtId="0" fontId="6" fillId="18" borderId="8" xfId="3" applyNumberFormat="1" applyFont="1" applyFill="1" applyBorder="1" applyAlignment="1">
      <alignment horizontal="right"/>
    </xf>
    <xf numFmtId="0" fontId="0" fillId="18" borderId="0" xfId="3" applyNumberFormat="1" applyFont="1" applyFill="1"/>
    <xf numFmtId="0" fontId="31" fillId="18" borderId="0" xfId="3" applyNumberFormat="1" applyFont="1" applyFill="1"/>
    <xf numFmtId="0" fontId="9" fillId="4" borderId="8" xfId="3" quotePrefix="1" applyNumberFormat="1" applyFont="1" applyFill="1" applyBorder="1"/>
    <xf numFmtId="0" fontId="7" fillId="4" borderId="8" xfId="3" applyNumberFormat="1" applyFont="1" applyFill="1" applyBorder="1"/>
    <xf numFmtId="0" fontId="6" fillId="4" borderId="6" xfId="3" applyNumberFormat="1" applyFont="1" applyFill="1" applyBorder="1" applyAlignment="1">
      <alignment horizontal="right"/>
    </xf>
    <xf numFmtId="0" fontId="6" fillId="4" borderId="0" xfId="3" applyNumberFormat="1" applyFont="1" applyFill="1" applyBorder="1" applyAlignment="1">
      <alignment horizontal="right"/>
    </xf>
    <xf numFmtId="0" fontId="7" fillId="4" borderId="8" xfId="3" applyNumberFormat="1" applyFont="1" applyFill="1" applyBorder="1" applyAlignment="1">
      <alignment horizontal="right"/>
    </xf>
    <xf numFmtId="0" fontId="6" fillId="4" borderId="23" xfId="3" applyNumberFormat="1" applyFont="1" applyFill="1" applyBorder="1" applyAlignment="1">
      <alignment horizontal="right"/>
    </xf>
    <xf numFmtId="0" fontId="6" fillId="4" borderId="0" xfId="3" applyNumberFormat="1" applyFont="1" applyFill="1" applyAlignment="1">
      <alignment horizontal="right"/>
    </xf>
    <xf numFmtId="0" fontId="6" fillId="4" borderId="8" xfId="3" applyNumberFormat="1" applyFont="1" applyFill="1" applyBorder="1" applyAlignment="1">
      <alignment horizontal="right"/>
    </xf>
    <xf numFmtId="0" fontId="0" fillId="4" borderId="0" xfId="3" applyNumberFormat="1" applyFont="1" applyFill="1"/>
    <xf numFmtId="0" fontId="31" fillId="4" borderId="0" xfId="3" applyNumberFormat="1" applyFont="1" applyFill="1"/>
    <xf numFmtId="0" fontId="0" fillId="19" borderId="0" xfId="3" applyNumberFormat="1" applyFont="1" applyFill="1"/>
    <xf numFmtId="0" fontId="31" fillId="19" borderId="0" xfId="3" applyNumberFormat="1" applyFont="1" applyFill="1"/>
    <xf numFmtId="0" fontId="23" fillId="22" borderId="0" xfId="3" applyNumberFormat="1" applyFont="1" applyFill="1"/>
    <xf numFmtId="0" fontId="9" fillId="0" borderId="7" xfId="3" quotePrefix="1" applyNumberFormat="1" applyFont="1" applyBorder="1"/>
    <xf numFmtId="0" fontId="6" fillId="0" borderId="4" xfId="3" applyNumberFormat="1" applyFont="1" applyBorder="1" applyAlignment="1">
      <alignment horizontal="right"/>
    </xf>
    <xf numFmtId="0" fontId="6" fillId="0" borderId="5" xfId="3" applyNumberFormat="1" applyFont="1" applyBorder="1" applyAlignment="1">
      <alignment horizontal="right"/>
    </xf>
    <xf numFmtId="0" fontId="7" fillId="0" borderId="7" xfId="3" applyNumberFormat="1" applyFont="1" applyBorder="1" applyAlignment="1">
      <alignment horizontal="right"/>
    </xf>
    <xf numFmtId="0" fontId="6" fillId="0" borderId="24" xfId="3" applyNumberFormat="1" applyFont="1" applyBorder="1" applyAlignment="1">
      <alignment horizontal="right"/>
    </xf>
    <xf numFmtId="0" fontId="6" fillId="0" borderId="7" xfId="3" applyNumberFormat="1" applyFont="1" applyBorder="1" applyAlignment="1">
      <alignment horizontal="right"/>
    </xf>
    <xf numFmtId="0" fontId="7" fillId="0" borderId="21" xfId="3" applyNumberFormat="1" applyFont="1" applyBorder="1"/>
    <xf numFmtId="0" fontId="7" fillId="0" borderId="19" xfId="3" applyNumberFormat="1" applyFont="1" applyBorder="1" applyAlignment="1">
      <alignment horizontal="right"/>
    </xf>
    <xf numFmtId="0" fontId="7" fillId="0" borderId="21" xfId="3" applyNumberFormat="1" applyFont="1" applyBorder="1" applyAlignment="1">
      <alignment horizontal="right"/>
    </xf>
    <xf numFmtId="0" fontId="7" fillId="0" borderId="25" xfId="3" applyNumberFormat="1" applyFont="1" applyBorder="1" applyAlignment="1">
      <alignment horizontal="right"/>
    </xf>
    <xf numFmtId="0" fontId="7" fillId="0" borderId="5" xfId="3" applyNumberFormat="1" applyFont="1" applyBorder="1" applyAlignment="1">
      <alignment horizontal="right"/>
    </xf>
    <xf numFmtId="0" fontId="37" fillId="0" borderId="0" xfId="3" quotePrefix="1" applyNumberFormat="1" applyFont="1" applyBorder="1"/>
    <xf numFmtId="0" fontId="37" fillId="0" borderId="0" xfId="3" applyNumberFormat="1" applyFont="1" applyBorder="1"/>
    <xf numFmtId="0" fontId="42" fillId="0" borderId="0" xfId="3" applyNumberFormat="1" applyFont="1" applyBorder="1" applyAlignment="1">
      <alignment horizontal="right"/>
    </xf>
    <xf numFmtId="0" fontId="42" fillId="0" borderId="0" xfId="3" applyNumberFormat="1" applyFont="1"/>
    <xf numFmtId="0" fontId="43" fillId="0" borderId="0" xfId="3" applyNumberFormat="1" applyFont="1" applyFill="1" applyBorder="1"/>
    <xf numFmtId="0" fontId="31" fillId="0" borderId="0" xfId="0" applyNumberFormat="1" applyFont="1" applyAlignment="1">
      <alignment vertical="center"/>
    </xf>
    <xf numFmtId="0" fontId="4" fillId="0" borderId="2" xfId="3" applyNumberFormat="1" applyFont="1" applyBorder="1" applyAlignment="1">
      <alignment vertical="center"/>
    </xf>
    <xf numFmtId="0" fontId="11" fillId="0" borderId="22" xfId="3" applyNumberFormat="1" applyFont="1" applyBorder="1" applyAlignment="1">
      <alignment vertical="center"/>
    </xf>
    <xf numFmtId="0" fontId="4" fillId="0" borderId="3" xfId="3" applyNumberFormat="1" applyFont="1" applyBorder="1" applyAlignment="1">
      <alignment vertical="center"/>
    </xf>
    <xf numFmtId="0" fontId="4" fillId="0" borderId="1" xfId="3" applyNumberFormat="1" applyFont="1" applyBorder="1" applyAlignment="1">
      <alignment vertical="center"/>
    </xf>
    <xf numFmtId="0" fontId="5" fillId="0" borderId="3" xfId="3" applyNumberFormat="1" applyFont="1" applyBorder="1" applyAlignment="1">
      <alignment vertical="center"/>
    </xf>
    <xf numFmtId="0" fontId="4" fillId="0" borderId="22" xfId="3" applyNumberFormat="1" applyFont="1" applyBorder="1" applyAlignment="1">
      <alignment vertical="center"/>
    </xf>
    <xf numFmtId="0" fontId="4" fillId="0" borderId="0" xfId="3" applyNumberFormat="1" applyFont="1" applyBorder="1" applyAlignment="1">
      <alignment vertical="center"/>
    </xf>
    <xf numFmtId="0" fontId="7" fillId="0" borderId="1" xfId="3" applyNumberFormat="1" applyFont="1" applyBorder="1" applyAlignment="1">
      <alignment vertical="center"/>
    </xf>
    <xf numFmtId="0" fontId="4" fillId="0" borderId="8" xfId="3" applyNumberFormat="1" applyFont="1" applyBorder="1" applyAlignment="1">
      <alignment vertical="center"/>
    </xf>
    <xf numFmtId="0" fontId="4" fillId="0" borderId="8" xfId="3" applyNumberFormat="1" applyFont="1" applyFill="1" applyBorder="1" applyAlignment="1">
      <alignment vertical="center"/>
    </xf>
    <xf numFmtId="0" fontId="41" fillId="0" borderId="0" xfId="3" applyNumberFormat="1" applyFont="1" applyFill="1" applyBorder="1" applyAlignment="1">
      <alignment vertical="center"/>
    </xf>
    <xf numFmtId="0" fontId="0" fillId="0" borderId="0" xfId="0" applyNumberFormat="1" applyAlignment="1">
      <alignment vertical="center"/>
    </xf>
    <xf numFmtId="0" fontId="31" fillId="0" borderId="0" xfId="3" applyNumberFormat="1" applyFont="1" applyFill="1" applyBorder="1"/>
    <xf numFmtId="0" fontId="31" fillId="0" borderId="0" xfId="3" applyNumberFormat="1" applyFont="1" applyFill="1"/>
    <xf numFmtId="0" fontId="31" fillId="26" borderId="0" xfId="0" applyNumberFormat="1" applyFont="1" applyFill="1"/>
    <xf numFmtId="0" fontId="9" fillId="26" borderId="8" xfId="3" quotePrefix="1" applyNumberFormat="1" applyFont="1" applyFill="1" applyBorder="1"/>
    <xf numFmtId="0" fontId="7" fillId="26" borderId="8" xfId="3" applyNumberFormat="1" applyFont="1" applyFill="1" applyBorder="1"/>
    <xf numFmtId="0" fontId="6" fillId="26" borderId="6" xfId="3" applyNumberFormat="1" applyFont="1" applyFill="1" applyBorder="1" applyAlignment="1">
      <alignment horizontal="right"/>
    </xf>
    <xf numFmtId="0" fontId="6" fillId="26" borderId="0" xfId="3" applyNumberFormat="1" applyFont="1" applyFill="1" applyBorder="1" applyAlignment="1">
      <alignment horizontal="right"/>
    </xf>
    <xf numFmtId="0" fontId="7" fillId="26" borderId="8" xfId="3" applyNumberFormat="1" applyFont="1" applyFill="1" applyBorder="1" applyAlignment="1">
      <alignment horizontal="right"/>
    </xf>
    <xf numFmtId="0" fontId="6" fillId="26" borderId="23" xfId="3" applyNumberFormat="1" applyFont="1" applyFill="1" applyBorder="1" applyAlignment="1">
      <alignment horizontal="right"/>
    </xf>
    <xf numFmtId="0" fontId="6" fillId="26" borderId="0" xfId="3" applyNumberFormat="1" applyFont="1" applyFill="1" applyAlignment="1">
      <alignment horizontal="right"/>
    </xf>
    <xf numFmtId="0" fontId="6" fillId="26" borderId="8" xfId="3" applyNumberFormat="1" applyFont="1" applyFill="1" applyBorder="1" applyAlignment="1">
      <alignment horizontal="right"/>
    </xf>
    <xf numFmtId="0" fontId="22" fillId="26" borderId="0" xfId="3" applyNumberFormat="1" applyFont="1" applyFill="1"/>
    <xf numFmtId="0" fontId="0" fillId="26" borderId="0" xfId="0" applyNumberFormat="1" applyFill="1"/>
    <xf numFmtId="0" fontId="9" fillId="21" borderId="0" xfId="3" applyNumberFormat="1" applyFont="1" applyFill="1" applyBorder="1"/>
    <xf numFmtId="0" fontId="7" fillId="21" borderId="0" xfId="3" applyNumberFormat="1" applyFont="1" applyFill="1" applyBorder="1"/>
    <xf numFmtId="0" fontId="7" fillId="21" borderId="0" xfId="3" applyNumberFormat="1" applyFont="1" applyFill="1" applyBorder="1" applyAlignment="1">
      <alignment horizontal="right"/>
    </xf>
    <xf numFmtId="0" fontId="8" fillId="21" borderId="0" xfId="0" applyNumberFormat="1" applyFont="1" applyFill="1"/>
    <xf numFmtId="0" fontId="0" fillId="21" borderId="0" xfId="0" applyNumberFormat="1" applyFill="1"/>
    <xf numFmtId="0" fontId="31" fillId="23" borderId="0" xfId="0" applyNumberFormat="1" applyFont="1" applyFill="1"/>
    <xf numFmtId="0" fontId="9" fillId="23" borderId="0" xfId="3" applyNumberFormat="1" applyFont="1" applyFill="1" applyBorder="1"/>
    <xf numFmtId="0" fontId="7" fillId="23" borderId="0" xfId="3" applyNumberFormat="1" applyFont="1" applyFill="1" applyBorder="1"/>
    <xf numFmtId="0" fontId="7" fillId="23" borderId="0" xfId="3" applyNumberFormat="1" applyFont="1" applyFill="1" applyBorder="1" applyAlignment="1">
      <alignment horizontal="right"/>
    </xf>
    <xf numFmtId="0" fontId="8" fillId="23" borderId="0" xfId="0" applyNumberFormat="1" applyFont="1" applyFill="1"/>
    <xf numFmtId="0" fontId="0" fillId="23" borderId="0" xfId="0" applyNumberFormat="1" applyFill="1"/>
    <xf numFmtId="0" fontId="11" fillId="0" borderId="1" xfId="0" applyNumberFormat="1" applyFont="1" applyFill="1" applyBorder="1"/>
    <xf numFmtId="0" fontId="9" fillId="0" borderId="0" xfId="3" quotePrefix="1" applyNumberFormat="1" applyFont="1" applyBorder="1"/>
    <xf numFmtId="0" fontId="7" fillId="0" borderId="0" xfId="3" applyNumberFormat="1" applyFont="1" applyBorder="1"/>
    <xf numFmtId="0" fontId="7" fillId="0" borderId="0" xfId="3" applyNumberFormat="1" applyFont="1" applyBorder="1" applyAlignment="1">
      <alignment horizontal="right"/>
    </xf>
    <xf numFmtId="0" fontId="0" fillId="0" borderId="21" xfId="0" applyNumberFormat="1" applyBorder="1"/>
    <xf numFmtId="0" fontId="0" fillId="0" borderId="21" xfId="0" applyNumberFormat="1" applyFill="1" applyBorder="1"/>
    <xf numFmtId="0" fontId="9" fillId="0" borderId="0" xfId="3" applyNumberFormat="1" applyFont="1" applyBorder="1"/>
    <xf numFmtId="0" fontId="0" fillId="0" borderId="8" xfId="0" applyNumberFormat="1" applyFill="1" applyBorder="1"/>
    <xf numFmtId="0" fontId="10" fillId="0" borderId="0" xfId="3" applyNumberFormat="1" applyFont="1" applyFill="1" applyBorder="1" applyAlignment="1">
      <alignment horizontal="left" wrapText="1" shrinkToFit="1"/>
    </xf>
    <xf numFmtId="0" fontId="7" fillId="0" borderId="0" xfId="3" applyNumberFormat="1" applyFont="1" applyFill="1" applyBorder="1"/>
    <xf numFmtId="0" fontId="7" fillId="0" borderId="0" xfId="3" applyNumberFormat="1" applyFont="1" applyFill="1" applyBorder="1" applyAlignment="1">
      <alignment horizontal="right"/>
    </xf>
    <xf numFmtId="0" fontId="6" fillId="0" borderId="0" xfId="3" applyNumberFormat="1" applyFont="1" applyFill="1" applyBorder="1" applyAlignment="1">
      <alignment horizontal="right"/>
    </xf>
    <xf numFmtId="0" fontId="8" fillId="0" borderId="0" xfId="3" applyNumberFormat="1" applyFont="1" applyFill="1" applyBorder="1"/>
    <xf numFmtId="0" fontId="9" fillId="0" borderId="0" xfId="3" quotePrefix="1" applyNumberFormat="1" applyFont="1" applyFill="1" applyBorder="1"/>
    <xf numFmtId="0" fontId="9" fillId="0" borderId="0" xfId="3" applyNumberFormat="1" applyFont="1" applyFill="1" applyBorder="1"/>
    <xf numFmtId="0" fontId="11" fillId="0" borderId="0" xfId="3" applyNumberFormat="1" applyFont="1" applyFill="1" applyBorder="1"/>
    <xf numFmtId="0" fontId="43" fillId="0" borderId="0" xfId="3" applyNumberFormat="1" applyFont="1" applyFill="1" applyBorder="1" applyAlignment="1">
      <alignment horizontal="right"/>
    </xf>
    <xf numFmtId="0" fontId="6" fillId="0" borderId="0" xfId="3" quotePrefix="1" applyNumberFormat="1" applyFont="1" applyFill="1" applyBorder="1"/>
    <xf numFmtId="0" fontId="37" fillId="0" borderId="0" xfId="3" applyNumberFormat="1" applyFont="1" applyFill="1" applyBorder="1"/>
    <xf numFmtId="0" fontId="37" fillId="0" borderId="0" xfId="3" applyNumberFormat="1" applyFont="1" applyFill="1" applyBorder="1" applyAlignment="1">
      <alignment horizontal="right"/>
    </xf>
    <xf numFmtId="0" fontId="0" fillId="15" borderId="3" xfId="3" applyNumberFormat="1" applyFont="1" applyFill="1" applyBorder="1" applyAlignment="1">
      <alignment horizontal="left"/>
    </xf>
    <xf numFmtId="0" fontId="0" fillId="12" borderId="3" xfId="3" applyNumberFormat="1" applyFont="1" applyFill="1" applyBorder="1" applyAlignment="1">
      <alignment horizontal="left"/>
    </xf>
    <xf numFmtId="0" fontId="0" fillId="7" borderId="3" xfId="3" applyNumberFormat="1" applyFont="1" applyFill="1" applyBorder="1" applyAlignment="1">
      <alignment horizontal="left"/>
    </xf>
    <xf numFmtId="0" fontId="0" fillId="10" borderId="3" xfId="3" applyNumberFormat="1" applyFont="1" applyFill="1" applyBorder="1" applyAlignment="1">
      <alignment horizontal="left"/>
    </xf>
    <xf numFmtId="0" fontId="0" fillId="4" borderId="3" xfId="3" applyNumberFormat="1" applyFont="1" applyFill="1" applyBorder="1" applyAlignment="1">
      <alignment horizontal="left"/>
    </xf>
    <xf numFmtId="0" fontId="0" fillId="2" borderId="3" xfId="3" applyNumberFormat="1" applyFont="1" applyFill="1" applyBorder="1" applyAlignment="1">
      <alignment horizontal="left"/>
    </xf>
    <xf numFmtId="0" fontId="0" fillId="8" borderId="3" xfId="3" applyNumberFormat="1" applyFont="1" applyFill="1" applyBorder="1" applyAlignment="1">
      <alignment horizontal="left"/>
    </xf>
    <xf numFmtId="0" fontId="0" fillId="19" borderId="3" xfId="3" applyNumberFormat="1" applyFont="1" applyFill="1" applyBorder="1" applyAlignment="1">
      <alignment horizontal="left"/>
    </xf>
    <xf numFmtId="0" fontId="0" fillId="20" borderId="3" xfId="3" applyNumberFormat="1" applyFont="1" applyFill="1" applyBorder="1" applyAlignment="1">
      <alignment horizontal="left"/>
    </xf>
    <xf numFmtId="0" fontId="0" fillId="0" borderId="22" xfId="3" applyNumberFormat="1" applyFont="1" applyBorder="1" applyAlignment="1">
      <alignment horizontal="left"/>
    </xf>
    <xf numFmtId="0" fontId="0" fillId="0" borderId="21" xfId="3" applyNumberFormat="1" applyFont="1" applyBorder="1"/>
    <xf numFmtId="0" fontId="7" fillId="15" borderId="5" xfId="3" applyNumberFormat="1" applyFont="1" applyFill="1" applyBorder="1" applyAlignment="1">
      <alignment horizontal="center"/>
    </xf>
    <xf numFmtId="0" fontId="7" fillId="12" borderId="5" xfId="3" applyNumberFormat="1" applyFont="1" applyFill="1" applyBorder="1" applyAlignment="1">
      <alignment horizontal="center"/>
    </xf>
    <xf numFmtId="0" fontId="7" fillId="7" borderId="5" xfId="3" applyNumberFormat="1" applyFont="1" applyFill="1" applyBorder="1" applyAlignment="1">
      <alignment horizontal="center"/>
    </xf>
    <xf numFmtId="0" fontId="7" fillId="10" borderId="5" xfId="3" applyNumberFormat="1" applyFont="1" applyFill="1" applyBorder="1" applyAlignment="1">
      <alignment horizontal="center"/>
    </xf>
    <xf numFmtId="0" fontId="7" fillId="4" borderId="5" xfId="3" applyNumberFormat="1" applyFont="1" applyFill="1" applyBorder="1" applyAlignment="1">
      <alignment horizontal="center"/>
    </xf>
    <xf numFmtId="0" fontId="7" fillId="2" borderId="5" xfId="3" applyNumberFormat="1" applyFont="1" applyFill="1" applyBorder="1" applyAlignment="1">
      <alignment horizontal="center"/>
    </xf>
    <xf numFmtId="0" fontId="7" fillId="8" borderId="5" xfId="3" applyNumberFormat="1" applyFont="1" applyFill="1" applyBorder="1" applyAlignment="1">
      <alignment horizontal="center"/>
    </xf>
    <xf numFmtId="0" fontId="7" fillId="19" borderId="5" xfId="3" applyNumberFormat="1" applyFont="1" applyFill="1" applyBorder="1" applyAlignment="1">
      <alignment horizontal="center"/>
    </xf>
    <xf numFmtId="0" fontId="7" fillId="20" borderId="5" xfId="3" applyNumberFormat="1" applyFont="1" applyFill="1" applyBorder="1" applyAlignment="1">
      <alignment horizontal="center"/>
    </xf>
    <xf numFmtId="0" fontId="7" fillId="0" borderId="21" xfId="3" applyNumberFormat="1" applyFont="1" applyBorder="1" applyAlignment="1">
      <alignment horizontal="center"/>
    </xf>
    <xf numFmtId="0" fontId="6" fillId="0" borderId="1" xfId="3" applyNumberFormat="1" applyFont="1" applyBorder="1"/>
    <xf numFmtId="0" fontId="7" fillId="0" borderId="1" xfId="3" applyNumberFormat="1" applyFont="1" applyBorder="1"/>
    <xf numFmtId="0" fontId="6" fillId="15" borderId="2" xfId="3" applyNumberFormat="1" applyFont="1" applyFill="1" applyBorder="1" applyAlignment="1">
      <alignment horizontal="right"/>
    </xf>
    <xf numFmtId="0" fontId="6" fillId="15" borderId="3" xfId="3" applyNumberFormat="1" applyFont="1" applyFill="1" applyBorder="1" applyAlignment="1">
      <alignment horizontal="right"/>
    </xf>
    <xf numFmtId="0" fontId="6" fillId="12" borderId="3" xfId="3" applyNumberFormat="1" applyFont="1" applyFill="1" applyBorder="1" applyAlignment="1">
      <alignment horizontal="right"/>
    </xf>
    <xf numFmtId="0" fontId="6" fillId="0" borderId="3" xfId="3" applyNumberFormat="1" applyFont="1" applyBorder="1" applyAlignment="1">
      <alignment horizontal="right"/>
    </xf>
    <xf numFmtId="0" fontId="6" fillId="7" borderId="3" xfId="3" applyNumberFormat="1" applyFont="1" applyFill="1" applyBorder="1" applyAlignment="1">
      <alignment horizontal="right"/>
    </xf>
    <xf numFmtId="0" fontId="6" fillId="10" borderId="3" xfId="3" applyNumberFormat="1" applyFont="1" applyFill="1" applyBorder="1" applyAlignment="1">
      <alignment horizontal="right"/>
    </xf>
    <xf numFmtId="0" fontId="6" fillId="4" borderId="3" xfId="3" applyNumberFormat="1" applyFont="1" applyFill="1" applyBorder="1" applyAlignment="1">
      <alignment horizontal="right"/>
    </xf>
    <xf numFmtId="0" fontId="6" fillId="2" borderId="3" xfId="3" applyNumberFormat="1" applyFont="1" applyFill="1" applyBorder="1" applyAlignment="1">
      <alignment horizontal="right"/>
    </xf>
    <xf numFmtId="0" fontId="6" fillId="8" borderId="3" xfId="3" applyNumberFormat="1" applyFont="1" applyFill="1" applyBorder="1" applyAlignment="1">
      <alignment horizontal="right"/>
    </xf>
    <xf numFmtId="0" fontId="6" fillId="19" borderId="3" xfId="3" applyNumberFormat="1" applyFont="1" applyFill="1" applyBorder="1" applyAlignment="1">
      <alignment horizontal="right"/>
    </xf>
    <xf numFmtId="0" fontId="6" fillId="20" borderId="3" xfId="3" applyNumberFormat="1" applyFont="1" applyFill="1" applyBorder="1" applyAlignment="1">
      <alignment horizontal="right"/>
    </xf>
    <xf numFmtId="0" fontId="7" fillId="0" borderId="1" xfId="3" applyNumberFormat="1" applyFont="1" applyBorder="1" applyAlignment="1">
      <alignment horizontal="right"/>
    </xf>
    <xf numFmtId="0" fontId="6" fillId="0" borderId="8" xfId="3" applyNumberFormat="1" applyFont="1" applyBorder="1"/>
    <xf numFmtId="0" fontId="6" fillId="20" borderId="0" xfId="3" applyNumberFormat="1" applyFont="1" applyFill="1" applyBorder="1" applyAlignment="1">
      <alignment horizontal="right"/>
    </xf>
    <xf numFmtId="0" fontId="6" fillId="0" borderId="7" xfId="3" applyNumberFormat="1" applyFont="1" applyBorder="1"/>
    <xf numFmtId="0" fontId="7" fillId="0" borderId="7" xfId="3" applyNumberFormat="1" applyFont="1" applyBorder="1"/>
    <xf numFmtId="0" fontId="6" fillId="15" borderId="4" xfId="3" applyNumberFormat="1" applyFont="1" applyFill="1" applyBorder="1" applyAlignment="1">
      <alignment horizontal="right"/>
    </xf>
    <xf numFmtId="0" fontId="6" fillId="15" borderId="5" xfId="3" applyNumberFormat="1" applyFont="1" applyFill="1" applyBorder="1" applyAlignment="1">
      <alignment horizontal="right"/>
    </xf>
    <xf numFmtId="0" fontId="6" fillId="12" borderId="5" xfId="3" applyNumberFormat="1" applyFont="1" applyFill="1" applyBorder="1" applyAlignment="1">
      <alignment horizontal="right"/>
    </xf>
    <xf numFmtId="0" fontId="6" fillId="7" borderId="5" xfId="3" applyNumberFormat="1" applyFont="1" applyFill="1" applyBorder="1" applyAlignment="1">
      <alignment horizontal="right"/>
    </xf>
    <xf numFmtId="0" fontId="6" fillId="10" borderId="5" xfId="3" applyNumberFormat="1" applyFont="1" applyFill="1" applyBorder="1" applyAlignment="1">
      <alignment horizontal="right"/>
    </xf>
    <xf numFmtId="0" fontId="6" fillId="4" borderId="5" xfId="3" applyNumberFormat="1" applyFont="1" applyFill="1" applyBorder="1" applyAlignment="1">
      <alignment horizontal="right"/>
    </xf>
    <xf numFmtId="0" fontId="6" fillId="2" borderId="5" xfId="3" applyNumberFormat="1" applyFont="1" applyFill="1" applyBorder="1" applyAlignment="1">
      <alignment horizontal="right"/>
    </xf>
    <xf numFmtId="0" fontId="6" fillId="8" borderId="5" xfId="3" applyNumberFormat="1" applyFont="1" applyFill="1" applyBorder="1" applyAlignment="1">
      <alignment horizontal="right"/>
    </xf>
    <xf numFmtId="0" fontId="6" fillId="19" borderId="5" xfId="3" applyNumberFormat="1" applyFont="1" applyFill="1" applyBorder="1" applyAlignment="1">
      <alignment horizontal="right"/>
    </xf>
    <xf numFmtId="0" fontId="6" fillId="20" borderId="5" xfId="3" applyNumberFormat="1" applyFont="1" applyFill="1" applyBorder="1" applyAlignment="1">
      <alignment horizontal="right"/>
    </xf>
    <xf numFmtId="0" fontId="6" fillId="15" borderId="6" xfId="3" applyNumberFormat="1" applyFont="1" applyFill="1" applyBorder="1"/>
    <xf numFmtId="0" fontId="6" fillId="15" borderId="0" xfId="3" applyNumberFormat="1" applyFont="1" applyFill="1" applyBorder="1"/>
    <xf numFmtId="0" fontId="6" fillId="12" borderId="0" xfId="3" applyNumberFormat="1" applyFont="1" applyFill="1" applyBorder="1"/>
    <xf numFmtId="0" fontId="6" fillId="0" borderId="0" xfId="3" applyNumberFormat="1" applyFont="1" applyBorder="1"/>
    <xf numFmtId="0" fontId="6" fillId="7" borderId="0" xfId="3" applyNumberFormat="1" applyFont="1" applyFill="1" applyBorder="1"/>
    <xf numFmtId="0" fontId="6" fillId="10" borderId="0" xfId="3" applyNumberFormat="1" applyFont="1" applyFill="1" applyBorder="1"/>
    <xf numFmtId="0" fontId="6" fillId="4" borderId="0" xfId="3" applyNumberFormat="1" applyFont="1" applyFill="1" applyBorder="1"/>
    <xf numFmtId="0" fontId="6" fillId="2" borderId="0" xfId="3" applyNumberFormat="1" applyFont="1" applyFill="1" applyBorder="1"/>
    <xf numFmtId="0" fontId="6" fillId="8" borderId="0" xfId="3" applyNumberFormat="1" applyFont="1" applyFill="1" applyBorder="1"/>
    <xf numFmtId="0" fontId="6" fillId="19" borderId="0" xfId="3" applyNumberFormat="1" applyFont="1" applyFill="1" applyBorder="1"/>
    <xf numFmtId="0" fontId="6" fillId="20" borderId="0" xfId="3" applyNumberFormat="1" applyFont="1" applyFill="1" applyBorder="1"/>
    <xf numFmtId="0" fontId="6" fillId="0" borderId="21" xfId="3" applyNumberFormat="1" applyFont="1" applyBorder="1"/>
    <xf numFmtId="0" fontId="6" fillId="15" borderId="19" xfId="3" quotePrefix="1" applyNumberFormat="1" applyFont="1" applyFill="1" applyBorder="1" applyAlignment="1">
      <alignment horizontal="right"/>
    </xf>
    <xf numFmtId="0" fontId="6" fillId="15" borderId="20" xfId="3" quotePrefix="1" applyNumberFormat="1" applyFont="1" applyFill="1" applyBorder="1" applyAlignment="1">
      <alignment horizontal="right"/>
    </xf>
    <xf numFmtId="0" fontId="6" fillId="12" borderId="20" xfId="3" quotePrefix="1" applyNumberFormat="1" applyFont="1" applyFill="1" applyBorder="1" applyAlignment="1">
      <alignment horizontal="right"/>
    </xf>
    <xf numFmtId="0" fontId="6" fillId="0" borderId="20" xfId="3" quotePrefix="1" applyNumberFormat="1" applyFont="1" applyBorder="1" applyAlignment="1">
      <alignment horizontal="right"/>
    </xf>
    <xf numFmtId="0" fontId="6" fillId="7" borderId="20" xfId="3" quotePrefix="1" applyNumberFormat="1" applyFont="1" applyFill="1" applyBorder="1" applyAlignment="1">
      <alignment horizontal="right"/>
    </xf>
    <xf numFmtId="0" fontId="6" fillId="10" borderId="20" xfId="3" quotePrefix="1" applyNumberFormat="1" applyFont="1" applyFill="1" applyBorder="1" applyAlignment="1">
      <alignment horizontal="right"/>
    </xf>
    <xf numFmtId="0" fontId="6" fillId="4" borderId="20" xfId="3" quotePrefix="1" applyNumberFormat="1" applyFont="1" applyFill="1" applyBorder="1" applyAlignment="1">
      <alignment horizontal="right"/>
    </xf>
    <xf numFmtId="0" fontId="6" fillId="2" borderId="20" xfId="3" quotePrefix="1" applyNumberFormat="1" applyFont="1" applyFill="1" applyBorder="1" applyAlignment="1">
      <alignment horizontal="right"/>
    </xf>
    <xf numFmtId="0" fontId="6" fillId="8" borderId="20" xfId="3" quotePrefix="1" applyNumberFormat="1" applyFont="1" applyFill="1" applyBorder="1" applyAlignment="1">
      <alignment horizontal="right"/>
    </xf>
    <xf numFmtId="0" fontId="6" fillId="19" borderId="20" xfId="3" quotePrefix="1" applyNumberFormat="1" applyFont="1" applyFill="1" applyBorder="1" applyAlignment="1">
      <alignment horizontal="right"/>
    </xf>
    <xf numFmtId="0" fontId="6" fillId="20" borderId="20" xfId="3" quotePrefix="1" applyNumberFormat="1" applyFont="1" applyFill="1" applyBorder="1" applyAlignment="1">
      <alignment horizontal="right"/>
    </xf>
    <xf numFmtId="0" fontId="7" fillId="0" borderId="21" xfId="3" quotePrefix="1" applyNumberFormat="1" applyFont="1" applyBorder="1" applyAlignment="1">
      <alignment horizontal="right"/>
    </xf>
    <xf numFmtId="0" fontId="6" fillId="15" borderId="0" xfId="3" applyNumberFormat="1" applyFont="1" applyFill="1"/>
    <xf numFmtId="0" fontId="6" fillId="12" borderId="0" xfId="3" applyNumberFormat="1" applyFont="1" applyFill="1"/>
    <xf numFmtId="0" fontId="6" fillId="0" borderId="0" xfId="3" applyNumberFormat="1" applyFont="1"/>
    <xf numFmtId="0" fontId="6" fillId="7" borderId="0" xfId="3" applyNumberFormat="1" applyFont="1" applyFill="1"/>
    <xf numFmtId="0" fontId="6" fillId="10" borderId="0" xfId="3" applyNumberFormat="1" applyFont="1" applyFill="1"/>
    <xf numFmtId="0" fontId="6" fillId="4" borderId="0" xfId="3" applyNumberFormat="1" applyFont="1" applyFill="1"/>
    <xf numFmtId="0" fontId="6" fillId="2" borderId="0" xfId="3" applyNumberFormat="1" applyFont="1" applyFill="1"/>
    <xf numFmtId="0" fontId="6" fillId="8" borderId="0" xfId="3" applyNumberFormat="1" applyFont="1" applyFill="1"/>
    <xf numFmtId="0" fontId="6" fillId="19" borderId="0" xfId="3" applyNumberFormat="1" applyFont="1" applyFill="1"/>
    <xf numFmtId="0" fontId="6" fillId="20" borderId="0" xfId="3" applyNumberFormat="1" applyFont="1" applyFill="1"/>
    <xf numFmtId="0" fontId="3" fillId="0" borderId="3" xfId="3" applyNumberFormat="1" applyFont="1" applyBorder="1" applyAlignment="1">
      <alignment horizontal="left"/>
    </xf>
    <xf numFmtId="0" fontId="3" fillId="15" borderId="3" xfId="3" applyNumberFormat="1" applyFont="1" applyFill="1" applyBorder="1" applyAlignment="1">
      <alignment horizontal="left"/>
    </xf>
    <xf numFmtId="0" fontId="3" fillId="12" borderId="3" xfId="3" applyNumberFormat="1" applyFont="1" applyFill="1" applyBorder="1" applyAlignment="1">
      <alignment horizontal="left"/>
    </xf>
    <xf numFmtId="0" fontId="3" fillId="7" borderId="3" xfId="3" applyNumberFormat="1" applyFont="1" applyFill="1" applyBorder="1" applyAlignment="1">
      <alignment horizontal="left"/>
    </xf>
    <xf numFmtId="0" fontId="3" fillId="10" borderId="3" xfId="3" applyNumberFormat="1" applyFont="1" applyFill="1" applyBorder="1" applyAlignment="1">
      <alignment horizontal="left"/>
    </xf>
    <xf numFmtId="0" fontId="3" fillId="4" borderId="3" xfId="3" applyNumberFormat="1" applyFont="1" applyFill="1" applyBorder="1" applyAlignment="1">
      <alignment horizontal="left"/>
    </xf>
    <xf numFmtId="0" fontId="3" fillId="2" borderId="3" xfId="3" applyNumberFormat="1" applyFont="1" applyFill="1" applyBorder="1" applyAlignment="1">
      <alignment horizontal="left"/>
    </xf>
    <xf numFmtId="0" fontId="3" fillId="8" borderId="3" xfId="3" applyNumberFormat="1" applyFont="1" applyFill="1" applyBorder="1" applyAlignment="1">
      <alignment horizontal="left"/>
    </xf>
    <xf numFmtId="0" fontId="3" fillId="19" borderId="3" xfId="3" applyNumberFormat="1" applyFont="1" applyFill="1" applyBorder="1" applyAlignment="1">
      <alignment horizontal="left"/>
    </xf>
    <xf numFmtId="0" fontId="3" fillId="20" borderId="3" xfId="3" applyNumberFormat="1" applyFont="1" applyFill="1" applyBorder="1" applyAlignment="1">
      <alignment horizontal="left"/>
    </xf>
    <xf numFmtId="0" fontId="3" fillId="0" borderId="22" xfId="3" applyNumberFormat="1" applyFont="1" applyBorder="1" applyAlignment="1">
      <alignment horizontal="left"/>
    </xf>
    <xf numFmtId="0" fontId="0" fillId="0" borderId="4" xfId="3" applyNumberFormat="1" applyFont="1" applyBorder="1" applyAlignment="1">
      <alignment horizontal="center"/>
    </xf>
    <xf numFmtId="0" fontId="0" fillId="0" borderId="21" xfId="3" applyNumberFormat="1" applyFont="1" applyBorder="1" applyAlignment="1">
      <alignment horizontal="center"/>
    </xf>
    <xf numFmtId="0" fontId="6" fillId="15" borderId="19" xfId="3" applyNumberFormat="1" applyFont="1" applyFill="1" applyBorder="1" applyAlignment="1">
      <alignment horizontal="right"/>
    </xf>
    <xf numFmtId="0" fontId="6" fillId="15" borderId="20" xfId="3" applyNumberFormat="1" applyFont="1" applyFill="1" applyBorder="1" applyAlignment="1">
      <alignment horizontal="right"/>
    </xf>
    <xf numFmtId="0" fontId="6" fillId="12" borderId="20" xfId="3" applyNumberFormat="1" applyFont="1" applyFill="1" applyBorder="1" applyAlignment="1">
      <alignment horizontal="right"/>
    </xf>
    <xf numFmtId="0" fontId="6" fillId="0" borderId="20" xfId="3" applyNumberFormat="1" applyFont="1" applyBorder="1" applyAlignment="1">
      <alignment horizontal="right"/>
    </xf>
    <xf numFmtId="0" fontId="6" fillId="7" borderId="20" xfId="3" applyNumberFormat="1" applyFont="1" applyFill="1" applyBorder="1" applyAlignment="1">
      <alignment horizontal="right"/>
    </xf>
    <xf numFmtId="0" fontId="6" fillId="10" borderId="20" xfId="3" applyNumberFormat="1" applyFont="1" applyFill="1" applyBorder="1" applyAlignment="1">
      <alignment horizontal="right"/>
    </xf>
    <xf numFmtId="0" fontId="6" fillId="4" borderId="20" xfId="3" applyNumberFormat="1" applyFont="1" applyFill="1" applyBorder="1" applyAlignment="1">
      <alignment horizontal="right"/>
    </xf>
    <xf numFmtId="0" fontId="6" fillId="2" borderId="20" xfId="3" applyNumberFormat="1" applyFont="1" applyFill="1" applyBorder="1" applyAlignment="1">
      <alignment horizontal="right"/>
    </xf>
    <xf numFmtId="0" fontId="6" fillId="8" borderId="20" xfId="3" applyNumberFormat="1" applyFont="1" applyFill="1" applyBorder="1" applyAlignment="1">
      <alignment horizontal="right"/>
    </xf>
    <xf numFmtId="0" fontId="6" fillId="19" borderId="20" xfId="3" applyNumberFormat="1" applyFont="1" applyFill="1" applyBorder="1" applyAlignment="1">
      <alignment horizontal="right"/>
    </xf>
    <xf numFmtId="0" fontId="6" fillId="20" borderId="20" xfId="3" applyNumberFormat="1" applyFont="1" applyFill="1" applyBorder="1" applyAlignment="1">
      <alignment horizontal="right"/>
    </xf>
    <xf numFmtId="0" fontId="8" fillId="0" borderId="0" xfId="3" applyNumberFormat="1" applyFont="1" applyFill="1"/>
    <xf numFmtId="0" fontId="0" fillId="0" borderId="0" xfId="0" applyNumberFormat="1" applyFont="1"/>
    <xf numFmtId="0" fontId="0" fillId="0" borderId="0" xfId="3" applyNumberFormat="1" applyFont="1" applyBorder="1" applyAlignment="1">
      <alignment horizontal="left"/>
    </xf>
    <xf numFmtId="0" fontId="11" fillId="0" borderId="0" xfId="3" applyNumberFormat="1" applyFont="1" applyFill="1"/>
    <xf numFmtId="0" fontId="3" fillId="0" borderId="0" xfId="0" applyNumberFormat="1" applyFont="1" applyFill="1" applyBorder="1"/>
    <xf numFmtId="0" fontId="3" fillId="0" borderId="0" xfId="3" applyNumberFormat="1" applyFont="1" applyFill="1"/>
    <xf numFmtId="0" fontId="3" fillId="0" borderId="0" xfId="0" applyNumberFormat="1" applyFont="1" applyFill="1"/>
    <xf numFmtId="0" fontId="31" fillId="27" borderId="0" xfId="0" applyNumberFormat="1" applyFont="1" applyFill="1" applyBorder="1"/>
    <xf numFmtId="0" fontId="0" fillId="0" borderId="0" xfId="0" applyNumberFormat="1" applyFont="1" applyFill="1" applyBorder="1"/>
    <xf numFmtId="0" fontId="0" fillId="0" borderId="0" xfId="0" applyNumberFormat="1" applyFill="1" applyBorder="1" applyAlignment="1">
      <alignment horizontal="right"/>
    </xf>
    <xf numFmtId="0" fontId="3" fillId="0" borderId="0" xfId="0" applyNumberFormat="1" applyFont="1" applyFill="1" applyBorder="1" applyAlignment="1">
      <alignment horizontal="right"/>
    </xf>
    <xf numFmtId="0" fontId="11" fillId="24" borderId="0" xfId="0" applyFont="1" applyFill="1"/>
    <xf numFmtId="0" fontId="0" fillId="24" borderId="0" xfId="0" applyFill="1"/>
    <xf numFmtId="10" fontId="30" fillId="0" borderId="0" xfId="8" applyNumberFormat="1" applyFont="1"/>
    <xf numFmtId="0" fontId="44" fillId="21" borderId="0" xfId="6" applyFont="1" applyFill="1"/>
    <xf numFmtId="0" fontId="0" fillId="28" borderId="15" xfId="0" applyFill="1" applyBorder="1"/>
    <xf numFmtId="0" fontId="0" fillId="28" borderId="15" xfId="0" applyNumberFormat="1" applyFill="1" applyBorder="1"/>
    <xf numFmtId="0" fontId="0" fillId="28" borderId="0" xfId="0" applyNumberFormat="1" applyFill="1"/>
    <xf numFmtId="0" fontId="0" fillId="28" borderId="16" xfId="0" applyNumberFormat="1" applyFill="1" applyBorder="1"/>
    <xf numFmtId="0" fontId="0" fillId="28" borderId="0" xfId="0" applyFill="1"/>
    <xf numFmtId="0" fontId="0" fillId="29" borderId="15" xfId="0" applyFill="1" applyBorder="1"/>
    <xf numFmtId="0" fontId="0" fillId="29" borderId="15" xfId="0" applyNumberFormat="1" applyFill="1" applyBorder="1"/>
    <xf numFmtId="0" fontId="0" fillId="29" borderId="0" xfId="0" applyNumberFormat="1" applyFill="1"/>
    <xf numFmtId="0" fontId="0" fillId="29" borderId="16" xfId="0" applyNumberFormat="1" applyFill="1" applyBorder="1"/>
    <xf numFmtId="0" fontId="0" fillId="29" borderId="0" xfId="0" applyFill="1"/>
    <xf numFmtId="0" fontId="0" fillId="21" borderId="21" xfId="0" applyNumberFormat="1" applyFill="1" applyBorder="1"/>
    <xf numFmtId="0" fontId="11" fillId="21" borderId="1" xfId="0" applyNumberFormat="1" applyFont="1" applyFill="1" applyBorder="1"/>
    <xf numFmtId="0" fontId="31" fillId="21" borderId="21" xfId="0" applyNumberFormat="1" applyFont="1" applyFill="1" applyBorder="1"/>
    <xf numFmtId="171" fontId="0" fillId="0" borderId="21" xfId="0" applyNumberFormat="1" applyFill="1" applyBorder="1"/>
    <xf numFmtId="2" fontId="0" fillId="0" borderId="21" xfId="0" applyNumberFormat="1" applyFill="1" applyBorder="1"/>
    <xf numFmtId="0" fontId="0" fillId="30" borderId="0" xfId="0" applyFill="1"/>
    <xf numFmtId="0" fontId="8" fillId="0" borderId="9" xfId="0" applyFont="1" applyBorder="1"/>
    <xf numFmtId="0" fontId="8" fillId="0" borderId="9" xfId="0" pivotButton="1" applyFont="1" applyBorder="1"/>
    <xf numFmtId="0" fontId="8" fillId="0" borderId="17" xfId="0" applyFont="1" applyBorder="1"/>
    <xf numFmtId="0" fontId="8" fillId="0" borderId="15" xfId="0" applyFont="1" applyBorder="1"/>
    <xf numFmtId="0" fontId="8" fillId="0" borderId="9" xfId="0" applyNumberFormat="1" applyFont="1" applyBorder="1"/>
    <xf numFmtId="0" fontId="8" fillId="0" borderId="15" xfId="0" applyNumberFormat="1" applyFont="1" applyBorder="1"/>
    <xf numFmtId="0" fontId="8" fillId="0" borderId="11" xfId="0" applyFont="1" applyBorder="1"/>
    <xf numFmtId="0" fontId="8" fillId="0" borderId="11" xfId="0" applyNumberFormat="1" applyFont="1" applyBorder="1"/>
    <xf numFmtId="0" fontId="8" fillId="0" borderId="13" xfId="0" applyFont="1" applyBorder="1"/>
    <xf numFmtId="0" fontId="8" fillId="0" borderId="13" xfId="0" applyNumberFormat="1" applyFont="1" applyBorder="1"/>
    <xf numFmtId="0" fontId="8" fillId="0" borderId="16" xfId="0" applyNumberFormat="1" applyFont="1" applyBorder="1"/>
    <xf numFmtId="0" fontId="42" fillId="0" borderId="0" xfId="0" applyFont="1"/>
    <xf numFmtId="0" fontId="8" fillId="30" borderId="0" xfId="0" applyFont="1" applyFill="1"/>
    <xf numFmtId="0" fontId="8" fillId="30" borderId="18" xfId="0" applyFont="1" applyFill="1" applyBorder="1"/>
    <xf numFmtId="0" fontId="8" fillId="30" borderId="10" xfId="0" applyFont="1" applyFill="1" applyBorder="1"/>
    <xf numFmtId="0" fontId="8" fillId="30" borderId="10" xfId="0" applyNumberFormat="1" applyFont="1" applyFill="1" applyBorder="1"/>
    <xf numFmtId="0" fontId="8" fillId="30" borderId="12" xfId="0" applyNumberFormat="1" applyFont="1" applyFill="1" applyBorder="1"/>
    <xf numFmtId="0" fontId="8" fillId="30" borderId="14" xfId="0" applyNumberFormat="1" applyFont="1" applyFill="1" applyBorder="1"/>
    <xf numFmtId="0" fontId="42" fillId="0" borderId="0" xfId="0" applyFont="1" applyFill="1"/>
    <xf numFmtId="0" fontId="8" fillId="0" borderId="0" xfId="0" applyFont="1" applyFill="1"/>
    <xf numFmtId="0" fontId="4" fillId="0" borderId="0" xfId="0" applyFont="1"/>
    <xf numFmtId="0" fontId="4" fillId="30" borderId="0" xfId="0" applyFont="1" applyFill="1"/>
    <xf numFmtId="0" fontId="41" fillId="0" borderId="0" xfId="0" applyFont="1"/>
    <xf numFmtId="0" fontId="45" fillId="0" borderId="0" xfId="0" applyFont="1" applyFill="1"/>
    <xf numFmtId="0" fontId="45" fillId="0" borderId="0" xfId="0" applyFont="1"/>
    <xf numFmtId="0" fontId="45" fillId="30" borderId="0" xfId="0" applyFont="1" applyFill="1"/>
    <xf numFmtId="0" fontId="46" fillId="0" borderId="0" xfId="3" applyFont="1"/>
    <xf numFmtId="0" fontId="47" fillId="0" borderId="0" xfId="0" applyFont="1"/>
    <xf numFmtId="0" fontId="3" fillId="30" borderId="0" xfId="3" applyFont="1" applyFill="1"/>
    <xf numFmtId="0" fontId="34" fillId="0" borderId="0" xfId="3" applyFont="1"/>
    <xf numFmtId="169" fontId="46" fillId="0" borderId="0" xfId="1" applyNumberFormat="1" applyFont="1" applyFill="1"/>
    <xf numFmtId="169" fontId="47" fillId="0" borderId="0" xfId="1" applyNumberFormat="1" applyFont="1" applyFill="1"/>
    <xf numFmtId="0" fontId="34" fillId="0" borderId="0" xfId="3" applyFont="1" applyFill="1"/>
    <xf numFmtId="0" fontId="31" fillId="0" borderId="0" xfId="0" applyFont="1" applyFill="1"/>
    <xf numFmtId="0" fontId="28" fillId="31" borderId="0" xfId="6" applyFill="1"/>
    <xf numFmtId="2" fontId="31" fillId="0" borderId="0" xfId="0" applyNumberFormat="1" applyFont="1" applyBorder="1"/>
    <xf numFmtId="2" fontId="31" fillId="0" borderId="29" xfId="0" applyNumberFormat="1" applyFont="1" applyBorder="1"/>
    <xf numFmtId="0" fontId="0" fillId="22" borderId="0" xfId="0" applyNumberFormat="1" applyFill="1" applyBorder="1"/>
    <xf numFmtId="10" fontId="36" fillId="0" borderId="0" xfId="7" applyNumberFormat="1" applyFont="1"/>
    <xf numFmtId="0" fontId="11" fillId="0" borderId="0" xfId="0" applyNumberFormat="1" applyFont="1" applyFill="1" applyBorder="1"/>
    <xf numFmtId="2" fontId="0" fillId="23" borderId="0" xfId="0" applyNumberFormat="1" applyFill="1" applyBorder="1"/>
    <xf numFmtId="0" fontId="11" fillId="0" borderId="0" xfId="5"/>
    <xf numFmtId="0" fontId="11" fillId="28" borderId="0" xfId="5" applyFill="1"/>
    <xf numFmtId="0" fontId="3" fillId="0" borderId="0" xfId="2" applyNumberFormat="1" applyFont="1"/>
    <xf numFmtId="0" fontId="3" fillId="0" borderId="0" xfId="5" applyFont="1"/>
    <xf numFmtId="0" fontId="3" fillId="28" borderId="0" xfId="5" applyFont="1" applyFill="1"/>
    <xf numFmtId="2" fontId="31" fillId="0" borderId="0" xfId="2" applyNumberFormat="1" applyFont="1" applyFill="1"/>
    <xf numFmtId="0" fontId="31" fillId="0" borderId="0" xfId="2" applyNumberFormat="1" applyFont="1" applyFill="1"/>
    <xf numFmtId="2" fontId="3" fillId="28" borderId="0" xfId="5" applyNumberFormat="1" applyFont="1" applyFill="1"/>
    <xf numFmtId="0" fontId="3" fillId="28" borderId="0" xfId="2" applyNumberFormat="1" applyFont="1" applyFill="1"/>
    <xf numFmtId="2" fontId="11" fillId="0" borderId="0" xfId="5" applyNumberFormat="1"/>
    <xf numFmtId="2" fontId="11" fillId="28" borderId="0" xfId="5" applyNumberFormat="1" applyFill="1"/>
    <xf numFmtId="2" fontId="11" fillId="32" borderId="0" xfId="5" applyNumberFormat="1" applyFill="1"/>
    <xf numFmtId="2" fontId="3" fillId="0" borderId="0" xfId="5" applyNumberFormat="1" applyFont="1"/>
    <xf numFmtId="164" fontId="34" fillId="0" borderId="0" xfId="2" applyFont="1" applyFill="1"/>
    <xf numFmtId="0" fontId="34" fillId="28" borderId="0" xfId="5" applyFont="1" applyFill="1"/>
    <xf numFmtId="0" fontId="34" fillId="32" borderId="0" xfId="5" applyFont="1" applyFill="1"/>
    <xf numFmtId="164" fontId="11" fillId="0" borderId="0" xfId="2" applyFill="1"/>
    <xf numFmtId="0" fontId="3" fillId="4" borderId="0" xfId="5" applyFont="1" applyFill="1"/>
    <xf numFmtId="2" fontId="11" fillId="0" borderId="0" xfId="2" applyNumberFormat="1" applyFill="1"/>
    <xf numFmtId="2" fontId="11" fillId="33" borderId="0" xfId="5" applyNumberFormat="1" applyFill="1"/>
    <xf numFmtId="2" fontId="11" fillId="33" borderId="0" xfId="2" applyNumberFormat="1" applyFill="1"/>
    <xf numFmtId="2" fontId="11" fillId="33" borderId="0" xfId="5" applyNumberFormat="1" applyFont="1" applyFill="1"/>
    <xf numFmtId="2" fontId="11" fillId="23" borderId="0" xfId="5" applyNumberFormat="1" applyFill="1"/>
    <xf numFmtId="2" fontId="11" fillId="0" borderId="0" xfId="2" applyNumberFormat="1" applyFont="1" applyFill="1"/>
    <xf numFmtId="0" fontId="34" fillId="23" borderId="0" xfId="5" applyFont="1" applyFill="1"/>
    <xf numFmtId="2" fontId="31" fillId="32" borderId="0" xfId="5" applyNumberFormat="1" applyFont="1" applyFill="1"/>
    <xf numFmtId="2" fontId="31" fillId="32" borderId="0" xfId="2" applyNumberFormat="1" applyFont="1" applyFill="1"/>
    <xf numFmtId="0" fontId="3" fillId="32" borderId="0" xfId="5" applyFont="1" applyFill="1"/>
    <xf numFmtId="0" fontId="11" fillId="34" borderId="0" xfId="5" applyFill="1"/>
    <xf numFmtId="0" fontId="31" fillId="0" borderId="0" xfId="5" applyFont="1"/>
    <xf numFmtId="0" fontId="11" fillId="0" borderId="0" xfId="5" applyFont="1"/>
    <xf numFmtId="0" fontId="11" fillId="0" borderId="0" xfId="5" applyFont="1" applyFill="1"/>
    <xf numFmtId="2" fontId="31" fillId="0" borderId="0" xfId="5" applyNumberFormat="1" applyFont="1" applyFill="1"/>
    <xf numFmtId="2" fontId="11" fillId="35" borderId="0" xfId="2" applyNumberFormat="1" applyFill="1"/>
    <xf numFmtId="2" fontId="11" fillId="0" borderId="0" xfId="5" applyNumberFormat="1" applyFill="1"/>
    <xf numFmtId="0" fontId="3" fillId="0" borderId="0" xfId="5" applyFont="1" applyFill="1"/>
    <xf numFmtId="0" fontId="34" fillId="0" borderId="0" xfId="5" applyFont="1" applyFill="1"/>
    <xf numFmtId="0" fontId="3" fillId="35" borderId="0" xfId="5" applyFont="1" applyFill="1"/>
    <xf numFmtId="0" fontId="11" fillId="0" borderId="0" xfId="5" applyFill="1"/>
    <xf numFmtId="10" fontId="48" fillId="36" borderId="0" xfId="9" applyNumberFormat="1" applyFont="1" applyFill="1"/>
    <xf numFmtId="10" fontId="11" fillId="36" borderId="0" xfId="9" applyNumberFormat="1" applyFont="1" applyFill="1"/>
    <xf numFmtId="2" fontId="3" fillId="0" borderId="0" xfId="2" applyNumberFormat="1" applyFont="1" applyFill="1"/>
    <xf numFmtId="0" fontId="49" fillId="36" borderId="0" xfId="5" applyFont="1" applyFill="1"/>
    <xf numFmtId="166" fontId="49" fillId="36" borderId="0" xfId="2" applyNumberFormat="1" applyFont="1" applyFill="1"/>
    <xf numFmtId="0" fontId="3" fillId="36" borderId="0" xfId="5" applyFont="1" applyFill="1"/>
    <xf numFmtId="166" fontId="3" fillId="36" borderId="0" xfId="2" applyNumberFormat="1" applyFont="1" applyFill="1"/>
    <xf numFmtId="0" fontId="48" fillId="36" borderId="0" xfId="5" applyFont="1" applyFill="1"/>
    <xf numFmtId="0" fontId="11" fillId="36" borderId="0" xfId="5" applyFill="1"/>
    <xf numFmtId="164" fontId="11" fillId="0" borderId="0" xfId="2"/>
    <xf numFmtId="164" fontId="3" fillId="6" borderId="0" xfId="2" applyFont="1" applyFill="1"/>
    <xf numFmtId="0" fontId="3" fillId="0" borderId="0" xfId="2" applyNumberFormat="1" applyFont="1" applyFill="1"/>
    <xf numFmtId="0" fontId="34" fillId="0" borderId="0" xfId="5" applyFont="1"/>
    <xf numFmtId="0" fontId="34" fillId="0" borderId="0" xfId="2" applyNumberFormat="1" applyFont="1"/>
    <xf numFmtId="0" fontId="31" fillId="28" borderId="0" xfId="5" applyFont="1" applyFill="1"/>
    <xf numFmtId="0" fontId="34" fillId="0" borderId="0" xfId="5" applyNumberFormat="1" applyFont="1"/>
    <xf numFmtId="0" fontId="31" fillId="0" borderId="0" xfId="5" applyNumberFormat="1" applyFont="1"/>
    <xf numFmtId="0" fontId="11" fillId="0" borderId="0" xfId="5" applyNumberFormat="1"/>
    <xf numFmtId="2" fontId="11" fillId="0" borderId="0" xfId="5" applyNumberFormat="1" applyFont="1"/>
    <xf numFmtId="2" fontId="11" fillId="24" borderId="0" xfId="5" applyNumberFormat="1" applyFill="1"/>
    <xf numFmtId="2" fontId="3" fillId="24" borderId="0" xfId="5" applyNumberFormat="1" applyFont="1" applyFill="1"/>
    <xf numFmtId="0" fontId="3" fillId="24" borderId="0" xfId="2" applyNumberFormat="1" applyFont="1" applyFill="1"/>
    <xf numFmtId="2" fontId="34" fillId="24" borderId="0" xfId="5" applyNumberFormat="1" applyFont="1" applyFill="1"/>
    <xf numFmtId="2" fontId="31" fillId="24" borderId="0" xfId="2" applyNumberFormat="1" applyFont="1" applyFill="1"/>
    <xf numFmtId="2" fontId="11" fillId="24" borderId="0" xfId="5" applyNumberFormat="1" applyFont="1" applyFill="1"/>
    <xf numFmtId="0" fontId="31" fillId="24" borderId="0" xfId="5" applyNumberFormat="1" applyFont="1" applyFill="1"/>
    <xf numFmtId="2" fontId="0" fillId="23" borderId="0" xfId="0" applyNumberFormat="1" applyFill="1"/>
    <xf numFmtId="165" fontId="0" fillId="0" borderId="0" xfId="0" applyNumberFormat="1"/>
    <xf numFmtId="165" fontId="0" fillId="23" borderId="0" xfId="0" applyNumberFormat="1" applyFill="1"/>
    <xf numFmtId="165" fontId="0" fillId="0" borderId="0" xfId="0" applyNumberFormat="1" applyFill="1"/>
    <xf numFmtId="0" fontId="34" fillId="0" borderId="0" xfId="0" applyNumberFormat="1" applyFont="1" applyAlignment="1">
      <alignment horizontal="right"/>
    </xf>
    <xf numFmtId="0" fontId="39" fillId="0" borderId="0" xfId="0" applyNumberFormat="1" applyFont="1" applyFill="1" applyBorder="1"/>
    <xf numFmtId="2" fontId="0" fillId="24" borderId="0" xfId="0" applyNumberFormat="1" applyFill="1"/>
    <xf numFmtId="165" fontId="39" fillId="0" borderId="0" xfId="0" applyNumberFormat="1" applyFont="1"/>
    <xf numFmtId="0" fontId="31" fillId="24" borderId="0" xfId="0" applyNumberFormat="1" applyFont="1" applyFill="1" applyBorder="1"/>
    <xf numFmtId="0" fontId="11" fillId="0" borderId="0" xfId="0" applyNumberFormat="1" applyFont="1" applyFill="1"/>
    <xf numFmtId="2" fontId="11" fillId="0" borderId="0" xfId="0" applyNumberFormat="1" applyFont="1" applyFill="1"/>
    <xf numFmtId="0" fontId="11" fillId="23" borderId="0" xfId="0" applyNumberFormat="1" applyFont="1" applyFill="1" applyBorder="1"/>
    <xf numFmtId="0" fontId="0" fillId="0" borderId="0" xfId="0" applyFill="1"/>
    <xf numFmtId="0" fontId="31" fillId="24" borderId="0" xfId="0" applyNumberFormat="1" applyFont="1" applyFill="1"/>
    <xf numFmtId="0" fontId="47" fillId="0" borderId="0" xfId="0" applyNumberFormat="1" applyFont="1" applyBorder="1"/>
    <xf numFmtId="165" fontId="3" fillId="0" borderId="0" xfId="0" applyNumberFormat="1" applyFont="1"/>
    <xf numFmtId="165" fontId="34" fillId="0" borderId="0" xfId="0" applyNumberFormat="1" applyFont="1"/>
    <xf numFmtId="0" fontId="3" fillId="36" borderId="0" xfId="3" applyFont="1" applyFill="1"/>
    <xf numFmtId="0" fontId="0" fillId="36" borderId="0" xfId="0" applyFill="1"/>
    <xf numFmtId="0" fontId="11" fillId="0" borderId="0" xfId="0" applyFont="1" applyFill="1" applyBorder="1"/>
    <xf numFmtId="164" fontId="2" fillId="0" borderId="0" xfId="1" applyFill="1" applyBorder="1"/>
    <xf numFmtId="164" fontId="3" fillId="0" borderId="0" xfId="1" applyFont="1" applyFill="1" applyBorder="1"/>
    <xf numFmtId="0" fontId="0" fillId="0" borderId="0" xfId="0" applyFill="1" applyBorder="1"/>
    <xf numFmtId="164" fontId="2" fillId="0" borderId="0" xfId="1" applyFont="1" applyFill="1" applyBorder="1"/>
    <xf numFmtId="167" fontId="2" fillId="0" borderId="0" xfId="1" applyNumberFormat="1" applyFill="1" applyBorder="1"/>
    <xf numFmtId="0" fontId="0" fillId="0" borderId="0" xfId="3" applyFont="1" applyFill="1" applyBorder="1"/>
    <xf numFmtId="0" fontId="3" fillId="0" borderId="0" xfId="1" applyNumberFormat="1" applyFont="1" applyFill="1" applyBorder="1"/>
    <xf numFmtId="0" fontId="0" fillId="0" borderId="10" xfId="0" applyBorder="1"/>
    <xf numFmtId="0" fontId="25" fillId="0" borderId="0" xfId="6" applyNumberFormat="1" applyFont="1" applyFill="1"/>
    <xf numFmtId="0" fontId="11" fillId="0" borderId="0" xfId="2" applyNumberFormat="1" applyFont="1" applyFill="1"/>
    <xf numFmtId="0" fontId="17" fillId="0" borderId="0" xfId="3" applyNumberFormat="1" applyFont="1" applyAlignment="1">
      <alignment horizontal="right"/>
    </xf>
    <xf numFmtId="0" fontId="17" fillId="0" borderId="0" xfId="3" applyNumberFormat="1" applyFont="1" applyAlignment="1">
      <alignment horizontal="right" wrapText="1"/>
    </xf>
    <xf numFmtId="0" fontId="11" fillId="22" borderId="0" xfId="0" applyFont="1" applyFill="1"/>
    <xf numFmtId="0" fontId="31" fillId="0" borderId="0" xfId="0" applyFont="1" applyFill="1" applyBorder="1"/>
    <xf numFmtId="0" fontId="31" fillId="23" borderId="0" xfId="0" applyFont="1" applyFill="1"/>
    <xf numFmtId="0" fontId="31" fillId="0" borderId="2" xfId="0" applyFont="1" applyBorder="1"/>
    <xf numFmtId="0" fontId="31" fillId="0" borderId="22" xfId="0" applyFont="1" applyBorder="1"/>
    <xf numFmtId="177" fontId="31" fillId="0" borderId="0" xfId="7" applyNumberFormat="1" applyFont="1"/>
    <xf numFmtId="0" fontId="34" fillId="0" borderId="6" xfId="0" applyFont="1" applyBorder="1"/>
    <xf numFmtId="0" fontId="34" fillId="0" borderId="4" xfId="0" applyFont="1" applyBorder="1"/>
    <xf numFmtId="0" fontId="34" fillId="0" borderId="24" xfId="0" applyFont="1" applyBorder="1"/>
    <xf numFmtId="2" fontId="11" fillId="32" borderId="0" xfId="5" applyNumberFormat="1" applyFont="1" applyFill="1"/>
    <xf numFmtId="0" fontId="28" fillId="0" borderId="0" xfId="6" applyNumberFormat="1"/>
    <xf numFmtId="10" fontId="50" fillId="0" borderId="0" xfId="8" applyNumberFormat="1" applyFont="1"/>
    <xf numFmtId="0" fontId="28" fillId="21" borderId="3" xfId="8" applyNumberFormat="1" applyFont="1" applyFill="1" applyBorder="1"/>
    <xf numFmtId="0" fontId="28" fillId="21" borderId="5" xfId="8" applyNumberFormat="1" applyFont="1" applyFill="1" applyBorder="1"/>
    <xf numFmtId="0" fontId="51" fillId="0" borderId="8" xfId="6" applyFont="1" applyBorder="1"/>
    <xf numFmtId="176" fontId="31" fillId="0" borderId="0" xfId="9" applyNumberFormat="1" applyFont="1"/>
    <xf numFmtId="176" fontId="31" fillId="0" borderId="0" xfId="9" applyNumberFormat="1" applyFont="1" applyFill="1"/>
    <xf numFmtId="176" fontId="31" fillId="21" borderId="0" xfId="9" applyNumberFormat="1" applyFont="1" applyFill="1"/>
    <xf numFmtId="165" fontId="3" fillId="37" borderId="0" xfId="0" applyNumberFormat="1" applyFont="1" applyFill="1"/>
    <xf numFmtId="10" fontId="33" fillId="0" borderId="0" xfId="8" applyNumberFormat="1" applyFont="1"/>
    <xf numFmtId="171" fontId="0" fillId="0" borderId="0" xfId="0" applyNumberFormat="1"/>
    <xf numFmtId="0" fontId="33" fillId="0" borderId="3" xfId="8" applyNumberFormat="1" applyFont="1" applyFill="1" applyBorder="1"/>
    <xf numFmtId="0" fontId="33" fillId="0" borderId="5" xfId="8" applyNumberFormat="1" applyFont="1" applyFill="1" applyBorder="1"/>
    <xf numFmtId="0" fontId="33" fillId="0" borderId="0" xfId="8" applyNumberFormat="1" applyFont="1" applyFill="1" applyBorder="1"/>
    <xf numFmtId="0" fontId="1" fillId="0" borderId="0" xfId="6" applyFont="1"/>
    <xf numFmtId="0" fontId="4" fillId="0" borderId="19" xfId="3" applyNumberFormat="1" applyFont="1" applyBorder="1" applyAlignment="1">
      <alignment horizontal="center" vertical="center"/>
    </xf>
    <xf numFmtId="0" fontId="0" fillId="0" borderId="25" xfId="3" applyNumberFormat="1" applyFont="1" applyBorder="1" applyAlignment="1">
      <alignment horizontal="center" vertical="center"/>
    </xf>
    <xf numFmtId="0" fontId="3" fillId="0" borderId="3" xfId="3" applyNumberFormat="1" applyFont="1" applyBorder="1" applyAlignment="1">
      <alignment horizontal="center"/>
    </xf>
    <xf numFmtId="0" fontId="3" fillId="0" borderId="22" xfId="3" applyNumberFormat="1" applyFont="1" applyBorder="1" applyAlignment="1">
      <alignment horizontal="center"/>
    </xf>
    <xf numFmtId="0" fontId="0" fillId="0" borderId="5" xfId="3" applyNumberFormat="1" applyFont="1" applyBorder="1" applyAlignment="1">
      <alignment horizontal="center"/>
    </xf>
    <xf numFmtId="0" fontId="0" fillId="0" borderId="24" xfId="3" applyNumberFormat="1" applyFont="1" applyBorder="1" applyAlignment="1">
      <alignment horizontal="center"/>
    </xf>
    <xf numFmtId="0" fontId="4" fillId="0" borderId="19" xfId="3" applyNumberFormat="1" applyFont="1" applyBorder="1" applyAlignment="1">
      <alignment horizontal="center"/>
    </xf>
    <xf numFmtId="0" fontId="4" fillId="0" borderId="20" xfId="3" applyNumberFormat="1" applyFont="1" applyBorder="1" applyAlignment="1">
      <alignment horizontal="center"/>
    </xf>
    <xf numFmtId="0" fontId="4" fillId="0" borderId="25" xfId="3" applyNumberFormat="1" applyFont="1" applyBorder="1" applyAlignment="1">
      <alignment horizontal="center"/>
    </xf>
    <xf numFmtId="0" fontId="0" fillId="0" borderId="20" xfId="3" applyNumberFormat="1" applyFont="1" applyBorder="1" applyAlignment="1">
      <alignment horizontal="center"/>
    </xf>
    <xf numFmtId="0" fontId="0" fillId="0" borderId="25" xfId="3" applyNumberFormat="1" applyFont="1" applyBorder="1" applyAlignment="1">
      <alignment horizontal="center"/>
    </xf>
    <xf numFmtId="0" fontId="17" fillId="0" borderId="0" xfId="3" applyFont="1" applyAlignment="1">
      <alignment horizontal="center" vertical="center"/>
    </xf>
    <xf numFmtId="0" fontId="0" fillId="0" borderId="0" xfId="3" applyFont="1" applyAlignment="1">
      <alignment horizontal="center" vertical="center"/>
    </xf>
    <xf numFmtId="0" fontId="11" fillId="22" borderId="0" xfId="3" applyFont="1" applyFill="1" applyAlignment="1">
      <alignment horizontal="right" vertical="center"/>
    </xf>
    <xf numFmtId="0" fontId="0" fillId="0" borderId="0" xfId="3" applyFont="1" applyAlignment="1">
      <alignment horizontal="right" vertical="center"/>
    </xf>
    <xf numFmtId="0" fontId="17" fillId="0" borderId="0" xfId="3" applyNumberFormat="1" applyFont="1" applyAlignment="1">
      <alignment horizontal="right"/>
    </xf>
    <xf numFmtId="0" fontId="0" fillId="0" borderId="4" xfId="3" applyNumberFormat="1" applyFont="1" applyBorder="1" applyAlignment="1">
      <alignment horizontal="left"/>
    </xf>
    <xf numFmtId="0" fontId="0" fillId="0" borderId="5" xfId="3" applyNumberFormat="1" applyFont="1" applyBorder="1" applyAlignment="1">
      <alignment horizontal="left"/>
    </xf>
    <xf numFmtId="0" fontId="0" fillId="0" borderId="24" xfId="3" applyNumberFormat="1" applyFont="1" applyBorder="1" applyAlignment="1">
      <alignment horizontal="left"/>
    </xf>
    <xf numFmtId="0" fontId="7" fillId="0" borderId="19" xfId="3" applyNumberFormat="1" applyFont="1" applyBorder="1" applyAlignment="1">
      <alignment horizontal="center"/>
    </xf>
    <xf numFmtId="0" fontId="7" fillId="0" borderId="19" xfId="3" applyNumberFormat="1" applyFont="1" applyBorder="1" applyAlignment="1"/>
    <xf numFmtId="0" fontId="0" fillId="0" borderId="25" xfId="3" applyNumberFormat="1" applyFont="1" applyBorder="1" applyAlignment="1"/>
  </cellXfs>
  <cellStyles count="10">
    <cellStyle name="Comma 2" xfId="2"/>
    <cellStyle name="Milliers" xfId="1" builtinId="3"/>
    <cellStyle name="Motif" xfId="3"/>
    <cellStyle name="Motif 2" xfId="4"/>
    <cellStyle name="Normal" xfId="0" builtinId="0"/>
    <cellStyle name="Normal 2" xfId="5"/>
    <cellStyle name="Normal 3" xfId="6"/>
    <cellStyle name="Percent 2" xfId="8"/>
    <cellStyle name="Percent 3" xfId="9"/>
    <cellStyle name="Pourcentage" xfId="7" builtinId="5"/>
  </cellStyles>
  <dxfs count="9">
    <dxf>
      <fill>
        <patternFill>
          <bgColor theme="0" tint="-0.14999847407452621"/>
        </patternFill>
      </fill>
    </dxf>
    <dxf>
      <fill>
        <patternFill>
          <bgColor theme="0" tint="-0.14999847407452621"/>
        </patternFill>
      </fill>
    </dxf>
    <dxf>
      <fill>
        <patternFill>
          <bgColor theme="0" tint="-0.14999847407452621"/>
        </patternFill>
      </fill>
    </dxf>
    <dxf>
      <font>
        <sz val="8"/>
      </font>
    </dxf>
    <dxf>
      <fill>
        <patternFill patternType="solid">
          <bgColor theme="4" tint="0.59999389629810485"/>
        </patternFill>
      </fill>
    </dxf>
    <dxf>
      <fill>
        <patternFill patternType="solid">
          <bgColor theme="4" tint="0.59999389629810485"/>
        </patternFill>
      </fill>
    </dxf>
    <dxf>
      <fill>
        <patternFill>
          <bgColor theme="0" tint="-0.249977111117893"/>
        </patternFill>
      </fill>
    </dxf>
    <dxf>
      <fill>
        <patternFill>
          <bgColor theme="0" tint="-0.249977111117893"/>
        </patternFill>
      </fill>
    </dxf>
    <dxf>
      <numFmt numFmtId="0" formatCode="Genera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pivotCacheDefinition" Target="pivotCache/pivotCacheDefinition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externalLink" Target="externalLinks/externalLink4.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externalLink" Target="externalLinks/externalLink3.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pivotCacheDefinition" Target="pivotCache/pivotCacheDefinition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222250</xdr:colOff>
          <xdr:row>1</xdr:row>
          <xdr:rowOff>69850</xdr:rowOff>
        </xdr:from>
        <xdr:to>
          <xdr:col>8</xdr:col>
          <xdr:colOff>336550</xdr:colOff>
          <xdr:row>6</xdr:row>
          <xdr:rowOff>38100</xdr:rowOff>
        </xdr:to>
        <xdr:sp macro="" textlink="">
          <xdr:nvSpPr>
            <xdr:cNvPr id="12292" name="Button 4" hidden="1">
              <a:extLst>
                <a:ext uri="{63B3BB69-23CF-44E3-9099-C40C66FF867C}">
                  <a14:compatExt spid="_x0000_s12292"/>
                </a:ext>
              </a:extLst>
            </xdr:cNvPr>
            <xdr:cNvSpPr/>
          </xdr:nvSpPr>
          <xdr:spPr bwMode="auto">
            <a:xfrm>
              <a:off x="0" y="0"/>
              <a:ext cx="0" cy="0"/>
            </a:xfrm>
            <a:prstGeom prst="rect">
              <a:avLst/>
            </a:prstGeom>
            <a:noFill/>
            <a:ln w="9525">
              <a:miter lim="800000"/>
              <a:headEnd/>
              <a:tailEnd/>
            </a:ln>
          </xdr:spPr>
          <xdr:txBody>
            <a:bodyPr vertOverflow="clip" wrap="square" lIns="100584" tIns="82296" rIns="100584" bIns="82296" anchor="ctr" upright="1"/>
            <a:lstStyle/>
            <a:p>
              <a:pPr algn="ctr" rtl="0">
                <a:defRPr sz="1000"/>
              </a:pPr>
              <a:r>
                <a:rPr lang="fr-FR" sz="3600" b="0" i="0" u="none" strike="noStrike" baseline="0">
                  <a:solidFill>
                    <a:srgbClr val="000000"/>
                  </a:solidFill>
                  <a:latin typeface="Arial"/>
                  <a:cs typeface="Arial"/>
                </a:rPr>
                <a:t>Equilibre Marges transports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336550</xdr:colOff>
          <xdr:row>76</xdr:row>
          <xdr:rowOff>69850</xdr:rowOff>
        </xdr:from>
        <xdr:to>
          <xdr:col>20</xdr:col>
          <xdr:colOff>146050</xdr:colOff>
          <xdr:row>84</xdr:row>
          <xdr:rowOff>12700</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82296" tIns="68580" rIns="82296" bIns="68580" anchor="ctr" upright="1"/>
            <a:lstStyle/>
            <a:p>
              <a:pPr algn="ctr" rtl="0">
                <a:defRPr sz="1000"/>
              </a:pPr>
              <a:r>
                <a:rPr lang="fr-FR" sz="2800" b="0" i="0" u="none" strike="noStrike" baseline="0">
                  <a:solidFill>
                    <a:srgbClr val="000000"/>
                  </a:solidFill>
                  <a:latin typeface="Arial"/>
                  <a:cs typeface="Arial"/>
                </a:rPr>
                <a:t>EQUILIBRE TRANSFERTS !</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lonnecg/Desktop/GitHub/ThreeME/data/database/data_calibration_SAM_020PMajt.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01_tee_2006_Base2005.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01_data_calibration_SAM.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callonnecg/Desktop/GitHub/ThreeME/data/calibrations/SAM_FRA_AM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ts_old"/>
      <sheetName val="SAM_old"/>
      <sheetName val="BaselineHypotheses"/>
      <sheetName val="Substitutions"/>
      <sheetName val="Transferts"/>
      <sheetName val="SAM"/>
      <sheetName val="series"/>
      <sheetName val="parameters"/>
      <sheetName val="prices"/>
      <sheetName val="calibrage ENR"/>
      <sheetName val="exo_realistic_1"/>
      <sheetName val="exo_realistic_2"/>
      <sheetName val="dette batiment"/>
      <sheetName val="dette voiture"/>
      <sheetName val="intermediate_calcul."/>
      <sheetName val="Ex_extensionNRJ"/>
    </sheetNames>
    <sheetDataSet>
      <sheetData sheetId="0" refreshError="1"/>
      <sheetData sheetId="1" refreshError="1"/>
      <sheetData sheetId="2" refreshError="1"/>
      <sheetData sheetId="3" refreshError="1"/>
      <sheetData sheetId="4" refreshError="1"/>
      <sheetData sheetId="5" refreshError="1"/>
      <sheetData sheetId="6" refreshError="1">
        <row r="904">
          <cell r="D904">
            <v>115775.59120329846</v>
          </cell>
        </row>
        <row r="905">
          <cell r="D905">
            <v>55836.456258807732</v>
          </cell>
        </row>
        <row r="906">
          <cell r="D906">
            <v>36723.977503552749</v>
          </cell>
        </row>
        <row r="907">
          <cell r="D907">
            <v>5493.4944009276733</v>
          </cell>
        </row>
        <row r="908">
          <cell r="D908">
            <v>13418.853686733004</v>
          </cell>
        </row>
        <row r="909">
          <cell r="D909">
            <v>18111.825417283511</v>
          </cell>
        </row>
        <row r="910">
          <cell r="D910">
            <v>6959.9541004490775</v>
          </cell>
        </row>
        <row r="911">
          <cell r="D911">
            <v>15929.811563446952</v>
          </cell>
        </row>
        <row r="912">
          <cell r="D912">
            <v>11732.839829916646</v>
          </cell>
        </row>
        <row r="913">
          <cell r="D913">
            <v>30380.826695562046</v>
          </cell>
        </row>
        <row r="914">
          <cell r="D914">
            <v>10345.764159876566</v>
          </cell>
        </row>
        <row r="915">
          <cell r="D915">
            <v>90158.865751227524</v>
          </cell>
        </row>
        <row r="916">
          <cell r="D916">
            <v>35122.93216279841</v>
          </cell>
        </row>
        <row r="917">
          <cell r="D917">
            <v>137411.13676537483</v>
          </cell>
        </row>
        <row r="918">
          <cell r="D918">
            <v>1471.1883811065672</v>
          </cell>
        </row>
        <row r="919">
          <cell r="D919">
            <v>12455.336932274788</v>
          </cell>
        </row>
        <row r="920">
          <cell r="D920">
            <v>3114.4642812869665</v>
          </cell>
        </row>
        <row r="921">
          <cell r="D921">
            <v>9755.0864010741734</v>
          </cell>
        </row>
        <row r="922">
          <cell r="D922">
            <v>4208948.0701755751</v>
          </cell>
        </row>
        <row r="923">
          <cell r="D923">
            <v>685747.73251184472</v>
          </cell>
        </row>
        <row r="924">
          <cell r="D924">
            <v>101.35601807423764</v>
          </cell>
        </row>
        <row r="930">
          <cell r="E930">
            <v>296627.7759999999</v>
          </cell>
        </row>
        <row r="931">
          <cell r="E931">
            <v>15015.56</v>
          </cell>
        </row>
        <row r="932">
          <cell r="E932">
            <v>15578.295</v>
          </cell>
        </row>
        <row r="933">
          <cell r="E933">
            <v>41909.633500000004</v>
          </cell>
        </row>
        <row r="934">
          <cell r="E934">
            <v>3625</v>
          </cell>
        </row>
        <row r="935">
          <cell r="E935">
            <v>1.3255813953488371</v>
          </cell>
        </row>
        <row r="936">
          <cell r="E936">
            <v>109980</v>
          </cell>
        </row>
        <row r="937">
          <cell r="E937">
            <v>3225</v>
          </cell>
        </row>
        <row r="938">
          <cell r="E938">
            <v>21577</v>
          </cell>
        </row>
        <row r="939">
          <cell r="E939">
            <v>34911.028953103421</v>
          </cell>
        </row>
        <row r="940">
          <cell r="E940">
            <v>428.49904104334485</v>
          </cell>
        </row>
        <row r="941">
          <cell r="E941">
            <v>21795.758414015676</v>
          </cell>
        </row>
        <row r="942">
          <cell r="E942">
            <v>444.45811203889974</v>
          </cell>
        </row>
        <row r="943">
          <cell r="E943">
            <v>525</v>
          </cell>
        </row>
      </sheetData>
      <sheetData sheetId="7" refreshError="1">
        <row r="346">
          <cell r="E346">
            <v>0.05</v>
          </cell>
        </row>
        <row r="347">
          <cell r="E347">
            <v>0.05</v>
          </cell>
        </row>
        <row r="348">
          <cell r="E348">
            <v>0.05</v>
          </cell>
        </row>
        <row r="349">
          <cell r="E349">
            <v>0.05</v>
          </cell>
        </row>
        <row r="350">
          <cell r="E350">
            <v>0.05</v>
          </cell>
        </row>
        <row r="351">
          <cell r="E351">
            <v>0.05</v>
          </cell>
        </row>
        <row r="352">
          <cell r="E352">
            <v>0.05</v>
          </cell>
        </row>
        <row r="353">
          <cell r="E353">
            <v>0.05</v>
          </cell>
        </row>
        <row r="354">
          <cell r="E354">
            <v>0.05</v>
          </cell>
        </row>
        <row r="355">
          <cell r="E355">
            <v>0.05</v>
          </cell>
        </row>
        <row r="356">
          <cell r="E356">
            <v>0.05</v>
          </cell>
        </row>
        <row r="357">
          <cell r="E357">
            <v>0.05</v>
          </cell>
        </row>
        <row r="358">
          <cell r="E358">
            <v>0.05</v>
          </cell>
        </row>
        <row r="359">
          <cell r="E359">
            <v>0.05</v>
          </cell>
        </row>
        <row r="360">
          <cell r="E360">
            <v>0.05</v>
          </cell>
        </row>
        <row r="361">
          <cell r="E361">
            <v>0.05</v>
          </cell>
        </row>
        <row r="362">
          <cell r="E362">
            <v>0.05</v>
          </cell>
        </row>
        <row r="363">
          <cell r="E363">
            <v>0.05</v>
          </cell>
        </row>
        <row r="364">
          <cell r="E364">
            <v>0.05</v>
          </cell>
        </row>
        <row r="365">
          <cell r="E365">
            <v>0.05</v>
          </cell>
        </row>
        <row r="366">
          <cell r="E366">
            <v>0.05</v>
          </cell>
        </row>
        <row r="370">
          <cell r="E370">
            <v>0.04</v>
          </cell>
        </row>
        <row r="371">
          <cell r="E371">
            <v>0.04</v>
          </cell>
        </row>
        <row r="372">
          <cell r="E372">
            <v>0.04</v>
          </cell>
        </row>
        <row r="373">
          <cell r="E373">
            <v>0.04</v>
          </cell>
        </row>
        <row r="374">
          <cell r="E374">
            <v>0.04</v>
          </cell>
        </row>
        <row r="375">
          <cell r="E375">
            <v>0.05</v>
          </cell>
        </row>
        <row r="378">
          <cell r="E378">
            <v>2.5000000000000001E-2</v>
          </cell>
        </row>
        <row r="379">
          <cell r="E379">
            <v>0.04</v>
          </cell>
        </row>
        <row r="380">
          <cell r="E380">
            <v>0.04</v>
          </cell>
        </row>
        <row r="381">
          <cell r="E381">
            <v>2.8571428571428571E-2</v>
          </cell>
        </row>
        <row r="382">
          <cell r="E382">
            <v>0.04</v>
          </cell>
        </row>
        <row r="383">
          <cell r="E383">
            <v>0.04</v>
          </cell>
        </row>
        <row r="384">
          <cell r="E384">
            <v>2.5000000000000001E-2</v>
          </cell>
        </row>
        <row r="385">
          <cell r="E385">
            <v>0.05</v>
          </cell>
        </row>
      </sheetData>
      <sheetData sheetId="8" refreshError="1">
        <row r="1378">
          <cell r="E1378">
            <v>1</v>
          </cell>
        </row>
        <row r="1379">
          <cell r="E1379">
            <v>1</v>
          </cell>
        </row>
      </sheetData>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rganisation du TEE"/>
      <sheetName val="EA_2006"/>
      <sheetName val="RP_2006"/>
      <sheetName val="TES17"/>
      <sheetName val="CpteMenage_t_7401"/>
      <sheetName val="TEE_2006_COMPLET"/>
    </sheetNames>
    <sheetDataSet>
      <sheetData sheetId="0"/>
      <sheetData sheetId="1"/>
      <sheetData sheetId="2"/>
      <sheetData sheetId="3"/>
      <sheetData sheetId="4"/>
      <sheetData sheetId="5">
        <row r="3">
          <cell r="AO3">
            <v>935.67100000000005</v>
          </cell>
        </row>
        <row r="4">
          <cell r="AO4">
            <v>689.62116198180888</v>
          </cell>
        </row>
        <row r="5">
          <cell r="AO5">
            <v>246.04983801819108</v>
          </cell>
        </row>
        <row r="8">
          <cell r="AO8">
            <v>-96.327544044955346</v>
          </cell>
        </row>
        <row r="29">
          <cell r="AO29">
            <v>0.35678986026342602</v>
          </cell>
        </row>
        <row r="30">
          <cell r="AO30">
            <v>0.13968182729215076</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elineHypotheses"/>
      <sheetName val="Supply_Use_dom"/>
      <sheetName val="Supply_Use_foreign"/>
      <sheetName val="OTH_VARIABLE"/>
      <sheetName val="INV_MAT"/>
      <sheetName val="Adjustment"/>
      <sheetName val="ELAS_wage"/>
      <sheetName val="ELAS_L1_KLEM"/>
      <sheetName val="ELAS_L2_NRJ"/>
      <sheetName val="ELAS_L2_TRANSPORT"/>
      <sheetName val="ELAS_TRANSP_MARGIN"/>
      <sheetName val="ELAS_L3_IMP_DOM"/>
      <sheetName val="ELAS_EXPORT"/>
      <sheetName val="ELAS_OTHER"/>
      <sheetName val="ELAS_INVEST"/>
      <sheetName val="Household"/>
      <sheetName val="Household_Hybrid_BUIL"/>
      <sheetName val="Household_Hybrid_AUTO"/>
      <sheetName val="Household_Hybrid_TRANSITION"/>
      <sheetName val="exo_realistic_1"/>
      <sheetName val="exo_realistic_Hybrid"/>
      <sheetName val="Demography"/>
      <sheetName val="Donnees_energie"/>
      <sheetName val="EnergyIndus"/>
      <sheetName val="GHG_Emissions"/>
    </sheetNames>
    <sheetDataSet>
      <sheetData sheetId="0"/>
      <sheetData sheetId="1">
        <row r="6">
          <cell r="AW6">
            <v>1363.2428862531669</v>
          </cell>
          <cell r="AZ6">
            <v>0</v>
          </cell>
          <cell r="BA6">
            <v>89.56526314409696</v>
          </cell>
        </row>
        <row r="7">
          <cell r="AW7">
            <v>8824.4439349108434</v>
          </cell>
          <cell r="AZ7">
            <v>0</v>
          </cell>
          <cell r="BA7">
            <v>11310.560934164021</v>
          </cell>
        </row>
        <row r="8">
          <cell r="AW8">
            <v>5267.3346715324587</v>
          </cell>
          <cell r="AZ8">
            <v>0</v>
          </cell>
          <cell r="BA8">
            <v>254.29243489026564</v>
          </cell>
        </row>
        <row r="9">
          <cell r="AW9">
            <v>242.11707318700246</v>
          </cell>
          <cell r="AZ9">
            <v>0</v>
          </cell>
          <cell r="BA9">
            <v>4.4944049493333278</v>
          </cell>
        </row>
        <row r="10">
          <cell r="AW10">
            <v>158.46142467992831</v>
          </cell>
          <cell r="AZ10">
            <v>0</v>
          </cell>
          <cell r="BA10">
            <v>10.197110305922937</v>
          </cell>
        </row>
        <row r="11">
          <cell r="AW11">
            <v>554.80426506156437</v>
          </cell>
          <cell r="AZ11">
            <v>0</v>
          </cell>
          <cell r="BA11">
            <v>11.330006292245809</v>
          </cell>
        </row>
        <row r="12">
          <cell r="AW12">
            <v>5.9862393685880306</v>
          </cell>
          <cell r="AZ12">
            <v>0</v>
          </cell>
          <cell r="BA12">
            <v>25.300708975875594</v>
          </cell>
        </row>
        <row r="13">
          <cell r="AW13">
            <v>18.594127320484404</v>
          </cell>
          <cell r="AZ13">
            <v>0</v>
          </cell>
          <cell r="BA13">
            <v>31.144759600121198</v>
          </cell>
        </row>
        <row r="14">
          <cell r="AW14">
            <v>255.69142653858944</v>
          </cell>
          <cell r="AZ14">
            <v>0</v>
          </cell>
          <cell r="BA14">
            <v>46.066583632330378</v>
          </cell>
        </row>
        <row r="15">
          <cell r="AW15">
            <v>2.5003422007903282</v>
          </cell>
          <cell r="AZ15">
            <v>0</v>
          </cell>
          <cell r="BA15">
            <v>1.9698845204986208</v>
          </cell>
        </row>
        <row r="16">
          <cell r="AW16">
            <v>-1.0884452021855395E-3</v>
          </cell>
          <cell r="AZ16">
            <v>0</v>
          </cell>
          <cell r="BA16">
            <v>6.1014984411032307</v>
          </cell>
        </row>
        <row r="17">
          <cell r="AW17">
            <v>15435.900561443064</v>
          </cell>
          <cell r="AZ17">
            <v>0</v>
          </cell>
          <cell r="BA17">
            <v>1613.3162146330938</v>
          </cell>
        </row>
        <row r="18">
          <cell r="AW18">
            <v>20944</v>
          </cell>
          <cell r="AZ18">
            <v>0</v>
          </cell>
          <cell r="BA18">
            <v>798</v>
          </cell>
        </row>
        <row r="19">
          <cell r="AW19">
            <v>257.99827555979482</v>
          </cell>
          <cell r="AZ19">
            <v>0</v>
          </cell>
          <cell r="BA19">
            <v>0</v>
          </cell>
        </row>
        <row r="20">
          <cell r="AW20">
            <v>704</v>
          </cell>
          <cell r="AZ20">
            <v>0</v>
          </cell>
          <cell r="BA20">
            <v>64</v>
          </cell>
        </row>
        <row r="21">
          <cell r="AW21">
            <v>211.35245983983623</v>
          </cell>
          <cell r="AZ21">
            <v>0</v>
          </cell>
          <cell r="BA21">
            <v>0</v>
          </cell>
        </row>
        <row r="22">
          <cell r="AW22">
            <v>5.5003887263583238</v>
          </cell>
          <cell r="AZ22">
            <v>0</v>
          </cell>
          <cell r="BA22">
            <v>0</v>
          </cell>
        </row>
        <row r="23">
          <cell r="AW23">
            <v>93.828623406319821</v>
          </cell>
          <cell r="AZ23">
            <v>0</v>
          </cell>
          <cell r="BA23">
            <v>273.32550738784744</v>
          </cell>
        </row>
        <row r="24">
          <cell r="AW24">
            <v>37650.769675974501</v>
          </cell>
          <cell r="AZ24">
            <v>0</v>
          </cell>
          <cell r="BA24">
            <v>26165.938070554108</v>
          </cell>
        </row>
        <row r="25">
          <cell r="AW25">
            <v>0</v>
          </cell>
          <cell r="AZ25">
            <v>0</v>
          </cell>
          <cell r="BA25">
            <v>0</v>
          </cell>
        </row>
        <row r="26">
          <cell r="AW26">
            <v>2.036978033060592</v>
          </cell>
          <cell r="AZ26">
            <v>0.44571138972062901</v>
          </cell>
          <cell r="BA26">
            <v>4.9523487746736525E-2</v>
          </cell>
        </row>
        <row r="27">
          <cell r="AW27">
            <v>5229.076784617806</v>
          </cell>
          <cell r="AZ27">
            <v>12883.969998784542</v>
          </cell>
          <cell r="BA27">
            <v>0</v>
          </cell>
        </row>
        <row r="28">
          <cell r="AW28">
            <v>3148.8909080059602</v>
          </cell>
          <cell r="AZ28">
            <v>1351.9076097456261</v>
          </cell>
          <cell r="BA28">
            <v>2048.6143823119023</v>
          </cell>
        </row>
        <row r="29">
          <cell r="AW29">
            <v>1780.4305398221077</v>
          </cell>
          <cell r="AZ29">
            <v>132.66639819382792</v>
          </cell>
          <cell r="BA29">
            <v>15.878964545799134</v>
          </cell>
        </row>
      </sheetData>
      <sheetData sheetId="2">
        <row r="6">
          <cell r="L6">
            <v>421.75711375584433</v>
          </cell>
          <cell r="O6">
            <v>0</v>
          </cell>
          <cell r="P6">
            <v>11.434736855903058</v>
          </cell>
        </row>
        <row r="7">
          <cell r="L7">
            <v>2188.556065095021</v>
          </cell>
          <cell r="O7">
            <v>0</v>
          </cell>
          <cell r="P7">
            <v>2177.4390658359798</v>
          </cell>
        </row>
        <row r="8">
          <cell r="L8">
            <v>5509.0653284488799</v>
          </cell>
          <cell r="O8">
            <v>0</v>
          </cell>
          <cell r="P8">
            <v>130.607565109734</v>
          </cell>
        </row>
        <row r="9">
          <cell r="L9">
            <v>80.882926812815185</v>
          </cell>
          <cell r="O9">
            <v>0</v>
          </cell>
          <cell r="P9">
            <v>1.505595050666672</v>
          </cell>
        </row>
        <row r="10">
          <cell r="L10">
            <v>87.538575319639676</v>
          </cell>
          <cell r="O10">
            <v>0</v>
          </cell>
          <cell r="P10">
            <v>1.8028896940770649</v>
          </cell>
        </row>
        <row r="11">
          <cell r="L11">
            <v>291.19573493799908</v>
          </cell>
          <cell r="O11">
            <v>0</v>
          </cell>
          <cell r="P11">
            <v>4.6699937077541902</v>
          </cell>
        </row>
        <row r="12">
          <cell r="L12">
            <v>6.0137606310217961</v>
          </cell>
          <cell r="O12">
            <v>0</v>
          </cell>
          <cell r="P12">
            <v>16.699291024124406</v>
          </cell>
        </row>
        <row r="13">
          <cell r="L13">
            <v>51.40587267927549</v>
          </cell>
          <cell r="O13">
            <v>0</v>
          </cell>
          <cell r="P13">
            <v>22.855240399878799</v>
          </cell>
        </row>
        <row r="14">
          <cell r="L14">
            <v>512.30857346096309</v>
          </cell>
          <cell r="O14">
            <v>0</v>
          </cell>
          <cell r="P14">
            <v>15.933416367669627</v>
          </cell>
        </row>
        <row r="15">
          <cell r="L15">
            <v>2.4996577988531499</v>
          </cell>
          <cell r="O15">
            <v>0</v>
          </cell>
          <cell r="P15">
            <v>1.0301154795013792</v>
          </cell>
        </row>
        <row r="16">
          <cell r="L16">
            <v>1.0884450748562813E-3</v>
          </cell>
          <cell r="O16">
            <v>0</v>
          </cell>
          <cell r="P16">
            <v>5.8985015588967684</v>
          </cell>
        </row>
        <row r="17">
          <cell r="L17">
            <v>15096.699438551004</v>
          </cell>
          <cell r="O17">
            <v>0</v>
          </cell>
          <cell r="P17">
            <v>762.78378536690479</v>
          </cell>
        </row>
        <row r="18">
          <cell r="L18">
            <v>0</v>
          </cell>
          <cell r="O18">
            <v>0</v>
          </cell>
          <cell r="P18">
            <v>0</v>
          </cell>
        </row>
        <row r="19">
          <cell r="L19">
            <v>33.272898700509813</v>
          </cell>
          <cell r="O19">
            <v>0</v>
          </cell>
          <cell r="P19">
            <v>0</v>
          </cell>
        </row>
        <row r="20">
          <cell r="L20">
            <v>0</v>
          </cell>
          <cell r="O20">
            <v>0</v>
          </cell>
          <cell r="P20">
            <v>0</v>
          </cell>
        </row>
        <row r="21">
          <cell r="L21">
            <v>32.068567318948226</v>
          </cell>
          <cell r="O21">
            <v>0</v>
          </cell>
          <cell r="P21">
            <v>0</v>
          </cell>
        </row>
        <row r="22">
          <cell r="L22">
            <v>7.7895435453297068</v>
          </cell>
          <cell r="O22">
            <v>0</v>
          </cell>
          <cell r="P22">
            <v>0</v>
          </cell>
        </row>
        <row r="23">
          <cell r="L23">
            <v>64.189242902881233</v>
          </cell>
          <cell r="O23">
            <v>0</v>
          </cell>
          <cell r="P23">
            <v>111.67449261215249</v>
          </cell>
        </row>
        <row r="24">
          <cell r="L24">
            <v>251.23032402587705</v>
          </cell>
          <cell r="O24">
            <v>0</v>
          </cell>
          <cell r="P24">
            <v>1103.0619294458938</v>
          </cell>
        </row>
        <row r="25">
          <cell r="L25">
            <v>0</v>
          </cell>
          <cell r="O25">
            <v>0</v>
          </cell>
          <cell r="P25">
            <v>0</v>
          </cell>
        </row>
        <row r="26">
          <cell r="L26">
            <v>25.963021967128498</v>
          </cell>
          <cell r="O26">
            <v>4.954288610279372</v>
          </cell>
          <cell r="P26">
            <v>0.55047651225326311</v>
          </cell>
        </row>
        <row r="27">
          <cell r="L27">
            <v>4100.9232153894554</v>
          </cell>
          <cell r="O27">
            <v>12107.288724563823</v>
          </cell>
          <cell r="P27">
            <v>0</v>
          </cell>
        </row>
        <row r="28">
          <cell r="L28">
            <v>50.109091994048185</v>
          </cell>
          <cell r="O28">
            <v>16.092390254373726</v>
          </cell>
          <cell r="P28">
            <v>24.385617688097025</v>
          </cell>
        </row>
        <row r="29">
          <cell r="L29">
            <v>46.56946018265262</v>
          </cell>
          <cell r="O29">
            <v>57.333601806172091</v>
          </cell>
          <cell r="P29">
            <v>6.8623121058360548</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egend"/>
      <sheetName val="BaselineHypotheses"/>
      <sheetName val="Supply_Use_dom"/>
      <sheetName val="Supply_Use_foreign"/>
      <sheetName val="OTH_VARIABLE"/>
      <sheetName val="INV_MAT"/>
      <sheetName val="Adjustment"/>
      <sheetName val="ELAS_wage"/>
      <sheetName val="ELAS_L1_KLEM"/>
      <sheetName val="ELAS_L2_NRJ"/>
      <sheetName val="ELAS_L2_TRANSPORT"/>
      <sheetName val="ELAS_TRANSP_MARGIN"/>
      <sheetName val="ELAS_L3_IMP_DOM"/>
      <sheetName val="ELAS_INVEST"/>
      <sheetName val="ELAS_EXPORT"/>
      <sheetName val="ELAS_OTHER"/>
      <sheetName val="ELAS_Hybrid_BUILNRJ"/>
      <sheetName val="Household"/>
      <sheetName val="Household_Hybrid_BUIL"/>
      <sheetName val="Household_Hybrid_TRANSITION"/>
      <sheetName val="Household_Hybrid_AUTO"/>
      <sheetName val="exo_realistic_Hybrid"/>
      <sheetName val="hypotheses SNBC"/>
      <sheetName val="exo_realistic_1"/>
      <sheetName val="Demography"/>
      <sheetName val="CU énergie"/>
      <sheetName val="phi_calculation"/>
      <sheetName val="Donnees_energie"/>
      <sheetName val="Energy 2010"/>
      <sheetName val="EnergyIndus"/>
      <sheetName val="GHG_Emissions"/>
      <sheetName val="ThreeME V1_V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row r="5">
          <cell r="H5">
            <v>0.99189533402801899</v>
          </cell>
        </row>
        <row r="6">
          <cell r="H6">
            <v>8.1046659719810118E-3</v>
          </cell>
        </row>
        <row r="7">
          <cell r="H7">
            <v>0.79896379760487024</v>
          </cell>
        </row>
        <row r="8">
          <cell r="H8">
            <v>1.0253748103039218E-2</v>
          </cell>
        </row>
        <row r="9">
          <cell r="H9">
            <v>4.094907840265561E-2</v>
          </cell>
        </row>
        <row r="10">
          <cell r="H10">
            <v>4.085844663959138E-2</v>
          </cell>
        </row>
        <row r="11">
          <cell r="H11">
            <v>8.2546962733871642E-3</v>
          </cell>
        </row>
        <row r="12">
          <cell r="H12">
            <v>1.857306661512112E-3</v>
          </cell>
        </row>
        <row r="13">
          <cell r="H13">
            <v>9.284827294795471E-2</v>
          </cell>
        </row>
        <row r="14">
          <cell r="H14">
            <v>6.0146533669896566E-3</v>
          </cell>
        </row>
        <row r="15">
          <cell r="H15">
            <v>0.92286831597155095</v>
          </cell>
        </row>
        <row r="16">
          <cell r="H16">
            <v>4.1245511328337481E-2</v>
          </cell>
        </row>
        <row r="17">
          <cell r="H17">
            <v>5.1582667605002035E-3</v>
          </cell>
        </row>
        <row r="18">
          <cell r="H18">
            <v>1.5260839191484859E-2</v>
          </cell>
        </row>
        <row r="19">
          <cell r="H19">
            <v>5.1556889160421825E-3</v>
          </cell>
        </row>
        <row r="20">
          <cell r="H20">
            <v>1.0311377832084365E-2</v>
          </cell>
        </row>
      </sheetData>
      <sheetData sheetId="28"/>
      <sheetData sheetId="29"/>
      <sheetData sheetId="30"/>
      <sheetData sheetId="3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utilisateur" refreshedDate="40849.484795949073" createdVersion="1" refreshedVersion="3" recordCount="186" upgradeOnRefresh="1">
  <cacheSource type="worksheet">
    <worksheetSource ref="C128:GG314" sheet="TEI"/>
  </cacheSource>
  <cacheFields count="187">
    <cacheField name="L" numFmtId="0">
      <sharedItems containsMixedTypes="1" containsNumber="1" containsInteger="1" minValue="1" maxValue="124" count="36">
        <n v="1"/>
        <n v="2"/>
        <n v="12"/>
        <n v="103"/>
        <s v="112-3"/>
        <n v="4"/>
        <n v="5"/>
        <n v="6"/>
        <n v="7"/>
        <n v="8"/>
        <n v="9"/>
        <n v="10"/>
        <n v="11"/>
        <n v="21"/>
        <s v="122-24"/>
        <n v="122"/>
        <n v="23"/>
        <n v="124"/>
        <n v="13"/>
        <n v="19"/>
        <n v="114"/>
        <n v="15"/>
        <n v="116"/>
        <n v="117"/>
        <n v="118"/>
        <s v="114-16-17-18"/>
        <n v="20"/>
        <n v="27"/>
        <n v="22"/>
        <n v="24"/>
        <n v="14"/>
        <n v="16"/>
        <n v="17"/>
        <n v="18"/>
        <n v="3"/>
        <n v="100"/>
      </sharedItems>
    </cacheField>
    <cacheField name="CI_01" numFmtId="0">
      <sharedItems containsString="0" containsBlank="1" containsNumber="1" containsInteger="1" minValue="0" maxValue="40793"/>
    </cacheField>
    <cacheField name="CI_012" numFmtId="0">
      <sharedItems containsString="0" containsBlank="1" containsNumber="1" containsInteger="1" minValue="0" maxValue="2659"/>
    </cacheField>
    <cacheField name="CI_013" numFmtId="0">
      <sharedItems containsString="0" containsBlank="1" containsNumber="1" containsInteger="1" minValue="0" maxValue="721"/>
    </cacheField>
    <cacheField name="CI_02" numFmtId="0">
      <sharedItems containsString="0" containsBlank="1" containsNumber="1" minValue="0" maxValue="23213"/>
    </cacheField>
    <cacheField name="CI_022" numFmtId="0">
      <sharedItems containsString="0" containsBlank="1" containsNumber="1" minValue="0" maxValue="18484"/>
    </cacheField>
    <cacheField name="CI_023" numFmtId="0">
      <sharedItems containsString="0" containsBlank="1" containsNumber="1" minValue="0" maxValue="11701"/>
    </cacheField>
    <cacheField name="CI_024" numFmtId="0">
      <sharedItems containsString="0" containsBlank="1" containsNumber="1" minValue="0" maxValue="10791"/>
    </cacheField>
    <cacheField name="CI_025" numFmtId="0">
      <sharedItems containsString="0" containsBlank="1" containsNumber="1" minValue="0" maxValue="28240"/>
    </cacheField>
    <cacheField name="CI_026" numFmtId="0">
      <sharedItems containsString="0" containsBlank="1" containsNumber="1" containsInteger="1" minValue="0" maxValue="221"/>
    </cacheField>
    <cacheField name="CI_12" numFmtId="0">
      <sharedItems containsString="0" containsBlank="1" containsNumber="1" minValue="0" maxValue="6674"/>
    </cacheField>
    <cacheField name="CI_122" numFmtId="0">
      <sharedItems containsString="0" containsBlank="1" containsNumber="1" minValue="0" maxValue="2064"/>
    </cacheField>
    <cacheField name="CI_123" numFmtId="0">
      <sharedItems containsString="0" containsBlank="1" containsNumber="1" minValue="0" maxValue="19606"/>
    </cacheField>
    <cacheField name="CI_124" numFmtId="0">
      <sharedItems containsString="0" containsBlank="1" containsNumber="1" minValue="0" maxValue="26506"/>
    </cacheField>
    <cacheField name="CI_125" numFmtId="0">
      <sharedItems containsString="0" containsBlank="1" containsNumber="1" minValue="0" maxValue="12582"/>
    </cacheField>
    <cacheField name="CI_126" numFmtId="0">
      <sharedItems containsString="0" containsBlank="1" containsNumber="1" minValue="0" maxValue="9027"/>
    </cacheField>
    <cacheField name="CI_127" numFmtId="0">
      <sharedItems containsString="0" containsBlank="1" containsNumber="1" minValue="0" maxValue="896"/>
    </cacheField>
    <cacheField name="CI_128" numFmtId="0">
      <sharedItems containsString="0" containsBlank="1" containsNumber="1" minValue="0" maxValue="2891"/>
    </cacheField>
    <cacheField name="CI_129" numFmtId="0">
      <sharedItems containsString="0" containsBlank="1" containsNumber="1" minValue="0" maxValue="2030"/>
    </cacheField>
    <cacheField name="CI_1210" numFmtId="0">
      <sharedItems containsString="0" containsBlank="1" containsNumber="1" minValue="0" maxValue="1574"/>
    </cacheField>
    <cacheField name="CI_1211" numFmtId="0">
      <sharedItems containsString="0" containsBlank="1" containsNumber="1" minValue="0" maxValue="1194"/>
    </cacheField>
    <cacheField name="CI_103" numFmtId="0">
      <sharedItems containsString="0" containsBlank="1" containsNumber="1" minValue="0" maxValue="55564"/>
    </cacheField>
    <cacheField name="CI_1032" numFmtId="0">
      <sharedItems containsString="0" containsBlank="1" containsNumber="1" minValue="0" maxValue="19795"/>
    </cacheField>
    <cacheField name="CI_1212" numFmtId="0">
      <sharedItems containsString="0" containsBlank="1" containsNumber="1" minValue="0" maxValue="2579"/>
    </cacheField>
    <cacheField name="CI_1213" numFmtId="0">
      <sharedItems containsString="0" containsBlank="1" containsNumber="1" minValue="0" maxValue="2543"/>
    </cacheField>
    <cacheField name="CI_1214" numFmtId="0">
      <sharedItems containsString="0" containsBlank="1" containsNumber="1" minValue="0" maxValue="39413"/>
    </cacheField>
    <cacheField name="CI_112-3" numFmtId="0">
      <sharedItems containsString="0" containsBlank="1" containsNumber="1" minValue="0" maxValue="750"/>
    </cacheField>
    <cacheField name="CI_1215" numFmtId="0">
      <sharedItems containsString="0" containsBlank="1" containsNumber="1" minValue="0" maxValue="6534"/>
    </cacheField>
    <cacheField name="CI_1216" numFmtId="0">
      <sharedItems containsString="0" containsBlank="1" containsNumber="1" minValue="0" maxValue="6352"/>
    </cacheField>
    <cacheField name="CI_1217" numFmtId="0">
      <sharedItems containsString="0" containsBlank="1" containsNumber="1" minValue="0" maxValue="9413"/>
    </cacheField>
    <cacheField name="CI_1218" numFmtId="0">
      <sharedItems containsString="0" containsBlank="1" containsNumber="1" minValue="0" maxValue="13842"/>
    </cacheField>
    <cacheField name="CI_1219" numFmtId="0">
      <sharedItems containsString="0" containsBlank="1" containsNumber="1" minValue="0" maxValue="3513"/>
    </cacheField>
    <cacheField name="CI_1220" numFmtId="0">
      <sharedItems containsString="0" containsBlank="1" containsNumber="1" minValue="0" maxValue="1377"/>
    </cacheField>
    <cacheField name="CI_1221" numFmtId="0">
      <sharedItems containsString="0" containsBlank="1" containsNumber="1" minValue="0" maxValue="8743"/>
    </cacheField>
    <cacheField name="CI_1222" numFmtId="0">
      <sharedItems containsString="0" containsBlank="1" containsNumber="1" minValue="0" maxValue="2281"/>
    </cacheField>
    <cacheField name="CI_1223" numFmtId="0">
      <sharedItems containsString="0" containsBlank="1" containsNumber="1" minValue="0" maxValue="1773"/>
    </cacheField>
    <cacheField name="CI_1224" numFmtId="0">
      <sharedItems containsString="0" containsBlank="1" containsNumber="1" minValue="0" maxValue="4181"/>
    </cacheField>
    <cacheField name="CI_1225" numFmtId="0">
      <sharedItems containsString="0" containsBlank="1" containsNumber="1" minValue="0" maxValue="8137"/>
    </cacheField>
    <cacheField name="CI_1226" numFmtId="0">
      <sharedItems containsString="0" containsBlank="1" containsNumber="1" minValue="0" maxValue="3216"/>
    </cacheField>
    <cacheField name="CI_1227" numFmtId="0">
      <sharedItems containsString="0" containsBlank="1" containsNumber="1" minValue="0" maxValue="8173"/>
    </cacheField>
    <cacheField name="CI_1228" numFmtId="0">
      <sharedItems containsString="0" containsBlank="1" containsNumber="1" containsInteger="1" minValue="0" maxValue="31"/>
    </cacheField>
    <cacheField name="CI_1229" numFmtId="0">
      <sharedItems containsString="0" containsBlank="1" containsNumber="1" minValue="0" maxValue="3476"/>
    </cacheField>
    <cacheField name="CI_04" numFmtId="0">
      <sharedItems containsString="0" containsBlank="1" containsNumber="1" minValue="0" maxValue="4189"/>
    </cacheField>
    <cacheField name="CI_05" numFmtId="0">
      <sharedItems containsString="0" containsBlank="1" containsNumber="1" minValue="0" maxValue="13183"/>
    </cacheField>
    <cacheField name="CI_1230" numFmtId="0">
      <sharedItems containsString="0" containsBlank="1" containsNumber="1" minValue="0" maxValue="3819"/>
    </cacheField>
    <cacheField name="CI_1231" numFmtId="0">
      <sharedItems containsString="0" containsBlank="1" containsNumber="1" minValue="0" maxValue="3510"/>
    </cacheField>
    <cacheField name="CI_1232" numFmtId="0">
      <sharedItems containsString="0" containsBlank="1" containsNumber="1" minValue="0" maxValue="904"/>
    </cacheField>
    <cacheField name="CI_1233" numFmtId="0">
      <sharedItems containsString="0" containsBlank="1" containsNumber="1" minValue="0" maxValue="8418"/>
    </cacheField>
    <cacheField name="CI_06" numFmtId="0">
      <sharedItems containsString="0" containsBlank="1" containsNumber="1" minValue="0" maxValue="7213"/>
    </cacheField>
    <cacheField name="CI_062" numFmtId="0">
      <sharedItems containsString="0" containsBlank="1" containsNumber="1" minValue="0" maxValue="7488"/>
    </cacheField>
    <cacheField name="CI_07" numFmtId="0">
      <sharedItems containsString="0" containsBlank="1" containsNumber="1" minValue="0" maxValue="5150"/>
    </cacheField>
    <cacheField name="CI_08" numFmtId="0">
      <sharedItems containsString="0" containsBlank="1" containsNumber="1" minValue="0" maxValue="19416"/>
    </cacheField>
    <cacheField name="CI_1234" numFmtId="0">
      <sharedItems containsString="0" containsBlank="1" containsNumber="1" minValue="0" maxValue="8590"/>
    </cacheField>
    <cacheField name="CI_1235" numFmtId="0">
      <sharedItems containsString="0" containsBlank="1" containsNumber="1" containsInteger="1" minValue="0" maxValue="361"/>
    </cacheField>
    <cacheField name="CI_1236" numFmtId="0">
      <sharedItems containsString="0" containsBlank="1" containsNumber="1" minValue="0" maxValue="6590"/>
    </cacheField>
    <cacheField name="CI_09" numFmtId="0">
      <sharedItems containsString="0" containsBlank="1" containsNumber="1" minValue="0" maxValue="17661"/>
    </cacheField>
    <cacheField name="CI_10" numFmtId="0">
      <sharedItems containsString="0" containsBlank="1" containsNumber="1" minValue="0" maxValue="19545"/>
    </cacheField>
    <cacheField name="CI_11" numFmtId="0">
      <sharedItems containsString="0" containsBlank="1" containsNumber="1" minValue="0" maxValue="9493"/>
    </cacheField>
    <cacheField name="CI_1237" numFmtId="0">
      <sharedItems containsString="0" containsBlank="1" containsNumber="1" minValue="0" maxValue="3821"/>
    </cacheField>
    <cacheField name="CI_1238" numFmtId="0">
      <sharedItems containsString="0" containsBlank="1" containsNumber="1" minValue="0" maxValue="17128"/>
    </cacheField>
    <cacheField name="CI_1239" numFmtId="0">
      <sharedItems containsString="0" containsBlank="1" containsNumber="1" minValue="0" maxValue="8545"/>
    </cacheField>
    <cacheField name="CI_1240" numFmtId="0">
      <sharedItems containsString="0" containsBlank="1" containsNumber="1" minValue="0" maxValue="4010"/>
    </cacheField>
    <cacheField name="CI_1241" numFmtId="0">
      <sharedItems containsString="0" containsBlank="1" containsNumber="1" minValue="0" maxValue="16623"/>
    </cacheField>
    <cacheField name="CI_1242" numFmtId="0">
      <sharedItems containsString="0" containsBlank="1" containsNumber="1" minValue="0" maxValue="7361"/>
    </cacheField>
    <cacheField name="CI_21" numFmtId="0">
      <sharedItems containsString="0" containsBlank="1" containsNumber="1" containsInteger="1" minValue="0" maxValue="35"/>
    </cacheField>
    <cacheField name="CI_122-24" numFmtId="0">
      <sharedItems containsString="0" containsBlank="1" containsNumber="1" minValue="0" maxValue="201"/>
    </cacheField>
    <cacheField name="CI_1243" numFmtId="0">
      <sharedItems containsString="0" containsBlank="1" containsNumber="1" containsInteger="1" minValue="0" maxValue="2"/>
    </cacheField>
    <cacheField name="CI_1244" numFmtId="0">
      <sharedItems containsString="0" containsBlank="1" containsNumber="1" minValue="0" maxValue="2607"/>
    </cacheField>
    <cacheField name="CI_12210" numFmtId="0">
      <sharedItems containsString="0" containsBlank="1" containsNumber="1" minValue="0" maxValue="48116"/>
    </cacheField>
    <cacheField name="CI_23" numFmtId="0">
      <sharedItems containsString="0" containsBlank="1" containsNumber="1" minValue="0" maxValue="27203"/>
    </cacheField>
    <cacheField name="CI_1245" numFmtId="0">
      <sharedItems containsString="0" containsBlank="1" containsNumber="1" minValue="0" maxValue="18307"/>
    </cacheField>
    <cacheField name="CI_1246" numFmtId="0">
      <sharedItems containsString="0" containsBlank="1" containsNumber="1" minValue="0" maxValue="6868"/>
    </cacheField>
    <cacheField name="CI_13" numFmtId="0">
      <sharedItems containsString="0" containsBlank="1" containsNumber="1" minValue="0" maxValue="97436"/>
    </cacheField>
    <cacheField name="CI_132" numFmtId="0">
      <sharedItems containsString="0" containsBlank="1" containsNumber="1" minValue="0" maxValue="31670"/>
    </cacheField>
    <cacheField name="CI_19" numFmtId="0">
      <sharedItems containsString="0" containsBlank="1" containsNumber="1" minValue="0" maxValue="17783"/>
    </cacheField>
    <cacheField name="CI_192" numFmtId="0">
      <sharedItems containsString="0" containsBlank="1" containsNumber="1" minValue="0" maxValue="96280"/>
    </cacheField>
    <cacheField name="CI_193" numFmtId="0">
      <sharedItems containsString="0" containsBlank="1" containsNumber="1" minValue="0" maxValue="45735"/>
    </cacheField>
    <cacheField name="CI_114" numFmtId="0">
      <sharedItems containsString="0" containsBlank="1" containsNumber="1" minValue="0" maxValue="3528"/>
    </cacheField>
    <cacheField name="CI_15" numFmtId="0">
      <sharedItems containsString="0" containsBlank="1" containsNumber="1" minValue="0" maxValue="5528"/>
    </cacheField>
    <cacheField name="CI_116" numFmtId="0">
      <sharedItems containsString="0" containsBlank="1" containsNumber="1" minValue="0" maxValue="24066"/>
    </cacheField>
    <cacheField name="CI_117" numFmtId="0">
      <sharedItems containsString="0" containsBlank="1" containsNumber="1" minValue="0" maxValue="7526"/>
    </cacheField>
    <cacheField name="CI_118" numFmtId="0">
      <sharedItems containsString="0" containsBlank="1" containsNumber="1" minValue="0" maxValue="11163"/>
    </cacheField>
    <cacheField name="CI_194" numFmtId="0">
      <sharedItems containsString="0" containsBlank="1" containsNumber="1" minValue="0" maxValue="14721"/>
    </cacheField>
    <cacheField name="CI_195" numFmtId="0">
      <sharedItems containsString="0" containsBlank="1" containsNumber="1" minValue="0" maxValue="5665"/>
    </cacheField>
    <cacheField name="CI_114-16-17-18" numFmtId="0">
      <sharedItems containsString="0" containsBlank="1" containsNumber="1" minValue="0" maxValue="7484"/>
    </cacheField>
    <cacheField name="CI_196" numFmtId="0">
      <sharedItems containsString="0" containsBlank="1" containsNumber="1" minValue="0" maxValue="47850"/>
    </cacheField>
    <cacheField name="CI_197" numFmtId="0">
      <sharedItems containsString="0" containsBlank="1" containsNumber="1" minValue="0" maxValue="25688"/>
    </cacheField>
    <cacheField name="CI_198" numFmtId="0">
      <sharedItems containsString="0" containsBlank="1" containsNumber="1" containsInteger="1" minValue="0" maxValue="17170"/>
    </cacheField>
    <cacheField name="CI_199" numFmtId="0">
      <sharedItems containsString="0" containsBlank="1" containsNumber="1" minValue="0" maxValue="16427"/>
    </cacheField>
    <cacheField name="CI_1910" numFmtId="0">
      <sharedItems containsString="0" containsBlank="1" containsNumber="1" minValue="0" maxValue="36454"/>
    </cacheField>
    <cacheField name="CI_1911" numFmtId="0">
      <sharedItems containsString="0" containsBlank="1" containsNumber="1" minValue="0" maxValue="33296"/>
    </cacheField>
    <cacheField name="CI_1912" numFmtId="0">
      <sharedItems containsString="0" containsBlank="1" containsNumber="1" minValue="0" maxValue="24786"/>
    </cacheField>
    <cacheField name="CI_1913" numFmtId="0">
      <sharedItems containsString="0" containsBlank="1" containsNumber="1" minValue="0" maxValue="20445"/>
    </cacheField>
    <cacheField name="CI_1914" numFmtId="0">
      <sharedItems containsString="0" containsBlank="1" containsNumber="1" minValue="0" maxValue="28443"/>
    </cacheField>
    <cacheField name="CI_1915" numFmtId="0">
      <sharedItems containsString="0" containsBlank="1" containsNumber="1" minValue="0" maxValue="10722"/>
    </cacheField>
    <cacheField name="CI_1916" numFmtId="0">
      <sharedItems containsString="0" containsBlank="1" containsNumber="1" minValue="0" maxValue="26341"/>
    </cacheField>
    <cacheField name="CI_1917" numFmtId="0">
      <sharedItems containsString="0" containsBlank="1" containsNumber="1" minValue="0" maxValue="12039"/>
    </cacheField>
    <cacheField name="CI_1918" numFmtId="0">
      <sharedItems containsString="0" containsBlank="1" containsNumber="1" minValue="0" maxValue="2513"/>
    </cacheField>
    <cacheField name="CI_1919" numFmtId="0">
      <sharedItems containsString="0" containsBlank="1" containsNumber="1" minValue="0" maxValue="47278"/>
    </cacheField>
    <cacheField name="CI_1920" numFmtId="0">
      <sharedItems containsString="0" containsBlank="1" containsNumber="1" minValue="0" maxValue="6064"/>
    </cacheField>
    <cacheField name="CI_1921" numFmtId="0">
      <sharedItems containsString="0" containsBlank="1" containsNumber="1" minValue="0" maxValue="16494"/>
    </cacheField>
    <cacheField name="CI_20" numFmtId="0">
      <sharedItems containsString="0" containsBlank="1" containsNumber="1" containsInteger="1" minValue="0" maxValue="4145"/>
    </cacheField>
    <cacheField name="CI_1922" numFmtId="0">
      <sharedItems containsString="0" containsBlank="1" containsNumber="1" minValue="0" maxValue="39358"/>
    </cacheField>
    <cacheField name="CI_1923" numFmtId="0">
      <sharedItems containsString="0" containsBlank="1" containsNumber="1" minValue="0" maxValue="15198"/>
    </cacheField>
    <cacheField name="CI_1924" numFmtId="0">
      <sharedItems containsString="0" containsBlank="1" containsNumber="1" minValue="0" maxValue="10947"/>
    </cacheField>
    <cacheField name="CI_1925" numFmtId="0">
      <sharedItems containsString="0" containsBlank="1" containsNumber="1" containsInteger="1" minValue="0" maxValue="9256"/>
    </cacheField>
    <cacheField name="CI_1926" numFmtId="0">
      <sharedItems containsString="0" containsBlank="1" containsNumber="1" minValue="0" maxValue="4299"/>
    </cacheField>
    <cacheField name="CI_1927" numFmtId="0">
      <sharedItems containsString="0" containsBlank="1" containsNumber="1" containsInteger="1" minValue="0" maxValue="0"/>
    </cacheField>
    <cacheField name="CI_1928" numFmtId="0">
      <sharedItems containsString="0" containsBlank="1" containsNumber="1" minValue="0" maxValue="5414"/>
    </cacheField>
    <cacheField name="CI_202" numFmtId="0">
      <sharedItems containsString="0" containsBlank="1" containsNumber="1" containsInteger="1" minValue="0" maxValue="12934"/>
    </cacheField>
    <cacheField name="CI_1929" numFmtId="0">
      <sharedItems containsString="0" containsBlank="1" containsNumber="1" minValue="0" maxValue="16856"/>
    </cacheField>
    <cacheField name="CI_203" numFmtId="0">
      <sharedItems containsString="0" containsBlank="1" containsNumber="1" containsInteger="1" minValue="0" maxValue="14626"/>
    </cacheField>
    <cacheField name="CI_1930" numFmtId="0">
      <sharedItems containsString="0" containsBlank="1" containsNumber="1" minValue="0" maxValue="942"/>
    </cacheField>
    <cacheField name="CI_1931" numFmtId="0">
      <sharedItems containsString="0" containsBlank="1" containsNumber="1" minValue="0" maxValue="7060"/>
    </cacheField>
    <cacheField name="CI_204" numFmtId="0">
      <sharedItems containsString="0" containsBlank="1" containsNumber="1" containsInteger="1" minValue="0" maxValue="6526"/>
    </cacheField>
    <cacheField name="CI_205" numFmtId="0">
      <sharedItems containsString="0" containsBlank="1" containsNumber="1" minValue="0" maxValue="48880"/>
    </cacheField>
    <cacheField name="CI_206" numFmtId="0">
      <sharedItems containsString="0" containsBlank="1" containsNumber="1" containsInteger="1" minValue="0" maxValue="4435"/>
    </cacheField>
    <cacheField name="CI_27" numFmtId="0">
      <sharedItems containsString="0" containsBlank="1" containsNumber="1" minValue="0" maxValue="1661381"/>
    </cacheField>
    <cacheField name="1" numFmtId="0">
      <sharedItems containsString="0" containsBlank="1" containsNumber="1" containsInteger="1" minValue="0" maxValue="44173"/>
    </cacheField>
    <cacheField name="2" numFmtId="0">
      <sharedItems containsString="0" containsBlank="1" containsNumber="1" minValue="0" maxValue="92650"/>
    </cacheField>
    <cacheField name="3" numFmtId="0">
      <sharedItems containsString="0" containsBlank="1" containsNumber="1" minValue="0" maxValue="75884"/>
    </cacheField>
    <cacheField name="4" numFmtId="0">
      <sharedItems containsString="0" containsBlank="1" containsNumber="1" minValue="0" maxValue="4189"/>
    </cacheField>
    <cacheField name="5" numFmtId="0">
      <sharedItems containsString="0" containsBlank="1" containsNumber="1" minValue="0" maxValue="13183"/>
    </cacheField>
    <cacheField name="6" numFmtId="0">
      <sharedItems containsString="0" containsBlank="1" containsNumber="1" minValue="0" maxValue="14701"/>
    </cacheField>
    <cacheField name="7" numFmtId="0">
      <sharedItems containsString="0" containsBlank="1" containsNumber="1" minValue="0" maxValue="5150"/>
    </cacheField>
    <cacheField name="8" numFmtId="0">
      <sharedItems containsString="0" containsBlank="1" containsNumber="1" minValue="0" maxValue="19416"/>
    </cacheField>
    <cacheField name="9" numFmtId="0">
      <sharedItems containsString="0" containsBlank="1" containsNumber="1" minValue="0" maxValue="17661"/>
    </cacheField>
    <cacheField name="10" numFmtId="0">
      <sharedItems containsString="0" containsBlank="1" containsNumber="1" minValue="0" maxValue="19545"/>
    </cacheField>
    <cacheField name="11" numFmtId="0">
      <sharedItems containsString="0" containsBlank="1" containsNumber="1" minValue="0" maxValue="9493"/>
    </cacheField>
    <cacheField name="12" numFmtId="0">
      <sharedItems containsString="0" containsBlank="1" containsNumber="1" minValue="0" maxValue="310003"/>
    </cacheField>
    <cacheField name="13" numFmtId="0">
      <sharedItems containsString="0" containsBlank="1" containsNumber="1" minValue="0" maxValue="129106"/>
    </cacheField>
    <cacheField name="14" numFmtId="0">
      <sharedItems containsString="0" containsBlank="1" containsNumber="1" minValue="0" maxValue="3760.0358088824096"/>
    </cacheField>
    <cacheField name="15" numFmtId="0">
      <sharedItems containsString="0" containsBlank="1" containsNumber="1" minValue="0" maxValue="5528"/>
    </cacheField>
    <cacheField name="16" numFmtId="0">
      <sharedItems containsString="0" containsBlank="1" containsNumber="1" minValue="0" maxValue="29253.877250154728"/>
    </cacheField>
    <cacheField name="17" numFmtId="0">
      <sharedItems containsString="0" containsBlank="1" containsNumber="1" minValue="0" maxValue="9039.2159297901853"/>
    </cacheField>
    <cacheField name="18" numFmtId="0">
      <sharedItems containsString="0" containsBlank="1" containsNumber="1" minValue="0" maxValue="11713.871011172676"/>
    </cacheField>
    <cacheField name="19" numFmtId="0">
      <sharedItems containsString="0" containsBlank="1" containsNumber="1" minValue="0" maxValue="661524"/>
    </cacheField>
    <cacheField name="20" numFmtId="0">
      <sharedItems containsString="0" containsBlank="1" containsNumber="1" minValue="0" maxValue="91546"/>
    </cacheField>
    <cacheField name="21" numFmtId="0">
      <sharedItems containsString="0" containsBlank="1" containsNumber="1" containsInteger="1" minValue="0" maxValue="35"/>
    </cacheField>
    <cacheField name="22" numFmtId="0">
      <sharedItems containsString="0" containsBlank="1" containsNumber="1" minValue="0" maxValue="48264.545608773697"/>
    </cacheField>
    <cacheField name="23" numFmtId="0">
      <sharedItems containsString="0" containsBlank="1" containsNumber="1" minValue="0" maxValue="27203"/>
    </cacheField>
    <cacheField name="24" numFmtId="0">
      <sharedItems containsString="0" containsBlank="1" containsNumber="1" minValue="0" maxValue="18359.454391226303"/>
    </cacheField>
    <cacheField name="100" numFmtId="0">
      <sharedItems containsNonDate="0" containsString="0" containsBlank="1"/>
    </cacheField>
    <cacheField name="1002" numFmtId="0">
      <sharedItems containsNonDate="0" containsString="0" containsBlank="1"/>
    </cacheField>
    <cacheField name="1003" numFmtId="0">
      <sharedItems containsNonDate="0" containsString="0" containsBlank="1"/>
    </cacheField>
    <cacheField name="1004" numFmtId="0">
      <sharedItems containsNonDate="0" containsString="0" containsBlank="1"/>
    </cacheField>
    <cacheField name="1005" numFmtId="0">
      <sharedItems containsNonDate="0" containsString="0" containsBlank="1"/>
    </cacheField>
    <cacheField name="1006" numFmtId="0">
      <sharedItems containsNonDate="0" containsString="0" containsBlank="1"/>
    </cacheField>
    <cacheField name="1007" numFmtId="0">
      <sharedItems containsNonDate="0" containsString="0" containsBlank="1"/>
    </cacheField>
    <cacheField name="1008" numFmtId="0">
      <sharedItems containsNonDate="0" containsString="0" containsBlank="1"/>
    </cacheField>
    <cacheField name="1009" numFmtId="0">
      <sharedItems containsNonDate="0" containsString="0" containsBlank="1"/>
    </cacheField>
    <cacheField name="10010" numFmtId="0">
      <sharedItems containsNonDate="0" containsString="0" containsBlank="1"/>
    </cacheField>
    <cacheField name="10011" numFmtId="0">
      <sharedItems containsNonDate="0" containsString="0" containsBlank="1"/>
    </cacheField>
    <cacheField name="10012" numFmtId="0">
      <sharedItems containsNonDate="0" containsString="0" containsBlank="1"/>
    </cacheField>
    <cacheField name="10013" numFmtId="0">
      <sharedItems containsNonDate="0" containsString="0" containsBlank="1"/>
    </cacheField>
    <cacheField name="10014" numFmtId="0">
      <sharedItems containsNonDate="0" containsString="0" containsBlank="1"/>
    </cacheField>
    <cacheField name="10015" numFmtId="0">
      <sharedItems containsNonDate="0" containsString="0" containsBlank="1"/>
    </cacheField>
    <cacheField name="10016" numFmtId="0">
      <sharedItems containsNonDate="0" containsString="0" containsBlank="1"/>
    </cacheField>
    <cacheField name="10017" numFmtId="0">
      <sharedItems containsNonDate="0" containsString="0" containsBlank="1"/>
    </cacheField>
    <cacheField name="10018" numFmtId="0">
      <sharedItems containsNonDate="0" containsString="0" containsBlank="1"/>
    </cacheField>
    <cacheField name="10019" numFmtId="0">
      <sharedItems containsNonDate="0" containsString="0" containsBlank="1"/>
    </cacheField>
    <cacheField name="10020" numFmtId="0">
      <sharedItems containsNonDate="0" containsString="0" containsBlank="1"/>
    </cacheField>
    <cacheField name="10021" numFmtId="0">
      <sharedItems containsNonDate="0" containsString="0" containsBlank="1"/>
    </cacheField>
    <cacheField name="10022" numFmtId="0">
      <sharedItems containsNonDate="0" containsString="0" containsBlank="1"/>
    </cacheField>
    <cacheField name="10023" numFmtId="0">
      <sharedItems containsNonDate="0" containsString="0" containsBlank="1"/>
    </cacheField>
    <cacheField name="10024" numFmtId="0">
      <sharedItems containsNonDate="0" containsString="0" containsBlank="1"/>
    </cacheField>
    <cacheField name="10025" numFmtId="0">
      <sharedItems containsNonDate="0" containsString="0" containsBlank="1"/>
    </cacheField>
    <cacheField name="10026" numFmtId="0">
      <sharedItems containsNonDate="0" containsString="0" containsBlank="1"/>
    </cacheField>
    <cacheField name="10027" numFmtId="0">
      <sharedItems containsNonDate="0" containsString="0" containsBlank="1"/>
    </cacheField>
    <cacheField name="10028" numFmtId="0">
      <sharedItems containsNonDate="0" containsString="0" containsBlank="1"/>
    </cacheField>
    <cacheField name="10029" numFmtId="0">
      <sharedItems containsNonDate="0" containsString="0" containsBlank="1"/>
    </cacheField>
    <cacheField name="10030" numFmtId="0">
      <sharedItems containsNonDate="0" containsString="0" containsBlank="1"/>
    </cacheField>
    <cacheField name="10031" numFmtId="0">
      <sharedItems containsNonDate="0" containsString="0" containsBlank="1"/>
    </cacheField>
    <cacheField name="10032" numFmtId="0">
      <sharedItems containsNonDate="0" containsString="0" containsBlank="1"/>
    </cacheField>
    <cacheField name="10033" numFmtId="0">
      <sharedItems containsNonDate="0" containsString="0" containsBlank="1"/>
    </cacheField>
    <cacheField name="10034" numFmtId="0">
      <sharedItems containsNonDate="0" containsString="0" containsBlank="1"/>
    </cacheField>
    <cacheField name="10035" numFmtId="0">
      <sharedItems containsNonDate="0" containsString="0" containsBlank="1"/>
    </cacheField>
    <cacheField name="10036" numFmtId="0">
      <sharedItems containsNonDate="0" containsString="0" containsBlank="1"/>
    </cacheField>
    <cacheField name="10037" numFmtId="0">
      <sharedItems containsNonDate="0" containsString="0" containsBlank="1"/>
    </cacheField>
    <cacheField name="10038" numFmtId="0">
      <sharedItems containsNonDate="0" containsString="0" containsBlank="1"/>
    </cacheField>
    <cacheField name="10039" numFmtId="0">
      <sharedItems containsNonDate="0" containsString="0" containsBlank="1"/>
    </cacheField>
    <cacheField name="10040" numFmtId="0">
      <sharedItems containsNonDate="0" containsString="0" containsBlank="1"/>
    </cacheField>
    <cacheField name="10041" numFmtId="0">
      <sharedItems containsNonDate="0" containsString="0" containsBlank="1"/>
    </cacheField>
    <cacheField name="10042" numFmtId="0">
      <sharedItems containsNonDate="0" containsString="0" containsBlank="1"/>
    </cacheField>
    <cacheField name="10043" numFmtId="0">
      <sharedItems containsNonDate="0" containsString="0" containsBlank="1"/>
    </cacheField>
    <cacheField name="10044" numFmtId="0">
      <sharedItems containsNonDate="0" containsString="0" containsBlank="1"/>
    </cacheField>
    <cacheField name="10045"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utilisateur" refreshedDate="40849.484796990742" createdVersion="1" refreshedVersion="3" recordCount="188" upgradeOnRefresh="1">
  <cacheSource type="worksheet">
    <worksheetSource ref="A126:AG314" sheet="TRP"/>
  </cacheSource>
  <cacheFields count="33">
    <cacheField name="L" numFmtId="0">
      <sharedItems containsMixedTypes="1" containsNumber="1" containsInteger="1" minValue="1" maxValue="124" count="38">
        <n v="1"/>
        <n v="2"/>
        <n v="12"/>
        <n v="103"/>
        <s v="112-3"/>
        <n v="4"/>
        <n v="5"/>
        <n v="6"/>
        <n v="7"/>
        <n v="8"/>
        <n v="9"/>
        <n v="10"/>
        <n v="11"/>
        <n v="21"/>
        <s v="122-24"/>
        <n v="122"/>
        <n v="23"/>
        <n v="124"/>
        <n v="13"/>
        <n v="19"/>
        <n v="114"/>
        <n v="15"/>
        <n v="116"/>
        <n v="117"/>
        <n v="118"/>
        <s v="114-16-17-18"/>
        <n v="20"/>
        <n v="25"/>
        <n v="26"/>
        <n v="27"/>
        <n v="22"/>
        <n v="24"/>
        <n v="14"/>
        <n v="16"/>
        <n v="17"/>
        <n v="18"/>
        <n v="3"/>
        <n v="100"/>
      </sharedItems>
    </cacheField>
    <cacheField name="PRODUITS" numFmtId="0">
      <sharedItems containsBlank="1"/>
    </cacheField>
    <cacheField name="Code" numFmtId="0">
      <sharedItems containsBlank="1"/>
    </cacheField>
    <cacheField name="Prod" numFmtId="0">
      <sharedItems containsString="0" containsBlank="1" containsNumber="1" minValue="0" maxValue="3276084"/>
    </cacheField>
    <cacheField name="ImportB" numFmtId="0">
      <sharedItems containsString="0" containsBlank="1" containsNumber="1" minValue="-12871" maxValue="415740"/>
    </cacheField>
    <cacheField name="ImportS" numFmtId="0">
      <sharedItems containsString="0" containsBlank="1" containsNumber="1" minValue="0" maxValue="91565"/>
    </cacheField>
    <cacheField name="CorrCAF_FAB" numFmtId="0">
      <sharedItems containsString="0" containsBlank="1" containsNumber="1" containsInteger="1" minValue="-6704" maxValue="12871"/>
    </cacheField>
    <cacheField name="TOTAL_RES_2" numFmtId="0">
      <sharedItems containsString="0" containsBlank="1" containsNumber="1" minValue="0" maxValue="3783389"/>
    </cacheField>
    <cacheField name="MC" numFmtId="0">
      <sharedItems containsString="0" containsBlank="1" containsNumber="1" minValue="-137221" maxValue="23127"/>
    </cacheField>
    <cacheField name="MT" numFmtId="0">
      <sharedItems containsString="0" containsBlank="1" containsNumber="1" minValue="-33066.79393759845" maxValue="3104"/>
    </cacheField>
    <cacheField name="IPTot" numFmtId="0">
      <sharedItems containsString="0" containsBlank="1" containsNumber="1" minValue="0" maxValue="204741"/>
    </cacheField>
    <cacheField name="TVA" numFmtId="0">
      <sharedItems containsString="0" containsBlank="1" containsNumber="1" minValue="0" maxValue="131017"/>
    </cacheField>
    <cacheField name="Subv" numFmtId="0">
      <sharedItems containsString="0" containsBlank="1" containsNumber="1" containsInteger="1" minValue="-11982" maxValue="0"/>
    </cacheField>
    <cacheField name="TOTAL_RES_3" numFmtId="0">
      <sharedItems containsString="0" containsBlank="1" containsNumber="1" minValue="0" maxValue="3976148"/>
    </cacheField>
    <cacheField name="C_MEN" numFmtId="0">
      <sharedItems containsString="0" containsBlank="1" containsNumber="1" minValue="-10141" maxValue="1002014"/>
    </cacheField>
    <cacheField name="C_CAPU" numFmtId="0">
      <sharedItems containsString="0" containsBlank="1" containsNumber="1" containsInteger="1" minValue="0" maxValue="146868"/>
    </cacheField>
    <cacheField name="C_IAPU" numFmtId="0">
      <sharedItems containsString="0" containsBlank="1" containsNumber="1" minValue="0" maxValue="275709"/>
    </cacheField>
    <cacheField name="C_APU" numFmtId="0">
      <sharedItems containsString="0" containsBlank="1" containsNumber="1" minValue="0" maxValue="422577"/>
    </cacheField>
    <cacheField name="C_ISBLSM" numFmtId="0">
      <sharedItems containsString="0" containsBlank="1" containsNumber="1" containsInteger="1" minValue="0" maxValue="23726"/>
    </cacheField>
    <cacheField name="DEPENSE TOTALE" numFmtId="0">
      <sharedItems containsString="0" containsBlank="1" containsNumber="1" minValue="-10141" maxValue="1448317"/>
    </cacheField>
    <cacheField name="FBCF_SNFEI" numFmtId="0">
      <sharedItems containsString="0" containsBlank="1" containsNumber="1" minValue="0" maxValue="192772"/>
    </cacheField>
    <cacheField name="FBCF_MEN" numFmtId="0">
      <sharedItems containsString="0" containsBlank="1" containsNumber="1" containsInteger="1" minValue="0" maxValue="107135"/>
    </cacheField>
    <cacheField name="FBCF_SF" numFmtId="0">
      <sharedItems containsString="0" containsBlank="1" containsNumber="1" containsInteger="1" minValue="0" maxValue="15529"/>
    </cacheField>
    <cacheField name="FBCF_APU" numFmtId="0">
      <sharedItems containsString="0" containsBlank="1" containsNumber="1" minValue="0" maxValue="58205"/>
    </cacheField>
    <cacheField name="FBCF_ISBLSM" numFmtId="0">
      <sharedItems containsString="0" containsBlank="1" containsNumber="1" containsInteger="1" minValue="0" maxValue="2396"/>
    </cacheField>
    <cacheField name="FBCF_TOT" numFmtId="0">
      <sharedItems containsString="0" containsBlank="1" containsNumber="1" minValue="0" maxValue="376037"/>
    </cacheField>
    <cacheField name="OV" numFmtId="0">
      <sharedItems containsString="0" containsBlank="1" containsNumber="1" containsInteger="1" minValue="0" maxValue="806"/>
    </cacheField>
    <cacheField name="VS" numFmtId="0">
      <sharedItems containsString="0" containsBlank="1" containsNumber="1" minValue="-559" maxValue="5062"/>
    </cacheField>
    <cacheField name="FBC_T" numFmtId="0">
      <sharedItems containsString="0" containsBlank="1" containsNumber="1" minValue="-559" maxValue="381905"/>
    </cacheField>
    <cacheField name="Export" numFmtId="0">
      <sharedItems containsString="0" containsBlank="1" containsNumber="1" minValue="0" maxValue="484545"/>
    </cacheField>
    <cacheField name="TEF" numFmtId="0">
      <sharedItems containsString="0" containsBlank="1" containsNumber="1" minValue="0" maxValue="2314767"/>
    </cacheField>
    <cacheField name="CI" numFmtId="0">
      <sharedItems containsString="0" containsBlank="1" containsNumber="1" minValue="0" maxValue="1661381"/>
    </cacheField>
    <cacheField name="TE" numFmtId="0">
      <sharedItems containsString="0" containsBlank="1" containsNumber="1" minValue="0" maxValue="3976148"/>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frederic" refreshedDate="40869.637932754631" createdVersion="1" refreshedVersion="3" recordCount="186" upgradeOnRefresh="1">
  <cacheSource type="worksheet">
    <worksheetSource ref="C29:P215" sheet="CPR_CEB"/>
  </cacheSource>
  <cacheFields count="14">
    <cacheField name="L" numFmtId="0">
      <sharedItems containsMixedTypes="1" containsNumber="1" containsInteger="1" minValue="1" maxValue="124" count="36">
        <n v="1"/>
        <n v="2"/>
        <n v="12"/>
        <n v="103"/>
        <s v="112-3"/>
        <n v="4"/>
        <n v="5"/>
        <n v="6"/>
        <n v="7"/>
        <n v="8"/>
        <n v="9"/>
        <n v="10"/>
        <n v="11"/>
        <n v="21"/>
        <s v="122-24"/>
        <n v="122"/>
        <n v="23"/>
        <n v="124"/>
        <n v="13"/>
        <n v="19"/>
        <n v="114"/>
        <n v="15"/>
        <n v="116"/>
        <n v="117"/>
        <n v="118"/>
        <s v="114-16-17-18"/>
        <n v="20"/>
        <n v="27"/>
        <n v="22"/>
        <n v="24"/>
        <n v="14"/>
        <n v="16"/>
        <n v="17"/>
        <n v="18"/>
        <n v="3"/>
        <n v="100"/>
      </sharedItems>
    </cacheField>
    <cacheField name="CI" numFmtId="0">
      <sharedItems containsString="0" containsBlank="1" containsNumber="1" minValue="0" maxValue="1661381"/>
    </cacheField>
    <cacheField name="VA" numFmtId="0">
      <sharedItems containsString="0" containsBlank="1" containsNumber="1" minValue="-2" maxValue="1614703"/>
    </cacheField>
    <cacheField name="PROD_BRANCHE" numFmtId="0">
      <sharedItems containsString="0" containsBlank="1" containsNumber="1" minValue="0" maxValue="3276084"/>
    </cacheField>
    <cacheField name="TrPF" numFmtId="0">
      <sharedItems containsString="0" containsBlank="1" containsNumber="1" minValue="-6045" maxValue="9199"/>
    </cacheField>
    <cacheField name="TrAg" numFmtId="0">
      <sharedItems containsString="0" containsBlank="1" containsNumber="1" containsInteger="1" minValue="-8166" maxValue="8166"/>
    </cacheField>
    <cacheField name="TrVR" numFmtId="0">
      <sharedItems containsString="0" containsBlank="1" containsNumber="1" containsInteger="1" minValue="-17238" maxValue="7140"/>
    </cacheField>
    <cacheField name="TrTOT" numFmtId="0">
      <sharedItems containsString="0" containsBlank="1" containsNumber="1" minValue="-17238" maxValue="9200"/>
    </cacheField>
    <cacheField name="PROD_PROD" numFmtId="0">
      <sharedItems containsString="0" containsBlank="1" containsNumber="1" minValue="0" maxValue="3276084"/>
    </cacheField>
    <cacheField name="RS" numFmtId="0">
      <sharedItems containsString="0" containsBlank="1" containsNumber="1" minValue="0" maxValue="935671"/>
    </cacheField>
    <cacheField name="EBE" numFmtId="0">
      <sharedItems containsString="0" containsBlank="1" containsNumber="1" minValue="-1277" maxValue="626687"/>
    </cacheField>
    <cacheField name="IP" numFmtId="0">
      <sharedItems containsString="0" containsBlank="1" containsNumber="1" minValue="0" maxValue="75355"/>
    </cacheField>
    <cacheField name="SE" numFmtId="0">
      <sharedItems containsString="0" containsBlank="1" containsNumber="1" minValue="-23010" maxValue="0"/>
    </cacheField>
    <cacheField name="LABOR" numFmtId="0">
      <sharedItems containsString="0" containsBlank="1" containsNumber="1" minValue="0" maxValue="22476.18400000000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86">
  <r>
    <x v="0"/>
    <n v="12492"/>
    <n v="102"/>
    <n v="0"/>
    <n v="13691"/>
    <n v="7133"/>
    <n v="451"/>
    <n v="3597"/>
    <n v="4230"/>
    <n v="47"/>
    <n v="0"/>
    <n v="43"/>
    <n v="0"/>
    <n v="0"/>
    <n v="25"/>
    <n v="0"/>
    <n v="0"/>
    <n v="0"/>
    <n v="0"/>
    <n v="0"/>
    <n v="0"/>
    <n v="0"/>
    <n v="0"/>
    <n v="0"/>
    <n v="0"/>
    <n v="0"/>
    <n v="0"/>
    <n v="0"/>
    <n v="0"/>
    <n v="0"/>
    <n v="0"/>
    <n v="0"/>
    <n v="0"/>
    <n v="0"/>
    <n v="0"/>
    <n v="0"/>
    <n v="0"/>
    <n v="0"/>
    <n v="0"/>
    <n v="0"/>
    <n v="0"/>
    <n v="0"/>
    <n v="0"/>
    <n v="0"/>
    <n v="193"/>
    <n v="0"/>
    <n v="0"/>
    <n v="0"/>
    <n v="0"/>
    <n v="0"/>
    <n v="0"/>
    <n v="0"/>
    <n v="0"/>
    <n v="0"/>
    <n v="428"/>
    <n v="0"/>
    <n v="0"/>
    <n v="0"/>
    <n v="0"/>
    <n v="0"/>
    <n v="0"/>
    <n v="0"/>
    <n v="0"/>
    <n v="0"/>
    <n v="0"/>
    <n v="0"/>
    <n v="0"/>
    <n v="0"/>
    <n v="0"/>
    <n v="250"/>
    <n v="0"/>
    <n v="0"/>
    <n v="632"/>
    <n v="1229"/>
    <n v="0"/>
    <n v="0"/>
    <n v="0"/>
    <n v="0"/>
    <n v="0"/>
    <n v="0"/>
    <n v="0"/>
    <n v="0"/>
    <n v="0"/>
    <n v="0"/>
    <n v="0"/>
    <n v="0"/>
    <n v="0"/>
    <n v="0"/>
    <n v="0"/>
    <n v="0"/>
    <n v="0"/>
    <n v="0"/>
    <n v="0"/>
    <n v="0"/>
    <n v="0"/>
    <n v="0"/>
    <n v="0"/>
    <n v="0"/>
    <n v="0"/>
    <n v="0"/>
    <n v="0"/>
    <n v="0"/>
    <n v="1468"/>
    <n v="0"/>
    <n v="0"/>
    <n v="73"/>
    <n v="0"/>
    <n v="0"/>
    <n v="0"/>
    <n v="34"/>
    <n v="0"/>
    <n v="1"/>
    <n v="0"/>
    <n v="0"/>
    <n v="8"/>
    <n v="448"/>
    <n v="0"/>
    <n v="46575"/>
    <n v="12594"/>
    <n v="29149"/>
    <n v="0"/>
    <n v="0"/>
    <n v="0"/>
    <n v="0"/>
    <n v="0"/>
    <n v="0"/>
    <n v="0"/>
    <n v="0"/>
    <n v="0"/>
    <n v="689"/>
    <n v="1861"/>
    <n v="0"/>
    <n v="0"/>
    <n v="0"/>
    <n v="0"/>
    <n v="0"/>
    <n v="1541"/>
    <n v="491"/>
    <n v="0"/>
    <n v="0"/>
    <n v="250"/>
    <n v="0"/>
    <m/>
    <m/>
    <m/>
    <m/>
    <m/>
    <m/>
    <m/>
    <m/>
    <m/>
    <m/>
    <m/>
    <m/>
    <m/>
    <m/>
    <m/>
    <m/>
    <m/>
    <m/>
    <m/>
    <m/>
    <m/>
    <m/>
    <m/>
    <m/>
    <m/>
    <m/>
    <m/>
    <m/>
    <m/>
    <m/>
    <m/>
    <m/>
    <m/>
    <m/>
    <m/>
    <m/>
    <m/>
    <m/>
    <m/>
    <m/>
    <m/>
    <m/>
    <m/>
    <m/>
    <m/>
  </r>
  <r>
    <x v="0"/>
    <n v="0"/>
    <n v="1627"/>
    <n v="0"/>
    <n v="0"/>
    <n v="0"/>
    <n v="0"/>
    <n v="0"/>
    <n v="4"/>
    <n v="0"/>
    <n v="0"/>
    <n v="0"/>
    <n v="0"/>
    <n v="0"/>
    <n v="2"/>
    <n v="0"/>
    <n v="0"/>
    <n v="1"/>
    <n v="0"/>
    <n v="0"/>
    <n v="0"/>
    <n v="0"/>
    <n v="0"/>
    <n v="0"/>
    <n v="0"/>
    <n v="0"/>
    <n v="0"/>
    <n v="0"/>
    <n v="0"/>
    <n v="0"/>
    <n v="0"/>
    <n v="1"/>
    <n v="0"/>
    <n v="0"/>
    <n v="0"/>
    <n v="0"/>
    <n v="0"/>
    <n v="0"/>
    <n v="0"/>
    <n v="0"/>
    <n v="0"/>
    <n v="0"/>
    <n v="0"/>
    <n v="0"/>
    <n v="0"/>
    <n v="0"/>
    <n v="0"/>
    <n v="2178"/>
    <n v="125"/>
    <n v="101"/>
    <n v="0"/>
    <n v="7"/>
    <n v="3"/>
    <n v="0"/>
    <n v="0"/>
    <n v="0"/>
    <n v="0"/>
    <n v="0"/>
    <n v="0"/>
    <n v="0"/>
    <n v="0"/>
    <n v="0"/>
    <n v="0"/>
    <n v="0"/>
    <n v="0"/>
    <n v="0"/>
    <n v="0"/>
    <n v="0"/>
    <n v="0"/>
    <n v="0"/>
    <n v="0"/>
    <n v="0"/>
    <n v="0"/>
    <n v="0"/>
    <n v="0"/>
    <n v="0"/>
    <n v="0"/>
    <n v="0"/>
    <n v="0"/>
    <n v="0"/>
    <n v="0"/>
    <n v="0"/>
    <n v="0"/>
    <n v="0"/>
    <n v="0"/>
    <n v="0"/>
    <n v="0"/>
    <n v="0"/>
    <n v="0"/>
    <n v="0"/>
    <n v="0"/>
    <n v="0"/>
    <n v="0"/>
    <n v="0"/>
    <n v="0"/>
    <n v="0"/>
    <n v="0"/>
    <n v="0"/>
    <n v="0"/>
    <n v="0"/>
    <n v="1"/>
    <n v="0"/>
    <n v="3"/>
    <n v="0"/>
    <n v="0"/>
    <n v="6"/>
    <n v="0"/>
    <n v="0"/>
    <n v="0"/>
    <n v="5"/>
    <n v="0"/>
    <n v="0"/>
    <n v="0"/>
    <n v="0"/>
    <n v="0"/>
    <n v="42"/>
    <n v="0"/>
    <n v="4106"/>
    <n v="1627"/>
    <n v="4"/>
    <n v="0"/>
    <n v="0"/>
    <n v="0"/>
    <n v="226"/>
    <n v="0"/>
    <n v="7"/>
    <n v="0"/>
    <n v="0"/>
    <n v="0"/>
    <n v="2185"/>
    <n v="0"/>
    <n v="0"/>
    <n v="0"/>
    <n v="0"/>
    <n v="0"/>
    <n v="0"/>
    <n v="10"/>
    <n v="47"/>
    <n v="0"/>
    <n v="0"/>
    <n v="0"/>
    <n v="0"/>
    <m/>
    <m/>
    <m/>
    <m/>
    <m/>
    <m/>
    <m/>
    <m/>
    <m/>
    <m/>
    <m/>
    <m/>
    <m/>
    <m/>
    <m/>
    <m/>
    <m/>
    <m/>
    <m/>
    <m/>
    <m/>
    <m/>
    <m/>
    <m/>
    <m/>
    <m/>
    <m/>
    <m/>
    <m/>
    <m/>
    <m/>
    <m/>
    <m/>
    <m/>
    <m/>
    <m/>
    <m/>
    <m/>
    <m/>
    <m/>
    <m/>
    <m/>
    <m/>
    <m/>
    <m/>
  </r>
  <r>
    <x v="0"/>
    <n v="0"/>
    <n v="0"/>
    <n v="9"/>
    <n v="0"/>
    <n v="0"/>
    <n v="0"/>
    <n v="46"/>
    <n v="1264"/>
    <n v="0"/>
    <n v="0"/>
    <n v="0"/>
    <n v="0"/>
    <n v="0"/>
    <n v="2"/>
    <n v="0"/>
    <n v="0"/>
    <n v="0"/>
    <n v="0"/>
    <n v="0"/>
    <n v="0"/>
    <n v="0"/>
    <n v="0"/>
    <n v="0"/>
    <n v="0"/>
    <n v="0"/>
    <n v="0"/>
    <n v="0"/>
    <n v="0"/>
    <n v="0"/>
    <n v="0"/>
    <n v="0"/>
    <n v="0"/>
    <n v="0"/>
    <n v="0"/>
    <n v="0"/>
    <n v="0"/>
    <n v="0"/>
    <n v="0"/>
    <n v="0"/>
    <n v="0"/>
    <n v="0"/>
    <n v="0"/>
    <n v="0"/>
    <n v="0"/>
    <n v="0"/>
    <n v="0"/>
    <n v="0"/>
    <n v="0"/>
    <n v="0"/>
    <n v="0"/>
    <n v="46"/>
    <n v="2"/>
    <n v="0"/>
    <n v="0"/>
    <n v="0"/>
    <n v="0"/>
    <n v="0"/>
    <n v="0"/>
    <n v="0"/>
    <n v="0"/>
    <n v="0"/>
    <n v="0"/>
    <n v="0"/>
    <n v="0"/>
    <n v="0"/>
    <n v="0"/>
    <n v="0"/>
    <n v="0"/>
    <n v="0"/>
    <n v="0"/>
    <n v="0"/>
    <n v="0"/>
    <n v="0"/>
    <n v="0"/>
    <n v="0"/>
    <n v="0"/>
    <n v="0"/>
    <n v="0"/>
    <n v="0"/>
    <n v="22"/>
    <n v="0"/>
    <n v="0"/>
    <n v="0"/>
    <n v="0"/>
    <n v="0"/>
    <n v="0"/>
    <n v="0"/>
    <n v="0"/>
    <n v="0"/>
    <n v="0"/>
    <n v="0"/>
    <n v="0"/>
    <n v="0"/>
    <n v="0"/>
    <n v="0"/>
    <n v="0"/>
    <n v="0"/>
    <n v="0"/>
    <n v="0"/>
    <n v="1"/>
    <n v="0"/>
    <n v="592"/>
    <n v="0"/>
    <n v="54"/>
    <n v="0"/>
    <n v="5"/>
    <n v="0"/>
    <n v="0"/>
    <n v="0"/>
    <n v="78"/>
    <n v="0"/>
    <n v="0"/>
    <n v="25"/>
    <n v="0"/>
    <n v="0"/>
    <n v="0"/>
    <n v="2146"/>
    <n v="9"/>
    <n v="1310"/>
    <n v="0"/>
    <n v="0"/>
    <n v="0"/>
    <n v="0"/>
    <n v="0"/>
    <n v="46"/>
    <n v="0"/>
    <n v="0"/>
    <n v="0"/>
    <n v="4"/>
    <n v="0"/>
    <n v="0"/>
    <n v="0"/>
    <n v="0"/>
    <n v="22"/>
    <n v="0"/>
    <n v="755"/>
    <n v="0"/>
    <n v="0"/>
    <n v="0"/>
    <n v="0"/>
    <n v="0"/>
    <m/>
    <m/>
    <m/>
    <m/>
    <m/>
    <m/>
    <m/>
    <m/>
    <m/>
    <m/>
    <m/>
    <m/>
    <m/>
    <m/>
    <m/>
    <m/>
    <m/>
    <m/>
    <m/>
    <m/>
    <m/>
    <m/>
    <m/>
    <m/>
    <m/>
    <m/>
    <m/>
    <m/>
    <m/>
    <m/>
    <m/>
    <m/>
    <m/>
    <m/>
    <m/>
    <m/>
    <m/>
    <m/>
    <m/>
    <m/>
    <m/>
    <m/>
    <m/>
    <m/>
    <m/>
  </r>
  <r>
    <x v="1"/>
    <n v="0"/>
    <n v="0"/>
    <n v="0"/>
    <n v="3946"/>
    <n v="14"/>
    <n v="5"/>
    <n v="83"/>
    <n v="67"/>
    <n v="0"/>
    <n v="47"/>
    <n v="203"/>
    <n v="0"/>
    <n v="0"/>
    <n v="103"/>
    <n v="28"/>
    <n v="0"/>
    <n v="1"/>
    <n v="0"/>
    <n v="0"/>
    <n v="0"/>
    <n v="0"/>
    <n v="0"/>
    <n v="0"/>
    <n v="0"/>
    <n v="0"/>
    <n v="0"/>
    <n v="0"/>
    <n v="0"/>
    <n v="0"/>
    <n v="0"/>
    <n v="0"/>
    <n v="0"/>
    <n v="0"/>
    <n v="0"/>
    <n v="0"/>
    <n v="0"/>
    <n v="0"/>
    <n v="0"/>
    <n v="0"/>
    <n v="0"/>
    <n v="0"/>
    <n v="0"/>
    <n v="0"/>
    <n v="12"/>
    <n v="0"/>
    <n v="0"/>
    <n v="0"/>
    <n v="0"/>
    <n v="0"/>
    <n v="0"/>
    <n v="0"/>
    <n v="0"/>
    <n v="0"/>
    <n v="1"/>
    <n v="1"/>
    <n v="1"/>
    <n v="0"/>
    <n v="0"/>
    <n v="1"/>
    <n v="0"/>
    <n v="0"/>
    <n v="0"/>
    <n v="0"/>
    <n v="0"/>
    <n v="0"/>
    <n v="0"/>
    <n v="0"/>
    <n v="0"/>
    <n v="0"/>
    <n v="0"/>
    <n v="0"/>
    <n v="0"/>
    <n v="0"/>
    <n v="5"/>
    <n v="167"/>
    <n v="117"/>
    <n v="0"/>
    <n v="1"/>
    <n v="1"/>
    <n v="16"/>
    <n v="1"/>
    <n v="2"/>
    <n v="0"/>
    <n v="7"/>
    <n v="7"/>
    <n v="0"/>
    <n v="1"/>
    <n v="7"/>
    <n v="14"/>
    <n v="0"/>
    <n v="0"/>
    <n v="0"/>
    <n v="0"/>
    <n v="0"/>
    <n v="0"/>
    <n v="0"/>
    <n v="0"/>
    <n v="37"/>
    <n v="0"/>
    <n v="2"/>
    <n v="0"/>
    <n v="2535"/>
    <n v="11"/>
    <n v="8"/>
    <n v="0"/>
    <n v="0"/>
    <n v="0"/>
    <n v="420"/>
    <n v="1303"/>
    <n v="234"/>
    <n v="255"/>
    <n v="2"/>
    <n v="90"/>
    <n v="0"/>
    <n v="0"/>
    <n v="3"/>
    <n v="9759"/>
    <n v="0"/>
    <n v="4115"/>
    <n v="0"/>
    <n v="0"/>
    <n v="0"/>
    <n v="0"/>
    <n v="0"/>
    <n v="0"/>
    <n v="1"/>
    <n v="1"/>
    <n v="0"/>
    <n v="396"/>
    <n v="0"/>
    <n v="0.21702975176067185"/>
    <n v="1"/>
    <n v="5.8523704905241978"/>
    <n v="17.415354290290125"/>
    <n v="1.5152454674250047"/>
    <n v="3659"/>
    <n v="1561"/>
    <n v="0"/>
    <n v="0"/>
    <n v="0"/>
    <n v="0"/>
    <m/>
    <m/>
    <m/>
    <m/>
    <m/>
    <m/>
    <m/>
    <m/>
    <m/>
    <m/>
    <m/>
    <m/>
    <m/>
    <m/>
    <m/>
    <m/>
    <m/>
    <m/>
    <m/>
    <m/>
    <m/>
    <m/>
    <m/>
    <m/>
    <m/>
    <m/>
    <m/>
    <m/>
    <m/>
    <m/>
    <m/>
    <m/>
    <m/>
    <m/>
    <m/>
    <m/>
    <m/>
    <m/>
    <m/>
    <m/>
    <m/>
    <m/>
    <m/>
    <m/>
    <m/>
  </r>
  <r>
    <x v="1"/>
    <n v="0"/>
    <n v="0"/>
    <n v="0"/>
    <n v="295"/>
    <n v="2656"/>
    <n v="236"/>
    <n v="356"/>
    <n v="1423"/>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37"/>
    <n v="111"/>
    <n v="104"/>
    <n v="0"/>
    <n v="9"/>
    <n v="10"/>
    <n v="2"/>
    <n v="58"/>
    <n v="2"/>
    <n v="0"/>
    <n v="2"/>
    <n v="3"/>
    <n v="0"/>
    <n v="1"/>
    <n v="4"/>
    <n v="3"/>
    <n v="47"/>
    <n v="16"/>
    <n v="16"/>
    <n v="16"/>
    <n v="10"/>
    <n v="15"/>
    <n v="15"/>
    <n v="17"/>
    <n v="91"/>
    <n v="1"/>
    <n v="9"/>
    <n v="0"/>
    <n v="1973"/>
    <n v="14"/>
    <n v="7"/>
    <n v="0"/>
    <n v="12"/>
    <n v="0"/>
    <n v="351"/>
    <n v="0"/>
    <n v="307"/>
    <n v="132"/>
    <n v="4"/>
    <n v="150"/>
    <n v="0"/>
    <n v="0"/>
    <n v="0"/>
    <n v="8515"/>
    <n v="0"/>
    <n v="4966"/>
    <n v="0"/>
    <n v="0"/>
    <n v="0"/>
    <n v="0"/>
    <n v="0"/>
    <n v="0"/>
    <n v="0"/>
    <n v="0"/>
    <n v="0"/>
    <n v="0"/>
    <n v="0"/>
    <n v="6.2008500503049097E-2"/>
    <n v="9"/>
    <n v="11.3863915687212"/>
    <n v="2.404386940082893"/>
    <n v="58.147212990692857"/>
    <n v="3336"/>
    <n v="132"/>
    <n v="0"/>
    <n v="0"/>
    <n v="0"/>
    <n v="0"/>
    <m/>
    <m/>
    <m/>
    <m/>
    <m/>
    <m/>
    <m/>
    <m/>
    <m/>
    <m/>
    <m/>
    <m/>
    <m/>
    <m/>
    <m/>
    <m/>
    <m/>
    <m/>
    <m/>
    <m/>
    <m/>
    <m/>
    <m/>
    <m/>
    <m/>
    <m/>
    <m/>
    <m/>
    <m/>
    <m/>
    <m/>
    <m/>
    <m/>
    <m/>
    <m/>
    <m/>
    <m/>
    <m/>
    <m/>
    <m/>
    <m/>
    <m/>
    <m/>
    <m/>
    <m/>
  </r>
  <r>
    <x v="1"/>
    <n v="22"/>
    <n v="0"/>
    <n v="0"/>
    <n v="34"/>
    <n v="537"/>
    <n v="3563"/>
    <n v="58"/>
    <n v="371"/>
    <n v="1"/>
    <n v="9"/>
    <n v="2"/>
    <n v="26"/>
    <n v="119"/>
    <n v="60"/>
    <n v="4"/>
    <n v="0"/>
    <n v="1"/>
    <n v="1"/>
    <n v="1"/>
    <n v="1"/>
    <n v="23"/>
    <n v="9"/>
    <n v="1"/>
    <n v="0"/>
    <n v="12"/>
    <n v="1"/>
    <n v="1"/>
    <n v="3"/>
    <n v="10"/>
    <n v="6"/>
    <n v="2"/>
    <n v="2"/>
    <n v="6"/>
    <n v="1"/>
    <n v="2"/>
    <n v="2"/>
    <n v="19"/>
    <n v="1"/>
    <n v="27"/>
    <n v="0"/>
    <n v="6"/>
    <n v="1"/>
    <n v="3"/>
    <n v="7"/>
    <n v="1"/>
    <n v="2"/>
    <n v="2"/>
    <n v="43"/>
    <n v="7"/>
    <n v="0"/>
    <n v="25"/>
    <n v="8"/>
    <n v="0"/>
    <n v="11"/>
    <n v="20"/>
    <n v="15"/>
    <n v="8"/>
    <n v="9"/>
    <n v="10"/>
    <n v="9"/>
    <n v="14"/>
    <n v="9"/>
    <n v="14"/>
    <n v="0"/>
    <n v="0"/>
    <n v="0"/>
    <n v="0"/>
    <n v="19"/>
    <n v="7"/>
    <n v="4"/>
    <n v="6"/>
    <n v="86"/>
    <n v="27"/>
    <n v="43"/>
    <n v="90"/>
    <n v="88"/>
    <n v="3"/>
    <n v="6"/>
    <n v="29"/>
    <n v="18"/>
    <n v="67"/>
    <n v="19"/>
    <n v="2"/>
    <n v="19"/>
    <n v="3"/>
    <n v="0"/>
    <n v="1"/>
    <n v="11"/>
    <n v="10"/>
    <n v="34"/>
    <n v="33"/>
    <n v="33"/>
    <n v="31"/>
    <n v="44"/>
    <n v="40"/>
    <n v="20"/>
    <n v="18"/>
    <n v="140"/>
    <n v="1"/>
    <n v="80"/>
    <n v="0"/>
    <n v="5528"/>
    <n v="35"/>
    <n v="157"/>
    <n v="0"/>
    <n v="24"/>
    <n v="0"/>
    <n v="183"/>
    <n v="0"/>
    <n v="228"/>
    <n v="115"/>
    <n v="2"/>
    <n v="114"/>
    <n v="0"/>
    <n v="0"/>
    <n v="0"/>
    <n v="12580"/>
    <n v="22"/>
    <n v="4564"/>
    <n v="32.700000000000003"/>
    <n v="1"/>
    <n v="3"/>
    <n v="50"/>
    <n v="0"/>
    <n v="25"/>
    <n v="20"/>
    <n v="15"/>
    <n v="8"/>
    <n v="427.3"/>
    <n v="113"/>
    <n v="3.5890807547789665"/>
    <n v="6"/>
    <n v="42.170719902851395"/>
    <n v="21.841675930787485"/>
    <n v="68.398523411582161"/>
    <n v="7012"/>
    <n v="115"/>
    <n v="0"/>
    <n v="19"/>
    <n v="7"/>
    <n v="4"/>
    <m/>
    <m/>
    <m/>
    <m/>
    <m/>
    <m/>
    <m/>
    <m/>
    <m/>
    <m/>
    <m/>
    <m/>
    <m/>
    <m/>
    <m/>
    <m/>
    <m/>
    <m/>
    <m/>
    <m/>
    <m/>
    <m/>
    <m/>
    <m/>
    <m/>
    <m/>
    <m/>
    <m/>
    <m/>
    <m/>
    <m/>
    <m/>
    <m/>
    <m/>
    <m/>
    <m/>
    <m/>
    <m/>
    <m/>
    <m/>
    <m/>
    <m/>
    <m/>
    <m/>
    <m/>
  </r>
  <r>
    <x v="1"/>
    <n v="5896"/>
    <n v="0"/>
    <n v="0"/>
    <n v="173"/>
    <n v="69"/>
    <n v="34"/>
    <n v="1640"/>
    <n v="2037"/>
    <n v="0"/>
    <n v="0"/>
    <n v="0"/>
    <n v="0"/>
    <n v="389"/>
    <n v="248"/>
    <n v="0"/>
    <n v="0"/>
    <n v="1"/>
    <n v="0"/>
    <n v="0"/>
    <n v="0"/>
    <n v="0"/>
    <n v="0"/>
    <n v="0"/>
    <n v="0"/>
    <n v="0"/>
    <n v="0"/>
    <n v="0"/>
    <n v="0"/>
    <n v="0"/>
    <n v="0"/>
    <n v="0"/>
    <n v="0"/>
    <n v="0"/>
    <n v="0"/>
    <n v="0"/>
    <n v="0"/>
    <n v="0"/>
    <n v="0"/>
    <n v="0"/>
    <n v="0"/>
    <n v="0"/>
    <n v="0"/>
    <n v="0"/>
    <n v="165"/>
    <n v="6"/>
    <n v="0"/>
    <n v="0"/>
    <n v="28"/>
    <n v="111"/>
    <n v="1"/>
    <n v="0"/>
    <n v="248"/>
    <n v="0"/>
    <n v="0"/>
    <n v="0"/>
    <n v="0"/>
    <n v="0"/>
    <n v="0"/>
    <n v="0"/>
    <n v="0"/>
    <n v="0"/>
    <n v="0"/>
    <n v="0"/>
    <n v="0"/>
    <n v="0"/>
    <n v="0"/>
    <n v="0"/>
    <n v="0"/>
    <n v="0"/>
    <n v="0"/>
    <n v="0"/>
    <n v="0"/>
    <n v="0"/>
    <n v="34"/>
    <n v="55"/>
    <n v="149"/>
    <n v="0"/>
    <n v="0"/>
    <n v="0"/>
    <n v="17"/>
    <n v="0"/>
    <n v="0"/>
    <n v="0"/>
    <n v="0"/>
    <n v="0"/>
    <n v="0"/>
    <n v="0"/>
    <n v="0"/>
    <n v="0"/>
    <n v="0"/>
    <n v="0"/>
    <n v="0"/>
    <n v="0"/>
    <n v="0"/>
    <n v="0"/>
    <n v="0"/>
    <n v="0"/>
    <n v="47"/>
    <n v="0"/>
    <n v="87"/>
    <n v="3"/>
    <n v="447"/>
    <n v="15"/>
    <n v="31"/>
    <n v="0"/>
    <n v="4"/>
    <n v="0"/>
    <n v="188"/>
    <n v="0"/>
    <n v="140"/>
    <n v="269"/>
    <n v="4"/>
    <n v="67"/>
    <n v="0"/>
    <n v="0"/>
    <n v="0"/>
    <n v="12603"/>
    <n v="5896"/>
    <n v="3953"/>
    <n v="0"/>
    <n v="0"/>
    <n v="0"/>
    <n v="139"/>
    <n v="1"/>
    <n v="0"/>
    <n v="0"/>
    <n v="0"/>
    <n v="0"/>
    <n v="1057"/>
    <n v="0"/>
    <n v="0"/>
    <n v="0"/>
    <n v="0"/>
    <n v="17"/>
    <n v="0"/>
    <n v="1268"/>
    <n v="272"/>
    <n v="0"/>
    <n v="0"/>
    <n v="0"/>
    <n v="0"/>
    <m/>
    <m/>
    <m/>
    <m/>
    <m/>
    <m/>
    <m/>
    <m/>
    <m/>
    <m/>
    <m/>
    <m/>
    <m/>
    <m/>
    <m/>
    <m/>
    <m/>
    <m/>
    <m/>
    <m/>
    <m/>
    <m/>
    <m/>
    <m/>
    <m/>
    <m/>
    <m/>
    <m/>
    <m/>
    <m/>
    <m/>
    <m/>
    <m/>
    <m/>
    <m/>
    <m/>
    <m/>
    <m/>
    <m/>
    <m/>
    <m/>
    <m/>
    <m/>
    <m/>
    <m/>
  </r>
  <r>
    <x v="1"/>
    <n v="365"/>
    <n v="0"/>
    <n v="1"/>
    <n v="340"/>
    <n v="1967"/>
    <n v="790"/>
    <n v="1251"/>
    <n v="5937"/>
    <n v="11"/>
    <n v="14"/>
    <n v="5"/>
    <n v="8"/>
    <n v="198"/>
    <n v="257"/>
    <n v="37"/>
    <n v="0"/>
    <n v="7"/>
    <n v="2"/>
    <n v="5"/>
    <n v="3"/>
    <n v="17"/>
    <n v="7"/>
    <n v="2"/>
    <n v="0"/>
    <n v="6"/>
    <n v="2"/>
    <n v="4"/>
    <n v="6"/>
    <n v="10"/>
    <n v="15"/>
    <n v="2"/>
    <n v="5"/>
    <n v="13"/>
    <n v="3"/>
    <n v="1"/>
    <n v="5"/>
    <n v="11"/>
    <n v="7"/>
    <n v="6"/>
    <n v="0"/>
    <n v="18"/>
    <n v="4"/>
    <n v="4"/>
    <n v="13"/>
    <n v="2"/>
    <n v="2"/>
    <n v="11"/>
    <n v="8"/>
    <n v="4"/>
    <n v="11"/>
    <n v="402"/>
    <n v="106"/>
    <n v="7"/>
    <n v="26"/>
    <n v="35"/>
    <n v="18"/>
    <n v="13"/>
    <n v="8"/>
    <n v="30"/>
    <n v="26"/>
    <n v="37"/>
    <n v="25"/>
    <n v="11"/>
    <n v="0"/>
    <n v="0"/>
    <n v="0"/>
    <n v="5"/>
    <n v="27"/>
    <n v="20"/>
    <n v="2"/>
    <n v="11"/>
    <n v="23"/>
    <n v="6"/>
    <n v="48"/>
    <n v="384"/>
    <n v="233"/>
    <n v="2"/>
    <n v="3"/>
    <n v="1"/>
    <n v="2"/>
    <n v="77"/>
    <n v="21"/>
    <n v="0"/>
    <n v="4"/>
    <n v="28"/>
    <n v="19"/>
    <n v="2"/>
    <n v="13"/>
    <n v="60"/>
    <n v="72"/>
    <n v="104"/>
    <n v="78"/>
    <n v="52"/>
    <n v="34"/>
    <n v="40"/>
    <n v="18"/>
    <n v="13"/>
    <n v="243"/>
    <n v="2"/>
    <n v="240"/>
    <n v="0"/>
    <n v="7854"/>
    <n v="74"/>
    <n v="312"/>
    <n v="174"/>
    <n v="42"/>
    <n v="0"/>
    <n v="368"/>
    <n v="534"/>
    <n v="554"/>
    <n v="4"/>
    <n v="5"/>
    <n v="425"/>
    <n v="279"/>
    <n v="347"/>
    <n v="57"/>
    <n v="25057"/>
    <n v="366"/>
    <n v="10296"/>
    <n v="25.4"/>
    <n v="4"/>
    <n v="4"/>
    <n v="12"/>
    <n v="11"/>
    <n v="402"/>
    <n v="35"/>
    <n v="18"/>
    <n v="13"/>
    <n v="970.6"/>
    <n v="29"/>
    <n v="2.1240170010060981"/>
    <n v="3"/>
    <n v="3.7727831374423988"/>
    <n v="2.808773880165786"/>
    <n v="77.294425981385714"/>
    <n v="11512"/>
    <n v="1221"/>
    <n v="0"/>
    <n v="27"/>
    <n v="20"/>
    <n v="2"/>
    <m/>
    <m/>
    <m/>
    <m/>
    <m/>
    <m/>
    <m/>
    <m/>
    <m/>
    <m/>
    <m/>
    <m/>
    <m/>
    <m/>
    <m/>
    <m/>
    <m/>
    <m/>
    <m/>
    <m/>
    <m/>
    <m/>
    <m/>
    <m/>
    <m/>
    <m/>
    <m/>
    <m/>
    <m/>
    <m/>
    <m/>
    <m/>
    <m/>
    <m/>
    <m/>
    <m/>
    <m/>
    <m/>
    <m/>
    <m/>
    <m/>
    <m/>
    <m/>
    <m/>
    <m/>
  </r>
  <r>
    <x v="1"/>
    <n v="0"/>
    <n v="0"/>
    <n v="0"/>
    <n v="0"/>
    <n v="0"/>
    <n v="0"/>
    <n v="0"/>
    <n v="5"/>
    <n v="16"/>
    <n v="0"/>
    <n v="0"/>
    <n v="0"/>
    <n v="5"/>
    <n v="0"/>
    <n v="0"/>
    <n v="0"/>
    <n v="0"/>
    <n v="0"/>
    <n v="0"/>
    <n v="0"/>
    <n v="5"/>
    <n v="0"/>
    <n v="0"/>
    <n v="0"/>
    <n v="0"/>
    <n v="0"/>
    <n v="0"/>
    <n v="0"/>
    <n v="0"/>
    <n v="5"/>
    <n v="0"/>
    <n v="0"/>
    <n v="0"/>
    <n v="0"/>
    <n v="0"/>
    <n v="0"/>
    <n v="5"/>
    <n v="0"/>
    <n v="0"/>
    <n v="0"/>
    <n v="0"/>
    <n v="0"/>
    <n v="0"/>
    <n v="0"/>
    <n v="0"/>
    <n v="0"/>
    <n v="0"/>
    <n v="0"/>
    <n v="0"/>
    <n v="0"/>
    <n v="12"/>
    <n v="0"/>
    <n v="0"/>
    <n v="0"/>
    <n v="0"/>
    <n v="5"/>
    <n v="0"/>
    <n v="0"/>
    <n v="0"/>
    <n v="0"/>
    <n v="0"/>
    <n v="0"/>
    <n v="0"/>
    <n v="0"/>
    <n v="0"/>
    <n v="0"/>
    <n v="0"/>
    <n v="0"/>
    <n v="0"/>
    <n v="0"/>
    <n v="0"/>
    <n v="0"/>
    <n v="0"/>
    <n v="0"/>
    <n v="0"/>
    <n v="0"/>
    <n v="0"/>
    <n v="0"/>
    <n v="0"/>
    <n v="0"/>
    <n v="5"/>
    <n v="0"/>
    <n v="0"/>
    <n v="0"/>
    <n v="0"/>
    <n v="0"/>
    <n v="0"/>
    <n v="0"/>
    <n v="0"/>
    <n v="13"/>
    <n v="5"/>
    <n v="0"/>
    <n v="0"/>
    <n v="0"/>
    <n v="5"/>
    <n v="0"/>
    <n v="0"/>
    <n v="5"/>
    <n v="0"/>
    <n v="0"/>
    <n v="0"/>
    <n v="5"/>
    <n v="5"/>
    <n v="0"/>
    <n v="0"/>
    <n v="12"/>
    <n v="0"/>
    <n v="0"/>
    <n v="0"/>
    <n v="0"/>
    <n v="0"/>
    <n v="0"/>
    <n v="0"/>
    <n v="0"/>
    <n v="0"/>
    <n v="0"/>
    <n v="113"/>
    <n v="0"/>
    <n v="21"/>
    <n v="5"/>
    <n v="0"/>
    <n v="0"/>
    <n v="0"/>
    <n v="0"/>
    <n v="12"/>
    <n v="0"/>
    <n v="5"/>
    <n v="0"/>
    <n v="15"/>
    <n v="0"/>
    <n v="0"/>
    <n v="0"/>
    <n v="0"/>
    <n v="0"/>
    <n v="5"/>
    <n v="50"/>
    <n v="0"/>
    <n v="0"/>
    <n v="0"/>
    <n v="0"/>
    <n v="0"/>
    <m/>
    <m/>
    <m/>
    <m/>
    <m/>
    <m/>
    <m/>
    <m/>
    <m/>
    <m/>
    <m/>
    <m/>
    <m/>
    <m/>
    <m/>
    <m/>
    <m/>
    <m/>
    <m/>
    <m/>
    <m/>
    <m/>
    <m/>
    <m/>
    <m/>
    <m/>
    <m/>
    <m/>
    <m/>
    <m/>
    <m/>
    <m/>
    <m/>
    <m/>
    <m/>
    <m/>
    <m/>
    <m/>
    <m/>
    <m/>
    <m/>
    <m/>
    <m/>
    <m/>
    <m/>
  </r>
  <r>
    <x v="2"/>
    <n v="21"/>
    <n v="6"/>
    <n v="2"/>
    <n v="7"/>
    <n v="2"/>
    <n v="8"/>
    <n v="6"/>
    <n v="11"/>
    <n v="0"/>
    <n v="1582"/>
    <n v="10"/>
    <n v="6"/>
    <n v="2"/>
    <n v="2"/>
    <n v="6"/>
    <n v="1"/>
    <n v="2"/>
    <n v="2"/>
    <n v="4"/>
    <n v="2"/>
    <n v="116"/>
    <n v="29"/>
    <n v="5"/>
    <n v="8"/>
    <n v="0"/>
    <n v="2"/>
    <n v="8"/>
    <n v="5"/>
    <n v="9"/>
    <n v="9"/>
    <n v="2"/>
    <n v="2"/>
    <n v="3"/>
    <n v="2"/>
    <n v="1"/>
    <n v="2"/>
    <n v="5"/>
    <n v="1"/>
    <n v="2"/>
    <n v="0"/>
    <n v="0"/>
    <n v="0"/>
    <n v="0"/>
    <n v="0"/>
    <n v="0"/>
    <n v="0"/>
    <n v="1"/>
    <n v="3"/>
    <n v="2"/>
    <n v="1"/>
    <n v="5"/>
    <n v="1"/>
    <n v="1"/>
    <n v="1"/>
    <n v="2"/>
    <n v="2"/>
    <n v="0"/>
    <n v="3"/>
    <n v="6"/>
    <n v="6"/>
    <n v="7"/>
    <n v="8"/>
    <n v="3"/>
    <n v="0"/>
    <n v="0"/>
    <n v="0"/>
    <n v="8"/>
    <n v="6"/>
    <n v="6"/>
    <n v="1"/>
    <n v="4"/>
    <n v="39"/>
    <n v="15"/>
    <n v="32"/>
    <n v="83"/>
    <n v="65"/>
    <n v="2"/>
    <n v="1"/>
    <n v="0"/>
    <n v="11"/>
    <n v="7"/>
    <n v="6"/>
    <n v="3"/>
    <n v="2"/>
    <n v="28"/>
    <n v="13"/>
    <n v="2"/>
    <n v="1"/>
    <n v="1"/>
    <n v="15"/>
    <n v="3"/>
    <n v="1"/>
    <n v="2"/>
    <n v="0"/>
    <n v="1"/>
    <n v="1"/>
    <n v="1"/>
    <n v="37"/>
    <n v="0"/>
    <n v="5"/>
    <n v="1"/>
    <n v="62"/>
    <n v="20"/>
    <n v="76"/>
    <n v="198"/>
    <n v="44"/>
    <n v="0"/>
    <n v="81"/>
    <n v="127"/>
    <n v="17"/>
    <n v="0"/>
    <n v="6"/>
    <n v="21"/>
    <n v="5"/>
    <n v="449"/>
    <n v="1"/>
    <n v="3455"/>
    <n v="29"/>
    <n v="34"/>
    <n v="146.4"/>
    <n v="0"/>
    <n v="0"/>
    <n v="5"/>
    <n v="1"/>
    <n v="5"/>
    <n v="2"/>
    <n v="2"/>
    <n v="0"/>
    <n v="1732.6"/>
    <n v="54"/>
    <n v="2.0620085005030493"/>
    <n v="1"/>
    <n v="1.3863915687211994"/>
    <n v="11.404386940082894"/>
    <n v="7.1472129906928581"/>
    <n v="825"/>
    <n v="583"/>
    <n v="0"/>
    <n v="6"/>
    <n v="6"/>
    <n v="1"/>
    <m/>
    <m/>
    <m/>
    <m/>
    <m/>
    <m/>
    <m/>
    <m/>
    <m/>
    <m/>
    <m/>
    <m/>
    <m/>
    <m/>
    <m/>
    <m/>
    <m/>
    <m/>
    <m/>
    <m/>
    <m/>
    <m/>
    <m/>
    <m/>
    <m/>
    <m/>
    <m/>
    <m/>
    <m/>
    <m/>
    <m/>
    <m/>
    <m/>
    <m/>
    <m/>
    <m/>
    <m/>
    <m/>
    <m/>
    <m/>
    <m/>
    <m/>
    <m/>
    <m/>
    <m/>
  </r>
  <r>
    <x v="2"/>
    <n v="34"/>
    <n v="0"/>
    <n v="0"/>
    <n v="23"/>
    <n v="11"/>
    <n v="11"/>
    <n v="0"/>
    <n v="30"/>
    <n v="0"/>
    <n v="77"/>
    <n v="475"/>
    <n v="8"/>
    <n v="0"/>
    <n v="0"/>
    <n v="122"/>
    <n v="2"/>
    <n v="23"/>
    <n v="1"/>
    <n v="1"/>
    <n v="12"/>
    <n v="50"/>
    <n v="2"/>
    <n v="2"/>
    <n v="0"/>
    <n v="0"/>
    <n v="0"/>
    <n v="0"/>
    <n v="0"/>
    <n v="6"/>
    <n v="6"/>
    <n v="0"/>
    <n v="0"/>
    <n v="1"/>
    <n v="0"/>
    <n v="1"/>
    <n v="0"/>
    <n v="4"/>
    <n v="0"/>
    <n v="7"/>
    <n v="0"/>
    <n v="0"/>
    <n v="0"/>
    <n v="0"/>
    <n v="0"/>
    <n v="1"/>
    <n v="1"/>
    <n v="0"/>
    <n v="1"/>
    <n v="1"/>
    <n v="0"/>
    <n v="0"/>
    <n v="0"/>
    <n v="0"/>
    <n v="0"/>
    <n v="0"/>
    <n v="2"/>
    <n v="0"/>
    <n v="0"/>
    <n v="3"/>
    <n v="0"/>
    <n v="0"/>
    <n v="3"/>
    <n v="1"/>
    <n v="0"/>
    <n v="0"/>
    <n v="0"/>
    <n v="5"/>
    <n v="0"/>
    <n v="0"/>
    <n v="0"/>
    <n v="0"/>
    <n v="13"/>
    <n v="1"/>
    <n v="42"/>
    <n v="20"/>
    <n v="24"/>
    <n v="0"/>
    <n v="0"/>
    <n v="0"/>
    <n v="0"/>
    <n v="0"/>
    <n v="4"/>
    <n v="0"/>
    <n v="0"/>
    <n v="3"/>
    <n v="2"/>
    <n v="1"/>
    <n v="0"/>
    <n v="0"/>
    <n v="0"/>
    <n v="0"/>
    <n v="0"/>
    <n v="0"/>
    <n v="0"/>
    <n v="0"/>
    <n v="0"/>
    <n v="0"/>
    <n v="19"/>
    <n v="0"/>
    <n v="0"/>
    <n v="0"/>
    <n v="9"/>
    <n v="44"/>
    <n v="0"/>
    <n v="0"/>
    <n v="1"/>
    <n v="0"/>
    <n v="0"/>
    <n v="0"/>
    <n v="2"/>
    <n v="0"/>
    <n v="0"/>
    <n v="1"/>
    <n v="0"/>
    <n v="0"/>
    <n v="0"/>
    <n v="1113"/>
    <n v="34"/>
    <n v="75"/>
    <n v="52"/>
    <n v="0"/>
    <n v="0"/>
    <n v="2"/>
    <n v="0"/>
    <n v="0"/>
    <n v="0"/>
    <n v="2"/>
    <n v="0"/>
    <n v="762"/>
    <n v="14"/>
    <n v="0"/>
    <n v="0"/>
    <n v="0"/>
    <n v="0"/>
    <n v="0"/>
    <n v="172"/>
    <n v="0"/>
    <n v="0"/>
    <n v="0"/>
    <n v="0"/>
    <n v="0"/>
    <m/>
    <m/>
    <m/>
    <m/>
    <m/>
    <m/>
    <m/>
    <m/>
    <m/>
    <m/>
    <m/>
    <m/>
    <m/>
    <m/>
    <m/>
    <m/>
    <m/>
    <m/>
    <m/>
    <m/>
    <m/>
    <m/>
    <m/>
    <m/>
    <m/>
    <m/>
    <m/>
    <m/>
    <m/>
    <m/>
    <m/>
    <m/>
    <m/>
    <m/>
    <m/>
    <m/>
    <m/>
    <m/>
    <m/>
    <m/>
    <m/>
    <m/>
    <m/>
    <m/>
    <m/>
  </r>
  <r>
    <x v="2"/>
    <n v="174"/>
    <n v="4"/>
    <n v="2"/>
    <n v="36"/>
    <n v="46"/>
    <n v="33"/>
    <n v="29"/>
    <n v="92"/>
    <n v="0"/>
    <n v="16"/>
    <n v="5"/>
    <n v="4122"/>
    <n v="61"/>
    <n v="69"/>
    <n v="25"/>
    <n v="2"/>
    <n v="11"/>
    <n v="7"/>
    <n v="12"/>
    <n v="15"/>
    <n v="74"/>
    <n v="50"/>
    <n v="5"/>
    <n v="7"/>
    <n v="24"/>
    <n v="9"/>
    <n v="5"/>
    <n v="6"/>
    <n v="12"/>
    <n v="20"/>
    <n v="1"/>
    <n v="4"/>
    <n v="12"/>
    <n v="9"/>
    <n v="3"/>
    <n v="7"/>
    <n v="34"/>
    <n v="7"/>
    <n v="26"/>
    <n v="0"/>
    <n v="19"/>
    <n v="20"/>
    <n v="37"/>
    <n v="12"/>
    <n v="9"/>
    <n v="6"/>
    <n v="19"/>
    <n v="11"/>
    <n v="14"/>
    <n v="8"/>
    <n v="27"/>
    <n v="31"/>
    <n v="9"/>
    <n v="12"/>
    <n v="37"/>
    <n v="24"/>
    <n v="11"/>
    <n v="7"/>
    <n v="29"/>
    <n v="18"/>
    <n v="9"/>
    <n v="29"/>
    <n v="19"/>
    <n v="0"/>
    <n v="0"/>
    <n v="0"/>
    <n v="5"/>
    <n v="8"/>
    <n v="23"/>
    <n v="2"/>
    <n v="7"/>
    <n v="56"/>
    <n v="22"/>
    <n v="201"/>
    <n v="2129"/>
    <n v="611"/>
    <n v="3"/>
    <n v="14"/>
    <n v="6"/>
    <n v="9"/>
    <n v="21"/>
    <n v="108"/>
    <n v="40"/>
    <n v="54"/>
    <n v="1347"/>
    <n v="486"/>
    <n v="563"/>
    <n v="160"/>
    <n v="200"/>
    <n v="724"/>
    <n v="954"/>
    <n v="933"/>
    <n v="1162"/>
    <n v="40"/>
    <n v="1199"/>
    <n v="488"/>
    <n v="65"/>
    <n v="2200"/>
    <n v="8"/>
    <n v="869"/>
    <n v="242"/>
    <n v="134"/>
    <n v="371"/>
    <n v="323"/>
    <n v="1259"/>
    <n v="199"/>
    <n v="0"/>
    <n v="256"/>
    <n v="883"/>
    <n v="251"/>
    <n v="120"/>
    <n v="4"/>
    <n v="142"/>
    <n v="171"/>
    <n v="1316"/>
    <n v="582"/>
    <n v="26463"/>
    <n v="180"/>
    <n v="236"/>
    <n v="130.30000000000001"/>
    <n v="20"/>
    <n v="37"/>
    <n v="25"/>
    <n v="8"/>
    <n v="27"/>
    <n v="37"/>
    <n v="24"/>
    <n v="11"/>
    <n v="4769.7"/>
    <n v="78"/>
    <n v="4.6742295135823255"/>
    <n v="14"/>
    <n v="43.432572355472381"/>
    <n v="19.918447382238114"/>
    <n v="24.97475074870718"/>
    <n v="17426"/>
    <n v="3314"/>
    <n v="0"/>
    <n v="8"/>
    <n v="23"/>
    <n v="2"/>
    <m/>
    <m/>
    <m/>
    <m/>
    <m/>
    <m/>
    <m/>
    <m/>
    <m/>
    <m/>
    <m/>
    <m/>
    <m/>
    <m/>
    <m/>
    <m/>
    <m/>
    <m/>
    <m/>
    <m/>
    <m/>
    <m/>
    <m/>
    <m/>
    <m/>
    <m/>
    <m/>
    <m/>
    <m/>
    <m/>
    <m/>
    <m/>
    <m/>
    <m/>
    <m/>
    <m/>
    <m/>
    <m/>
    <m/>
    <m/>
    <m/>
    <m/>
    <m/>
    <m/>
    <m/>
  </r>
  <r>
    <x v="2"/>
    <n v="942"/>
    <n v="0"/>
    <n v="0"/>
    <n v="51"/>
    <n v="9"/>
    <n v="19"/>
    <n v="56"/>
    <n v="64"/>
    <n v="1"/>
    <n v="8"/>
    <n v="1"/>
    <n v="1"/>
    <n v="10186"/>
    <n v="215"/>
    <n v="1"/>
    <n v="0"/>
    <n v="0"/>
    <n v="0"/>
    <n v="0"/>
    <n v="0"/>
    <n v="2"/>
    <n v="1"/>
    <n v="1"/>
    <n v="0"/>
    <n v="1"/>
    <n v="0"/>
    <n v="0"/>
    <n v="0"/>
    <n v="0"/>
    <n v="0"/>
    <n v="0"/>
    <n v="0"/>
    <n v="1"/>
    <n v="0"/>
    <n v="0"/>
    <n v="1"/>
    <n v="2"/>
    <n v="1"/>
    <n v="1"/>
    <n v="0"/>
    <n v="0"/>
    <n v="1"/>
    <n v="1"/>
    <n v="1"/>
    <n v="1"/>
    <n v="1"/>
    <n v="2"/>
    <n v="1"/>
    <n v="0"/>
    <n v="43"/>
    <n v="204"/>
    <n v="182"/>
    <n v="0"/>
    <n v="5"/>
    <n v="17"/>
    <n v="1"/>
    <n v="0"/>
    <n v="1"/>
    <n v="1"/>
    <n v="0"/>
    <n v="0"/>
    <n v="2"/>
    <n v="0"/>
    <n v="0"/>
    <n v="0"/>
    <n v="0"/>
    <n v="5"/>
    <n v="1"/>
    <n v="2"/>
    <n v="1"/>
    <n v="1"/>
    <n v="1"/>
    <n v="0"/>
    <n v="2"/>
    <n v="28"/>
    <n v="5"/>
    <n v="1"/>
    <n v="1"/>
    <n v="0"/>
    <n v="1"/>
    <n v="1"/>
    <n v="7"/>
    <n v="0"/>
    <n v="5"/>
    <n v="9"/>
    <n v="6"/>
    <n v="1"/>
    <n v="1"/>
    <n v="1"/>
    <n v="3"/>
    <n v="11"/>
    <n v="11"/>
    <n v="2"/>
    <n v="0"/>
    <n v="6"/>
    <n v="1"/>
    <n v="7"/>
    <n v="86"/>
    <n v="1"/>
    <n v="412"/>
    <n v="0"/>
    <n v="5"/>
    <n v="25"/>
    <n v="8"/>
    <n v="0"/>
    <n v="67"/>
    <n v="0"/>
    <n v="29"/>
    <n v="7"/>
    <n v="2170"/>
    <n v="3079"/>
    <n v="556"/>
    <n v="400"/>
    <n v="32"/>
    <n v="20"/>
    <n v="0"/>
    <n v="19047"/>
    <n v="942"/>
    <n v="200"/>
    <n v="3"/>
    <n v="1"/>
    <n v="1"/>
    <n v="1"/>
    <n v="43"/>
    <n v="204"/>
    <n v="17"/>
    <n v="1"/>
    <n v="0"/>
    <n v="10622"/>
    <n v="1"/>
    <n v="1.1550212512576228"/>
    <n v="1"/>
    <n v="3.4659789218029986"/>
    <n v="2.0109673502072329"/>
    <n v="1.3680324767321461"/>
    <n v="3860"/>
    <n v="3138"/>
    <n v="0"/>
    <n v="1"/>
    <n v="2"/>
    <n v="1"/>
    <m/>
    <m/>
    <m/>
    <m/>
    <m/>
    <m/>
    <m/>
    <m/>
    <m/>
    <m/>
    <m/>
    <m/>
    <m/>
    <m/>
    <m/>
    <m/>
    <m/>
    <m/>
    <m/>
    <m/>
    <m/>
    <m/>
    <m/>
    <m/>
    <m/>
    <m/>
    <m/>
    <m/>
    <m/>
    <m/>
    <m/>
    <m/>
    <m/>
    <m/>
    <m/>
    <m/>
    <m/>
    <m/>
    <m/>
    <m/>
    <m/>
    <m/>
    <m/>
    <m/>
    <m/>
  </r>
  <r>
    <x v="2"/>
    <n v="211"/>
    <n v="4"/>
    <n v="0"/>
    <n v="26"/>
    <n v="18"/>
    <n v="9"/>
    <n v="30"/>
    <n v="36"/>
    <n v="0"/>
    <n v="0"/>
    <n v="0"/>
    <n v="6"/>
    <n v="27"/>
    <n v="1905"/>
    <n v="6"/>
    <n v="0"/>
    <n v="2"/>
    <n v="2"/>
    <n v="2"/>
    <n v="3"/>
    <n v="7"/>
    <n v="20"/>
    <n v="2"/>
    <n v="0"/>
    <n v="0"/>
    <n v="2"/>
    <n v="5"/>
    <n v="0"/>
    <n v="18"/>
    <n v="1"/>
    <n v="4"/>
    <n v="0"/>
    <n v="1"/>
    <n v="2"/>
    <n v="3"/>
    <n v="6"/>
    <n v="11"/>
    <n v="4"/>
    <n v="20"/>
    <n v="0"/>
    <n v="0"/>
    <n v="1"/>
    <n v="9"/>
    <n v="7"/>
    <n v="18"/>
    <n v="14"/>
    <n v="7"/>
    <n v="10"/>
    <n v="7"/>
    <n v="4"/>
    <n v="12"/>
    <n v="19"/>
    <n v="2"/>
    <n v="42"/>
    <n v="44"/>
    <n v="13"/>
    <n v="1"/>
    <n v="8"/>
    <n v="20"/>
    <n v="17"/>
    <n v="0"/>
    <n v="30"/>
    <n v="6"/>
    <n v="0"/>
    <n v="0"/>
    <n v="0"/>
    <n v="5"/>
    <n v="9"/>
    <n v="3"/>
    <n v="0"/>
    <n v="1"/>
    <n v="0"/>
    <n v="0"/>
    <n v="7"/>
    <n v="8"/>
    <n v="28"/>
    <n v="1"/>
    <n v="1"/>
    <n v="1"/>
    <n v="1"/>
    <n v="1"/>
    <n v="0"/>
    <n v="0"/>
    <n v="6"/>
    <n v="2"/>
    <n v="2"/>
    <n v="0"/>
    <n v="3"/>
    <n v="1"/>
    <n v="8"/>
    <n v="66"/>
    <n v="28"/>
    <n v="4"/>
    <n v="0"/>
    <n v="3"/>
    <n v="3"/>
    <n v="2"/>
    <n v="78"/>
    <n v="3"/>
    <n v="25"/>
    <n v="6"/>
    <n v="87"/>
    <n v="48"/>
    <n v="9"/>
    <n v="56"/>
    <n v="285"/>
    <n v="0"/>
    <n v="39"/>
    <n v="173"/>
    <n v="86"/>
    <n v="84"/>
    <n v="18"/>
    <n v="22"/>
    <n v="18"/>
    <n v="222"/>
    <n v="3"/>
    <n v="4140"/>
    <n v="215"/>
    <n v="119"/>
    <n v="28.4"/>
    <n v="1"/>
    <n v="9"/>
    <n v="17"/>
    <n v="4"/>
    <n v="12"/>
    <n v="44"/>
    <n v="13"/>
    <n v="1"/>
    <n v="2226.6"/>
    <n v="0"/>
    <n v="1.1860255015091472"/>
    <n v="1"/>
    <n v="5.159174706163598"/>
    <n v="2.2131608202486794"/>
    <n v="1.4416389720785754"/>
    <n v="921"/>
    <n v="506"/>
    <n v="0"/>
    <n v="9"/>
    <n v="3"/>
    <n v="0"/>
    <m/>
    <m/>
    <m/>
    <m/>
    <m/>
    <m/>
    <m/>
    <m/>
    <m/>
    <m/>
    <m/>
    <m/>
    <m/>
    <m/>
    <m/>
    <m/>
    <m/>
    <m/>
    <m/>
    <m/>
    <m/>
    <m/>
    <m/>
    <m/>
    <m/>
    <m/>
    <m/>
    <m/>
    <m/>
    <m/>
    <m/>
    <m/>
    <m/>
    <m/>
    <m/>
    <m/>
    <m/>
    <m/>
    <m/>
    <m/>
    <m/>
    <m/>
    <m/>
    <m/>
    <m/>
  </r>
  <r>
    <x v="2"/>
    <n v="0"/>
    <n v="0"/>
    <n v="0"/>
    <n v="4"/>
    <n v="6"/>
    <n v="1"/>
    <n v="6"/>
    <n v="35"/>
    <n v="0"/>
    <n v="20"/>
    <n v="0"/>
    <n v="20"/>
    <n v="45"/>
    <n v="3"/>
    <n v="583"/>
    <n v="3"/>
    <n v="12"/>
    <n v="4"/>
    <n v="6"/>
    <n v="9"/>
    <n v="1580"/>
    <n v="268"/>
    <n v="10"/>
    <n v="17"/>
    <n v="109"/>
    <n v="9"/>
    <n v="19"/>
    <n v="11"/>
    <n v="32"/>
    <n v="57"/>
    <n v="11"/>
    <n v="6"/>
    <n v="32"/>
    <n v="2"/>
    <n v="3"/>
    <n v="2"/>
    <n v="22"/>
    <n v="5"/>
    <n v="24"/>
    <n v="0"/>
    <n v="2"/>
    <n v="8"/>
    <n v="34"/>
    <n v="8"/>
    <n v="4"/>
    <n v="3"/>
    <n v="25"/>
    <n v="16"/>
    <n v="11"/>
    <n v="13"/>
    <n v="0"/>
    <n v="13"/>
    <n v="0"/>
    <n v="2"/>
    <n v="8"/>
    <n v="2"/>
    <n v="2"/>
    <n v="1"/>
    <n v="2"/>
    <n v="4"/>
    <n v="0"/>
    <n v="71"/>
    <n v="10"/>
    <n v="0"/>
    <n v="0"/>
    <n v="0"/>
    <n v="0"/>
    <n v="12"/>
    <n v="5"/>
    <n v="1"/>
    <n v="2"/>
    <n v="76"/>
    <n v="27"/>
    <n v="30"/>
    <n v="75"/>
    <n v="177"/>
    <n v="1"/>
    <n v="2"/>
    <n v="1"/>
    <n v="0"/>
    <n v="0"/>
    <n v="21"/>
    <n v="0"/>
    <n v="8"/>
    <n v="97"/>
    <n v="26"/>
    <n v="15"/>
    <n v="4"/>
    <n v="12"/>
    <n v="24"/>
    <n v="34"/>
    <n v="24"/>
    <n v="23"/>
    <n v="6"/>
    <n v="36"/>
    <n v="10"/>
    <n v="2"/>
    <n v="101"/>
    <n v="3"/>
    <n v="27"/>
    <n v="1"/>
    <n v="207"/>
    <n v="112"/>
    <n v="110"/>
    <n v="111"/>
    <n v="30"/>
    <n v="0"/>
    <n v="36"/>
    <n v="28"/>
    <n v="181"/>
    <n v="255"/>
    <n v="2"/>
    <n v="106"/>
    <n v="42"/>
    <n v="384"/>
    <n v="6"/>
    <n v="5708"/>
    <n v="0"/>
    <n v="52"/>
    <n v="1854.3"/>
    <n v="8"/>
    <n v="34"/>
    <n v="27"/>
    <n v="13"/>
    <n v="0"/>
    <n v="8"/>
    <n v="2"/>
    <n v="2"/>
    <n v="1216.7"/>
    <n v="103"/>
    <n v="1.2480340020121963"/>
    <n v="2"/>
    <n v="6.5455662748847976"/>
    <n v="1.6175477603315724"/>
    <n v="0.58885196277143392"/>
    <n v="1642"/>
    <n v="716"/>
    <n v="0"/>
    <n v="12"/>
    <n v="5"/>
    <n v="1"/>
    <m/>
    <m/>
    <m/>
    <m/>
    <m/>
    <m/>
    <m/>
    <m/>
    <m/>
    <m/>
    <m/>
    <m/>
    <m/>
    <m/>
    <m/>
    <m/>
    <m/>
    <m/>
    <m/>
    <m/>
    <m/>
    <m/>
    <m/>
    <m/>
    <m/>
    <m/>
    <m/>
    <m/>
    <m/>
    <m/>
    <m/>
    <m/>
    <m/>
    <m/>
    <m/>
    <m/>
    <m/>
    <m/>
    <m/>
    <m/>
    <m/>
    <m/>
    <m/>
    <m/>
    <m/>
  </r>
  <r>
    <x v="2"/>
    <n v="0"/>
    <n v="0"/>
    <n v="0"/>
    <n v="0"/>
    <n v="0"/>
    <n v="0"/>
    <n v="0"/>
    <n v="0"/>
    <n v="0"/>
    <n v="0"/>
    <n v="0"/>
    <n v="0"/>
    <n v="0"/>
    <n v="0"/>
    <n v="0"/>
    <n v="376"/>
    <n v="0"/>
    <n v="0"/>
    <n v="0"/>
    <n v="0"/>
    <n v="0"/>
    <n v="0"/>
    <n v="0"/>
    <n v="0"/>
    <n v="1"/>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91"/>
    <n v="0"/>
    <n v="468"/>
    <n v="0"/>
    <n v="0"/>
    <n v="0"/>
    <n v="0"/>
    <n v="0"/>
    <n v="0"/>
    <n v="0"/>
    <n v="0"/>
    <n v="0"/>
    <n v="0"/>
    <n v="0"/>
    <n v="377"/>
    <n v="0"/>
    <n v="0"/>
    <n v="0"/>
    <n v="0"/>
    <n v="0"/>
    <n v="0"/>
    <n v="0"/>
    <n v="91"/>
    <n v="0"/>
    <n v="0"/>
    <n v="0"/>
    <n v="0"/>
    <m/>
    <m/>
    <m/>
    <m/>
    <m/>
    <m/>
    <m/>
    <m/>
    <m/>
    <m/>
    <m/>
    <m/>
    <m/>
    <m/>
    <m/>
    <m/>
    <m/>
    <m/>
    <m/>
    <m/>
    <m/>
    <m/>
    <m/>
    <m/>
    <m/>
    <m/>
    <m/>
    <m/>
    <m/>
    <m/>
    <m/>
    <m/>
    <m/>
    <m/>
    <m/>
    <m/>
    <m/>
    <m/>
    <m/>
    <m/>
    <m/>
    <m/>
    <m/>
    <m/>
    <m/>
  </r>
  <r>
    <x v="2"/>
    <n v="0"/>
    <n v="4"/>
    <n v="8"/>
    <n v="9"/>
    <n v="4"/>
    <n v="4"/>
    <n v="22"/>
    <n v="60"/>
    <n v="0"/>
    <n v="18"/>
    <n v="6"/>
    <n v="17"/>
    <n v="7"/>
    <n v="4"/>
    <n v="21"/>
    <n v="5"/>
    <n v="305"/>
    <n v="4"/>
    <n v="6"/>
    <n v="1"/>
    <n v="117"/>
    <n v="45"/>
    <n v="2"/>
    <n v="1"/>
    <n v="7"/>
    <n v="1"/>
    <n v="5"/>
    <n v="6"/>
    <n v="9"/>
    <n v="29"/>
    <n v="1"/>
    <n v="0"/>
    <n v="9"/>
    <n v="6"/>
    <n v="4"/>
    <n v="2"/>
    <n v="8"/>
    <n v="13"/>
    <n v="8"/>
    <n v="0"/>
    <n v="4"/>
    <n v="4"/>
    <n v="5"/>
    <n v="4"/>
    <n v="6"/>
    <n v="1"/>
    <n v="4"/>
    <n v="8"/>
    <n v="6"/>
    <n v="5"/>
    <n v="5"/>
    <n v="6"/>
    <n v="2"/>
    <n v="9"/>
    <n v="12"/>
    <n v="6"/>
    <n v="0"/>
    <n v="8"/>
    <n v="8"/>
    <n v="6"/>
    <n v="0"/>
    <n v="8"/>
    <n v="6"/>
    <n v="0"/>
    <n v="0"/>
    <n v="0"/>
    <n v="6"/>
    <n v="0"/>
    <n v="7"/>
    <n v="1"/>
    <n v="0"/>
    <n v="60"/>
    <n v="16"/>
    <n v="68"/>
    <n v="178"/>
    <n v="182"/>
    <n v="0"/>
    <n v="2"/>
    <n v="1"/>
    <n v="0"/>
    <n v="5"/>
    <n v="5"/>
    <n v="0"/>
    <n v="4"/>
    <n v="106"/>
    <n v="2"/>
    <n v="0"/>
    <n v="13"/>
    <n v="17"/>
    <n v="33"/>
    <n v="43"/>
    <n v="47"/>
    <n v="30"/>
    <n v="18"/>
    <n v="69"/>
    <n v="63"/>
    <n v="26"/>
    <n v="103"/>
    <n v="8"/>
    <n v="135"/>
    <n v="34"/>
    <n v="21"/>
    <n v="88"/>
    <n v="60"/>
    <n v="287"/>
    <n v="76"/>
    <n v="0"/>
    <n v="17"/>
    <n v="0"/>
    <n v="25"/>
    <n v="5"/>
    <n v="6"/>
    <n v="152"/>
    <n v="52"/>
    <n v="0"/>
    <n v="0"/>
    <n v="2972"/>
    <n v="12"/>
    <n v="99"/>
    <n v="162.69999999999999"/>
    <n v="4"/>
    <n v="5"/>
    <n v="14"/>
    <n v="5"/>
    <n v="5"/>
    <n v="12"/>
    <n v="6"/>
    <n v="0"/>
    <n v="582.29999999999995"/>
    <n v="76"/>
    <n v="0.12401700100609819"/>
    <n v="2"/>
    <n v="3.7727831374423988"/>
    <n v="0.80877388016578622"/>
    <n v="5.2944259813857171"/>
    <n v="1878"/>
    <n v="91"/>
    <n v="0"/>
    <n v="0"/>
    <n v="7"/>
    <n v="1"/>
    <m/>
    <m/>
    <m/>
    <m/>
    <m/>
    <m/>
    <m/>
    <m/>
    <m/>
    <m/>
    <m/>
    <m/>
    <m/>
    <m/>
    <m/>
    <m/>
    <m/>
    <m/>
    <m/>
    <m/>
    <m/>
    <m/>
    <m/>
    <m/>
    <m/>
    <m/>
    <m/>
    <m/>
    <m/>
    <m/>
    <m/>
    <m/>
    <m/>
    <m/>
    <m/>
    <m/>
    <m/>
    <m/>
    <m/>
    <m/>
    <m/>
    <m/>
    <m/>
    <m/>
    <m/>
  </r>
  <r>
    <x v="2"/>
    <n v="0"/>
    <n v="0"/>
    <n v="0"/>
    <n v="2"/>
    <n v="2"/>
    <n v="13"/>
    <n v="0"/>
    <n v="4"/>
    <n v="0"/>
    <n v="0"/>
    <n v="0"/>
    <n v="8"/>
    <n v="0"/>
    <n v="0"/>
    <n v="43"/>
    <n v="0"/>
    <n v="51"/>
    <n v="295"/>
    <n v="7"/>
    <n v="0"/>
    <n v="41"/>
    <n v="17"/>
    <n v="2"/>
    <n v="0"/>
    <n v="14"/>
    <n v="0"/>
    <n v="2"/>
    <n v="1"/>
    <n v="5"/>
    <n v="15"/>
    <n v="0"/>
    <n v="0"/>
    <n v="5"/>
    <n v="0"/>
    <n v="1"/>
    <n v="0"/>
    <n v="4"/>
    <n v="0"/>
    <n v="5"/>
    <n v="0"/>
    <n v="0"/>
    <n v="0"/>
    <n v="0"/>
    <n v="0"/>
    <n v="0"/>
    <n v="0"/>
    <n v="2"/>
    <n v="0"/>
    <n v="1"/>
    <n v="0"/>
    <n v="0"/>
    <n v="0"/>
    <n v="0"/>
    <n v="1"/>
    <n v="1"/>
    <n v="11"/>
    <n v="10"/>
    <n v="0"/>
    <n v="5"/>
    <n v="5"/>
    <n v="0"/>
    <n v="4"/>
    <n v="2"/>
    <n v="0"/>
    <n v="0"/>
    <n v="0"/>
    <n v="0"/>
    <n v="2"/>
    <n v="0"/>
    <n v="0"/>
    <n v="0"/>
    <n v="169"/>
    <n v="90"/>
    <n v="18"/>
    <n v="12"/>
    <n v="62"/>
    <n v="0"/>
    <n v="39"/>
    <n v="0"/>
    <n v="0"/>
    <n v="0"/>
    <n v="0"/>
    <n v="0"/>
    <n v="0"/>
    <n v="1"/>
    <n v="2"/>
    <n v="0"/>
    <n v="1"/>
    <n v="1"/>
    <n v="43"/>
    <n v="1"/>
    <n v="1"/>
    <n v="62"/>
    <n v="5"/>
    <n v="14"/>
    <n v="95"/>
    <n v="9"/>
    <n v="49"/>
    <n v="1"/>
    <n v="8"/>
    <n v="0"/>
    <n v="96"/>
    <n v="0"/>
    <n v="19"/>
    <n v="0"/>
    <n v="36"/>
    <n v="0"/>
    <n v="0"/>
    <n v="0"/>
    <n v="2"/>
    <n v="0"/>
    <n v="0"/>
    <n v="0"/>
    <n v="0"/>
    <n v="0"/>
    <n v="0"/>
    <n v="1417"/>
    <n v="0"/>
    <n v="21"/>
    <n v="58"/>
    <n v="0"/>
    <n v="0"/>
    <n v="1"/>
    <n v="0"/>
    <n v="0"/>
    <n v="1"/>
    <n v="11"/>
    <n v="10"/>
    <n v="477"/>
    <n v="259"/>
    <n v="0"/>
    <n v="39"/>
    <n v="0"/>
    <n v="0"/>
    <n v="0"/>
    <n v="538"/>
    <n v="0"/>
    <n v="0"/>
    <n v="2"/>
    <n v="0"/>
    <n v="0"/>
    <m/>
    <m/>
    <m/>
    <m/>
    <m/>
    <m/>
    <m/>
    <m/>
    <m/>
    <m/>
    <m/>
    <m/>
    <m/>
    <m/>
    <m/>
    <m/>
    <m/>
    <m/>
    <m/>
    <m/>
    <m/>
    <m/>
    <m/>
    <m/>
    <m/>
    <m/>
    <m/>
    <m/>
    <m/>
    <m/>
    <m/>
    <m/>
    <m/>
    <m/>
    <m/>
    <m/>
    <m/>
    <m/>
    <m/>
    <m/>
    <m/>
    <m/>
    <m/>
    <m/>
    <m/>
  </r>
  <r>
    <x v="2"/>
    <n v="0"/>
    <n v="0"/>
    <n v="0"/>
    <n v="0"/>
    <n v="0"/>
    <n v="0"/>
    <n v="0"/>
    <n v="1"/>
    <n v="0"/>
    <n v="0"/>
    <n v="0"/>
    <n v="40"/>
    <n v="1"/>
    <n v="1"/>
    <n v="28"/>
    <n v="0"/>
    <n v="0"/>
    <n v="22"/>
    <n v="105"/>
    <n v="0"/>
    <n v="107"/>
    <n v="9"/>
    <n v="3"/>
    <n v="0"/>
    <n v="10"/>
    <n v="1"/>
    <n v="4"/>
    <n v="4"/>
    <n v="4"/>
    <n v="17"/>
    <n v="1"/>
    <n v="9"/>
    <n v="22"/>
    <n v="0"/>
    <n v="8"/>
    <n v="0"/>
    <n v="113"/>
    <n v="4"/>
    <n v="178"/>
    <n v="0"/>
    <n v="0"/>
    <n v="0"/>
    <n v="0"/>
    <n v="0"/>
    <n v="0"/>
    <n v="0"/>
    <n v="0"/>
    <n v="0"/>
    <n v="0"/>
    <n v="0"/>
    <n v="0"/>
    <n v="0"/>
    <n v="0"/>
    <n v="1"/>
    <n v="4"/>
    <n v="1"/>
    <n v="7"/>
    <n v="11"/>
    <n v="16"/>
    <n v="24"/>
    <n v="0"/>
    <n v="14"/>
    <n v="23"/>
    <n v="0"/>
    <n v="0"/>
    <n v="0"/>
    <n v="0"/>
    <n v="0"/>
    <n v="6"/>
    <n v="0"/>
    <n v="0"/>
    <n v="53"/>
    <n v="36"/>
    <n v="10"/>
    <n v="14"/>
    <n v="44"/>
    <n v="1"/>
    <n v="9"/>
    <n v="0"/>
    <n v="18"/>
    <n v="4"/>
    <n v="39"/>
    <n v="0"/>
    <n v="12"/>
    <n v="2"/>
    <n v="2"/>
    <n v="1"/>
    <n v="4"/>
    <n v="7"/>
    <n v="105"/>
    <n v="272"/>
    <n v="7"/>
    <n v="9"/>
    <n v="0"/>
    <n v="4"/>
    <n v="9"/>
    <n v="21"/>
    <n v="39"/>
    <n v="1"/>
    <n v="17"/>
    <n v="0"/>
    <n v="4"/>
    <n v="74"/>
    <n v="14"/>
    <n v="0"/>
    <n v="0"/>
    <n v="0"/>
    <n v="0"/>
    <n v="0"/>
    <n v="49"/>
    <n v="0"/>
    <n v="0"/>
    <n v="38"/>
    <n v="0"/>
    <n v="1"/>
    <n v="0"/>
    <n v="1719"/>
    <n v="0"/>
    <n v="1"/>
    <n v="116.7"/>
    <n v="0"/>
    <n v="0"/>
    <n v="0"/>
    <n v="0"/>
    <n v="0"/>
    <n v="4"/>
    <n v="1"/>
    <n v="7"/>
    <n v="663.3"/>
    <n v="89"/>
    <n v="1.3720510030182946"/>
    <n v="9"/>
    <n v="8.3183494123271959"/>
    <n v="20.42632164049736"/>
    <n v="4.8832779441571512"/>
    <n v="786"/>
    <n v="1"/>
    <n v="0"/>
    <n v="0"/>
    <n v="6"/>
    <n v="0"/>
    <m/>
    <m/>
    <m/>
    <m/>
    <m/>
    <m/>
    <m/>
    <m/>
    <m/>
    <m/>
    <m/>
    <m/>
    <m/>
    <m/>
    <m/>
    <m/>
    <m/>
    <m/>
    <m/>
    <m/>
    <m/>
    <m/>
    <m/>
    <m/>
    <m/>
    <m/>
    <m/>
    <m/>
    <m/>
    <m/>
    <m/>
    <m/>
    <m/>
    <m/>
    <m/>
    <m/>
    <m/>
    <m/>
    <m/>
    <m/>
    <m/>
    <m/>
    <m/>
    <m/>
    <m/>
  </r>
  <r>
    <x v="2"/>
    <n v="0"/>
    <n v="0"/>
    <n v="0"/>
    <n v="0"/>
    <n v="0"/>
    <n v="0"/>
    <n v="0"/>
    <n v="0"/>
    <n v="0"/>
    <n v="0"/>
    <n v="0"/>
    <n v="1"/>
    <n v="0"/>
    <n v="0"/>
    <n v="23"/>
    <n v="0"/>
    <n v="19"/>
    <n v="15"/>
    <n v="22"/>
    <n v="114"/>
    <n v="53"/>
    <n v="21"/>
    <n v="2"/>
    <n v="1"/>
    <n v="1"/>
    <n v="1"/>
    <n v="1"/>
    <n v="2"/>
    <n v="41"/>
    <n v="30"/>
    <n v="2"/>
    <n v="0"/>
    <n v="6"/>
    <n v="1"/>
    <n v="1"/>
    <n v="4"/>
    <n v="25"/>
    <n v="93"/>
    <n v="41"/>
    <n v="0"/>
    <n v="0"/>
    <n v="1"/>
    <n v="0"/>
    <n v="0"/>
    <n v="2"/>
    <n v="0"/>
    <n v="0"/>
    <n v="0"/>
    <n v="0"/>
    <n v="0"/>
    <n v="0"/>
    <n v="0"/>
    <n v="0"/>
    <n v="0"/>
    <n v="0"/>
    <n v="1"/>
    <n v="0"/>
    <n v="0"/>
    <n v="1"/>
    <n v="1"/>
    <n v="0"/>
    <n v="26"/>
    <n v="26"/>
    <n v="0"/>
    <n v="0"/>
    <n v="0"/>
    <n v="0"/>
    <n v="9"/>
    <n v="6"/>
    <n v="2"/>
    <n v="4"/>
    <n v="23"/>
    <n v="24"/>
    <n v="13"/>
    <n v="68"/>
    <n v="44"/>
    <n v="0"/>
    <n v="0"/>
    <n v="0"/>
    <n v="0"/>
    <n v="0"/>
    <n v="0"/>
    <n v="0"/>
    <n v="0"/>
    <n v="1"/>
    <n v="2"/>
    <n v="0"/>
    <n v="6"/>
    <n v="6"/>
    <n v="0"/>
    <n v="3"/>
    <n v="2"/>
    <n v="2"/>
    <n v="1"/>
    <n v="2"/>
    <n v="0"/>
    <n v="2"/>
    <n v="15"/>
    <n v="0"/>
    <n v="29"/>
    <n v="0"/>
    <n v="49"/>
    <n v="0"/>
    <n v="0"/>
    <n v="0"/>
    <n v="0"/>
    <n v="0"/>
    <n v="0"/>
    <n v="0"/>
    <n v="0"/>
    <n v="0"/>
    <n v="0"/>
    <n v="1"/>
    <n v="0"/>
    <n v="0"/>
    <n v="0"/>
    <n v="892"/>
    <n v="0"/>
    <n v="0"/>
    <n v="74.7"/>
    <n v="1"/>
    <n v="0"/>
    <n v="0"/>
    <n v="0"/>
    <n v="0"/>
    <n v="0"/>
    <n v="1"/>
    <n v="0"/>
    <n v="505.3"/>
    <n v="47"/>
    <n v="0"/>
    <n v="0"/>
    <n v="0"/>
    <n v="0"/>
    <n v="0"/>
    <n v="246"/>
    <n v="0"/>
    <n v="0"/>
    <n v="9"/>
    <n v="6"/>
    <n v="2"/>
    <m/>
    <m/>
    <m/>
    <m/>
    <m/>
    <m/>
    <m/>
    <m/>
    <m/>
    <m/>
    <m/>
    <m/>
    <m/>
    <m/>
    <m/>
    <m/>
    <m/>
    <m/>
    <m/>
    <m/>
    <m/>
    <m/>
    <m/>
    <m/>
    <m/>
    <m/>
    <m/>
    <m/>
    <m/>
    <m/>
    <m/>
    <m/>
    <m/>
    <m/>
    <m/>
    <m/>
    <m/>
    <m/>
    <m/>
    <m/>
    <m/>
    <m/>
    <m/>
    <m/>
    <m/>
  </r>
  <r>
    <x v="3"/>
    <n v="0"/>
    <n v="14"/>
    <n v="0"/>
    <n v="15"/>
    <n v="5"/>
    <n v="160"/>
    <n v="8"/>
    <n v="21"/>
    <n v="0"/>
    <n v="1"/>
    <n v="3"/>
    <n v="6"/>
    <n v="1"/>
    <n v="8"/>
    <n v="6"/>
    <n v="1"/>
    <n v="2"/>
    <n v="4"/>
    <n v="6"/>
    <n v="3"/>
    <n v="15378"/>
    <n v="341"/>
    <n v="5"/>
    <n v="10"/>
    <n v="20"/>
    <n v="10"/>
    <n v="17"/>
    <n v="6"/>
    <n v="11"/>
    <n v="78"/>
    <n v="2"/>
    <n v="5"/>
    <n v="10"/>
    <n v="6"/>
    <n v="1"/>
    <n v="7"/>
    <n v="3"/>
    <n v="5"/>
    <n v="6"/>
    <n v="0"/>
    <n v="9"/>
    <n v="2"/>
    <n v="40"/>
    <n v="4"/>
    <n v="5"/>
    <n v="3"/>
    <n v="3"/>
    <n v="8"/>
    <n v="7"/>
    <n v="3"/>
    <n v="13"/>
    <n v="2"/>
    <n v="1"/>
    <n v="2"/>
    <n v="5"/>
    <n v="2"/>
    <n v="7"/>
    <n v="4"/>
    <n v="3"/>
    <n v="6"/>
    <n v="7"/>
    <n v="4"/>
    <n v="2"/>
    <n v="0"/>
    <n v="0"/>
    <n v="0"/>
    <n v="3"/>
    <n v="8"/>
    <n v="8"/>
    <n v="2"/>
    <n v="3"/>
    <n v="43"/>
    <n v="20"/>
    <n v="2851"/>
    <n v="757"/>
    <n v="104"/>
    <n v="2"/>
    <n v="31"/>
    <n v="333"/>
    <n v="40"/>
    <n v="53"/>
    <n v="444"/>
    <n v="38"/>
    <n v="38"/>
    <n v="0"/>
    <n v="0"/>
    <n v="0"/>
    <n v="2"/>
    <n v="7"/>
    <n v="75"/>
    <n v="37"/>
    <n v="35"/>
    <n v="44"/>
    <n v="9"/>
    <n v="36"/>
    <n v="33"/>
    <n v="11"/>
    <n v="111"/>
    <n v="1"/>
    <n v="56"/>
    <n v="0"/>
    <n v="15"/>
    <n v="24"/>
    <n v="32"/>
    <n v="4"/>
    <n v="6"/>
    <n v="0"/>
    <n v="9"/>
    <n v="2"/>
    <n v="18"/>
    <n v="0"/>
    <n v="2"/>
    <n v="13"/>
    <n v="3"/>
    <n v="101"/>
    <n v="0"/>
    <n v="21791"/>
    <n v="14"/>
    <n v="209"/>
    <n v="15726"/>
    <n v="2"/>
    <n v="40"/>
    <n v="15"/>
    <n v="3"/>
    <n v="13"/>
    <n v="5"/>
    <n v="2"/>
    <n v="7"/>
    <n v="297"/>
    <n v="63"/>
    <n v="3.178161509557933"/>
    <n v="31"/>
    <n v="359.34143980570281"/>
    <n v="47.68335186157497"/>
    <n v="55.797046823164308"/>
    <n v="4774"/>
    <n v="106"/>
    <n v="0"/>
    <n v="8"/>
    <n v="8"/>
    <n v="2"/>
    <m/>
    <m/>
    <m/>
    <m/>
    <m/>
    <m/>
    <m/>
    <m/>
    <m/>
    <m/>
    <m/>
    <m/>
    <m/>
    <m/>
    <m/>
    <m/>
    <m/>
    <m/>
    <m/>
    <m/>
    <m/>
    <m/>
    <m/>
    <m/>
    <m/>
    <m/>
    <m/>
    <m/>
    <m/>
    <m/>
    <m/>
    <m/>
    <m/>
    <m/>
    <m/>
    <m/>
    <m/>
    <m/>
    <m/>
    <m/>
    <m/>
    <m/>
    <m/>
    <m/>
    <m/>
  </r>
  <r>
    <x v="3"/>
    <n v="158"/>
    <n v="6"/>
    <n v="0"/>
    <n v="2"/>
    <n v="2"/>
    <n v="1"/>
    <n v="8"/>
    <n v="1"/>
    <n v="0"/>
    <n v="1"/>
    <n v="1"/>
    <n v="4"/>
    <n v="2"/>
    <n v="2"/>
    <n v="8"/>
    <n v="2"/>
    <n v="1"/>
    <n v="1"/>
    <n v="1"/>
    <n v="0"/>
    <n v="6474"/>
    <n v="3389"/>
    <n v="1"/>
    <n v="0"/>
    <n v="0"/>
    <n v="3"/>
    <n v="1"/>
    <n v="13"/>
    <n v="32"/>
    <n v="32"/>
    <n v="28"/>
    <n v="9"/>
    <n v="37"/>
    <n v="18"/>
    <n v="1"/>
    <n v="12"/>
    <n v="11"/>
    <n v="11"/>
    <n v="8"/>
    <n v="0"/>
    <n v="10"/>
    <n v="10"/>
    <n v="27"/>
    <n v="4"/>
    <n v="0"/>
    <n v="2"/>
    <n v="12"/>
    <n v="2"/>
    <n v="1"/>
    <n v="3"/>
    <n v="4"/>
    <n v="10"/>
    <n v="0"/>
    <n v="2"/>
    <n v="3"/>
    <n v="17"/>
    <n v="9"/>
    <n v="11"/>
    <n v="22"/>
    <n v="16"/>
    <n v="46"/>
    <n v="27"/>
    <n v="15"/>
    <n v="0"/>
    <n v="0"/>
    <n v="0"/>
    <n v="7"/>
    <n v="52"/>
    <n v="57"/>
    <n v="1"/>
    <n v="10"/>
    <n v="10"/>
    <n v="9"/>
    <n v="1695"/>
    <n v="388"/>
    <n v="69"/>
    <n v="1"/>
    <n v="18"/>
    <n v="110"/>
    <n v="1"/>
    <n v="16"/>
    <n v="49"/>
    <n v="1"/>
    <n v="16"/>
    <n v="7"/>
    <n v="0"/>
    <n v="0"/>
    <n v="16"/>
    <n v="16"/>
    <n v="54"/>
    <n v="15"/>
    <n v="3"/>
    <n v="19"/>
    <n v="2"/>
    <n v="3"/>
    <n v="7"/>
    <n v="6"/>
    <n v="175"/>
    <n v="2"/>
    <n v="18"/>
    <n v="0"/>
    <n v="13"/>
    <n v="14"/>
    <n v="32"/>
    <n v="129"/>
    <n v="5"/>
    <n v="0"/>
    <n v="9"/>
    <n v="0"/>
    <n v="8"/>
    <n v="0"/>
    <n v="0"/>
    <n v="8"/>
    <n v="69"/>
    <n v="0"/>
    <n v="120"/>
    <n v="13794"/>
    <n v="164"/>
    <n v="14"/>
    <n v="9865.1"/>
    <n v="10"/>
    <n v="27"/>
    <n v="3"/>
    <n v="3"/>
    <n v="4"/>
    <n v="3"/>
    <n v="17"/>
    <n v="9"/>
    <n v="431.9"/>
    <n v="19"/>
    <n v="1.4960680040243928"/>
    <n v="18"/>
    <n v="121.0911325497696"/>
    <n v="4.2350955206631449"/>
    <n v="17.177703925542868"/>
    <n v="2763"/>
    <n v="189"/>
    <n v="0"/>
    <n v="52"/>
    <n v="57"/>
    <n v="1"/>
    <m/>
    <m/>
    <m/>
    <m/>
    <m/>
    <m/>
    <m/>
    <m/>
    <m/>
    <m/>
    <m/>
    <m/>
    <m/>
    <m/>
    <m/>
    <m/>
    <m/>
    <m/>
    <m/>
    <m/>
    <m/>
    <m/>
    <m/>
    <m/>
    <m/>
    <m/>
    <m/>
    <m/>
    <m/>
    <m/>
    <m/>
    <m/>
    <m/>
    <m/>
    <m/>
    <m/>
    <m/>
    <m/>
    <m/>
    <m/>
    <m/>
    <m/>
    <m/>
    <m/>
    <m/>
  </r>
  <r>
    <x v="2"/>
    <n v="0"/>
    <n v="0"/>
    <n v="1"/>
    <n v="0"/>
    <n v="0"/>
    <n v="0"/>
    <n v="0"/>
    <n v="0"/>
    <n v="0"/>
    <n v="0"/>
    <n v="0"/>
    <n v="0"/>
    <n v="1"/>
    <n v="1"/>
    <n v="0"/>
    <n v="0"/>
    <n v="0"/>
    <n v="0"/>
    <n v="0"/>
    <n v="0"/>
    <n v="0"/>
    <n v="0"/>
    <n v="676"/>
    <n v="0"/>
    <n v="0"/>
    <n v="0"/>
    <n v="0"/>
    <n v="0"/>
    <n v="0"/>
    <n v="0"/>
    <n v="0"/>
    <n v="0"/>
    <n v="0"/>
    <n v="0"/>
    <n v="0"/>
    <n v="0"/>
    <n v="0"/>
    <n v="0"/>
    <n v="0"/>
    <n v="0"/>
    <n v="0"/>
    <n v="0"/>
    <n v="0"/>
    <n v="0"/>
    <n v="0"/>
    <n v="0"/>
    <n v="0"/>
    <n v="0"/>
    <n v="0"/>
    <n v="0"/>
    <n v="0"/>
    <n v="0"/>
    <n v="0"/>
    <n v="0"/>
    <n v="0"/>
    <n v="1"/>
    <n v="0"/>
    <n v="0"/>
    <n v="0"/>
    <n v="0"/>
    <n v="0"/>
    <n v="1"/>
    <n v="0"/>
    <n v="0"/>
    <n v="0"/>
    <n v="0"/>
    <n v="0"/>
    <n v="0"/>
    <n v="0"/>
    <n v="0"/>
    <n v="0"/>
    <n v="3"/>
    <n v="0"/>
    <n v="0"/>
    <n v="0"/>
    <n v="0"/>
    <n v="0"/>
    <n v="0"/>
    <n v="0"/>
    <n v="553"/>
    <n v="0"/>
    <n v="0"/>
    <n v="0"/>
    <n v="0"/>
    <n v="0"/>
    <n v="0"/>
    <n v="0"/>
    <n v="0"/>
    <n v="0"/>
    <n v="0"/>
    <n v="0"/>
    <n v="0"/>
    <n v="0"/>
    <n v="0"/>
    <n v="0"/>
    <n v="0"/>
    <n v="0"/>
    <n v="0"/>
    <n v="0"/>
    <n v="1"/>
    <n v="0"/>
    <n v="0"/>
    <n v="0"/>
    <n v="0"/>
    <n v="0"/>
    <n v="0"/>
    <n v="0"/>
    <n v="0"/>
    <n v="0"/>
    <n v="0"/>
    <n v="0"/>
    <n v="0"/>
    <n v="0"/>
    <n v="0"/>
    <n v="1285"/>
    <n v="0"/>
    <n v="2523"/>
    <n v="1"/>
    <n v="0"/>
    <n v="0"/>
    <n v="0"/>
    <n v="0"/>
    <n v="0"/>
    <n v="0"/>
    <n v="0"/>
    <n v="0"/>
    <n v="1"/>
    <n v="0"/>
    <n v="679"/>
    <n v="3"/>
    <n v="0"/>
    <n v="0"/>
    <n v="0"/>
    <n v="553"/>
    <n v="0"/>
    <n v="1"/>
    <n v="1285"/>
    <n v="0"/>
    <n v="0"/>
    <n v="0"/>
    <n v="0"/>
    <m/>
    <m/>
    <m/>
    <m/>
    <m/>
    <m/>
    <m/>
    <m/>
    <m/>
    <m/>
    <m/>
    <m/>
    <m/>
    <m/>
    <m/>
    <m/>
    <m/>
    <m/>
    <m/>
    <m/>
    <m/>
    <m/>
    <m/>
    <m/>
    <m/>
    <m/>
    <m/>
    <m/>
    <m/>
    <m/>
    <m/>
    <m/>
    <m/>
    <m/>
    <m/>
    <m/>
    <m/>
    <m/>
    <m/>
    <m/>
    <m/>
    <m/>
    <m/>
    <m/>
    <m/>
  </r>
  <r>
    <x v="2"/>
    <n v="0"/>
    <n v="0"/>
    <n v="0"/>
    <n v="0"/>
    <n v="0"/>
    <n v="0"/>
    <n v="0"/>
    <n v="0"/>
    <n v="0"/>
    <n v="0"/>
    <n v="0"/>
    <n v="0"/>
    <n v="0"/>
    <n v="0"/>
    <n v="0"/>
    <n v="0"/>
    <n v="0"/>
    <n v="0"/>
    <n v="0"/>
    <n v="0"/>
    <n v="0"/>
    <n v="0"/>
    <n v="0"/>
    <n v="718"/>
    <n v="0"/>
    <n v="0"/>
    <n v="0"/>
    <n v="0"/>
    <n v="0"/>
    <n v="0"/>
    <n v="0"/>
    <n v="0"/>
    <n v="0"/>
    <n v="0"/>
    <n v="0"/>
    <n v="0"/>
    <n v="0"/>
    <n v="0"/>
    <n v="0"/>
    <n v="0"/>
    <n v="0"/>
    <n v="0"/>
    <n v="0"/>
    <n v="0"/>
    <n v="0"/>
    <n v="0"/>
    <n v="0"/>
    <n v="0"/>
    <n v="0"/>
    <n v="0"/>
    <n v="0"/>
    <n v="0"/>
    <n v="0"/>
    <n v="0"/>
    <n v="0"/>
    <n v="10"/>
    <n v="0"/>
    <n v="0"/>
    <n v="0"/>
    <n v="0"/>
    <n v="0"/>
    <n v="0"/>
    <n v="0"/>
    <n v="0"/>
    <n v="0"/>
    <n v="0"/>
    <n v="0"/>
    <n v="0"/>
    <n v="0"/>
    <n v="0"/>
    <n v="0"/>
    <n v="0"/>
    <n v="0"/>
    <n v="0"/>
    <n v="0"/>
    <n v="0"/>
    <n v="3"/>
    <n v="3"/>
    <n v="1"/>
    <n v="0"/>
    <n v="0"/>
    <n v="0"/>
    <n v="0"/>
    <n v="0"/>
    <n v="0"/>
    <n v="0"/>
    <n v="0"/>
    <n v="0"/>
    <n v="0"/>
    <n v="0"/>
    <n v="0"/>
    <n v="0"/>
    <n v="0"/>
    <n v="0"/>
    <n v="0"/>
    <n v="19"/>
    <n v="0"/>
    <n v="0"/>
    <n v="0"/>
    <n v="0"/>
    <n v="0"/>
    <n v="0"/>
    <n v="0"/>
    <n v="0"/>
    <n v="0"/>
    <n v="0"/>
    <n v="0"/>
    <n v="0"/>
    <n v="0"/>
    <n v="0"/>
    <n v="0"/>
    <n v="0"/>
    <n v="0"/>
    <n v="0"/>
    <n v="0"/>
    <n v="0"/>
    <n v="754"/>
    <n v="0"/>
    <n v="0"/>
    <n v="0"/>
    <n v="0"/>
    <n v="0"/>
    <n v="0"/>
    <n v="0"/>
    <n v="0"/>
    <n v="0"/>
    <n v="10"/>
    <n v="0"/>
    <n v="718"/>
    <n v="0"/>
    <n v="3"/>
    <n v="3"/>
    <n v="1"/>
    <n v="0"/>
    <n v="0"/>
    <n v="19"/>
    <n v="0"/>
    <n v="0"/>
    <n v="0"/>
    <n v="0"/>
    <n v="0"/>
    <m/>
    <m/>
    <m/>
    <m/>
    <m/>
    <m/>
    <m/>
    <m/>
    <m/>
    <m/>
    <m/>
    <m/>
    <m/>
    <m/>
    <m/>
    <m/>
    <m/>
    <m/>
    <m/>
    <m/>
    <m/>
    <m/>
    <m/>
    <m/>
    <m/>
    <m/>
    <m/>
    <m/>
    <m/>
    <m/>
    <m/>
    <m/>
    <m/>
    <m/>
    <m/>
    <m/>
    <m/>
    <m/>
    <m/>
    <m/>
    <m/>
    <m/>
    <m/>
    <m/>
    <m/>
  </r>
  <r>
    <x v="2"/>
    <n v="0"/>
    <n v="0"/>
    <n v="0"/>
    <n v="0"/>
    <n v="0"/>
    <n v="0"/>
    <n v="0"/>
    <n v="0"/>
    <n v="0"/>
    <n v="0"/>
    <n v="0"/>
    <n v="0"/>
    <n v="0"/>
    <n v="0"/>
    <n v="0"/>
    <n v="0"/>
    <n v="0"/>
    <n v="0"/>
    <n v="0"/>
    <n v="0"/>
    <n v="16"/>
    <n v="0"/>
    <n v="0"/>
    <n v="0"/>
    <n v="22326"/>
    <n v="0"/>
    <n v="0"/>
    <n v="0"/>
    <n v="0"/>
    <n v="0"/>
    <n v="0"/>
    <n v="0"/>
    <n v="0"/>
    <n v="0"/>
    <n v="0"/>
    <n v="0"/>
    <n v="0"/>
    <n v="0"/>
    <n v="0"/>
    <n v="0"/>
    <n v="0"/>
    <n v="0"/>
    <n v="0"/>
    <n v="0"/>
    <n v="0"/>
    <n v="0"/>
    <n v="0"/>
    <n v="0"/>
    <n v="0"/>
    <n v="0"/>
    <n v="0"/>
    <n v="0"/>
    <n v="0"/>
    <n v="1"/>
    <n v="0"/>
    <n v="0"/>
    <n v="0"/>
    <n v="0"/>
    <n v="0"/>
    <n v="0"/>
    <n v="0"/>
    <n v="0"/>
    <n v="0"/>
    <n v="0"/>
    <n v="0"/>
    <n v="0"/>
    <n v="0"/>
    <n v="0"/>
    <n v="0"/>
    <n v="0"/>
    <n v="0"/>
    <n v="0"/>
    <n v="0"/>
    <n v="0"/>
    <n v="0"/>
    <n v="0"/>
    <n v="0"/>
    <n v="0"/>
    <n v="0"/>
    <n v="0"/>
    <n v="1425"/>
    <n v="0"/>
    <n v="0"/>
    <n v="253"/>
    <n v="0"/>
    <n v="0"/>
    <n v="0"/>
    <n v="0"/>
    <n v="0"/>
    <n v="0"/>
    <n v="0"/>
    <n v="0"/>
    <n v="0"/>
    <n v="0"/>
    <n v="0"/>
    <n v="0"/>
    <n v="0"/>
    <n v="0"/>
    <n v="0"/>
    <n v="652"/>
    <n v="345"/>
    <n v="0"/>
    <n v="0"/>
    <n v="0"/>
    <n v="0"/>
    <n v="0"/>
    <n v="0"/>
    <n v="0"/>
    <n v="0"/>
    <n v="0"/>
    <n v="0"/>
    <n v="0"/>
    <n v="0"/>
    <n v="0"/>
    <n v="3471"/>
    <n v="0"/>
    <n v="28489"/>
    <n v="0"/>
    <n v="0"/>
    <n v="16"/>
    <n v="0"/>
    <n v="0"/>
    <n v="0"/>
    <n v="0"/>
    <n v="0"/>
    <n v="0"/>
    <n v="0"/>
    <n v="0"/>
    <n v="22327"/>
    <n v="0"/>
    <n v="7.8440753136357104"/>
    <n v="0"/>
    <n v="175.37853344323173"/>
    <n v="51.154947920485981"/>
    <n v="1443.6224433226466"/>
    <n v="652"/>
    <n v="3816"/>
    <n v="0"/>
    <n v="0"/>
    <n v="0"/>
    <n v="0"/>
    <m/>
    <m/>
    <m/>
    <m/>
    <m/>
    <m/>
    <m/>
    <m/>
    <m/>
    <m/>
    <m/>
    <m/>
    <m/>
    <m/>
    <m/>
    <m/>
    <m/>
    <m/>
    <m/>
    <m/>
    <m/>
    <m/>
    <m/>
    <m/>
    <m/>
    <m/>
    <m/>
    <m/>
    <m/>
    <m/>
    <m/>
    <m/>
    <m/>
    <m/>
    <m/>
    <m/>
    <m/>
    <m/>
    <m/>
    <m/>
    <m/>
    <m/>
    <m/>
    <m/>
    <m/>
  </r>
  <r>
    <x v="4"/>
    <n v="0"/>
    <n v="0"/>
    <n v="0"/>
    <n v="2"/>
    <n v="0"/>
    <n v="0"/>
    <n v="0"/>
    <n v="1"/>
    <n v="0"/>
    <n v="1"/>
    <n v="0"/>
    <n v="1"/>
    <n v="1"/>
    <n v="1"/>
    <n v="1"/>
    <n v="0"/>
    <n v="1"/>
    <n v="0"/>
    <n v="0"/>
    <n v="0"/>
    <n v="30"/>
    <n v="11"/>
    <n v="1"/>
    <n v="0"/>
    <n v="1"/>
    <n v="49"/>
    <n v="1"/>
    <n v="2"/>
    <n v="1"/>
    <n v="1"/>
    <n v="1"/>
    <n v="0"/>
    <n v="1"/>
    <n v="0"/>
    <n v="1"/>
    <n v="0"/>
    <n v="1"/>
    <n v="1"/>
    <n v="1"/>
    <n v="0"/>
    <n v="0"/>
    <n v="1"/>
    <n v="4"/>
    <n v="1"/>
    <n v="0"/>
    <n v="0"/>
    <n v="1"/>
    <n v="1"/>
    <n v="1"/>
    <n v="0"/>
    <n v="2"/>
    <n v="1"/>
    <n v="0"/>
    <n v="1"/>
    <n v="3"/>
    <n v="2"/>
    <n v="0"/>
    <n v="0"/>
    <n v="1"/>
    <n v="1"/>
    <n v="3"/>
    <n v="1"/>
    <n v="1"/>
    <n v="0"/>
    <n v="0"/>
    <n v="0"/>
    <n v="0"/>
    <n v="1"/>
    <n v="1"/>
    <n v="1"/>
    <n v="1"/>
    <n v="4"/>
    <n v="1"/>
    <n v="34"/>
    <n v="4"/>
    <n v="8"/>
    <n v="0"/>
    <n v="1"/>
    <n v="4"/>
    <n v="0"/>
    <n v="0"/>
    <n v="7"/>
    <n v="0"/>
    <n v="11"/>
    <n v="0"/>
    <n v="0"/>
    <n v="0"/>
    <n v="0"/>
    <n v="0"/>
    <n v="10"/>
    <n v="1"/>
    <n v="1"/>
    <n v="0"/>
    <n v="0"/>
    <n v="1"/>
    <n v="1"/>
    <n v="0"/>
    <n v="4"/>
    <n v="0"/>
    <n v="3"/>
    <n v="0"/>
    <n v="2"/>
    <n v="2"/>
    <n v="1"/>
    <n v="0"/>
    <n v="1"/>
    <n v="0"/>
    <n v="1"/>
    <n v="0"/>
    <n v="1"/>
    <n v="0"/>
    <n v="0"/>
    <n v="1"/>
    <n v="0"/>
    <n v="2"/>
    <n v="0"/>
    <n v="247"/>
    <n v="0"/>
    <n v="3"/>
    <n v="75.3"/>
    <n v="1"/>
    <n v="4"/>
    <n v="2"/>
    <n v="0"/>
    <n v="2"/>
    <n v="3"/>
    <n v="2"/>
    <n v="0"/>
    <n v="45.7"/>
    <n v="5"/>
    <n v="0.34104675276677004"/>
    <n v="1"/>
    <n v="11.625153627966597"/>
    <n v="2.2241281704559119"/>
    <n v="0.80967144881072162"/>
    <n v="83"/>
    <n v="2"/>
    <n v="0"/>
    <n v="1"/>
    <n v="1"/>
    <n v="1"/>
    <m/>
    <m/>
    <m/>
    <m/>
    <m/>
    <m/>
    <m/>
    <m/>
    <m/>
    <m/>
    <m/>
    <m/>
    <m/>
    <m/>
    <m/>
    <m/>
    <m/>
    <m/>
    <m/>
    <m/>
    <m/>
    <m/>
    <m/>
    <m/>
    <m/>
    <m/>
    <m/>
    <m/>
    <m/>
    <m/>
    <m/>
    <m/>
    <m/>
    <m/>
    <m/>
    <m/>
    <m/>
    <m/>
    <m/>
    <m/>
    <m/>
    <m/>
    <m/>
    <m/>
    <m/>
  </r>
  <r>
    <x v="2"/>
    <n v="0"/>
    <n v="0"/>
    <n v="0"/>
    <n v="4"/>
    <n v="2"/>
    <n v="1"/>
    <n v="1"/>
    <n v="6"/>
    <n v="0"/>
    <n v="1"/>
    <n v="1"/>
    <n v="9"/>
    <n v="14"/>
    <n v="23"/>
    <n v="42"/>
    <n v="0"/>
    <n v="2"/>
    <n v="1"/>
    <n v="1"/>
    <n v="0"/>
    <n v="215"/>
    <n v="46"/>
    <n v="6"/>
    <n v="10"/>
    <n v="39"/>
    <n v="3"/>
    <n v="422"/>
    <n v="69"/>
    <n v="12"/>
    <n v="60"/>
    <n v="9"/>
    <n v="2"/>
    <n v="123"/>
    <n v="3"/>
    <n v="1"/>
    <n v="7"/>
    <n v="7"/>
    <n v="4"/>
    <n v="17"/>
    <n v="0"/>
    <n v="0"/>
    <n v="7"/>
    <n v="35"/>
    <n v="0"/>
    <n v="1"/>
    <n v="1"/>
    <n v="7"/>
    <n v="1"/>
    <n v="2"/>
    <n v="14"/>
    <n v="35"/>
    <n v="14"/>
    <n v="0"/>
    <n v="7"/>
    <n v="20"/>
    <n v="27"/>
    <n v="4"/>
    <n v="9"/>
    <n v="46"/>
    <n v="23"/>
    <n v="0"/>
    <n v="2"/>
    <n v="3"/>
    <n v="0"/>
    <n v="0"/>
    <n v="0"/>
    <n v="42"/>
    <n v="41"/>
    <n v="24"/>
    <n v="2"/>
    <n v="12"/>
    <n v="4114"/>
    <n v="1599"/>
    <n v="7"/>
    <n v="0"/>
    <n v="2"/>
    <n v="1"/>
    <n v="1"/>
    <n v="0"/>
    <n v="1"/>
    <n v="1"/>
    <n v="11"/>
    <n v="0"/>
    <n v="6"/>
    <n v="0"/>
    <n v="0"/>
    <n v="0"/>
    <n v="0"/>
    <n v="0"/>
    <n v="65"/>
    <n v="1"/>
    <n v="1"/>
    <n v="0"/>
    <n v="1"/>
    <n v="1"/>
    <n v="4"/>
    <n v="0"/>
    <n v="10"/>
    <n v="0"/>
    <n v="0"/>
    <n v="0"/>
    <n v="0"/>
    <n v="3"/>
    <n v="0"/>
    <n v="0"/>
    <n v="0"/>
    <n v="0"/>
    <n v="6"/>
    <n v="0"/>
    <n v="0"/>
    <n v="0"/>
    <n v="0"/>
    <n v="0"/>
    <n v="0"/>
    <n v="0"/>
    <n v="0"/>
    <n v="7377"/>
    <n v="0"/>
    <n v="14"/>
    <n v="263.10000000000002"/>
    <n v="7"/>
    <n v="35"/>
    <n v="3"/>
    <n v="14"/>
    <n v="35"/>
    <n v="20"/>
    <n v="27"/>
    <n v="4"/>
    <n v="1052.9000000000001"/>
    <n v="5713"/>
    <n v="1.1860255015091472"/>
    <n v="1"/>
    <n v="4.159174706163598"/>
    <n v="2.2131608202486794"/>
    <n v="1.4416389720785754"/>
    <n v="112"/>
    <n v="0"/>
    <n v="0"/>
    <n v="41"/>
    <n v="24"/>
    <n v="2"/>
    <m/>
    <m/>
    <m/>
    <m/>
    <m/>
    <m/>
    <m/>
    <m/>
    <m/>
    <m/>
    <m/>
    <m/>
    <m/>
    <m/>
    <m/>
    <m/>
    <m/>
    <m/>
    <m/>
    <m/>
    <m/>
    <m/>
    <m/>
    <m/>
    <m/>
    <m/>
    <m/>
    <m/>
    <m/>
    <m/>
    <m/>
    <m/>
    <m/>
    <m/>
    <m/>
    <m/>
    <m/>
    <m/>
    <m/>
    <m/>
    <m/>
    <m/>
    <m/>
    <m/>
    <m/>
  </r>
  <r>
    <x v="2"/>
    <n v="0"/>
    <n v="12"/>
    <n v="0"/>
    <n v="17"/>
    <n v="14"/>
    <n v="33"/>
    <n v="5"/>
    <n v="14"/>
    <n v="0"/>
    <n v="3"/>
    <n v="2"/>
    <n v="3"/>
    <n v="21"/>
    <n v="19"/>
    <n v="47"/>
    <n v="1"/>
    <n v="18"/>
    <n v="6"/>
    <n v="0"/>
    <n v="1"/>
    <n v="585"/>
    <n v="237"/>
    <n v="23"/>
    <n v="41"/>
    <n v="133"/>
    <n v="3"/>
    <n v="56"/>
    <n v="1090"/>
    <n v="366"/>
    <n v="786"/>
    <n v="96"/>
    <n v="40"/>
    <n v="216"/>
    <n v="40"/>
    <n v="3"/>
    <n v="69"/>
    <n v="26"/>
    <n v="18"/>
    <n v="70"/>
    <n v="0"/>
    <n v="141"/>
    <n v="14"/>
    <n v="23"/>
    <n v="3"/>
    <n v="4"/>
    <n v="1"/>
    <n v="7"/>
    <n v="10"/>
    <n v="7"/>
    <n v="1"/>
    <n v="28"/>
    <n v="142"/>
    <n v="0"/>
    <n v="8"/>
    <n v="28"/>
    <n v="89"/>
    <n v="1"/>
    <n v="99"/>
    <n v="170"/>
    <n v="122"/>
    <n v="34"/>
    <n v="32"/>
    <n v="6"/>
    <n v="0"/>
    <n v="0"/>
    <n v="0"/>
    <n v="0"/>
    <n v="65"/>
    <n v="27"/>
    <n v="14"/>
    <n v="24"/>
    <n v="1387"/>
    <n v="655"/>
    <n v="62"/>
    <n v="14"/>
    <n v="52"/>
    <n v="1"/>
    <n v="1"/>
    <n v="1"/>
    <n v="1"/>
    <n v="1"/>
    <n v="4"/>
    <n v="7"/>
    <n v="11"/>
    <n v="0"/>
    <n v="0"/>
    <n v="0"/>
    <n v="0"/>
    <n v="0"/>
    <n v="251"/>
    <n v="10"/>
    <n v="3"/>
    <n v="6"/>
    <n v="1"/>
    <n v="2"/>
    <n v="5"/>
    <n v="0"/>
    <n v="29"/>
    <n v="0"/>
    <n v="1"/>
    <n v="0"/>
    <n v="5"/>
    <n v="3"/>
    <n v="0"/>
    <n v="0"/>
    <n v="7"/>
    <n v="0"/>
    <n v="3"/>
    <n v="0"/>
    <n v="47"/>
    <n v="0"/>
    <n v="0"/>
    <n v="38"/>
    <n v="0"/>
    <n v="0"/>
    <n v="0"/>
    <n v="7822"/>
    <n v="12"/>
    <n v="83"/>
    <n v="824.1"/>
    <n v="14"/>
    <n v="23"/>
    <n v="17"/>
    <n v="1"/>
    <n v="28"/>
    <n v="28"/>
    <n v="89"/>
    <n v="1"/>
    <n v="3987.9"/>
    <n v="2042"/>
    <n v="1.34104675276677"/>
    <n v="1"/>
    <n v="8.625153627966597"/>
    <n v="3.2241281704559119"/>
    <n v="1.8096714488107217"/>
    <n v="550"/>
    <n v="0"/>
    <n v="0"/>
    <n v="65"/>
    <n v="27"/>
    <n v="14"/>
    <m/>
    <m/>
    <m/>
    <m/>
    <m/>
    <m/>
    <m/>
    <m/>
    <m/>
    <m/>
    <m/>
    <m/>
    <m/>
    <m/>
    <m/>
    <m/>
    <m/>
    <m/>
    <m/>
    <m/>
    <m/>
    <m/>
    <m/>
    <m/>
    <m/>
    <m/>
    <m/>
    <m/>
    <m/>
    <m/>
    <m/>
    <m/>
    <m/>
    <m/>
    <m/>
    <m/>
    <m/>
    <m/>
    <m/>
    <m/>
    <m/>
    <m/>
    <m/>
    <m/>
    <m/>
  </r>
  <r>
    <x v="2"/>
    <n v="132"/>
    <n v="4"/>
    <n v="0"/>
    <n v="29"/>
    <n v="20"/>
    <n v="29"/>
    <n v="8"/>
    <n v="60"/>
    <n v="0"/>
    <n v="9"/>
    <n v="3"/>
    <n v="8"/>
    <n v="19"/>
    <n v="23"/>
    <n v="110"/>
    <n v="1"/>
    <n v="51"/>
    <n v="25"/>
    <n v="7"/>
    <n v="2"/>
    <n v="1531"/>
    <n v="385"/>
    <n v="52"/>
    <n v="85"/>
    <n v="351"/>
    <n v="6"/>
    <n v="136"/>
    <n v="113"/>
    <n v="1372"/>
    <n v="338"/>
    <n v="115"/>
    <n v="88"/>
    <n v="120"/>
    <n v="117"/>
    <n v="3"/>
    <n v="30"/>
    <n v="84"/>
    <n v="46"/>
    <n v="177"/>
    <n v="0"/>
    <n v="461"/>
    <n v="6"/>
    <n v="136"/>
    <n v="24"/>
    <n v="9"/>
    <n v="7"/>
    <n v="56"/>
    <n v="11"/>
    <n v="11"/>
    <n v="21"/>
    <n v="82"/>
    <n v="34"/>
    <n v="0"/>
    <n v="78"/>
    <n v="244"/>
    <n v="160"/>
    <n v="105"/>
    <n v="60"/>
    <n v="209"/>
    <n v="139"/>
    <n v="21"/>
    <n v="267"/>
    <n v="118"/>
    <n v="0"/>
    <n v="0"/>
    <n v="0"/>
    <n v="16"/>
    <n v="93"/>
    <n v="97"/>
    <n v="19"/>
    <n v="151"/>
    <n v="2044"/>
    <n v="502"/>
    <n v="71"/>
    <n v="140"/>
    <n v="101"/>
    <n v="2"/>
    <n v="6"/>
    <n v="11"/>
    <n v="14"/>
    <n v="8"/>
    <n v="188"/>
    <n v="86"/>
    <n v="123"/>
    <n v="22"/>
    <n v="0"/>
    <n v="0"/>
    <n v="3"/>
    <n v="5"/>
    <n v="134"/>
    <n v="25"/>
    <n v="33"/>
    <n v="6"/>
    <n v="1"/>
    <n v="22"/>
    <n v="22"/>
    <n v="11"/>
    <n v="150"/>
    <n v="10"/>
    <n v="99"/>
    <n v="0"/>
    <n v="63"/>
    <n v="61"/>
    <n v="88"/>
    <n v="0"/>
    <n v="18"/>
    <n v="0"/>
    <n v="34"/>
    <n v="0"/>
    <n v="50"/>
    <n v="0"/>
    <n v="5"/>
    <n v="35"/>
    <n v="0"/>
    <n v="0"/>
    <n v="0"/>
    <n v="12517"/>
    <n v="136"/>
    <n v="146"/>
    <n v="1920.2"/>
    <n v="6"/>
    <n v="136"/>
    <n v="22"/>
    <n v="21"/>
    <n v="82"/>
    <n v="244"/>
    <n v="160"/>
    <n v="105"/>
    <n v="5136.8"/>
    <n v="2546"/>
    <n v="5.8135227809375198"/>
    <n v="6"/>
    <n v="96.263081476353761"/>
    <n v="38.869796815097928"/>
    <n v="17.053598927610796"/>
    <n v="1483"/>
    <n v="0"/>
    <n v="0"/>
    <n v="93"/>
    <n v="97"/>
    <n v="19"/>
    <m/>
    <m/>
    <m/>
    <m/>
    <m/>
    <m/>
    <m/>
    <m/>
    <m/>
    <m/>
    <m/>
    <m/>
    <m/>
    <m/>
    <m/>
    <m/>
    <m/>
    <m/>
    <m/>
    <m/>
    <m/>
    <m/>
    <m/>
    <m/>
    <m/>
    <m/>
    <m/>
    <m/>
    <m/>
    <m/>
    <m/>
    <m/>
    <m/>
    <m/>
    <m/>
    <m/>
    <m/>
    <m/>
    <m/>
    <m/>
    <m/>
    <m/>
    <m/>
    <m/>
    <m/>
  </r>
  <r>
    <x v="2"/>
    <n v="0"/>
    <n v="3"/>
    <n v="0"/>
    <n v="32"/>
    <n v="16"/>
    <n v="10"/>
    <n v="8"/>
    <n v="92"/>
    <n v="0"/>
    <n v="35"/>
    <n v="14"/>
    <n v="69"/>
    <n v="47"/>
    <n v="37"/>
    <n v="75"/>
    <n v="1"/>
    <n v="31"/>
    <n v="24"/>
    <n v="7"/>
    <n v="5"/>
    <n v="690"/>
    <n v="370"/>
    <n v="70"/>
    <n v="52"/>
    <n v="687"/>
    <n v="5"/>
    <n v="54"/>
    <n v="205"/>
    <n v="1196"/>
    <n v="2382"/>
    <n v="95"/>
    <n v="172"/>
    <n v="1677"/>
    <n v="334"/>
    <n v="4"/>
    <n v="189"/>
    <n v="100"/>
    <n v="108"/>
    <n v="280"/>
    <n v="0"/>
    <n v="330"/>
    <n v="37"/>
    <n v="140"/>
    <n v="49"/>
    <n v="15"/>
    <n v="14"/>
    <n v="150"/>
    <n v="103"/>
    <n v="37"/>
    <n v="11"/>
    <n v="162"/>
    <n v="52"/>
    <n v="4"/>
    <n v="65"/>
    <n v="284"/>
    <n v="152"/>
    <n v="131"/>
    <n v="101"/>
    <n v="203"/>
    <n v="118"/>
    <n v="47"/>
    <n v="138"/>
    <n v="100"/>
    <n v="0"/>
    <n v="0"/>
    <n v="0"/>
    <n v="12"/>
    <n v="124"/>
    <n v="135"/>
    <n v="7"/>
    <n v="84"/>
    <n v="718"/>
    <n v="358"/>
    <n v="206"/>
    <n v="179"/>
    <n v="68"/>
    <n v="2"/>
    <n v="5"/>
    <n v="9"/>
    <n v="16"/>
    <n v="9"/>
    <n v="229"/>
    <n v="13"/>
    <n v="32"/>
    <n v="106"/>
    <n v="0"/>
    <n v="0"/>
    <n v="8"/>
    <n v="6"/>
    <n v="14"/>
    <n v="37"/>
    <n v="73"/>
    <n v="6"/>
    <n v="6"/>
    <n v="42"/>
    <n v="7"/>
    <n v="0"/>
    <n v="228"/>
    <n v="7"/>
    <n v="58"/>
    <n v="0"/>
    <n v="148"/>
    <n v="127"/>
    <n v="60"/>
    <n v="0"/>
    <n v="6"/>
    <n v="0"/>
    <n v="22"/>
    <n v="0"/>
    <n v="49"/>
    <n v="0"/>
    <n v="2"/>
    <n v="42"/>
    <n v="52"/>
    <n v="26"/>
    <n v="0"/>
    <n v="14957"/>
    <n v="3"/>
    <n v="158"/>
    <n v="1063.5"/>
    <n v="37"/>
    <n v="140"/>
    <n v="140"/>
    <n v="11"/>
    <n v="162"/>
    <n v="284"/>
    <n v="152"/>
    <n v="131"/>
    <n v="9433.5"/>
    <n v="1076"/>
    <n v="2.9921360080487855"/>
    <n v="5"/>
    <n v="31.18226509953919"/>
    <n v="22.470191041326288"/>
    <n v="11.355407851085737"/>
    <n v="1749"/>
    <n v="78"/>
    <n v="0"/>
    <n v="124"/>
    <n v="135"/>
    <n v="7"/>
    <m/>
    <m/>
    <m/>
    <m/>
    <m/>
    <m/>
    <m/>
    <m/>
    <m/>
    <m/>
    <m/>
    <m/>
    <m/>
    <m/>
    <m/>
    <m/>
    <m/>
    <m/>
    <m/>
    <m/>
    <m/>
    <m/>
    <m/>
    <m/>
    <m/>
    <m/>
    <m/>
    <m/>
    <m/>
    <m/>
    <m/>
    <m/>
    <m/>
    <m/>
    <m/>
    <m/>
    <m/>
    <m/>
    <m/>
    <m/>
    <m/>
    <m/>
    <m/>
    <m/>
    <m/>
  </r>
  <r>
    <x v="2"/>
    <n v="2339"/>
    <n v="88"/>
    <n v="0"/>
    <n v="0"/>
    <n v="0"/>
    <n v="0"/>
    <n v="0"/>
    <n v="0"/>
    <n v="0"/>
    <n v="0"/>
    <n v="0"/>
    <n v="0"/>
    <n v="0"/>
    <n v="0"/>
    <n v="0"/>
    <n v="0"/>
    <n v="0"/>
    <n v="0"/>
    <n v="0"/>
    <n v="0"/>
    <n v="300"/>
    <n v="47"/>
    <n v="5"/>
    <n v="0"/>
    <n v="5"/>
    <n v="0"/>
    <n v="0"/>
    <n v="0"/>
    <n v="32"/>
    <n v="15"/>
    <n v="153"/>
    <n v="0"/>
    <n v="25"/>
    <n v="0"/>
    <n v="0"/>
    <n v="0"/>
    <n v="0"/>
    <n v="0"/>
    <n v="0"/>
    <n v="0"/>
    <n v="0"/>
    <n v="0"/>
    <n v="0"/>
    <n v="0"/>
    <n v="0"/>
    <n v="0"/>
    <n v="0"/>
    <n v="0"/>
    <n v="0"/>
    <n v="0"/>
    <n v="0"/>
    <n v="0"/>
    <n v="0"/>
    <n v="0"/>
    <n v="0"/>
    <n v="0"/>
    <n v="0"/>
    <n v="0"/>
    <n v="0"/>
    <n v="0"/>
    <n v="0"/>
    <n v="0"/>
    <n v="0"/>
    <n v="0"/>
    <n v="0"/>
    <n v="0"/>
    <n v="0"/>
    <n v="0"/>
    <n v="0"/>
    <n v="0"/>
    <n v="0"/>
    <n v="143"/>
    <n v="60"/>
    <n v="15"/>
    <n v="23"/>
    <n v="12"/>
    <n v="0"/>
    <n v="0"/>
    <n v="0"/>
    <n v="0"/>
    <n v="0"/>
    <n v="0"/>
    <n v="0"/>
    <n v="0"/>
    <n v="0"/>
    <n v="0"/>
    <n v="0"/>
    <n v="0"/>
    <n v="0"/>
    <n v="0"/>
    <n v="0"/>
    <n v="0"/>
    <n v="0"/>
    <n v="0"/>
    <n v="0"/>
    <n v="0"/>
    <n v="0"/>
    <n v="0"/>
    <n v="0"/>
    <n v="45"/>
    <n v="0"/>
    <n v="0"/>
    <n v="0"/>
    <n v="0"/>
    <n v="18"/>
    <n v="0"/>
    <n v="0"/>
    <n v="0"/>
    <n v="15"/>
    <n v="0"/>
    <n v="0"/>
    <n v="0"/>
    <n v="0"/>
    <n v="1"/>
    <n v="293"/>
    <n v="0"/>
    <n v="3634"/>
    <n v="2427"/>
    <n v="0"/>
    <n v="347"/>
    <n v="0"/>
    <n v="0"/>
    <n v="0"/>
    <n v="0"/>
    <n v="0"/>
    <n v="0"/>
    <n v="0"/>
    <n v="0"/>
    <n v="235"/>
    <n v="203"/>
    <n v="0"/>
    <n v="0"/>
    <n v="0"/>
    <n v="0"/>
    <n v="0"/>
    <n v="113"/>
    <n v="309"/>
    <n v="0"/>
    <n v="0"/>
    <n v="0"/>
    <n v="0"/>
    <m/>
    <m/>
    <m/>
    <m/>
    <m/>
    <m/>
    <m/>
    <m/>
    <m/>
    <m/>
    <m/>
    <m/>
    <m/>
    <m/>
    <m/>
    <m/>
    <m/>
    <m/>
    <m/>
    <m/>
    <m/>
    <m/>
    <m/>
    <m/>
    <m/>
    <m/>
    <m/>
    <m/>
    <m/>
    <m/>
    <m/>
    <m/>
    <m/>
    <m/>
    <m/>
    <m/>
    <m/>
    <m/>
    <m/>
    <m/>
    <m/>
    <m/>
    <m/>
    <m/>
    <m/>
  </r>
  <r>
    <x v="2"/>
    <n v="0"/>
    <n v="3"/>
    <n v="0"/>
    <n v="6"/>
    <n v="5"/>
    <n v="3"/>
    <n v="4"/>
    <n v="3"/>
    <n v="0"/>
    <n v="2"/>
    <n v="1"/>
    <n v="5"/>
    <n v="6"/>
    <n v="3"/>
    <n v="23"/>
    <n v="3"/>
    <n v="5"/>
    <n v="4"/>
    <n v="1"/>
    <n v="0"/>
    <n v="93"/>
    <n v="37"/>
    <n v="11"/>
    <n v="11"/>
    <n v="179"/>
    <n v="5"/>
    <n v="15"/>
    <n v="28"/>
    <n v="30"/>
    <n v="39"/>
    <n v="29"/>
    <n v="58"/>
    <n v="50"/>
    <n v="24"/>
    <n v="1"/>
    <n v="2"/>
    <n v="3"/>
    <n v="0"/>
    <n v="1"/>
    <n v="0"/>
    <n v="22"/>
    <n v="5"/>
    <n v="6"/>
    <n v="1"/>
    <n v="1"/>
    <n v="1"/>
    <n v="2"/>
    <n v="4"/>
    <n v="3"/>
    <n v="4"/>
    <n v="25"/>
    <n v="9"/>
    <n v="0"/>
    <n v="7"/>
    <n v="40"/>
    <n v="25"/>
    <n v="14"/>
    <n v="5"/>
    <n v="37"/>
    <n v="22"/>
    <n v="0"/>
    <n v="9"/>
    <n v="2"/>
    <n v="0"/>
    <n v="0"/>
    <n v="0"/>
    <n v="5"/>
    <n v="7"/>
    <n v="5"/>
    <n v="1"/>
    <n v="5"/>
    <n v="76"/>
    <n v="24"/>
    <n v="55"/>
    <n v="9"/>
    <n v="31"/>
    <n v="0"/>
    <n v="1"/>
    <n v="1"/>
    <n v="0"/>
    <n v="0"/>
    <n v="0"/>
    <n v="1"/>
    <n v="4"/>
    <n v="0"/>
    <n v="0"/>
    <n v="0"/>
    <n v="0"/>
    <n v="0"/>
    <n v="0"/>
    <n v="0"/>
    <n v="0"/>
    <n v="0"/>
    <n v="0"/>
    <n v="0"/>
    <n v="0"/>
    <n v="0"/>
    <n v="3"/>
    <n v="0"/>
    <n v="0"/>
    <n v="0"/>
    <n v="1"/>
    <n v="1"/>
    <n v="1"/>
    <n v="0"/>
    <n v="1"/>
    <n v="0"/>
    <n v="0"/>
    <n v="0"/>
    <n v="0"/>
    <n v="0"/>
    <n v="0"/>
    <n v="13"/>
    <n v="52"/>
    <n v="0"/>
    <n v="0"/>
    <n v="1234"/>
    <n v="3"/>
    <n v="21"/>
    <n v="133.5"/>
    <n v="5"/>
    <n v="6"/>
    <n v="7"/>
    <n v="4"/>
    <n v="25"/>
    <n v="40"/>
    <n v="25"/>
    <n v="14"/>
    <n v="663.5"/>
    <n v="100"/>
    <n v="0.12401700100609819"/>
    <n v="1"/>
    <n v="3.7727831374423988"/>
    <n v="0.80877388016578622"/>
    <n v="0.29442598138571696"/>
    <n v="116"/>
    <n v="52"/>
    <n v="0"/>
    <n v="7"/>
    <n v="5"/>
    <n v="1"/>
    <m/>
    <m/>
    <m/>
    <m/>
    <m/>
    <m/>
    <m/>
    <m/>
    <m/>
    <m/>
    <m/>
    <m/>
    <m/>
    <m/>
    <m/>
    <m/>
    <m/>
    <m/>
    <m/>
    <m/>
    <m/>
    <m/>
    <m/>
    <m/>
    <m/>
    <m/>
    <m/>
    <m/>
    <m/>
    <m/>
    <m/>
    <m/>
    <m/>
    <m/>
    <m/>
    <m/>
    <m/>
    <m/>
    <m/>
    <m/>
    <m/>
    <m/>
    <m/>
    <m/>
    <m/>
  </r>
  <r>
    <x v="2"/>
    <n v="0"/>
    <n v="14"/>
    <n v="0"/>
    <n v="50"/>
    <n v="35"/>
    <n v="136"/>
    <n v="12"/>
    <n v="114"/>
    <n v="0"/>
    <n v="44"/>
    <n v="20"/>
    <n v="85"/>
    <n v="30"/>
    <n v="22"/>
    <n v="63"/>
    <n v="1"/>
    <n v="16"/>
    <n v="10"/>
    <n v="4"/>
    <n v="0"/>
    <n v="260"/>
    <n v="198"/>
    <n v="15"/>
    <n v="17"/>
    <n v="178"/>
    <n v="3"/>
    <n v="39"/>
    <n v="68"/>
    <n v="54"/>
    <n v="57"/>
    <n v="20"/>
    <n v="32"/>
    <n v="331"/>
    <n v="158"/>
    <n v="3"/>
    <n v="29"/>
    <n v="4"/>
    <n v="1"/>
    <n v="8"/>
    <n v="0"/>
    <n v="158"/>
    <n v="77"/>
    <n v="109"/>
    <n v="38"/>
    <n v="24"/>
    <n v="15"/>
    <n v="128"/>
    <n v="31"/>
    <n v="29"/>
    <n v="15"/>
    <n v="29"/>
    <n v="16"/>
    <n v="0"/>
    <n v="15"/>
    <n v="71"/>
    <n v="68"/>
    <n v="47"/>
    <n v="17"/>
    <n v="52"/>
    <n v="36"/>
    <n v="0"/>
    <n v="21"/>
    <n v="6"/>
    <n v="0"/>
    <n v="0"/>
    <n v="0"/>
    <n v="16"/>
    <n v="58"/>
    <n v="58"/>
    <n v="15"/>
    <n v="78"/>
    <n v="697"/>
    <n v="185"/>
    <n v="52"/>
    <n v="103"/>
    <n v="30"/>
    <n v="1"/>
    <n v="5"/>
    <n v="6"/>
    <n v="1"/>
    <n v="1"/>
    <n v="36"/>
    <n v="8"/>
    <n v="10"/>
    <n v="0"/>
    <n v="0"/>
    <n v="0"/>
    <n v="19"/>
    <n v="6"/>
    <n v="17"/>
    <n v="4"/>
    <n v="3"/>
    <n v="28"/>
    <n v="1"/>
    <n v="13"/>
    <n v="6"/>
    <n v="5"/>
    <n v="121"/>
    <n v="8"/>
    <n v="47"/>
    <n v="0"/>
    <n v="35"/>
    <n v="15"/>
    <n v="47"/>
    <n v="4"/>
    <n v="2"/>
    <n v="0"/>
    <n v="8"/>
    <n v="0"/>
    <n v="0"/>
    <n v="0"/>
    <n v="0"/>
    <n v="7"/>
    <n v="0"/>
    <n v="5"/>
    <n v="0"/>
    <n v="4894"/>
    <n v="14"/>
    <n v="347"/>
    <n v="460.1"/>
    <n v="77"/>
    <n v="109"/>
    <n v="60"/>
    <n v="15"/>
    <n v="29"/>
    <n v="71"/>
    <n v="68"/>
    <n v="47"/>
    <n v="1929.9"/>
    <n v="882"/>
    <n v="1.3100425025152456"/>
    <n v="5"/>
    <n v="12.931957843605996"/>
    <n v="3.0219347004144654"/>
    <n v="1.7360649534642925"/>
    <n v="625"/>
    <n v="5"/>
    <n v="0"/>
    <n v="58"/>
    <n v="58"/>
    <n v="15"/>
    <m/>
    <m/>
    <m/>
    <m/>
    <m/>
    <m/>
    <m/>
    <m/>
    <m/>
    <m/>
    <m/>
    <m/>
    <m/>
    <m/>
    <m/>
    <m/>
    <m/>
    <m/>
    <m/>
    <m/>
    <m/>
    <m/>
    <m/>
    <m/>
    <m/>
    <m/>
    <m/>
    <m/>
    <m/>
    <m/>
    <m/>
    <m/>
    <m/>
    <m/>
    <m/>
    <m/>
    <m/>
    <m/>
    <m/>
    <m/>
    <m/>
    <m/>
    <m/>
    <m/>
    <m/>
  </r>
  <r>
    <x v="2"/>
    <n v="0"/>
    <n v="0"/>
    <n v="0"/>
    <n v="0"/>
    <n v="0"/>
    <n v="0"/>
    <n v="0"/>
    <n v="0"/>
    <n v="0"/>
    <n v="0"/>
    <n v="0"/>
    <n v="0"/>
    <n v="0"/>
    <n v="0"/>
    <n v="0"/>
    <n v="0"/>
    <n v="0"/>
    <n v="0"/>
    <n v="0"/>
    <n v="0"/>
    <n v="0"/>
    <n v="0"/>
    <n v="38"/>
    <n v="0"/>
    <n v="284"/>
    <n v="0"/>
    <n v="0"/>
    <n v="0"/>
    <n v="0"/>
    <n v="0"/>
    <n v="0"/>
    <n v="0"/>
    <n v="0"/>
    <n v="500"/>
    <n v="0"/>
    <n v="0"/>
    <n v="0"/>
    <n v="0"/>
    <n v="0"/>
    <n v="0"/>
    <n v="0"/>
    <n v="0"/>
    <n v="0"/>
    <n v="0"/>
    <n v="0"/>
    <n v="0"/>
    <n v="0"/>
    <n v="0"/>
    <n v="0"/>
    <n v="0"/>
    <n v="0"/>
    <n v="0"/>
    <n v="0"/>
    <n v="0"/>
    <n v="0"/>
    <n v="120"/>
    <n v="0"/>
    <n v="0"/>
    <n v="0"/>
    <n v="0"/>
    <n v="0"/>
    <n v="0"/>
    <n v="0"/>
    <n v="0"/>
    <n v="0"/>
    <n v="0"/>
    <n v="0"/>
    <n v="0"/>
    <n v="0"/>
    <n v="0"/>
    <n v="5"/>
    <n v="0"/>
    <n v="0"/>
    <n v="0"/>
    <n v="13"/>
    <n v="32"/>
    <n v="0"/>
    <n v="0"/>
    <n v="0"/>
    <n v="0"/>
    <n v="0"/>
    <n v="0"/>
    <n v="0"/>
    <n v="0"/>
    <n v="0"/>
    <n v="0"/>
    <n v="0"/>
    <n v="0"/>
    <n v="0"/>
    <n v="0"/>
    <n v="0"/>
    <n v="0"/>
    <n v="0"/>
    <n v="0"/>
    <n v="0"/>
    <n v="0"/>
    <n v="0"/>
    <n v="32"/>
    <n v="0"/>
    <n v="2"/>
    <n v="0"/>
    <n v="0"/>
    <n v="0"/>
    <n v="0"/>
    <n v="0"/>
    <n v="0"/>
    <n v="0"/>
    <n v="0"/>
    <n v="0"/>
    <n v="0"/>
    <n v="0"/>
    <n v="0"/>
    <n v="0"/>
    <n v="0"/>
    <n v="2611"/>
    <n v="0"/>
    <n v="3637"/>
    <n v="0"/>
    <n v="0"/>
    <n v="0"/>
    <n v="0"/>
    <n v="0"/>
    <n v="0"/>
    <n v="0"/>
    <n v="0"/>
    <n v="0"/>
    <n v="120"/>
    <n v="0"/>
    <n v="827"/>
    <n v="0"/>
    <n v="0"/>
    <n v="0"/>
    <n v="0"/>
    <n v="0"/>
    <n v="0"/>
    <n v="79"/>
    <n v="2611"/>
    <n v="0"/>
    <n v="0"/>
    <n v="0"/>
    <n v="0"/>
    <m/>
    <m/>
    <m/>
    <m/>
    <m/>
    <m/>
    <m/>
    <m/>
    <m/>
    <m/>
    <m/>
    <m/>
    <m/>
    <m/>
    <m/>
    <m/>
    <m/>
    <m/>
    <m/>
    <m/>
    <m/>
    <m/>
    <m/>
    <m/>
    <m/>
    <m/>
    <m/>
    <m/>
    <m/>
    <m/>
    <m/>
    <m/>
    <m/>
    <m/>
    <m/>
    <m/>
    <m/>
    <m/>
    <m/>
    <m/>
    <m/>
    <m/>
    <m/>
    <m/>
    <m/>
  </r>
  <r>
    <x v="2"/>
    <n v="0"/>
    <n v="0"/>
    <n v="0"/>
    <n v="7"/>
    <n v="5"/>
    <n v="5"/>
    <n v="3"/>
    <n v="10"/>
    <n v="0"/>
    <n v="2"/>
    <n v="1"/>
    <n v="21"/>
    <n v="3"/>
    <n v="4"/>
    <n v="3"/>
    <n v="0"/>
    <n v="24"/>
    <n v="7"/>
    <n v="20"/>
    <n v="1"/>
    <n v="3"/>
    <n v="0"/>
    <n v="5"/>
    <n v="0"/>
    <n v="16"/>
    <n v="3"/>
    <n v="31"/>
    <n v="35"/>
    <n v="68"/>
    <n v="52"/>
    <n v="1"/>
    <n v="41"/>
    <n v="21"/>
    <n v="39"/>
    <n v="883"/>
    <n v="62"/>
    <n v="193"/>
    <n v="61"/>
    <n v="250"/>
    <n v="0"/>
    <n v="0"/>
    <n v="22"/>
    <n v="53"/>
    <n v="2"/>
    <n v="5"/>
    <n v="2"/>
    <n v="33"/>
    <n v="2"/>
    <n v="3"/>
    <n v="1"/>
    <n v="3"/>
    <n v="2"/>
    <n v="2"/>
    <n v="4"/>
    <n v="20"/>
    <n v="17"/>
    <n v="1"/>
    <n v="0"/>
    <n v="24"/>
    <n v="10"/>
    <n v="0"/>
    <n v="28"/>
    <n v="26"/>
    <n v="0"/>
    <n v="0"/>
    <n v="0"/>
    <n v="8"/>
    <n v="3"/>
    <n v="7"/>
    <n v="2"/>
    <n v="4"/>
    <n v="5"/>
    <n v="8"/>
    <n v="8"/>
    <n v="241"/>
    <n v="218"/>
    <n v="0"/>
    <n v="0"/>
    <n v="0"/>
    <n v="0"/>
    <n v="0"/>
    <n v="0"/>
    <n v="0"/>
    <n v="2"/>
    <n v="97"/>
    <n v="15"/>
    <n v="10"/>
    <n v="53"/>
    <n v="39"/>
    <n v="540"/>
    <n v="759"/>
    <n v="270"/>
    <n v="131"/>
    <n v="1"/>
    <n v="20"/>
    <n v="7"/>
    <n v="10"/>
    <n v="577"/>
    <n v="1"/>
    <n v="218"/>
    <n v="348"/>
    <n v="3"/>
    <n v="314"/>
    <n v="9"/>
    <n v="33"/>
    <n v="16"/>
    <n v="0"/>
    <n v="74"/>
    <n v="133"/>
    <n v="100"/>
    <n v="35"/>
    <n v="6"/>
    <n v="29"/>
    <n v="76"/>
    <n v="477"/>
    <n v="0"/>
    <n v="7047"/>
    <n v="0"/>
    <n v="30"/>
    <n v="5.0999999999999996"/>
    <n v="22"/>
    <n v="53"/>
    <n v="5"/>
    <n v="1"/>
    <n v="3"/>
    <n v="20"/>
    <n v="17"/>
    <n v="1"/>
    <n v="1994.9"/>
    <n v="13"/>
    <n v="6.2008500503049097E-2"/>
    <n v="0"/>
    <n v="1.3863915687211994"/>
    <n v="0.40438694008289311"/>
    <n v="0.14721299069285848"/>
    <n v="3799"/>
    <n v="1069"/>
    <n v="0"/>
    <n v="3"/>
    <n v="7"/>
    <n v="2"/>
    <m/>
    <m/>
    <m/>
    <m/>
    <m/>
    <m/>
    <m/>
    <m/>
    <m/>
    <m/>
    <m/>
    <m/>
    <m/>
    <m/>
    <m/>
    <m/>
    <m/>
    <m/>
    <m/>
    <m/>
    <m/>
    <m/>
    <m/>
    <m/>
    <m/>
    <m/>
    <m/>
    <m/>
    <m/>
    <m/>
    <m/>
    <m/>
    <m/>
    <m/>
    <m/>
    <m/>
    <m/>
    <m/>
    <m/>
    <m/>
    <m/>
    <m/>
    <m/>
    <m/>
    <m/>
  </r>
  <r>
    <x v="2"/>
    <n v="0"/>
    <n v="0"/>
    <n v="0"/>
    <n v="10"/>
    <n v="5"/>
    <n v="18"/>
    <n v="5"/>
    <n v="26"/>
    <n v="0"/>
    <n v="0"/>
    <n v="0"/>
    <n v="18"/>
    <n v="19"/>
    <n v="0"/>
    <n v="37"/>
    <n v="0"/>
    <n v="1"/>
    <n v="36"/>
    <n v="42"/>
    <n v="1"/>
    <n v="479"/>
    <n v="94"/>
    <n v="16"/>
    <n v="18"/>
    <n v="262"/>
    <n v="2"/>
    <n v="28"/>
    <n v="26"/>
    <n v="107"/>
    <n v="158"/>
    <n v="32"/>
    <n v="5"/>
    <n v="88"/>
    <n v="30"/>
    <n v="33"/>
    <n v="589"/>
    <n v="103"/>
    <n v="16"/>
    <n v="202"/>
    <n v="0"/>
    <n v="2"/>
    <n v="4"/>
    <n v="7"/>
    <n v="4"/>
    <n v="2"/>
    <n v="0"/>
    <n v="7"/>
    <n v="44"/>
    <n v="8"/>
    <n v="4"/>
    <n v="25"/>
    <n v="16"/>
    <n v="0"/>
    <n v="2"/>
    <n v="21"/>
    <n v="54"/>
    <n v="20"/>
    <n v="28"/>
    <n v="79"/>
    <n v="40"/>
    <n v="0"/>
    <n v="547"/>
    <n v="224"/>
    <n v="0"/>
    <n v="0"/>
    <n v="0"/>
    <n v="26"/>
    <n v="62"/>
    <n v="68"/>
    <n v="4"/>
    <n v="21"/>
    <n v="631"/>
    <n v="252"/>
    <n v="60"/>
    <n v="115"/>
    <n v="53"/>
    <n v="1"/>
    <n v="4"/>
    <n v="3"/>
    <n v="5"/>
    <n v="5"/>
    <n v="7"/>
    <n v="0"/>
    <n v="7"/>
    <n v="0"/>
    <n v="0"/>
    <n v="0"/>
    <n v="4"/>
    <n v="2"/>
    <n v="198"/>
    <n v="47"/>
    <n v="81"/>
    <n v="33"/>
    <n v="2"/>
    <n v="37"/>
    <n v="0"/>
    <n v="25"/>
    <n v="61"/>
    <n v="0"/>
    <n v="37"/>
    <n v="0"/>
    <n v="6"/>
    <n v="2"/>
    <n v="1"/>
    <n v="0"/>
    <n v="2"/>
    <n v="0"/>
    <n v="1"/>
    <n v="0"/>
    <n v="19"/>
    <n v="0"/>
    <n v="0"/>
    <n v="2"/>
    <n v="0"/>
    <n v="0"/>
    <n v="0"/>
    <n v="5528"/>
    <n v="0"/>
    <n v="64"/>
    <n v="574.4"/>
    <n v="4"/>
    <n v="7"/>
    <n v="52"/>
    <n v="4"/>
    <n v="25"/>
    <n v="21"/>
    <n v="54"/>
    <n v="20"/>
    <n v="2865.6"/>
    <n v="883"/>
    <n v="1.2170297517606719"/>
    <n v="4"/>
    <n v="7.8523704905241978"/>
    <n v="6.4153542902901259"/>
    <n v="5.5152454674250047"/>
    <n v="795"/>
    <n v="0"/>
    <n v="0"/>
    <n v="62"/>
    <n v="68"/>
    <n v="4"/>
    <m/>
    <m/>
    <m/>
    <m/>
    <m/>
    <m/>
    <m/>
    <m/>
    <m/>
    <m/>
    <m/>
    <m/>
    <m/>
    <m/>
    <m/>
    <m/>
    <m/>
    <m/>
    <m/>
    <m/>
    <m/>
    <m/>
    <m/>
    <m/>
    <m/>
    <m/>
    <m/>
    <m/>
    <m/>
    <m/>
    <m/>
    <m/>
    <m/>
    <m/>
    <m/>
    <m/>
    <m/>
    <m/>
    <m/>
    <m/>
    <m/>
    <m/>
    <m/>
    <m/>
    <m/>
  </r>
  <r>
    <x v="2"/>
    <n v="0"/>
    <n v="0"/>
    <n v="0"/>
    <n v="3"/>
    <n v="1"/>
    <n v="1"/>
    <n v="3"/>
    <n v="3"/>
    <n v="0"/>
    <n v="1"/>
    <n v="1"/>
    <n v="2"/>
    <n v="0"/>
    <n v="0"/>
    <n v="14"/>
    <n v="0"/>
    <n v="22"/>
    <n v="27"/>
    <n v="44"/>
    <n v="9"/>
    <n v="150"/>
    <n v="443"/>
    <n v="35"/>
    <n v="5"/>
    <n v="632"/>
    <n v="5"/>
    <n v="6"/>
    <n v="9"/>
    <n v="75"/>
    <n v="60"/>
    <n v="1"/>
    <n v="8"/>
    <n v="50"/>
    <n v="67"/>
    <n v="33"/>
    <n v="142"/>
    <n v="839"/>
    <n v="31"/>
    <n v="525"/>
    <n v="0"/>
    <n v="0"/>
    <n v="10"/>
    <n v="61"/>
    <n v="2"/>
    <n v="2"/>
    <n v="2"/>
    <n v="7"/>
    <n v="1"/>
    <n v="2"/>
    <n v="8"/>
    <n v="10"/>
    <n v="0"/>
    <n v="0"/>
    <n v="7"/>
    <n v="21"/>
    <n v="8"/>
    <n v="2"/>
    <n v="1"/>
    <n v="10"/>
    <n v="6"/>
    <n v="0"/>
    <n v="1263"/>
    <n v="347"/>
    <n v="0"/>
    <n v="0"/>
    <n v="0"/>
    <n v="0"/>
    <n v="10"/>
    <n v="35"/>
    <n v="1"/>
    <n v="9"/>
    <n v="62"/>
    <n v="26"/>
    <n v="31"/>
    <n v="7"/>
    <n v="32"/>
    <n v="1"/>
    <n v="0"/>
    <n v="0"/>
    <n v="0"/>
    <n v="0"/>
    <n v="0"/>
    <n v="6"/>
    <n v="7"/>
    <n v="118"/>
    <n v="0"/>
    <n v="0"/>
    <n v="1"/>
    <n v="1"/>
    <n v="297"/>
    <n v="82"/>
    <n v="33"/>
    <n v="10"/>
    <n v="3"/>
    <n v="29"/>
    <n v="0"/>
    <n v="10"/>
    <n v="118"/>
    <n v="1"/>
    <n v="293"/>
    <n v="0"/>
    <n v="3"/>
    <n v="50"/>
    <n v="2"/>
    <n v="0"/>
    <n v="1"/>
    <n v="0"/>
    <n v="9"/>
    <n v="0"/>
    <n v="4"/>
    <n v="0"/>
    <n v="0"/>
    <n v="1"/>
    <n v="0"/>
    <n v="278"/>
    <n v="0"/>
    <n v="6588"/>
    <n v="0"/>
    <n v="11"/>
    <n v="596.5"/>
    <n v="10"/>
    <n v="61"/>
    <n v="3"/>
    <n v="8"/>
    <n v="10"/>
    <n v="21"/>
    <n v="8"/>
    <n v="2"/>
    <n v="4295.5"/>
    <n v="88"/>
    <n v="1.2170297517606719"/>
    <n v="0"/>
    <n v="4.8523704905241978"/>
    <n v="1.4153542902901259"/>
    <n v="0.51524546742500466"/>
    <n v="1142"/>
    <n v="278"/>
    <n v="0"/>
    <n v="10"/>
    <n v="35"/>
    <n v="1"/>
    <m/>
    <m/>
    <m/>
    <m/>
    <m/>
    <m/>
    <m/>
    <m/>
    <m/>
    <m/>
    <m/>
    <m/>
    <m/>
    <m/>
    <m/>
    <m/>
    <m/>
    <m/>
    <m/>
    <m/>
    <m/>
    <m/>
    <m/>
    <m/>
    <m/>
    <m/>
    <m/>
    <m/>
    <m/>
    <m/>
    <m/>
    <m/>
    <m/>
    <m/>
    <m/>
    <m/>
    <m/>
    <m/>
    <m/>
    <m/>
    <m/>
    <m/>
    <m/>
    <m/>
    <m/>
  </r>
  <r>
    <x v="2"/>
    <n v="0"/>
    <n v="0"/>
    <n v="0"/>
    <n v="0"/>
    <n v="0"/>
    <n v="0"/>
    <n v="0"/>
    <n v="0"/>
    <n v="0"/>
    <n v="0"/>
    <n v="0"/>
    <n v="0"/>
    <n v="0"/>
    <n v="0"/>
    <n v="0"/>
    <n v="0"/>
    <n v="0"/>
    <n v="0"/>
    <n v="0"/>
    <n v="0"/>
    <n v="0"/>
    <n v="0"/>
    <n v="0"/>
    <n v="0"/>
    <n v="0"/>
    <n v="0"/>
    <n v="0"/>
    <n v="0"/>
    <n v="0"/>
    <n v="0"/>
    <n v="0"/>
    <n v="0"/>
    <n v="0"/>
    <n v="0"/>
    <n v="0"/>
    <n v="0"/>
    <n v="0"/>
    <n v="111"/>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17"/>
    <n v="0"/>
    <n v="0"/>
    <n v="0"/>
    <n v="0"/>
    <n v="185"/>
    <n v="4087"/>
    <n v="0"/>
    <n v="1"/>
    <n v="0"/>
    <n v="0"/>
    <n v="0"/>
    <n v="4401"/>
    <n v="0"/>
    <n v="0"/>
    <n v="0"/>
    <n v="0"/>
    <n v="0"/>
    <n v="0"/>
    <n v="0"/>
    <n v="0"/>
    <n v="0"/>
    <n v="0"/>
    <n v="0"/>
    <n v="111"/>
    <n v="0"/>
    <n v="0"/>
    <n v="0"/>
    <n v="0"/>
    <n v="0"/>
    <n v="0"/>
    <n v="203"/>
    <n v="4087"/>
    <n v="0"/>
    <n v="0"/>
    <n v="0"/>
    <n v="0"/>
    <m/>
    <m/>
    <m/>
    <m/>
    <m/>
    <m/>
    <m/>
    <m/>
    <m/>
    <m/>
    <m/>
    <m/>
    <m/>
    <m/>
    <m/>
    <m/>
    <m/>
    <m/>
    <m/>
    <m/>
    <m/>
    <m/>
    <m/>
    <m/>
    <m/>
    <m/>
    <m/>
    <m/>
    <m/>
    <m/>
    <m/>
    <m/>
    <m/>
    <m/>
    <m/>
    <m/>
    <m/>
    <m/>
    <m/>
    <m/>
    <m/>
    <m/>
    <m/>
    <m/>
    <m/>
  </r>
  <r>
    <x v="2"/>
    <n v="0"/>
    <n v="0"/>
    <n v="0"/>
    <n v="2"/>
    <n v="2"/>
    <n v="2"/>
    <n v="2"/>
    <n v="2"/>
    <n v="0"/>
    <n v="4"/>
    <n v="2"/>
    <n v="38"/>
    <n v="21"/>
    <n v="10"/>
    <n v="2"/>
    <n v="0"/>
    <n v="3"/>
    <n v="89"/>
    <n v="75"/>
    <n v="11"/>
    <n v="925"/>
    <n v="237"/>
    <n v="118"/>
    <n v="25"/>
    <n v="4019"/>
    <n v="7"/>
    <n v="47"/>
    <n v="19"/>
    <n v="155"/>
    <n v="180"/>
    <n v="35"/>
    <n v="19"/>
    <n v="58"/>
    <n v="94"/>
    <n v="43"/>
    <n v="55"/>
    <n v="454"/>
    <n v="41"/>
    <n v="1126"/>
    <n v="0"/>
    <n v="0"/>
    <n v="3"/>
    <n v="85"/>
    <n v="5"/>
    <n v="3"/>
    <n v="2"/>
    <n v="2"/>
    <n v="0"/>
    <n v="0"/>
    <n v="13"/>
    <n v="22"/>
    <n v="9"/>
    <n v="0"/>
    <n v="8"/>
    <n v="37"/>
    <n v="80"/>
    <n v="20"/>
    <n v="31"/>
    <n v="82"/>
    <n v="43"/>
    <n v="0"/>
    <n v="497"/>
    <n v="896"/>
    <n v="0"/>
    <n v="0"/>
    <n v="0"/>
    <n v="10"/>
    <n v="25"/>
    <n v="105"/>
    <n v="4"/>
    <n v="18"/>
    <n v="317"/>
    <n v="134"/>
    <n v="41"/>
    <n v="72"/>
    <n v="77"/>
    <n v="0"/>
    <n v="1"/>
    <n v="2"/>
    <n v="0"/>
    <n v="1"/>
    <n v="1"/>
    <n v="2"/>
    <n v="9"/>
    <n v="24"/>
    <n v="0"/>
    <n v="0"/>
    <n v="18"/>
    <n v="8"/>
    <n v="191"/>
    <n v="211"/>
    <n v="56"/>
    <n v="49"/>
    <n v="16"/>
    <n v="66"/>
    <n v="12"/>
    <n v="5"/>
    <n v="163"/>
    <n v="1"/>
    <n v="550"/>
    <n v="22"/>
    <n v="15"/>
    <n v="295"/>
    <n v="12"/>
    <n v="0"/>
    <n v="6"/>
    <n v="0"/>
    <n v="53"/>
    <n v="0"/>
    <n v="27"/>
    <n v="0"/>
    <n v="11"/>
    <n v="60"/>
    <n v="0"/>
    <n v="51"/>
    <n v="0"/>
    <n v="12501"/>
    <n v="0"/>
    <n v="10"/>
    <n v="1166.9000000000001"/>
    <n v="3"/>
    <n v="85"/>
    <n v="0"/>
    <n v="13"/>
    <n v="22"/>
    <n v="37"/>
    <n v="80"/>
    <n v="20"/>
    <n v="8351.1"/>
    <n v="451"/>
    <n v="0.27903825226372092"/>
    <n v="1"/>
    <n v="8.2387620592453974"/>
    <n v="1.8197412303730189"/>
    <n v="1.6624584581178632"/>
    <n v="2042"/>
    <n v="73"/>
    <n v="0"/>
    <n v="25"/>
    <n v="105"/>
    <n v="4"/>
    <m/>
    <m/>
    <m/>
    <m/>
    <m/>
    <m/>
    <m/>
    <m/>
    <m/>
    <m/>
    <m/>
    <m/>
    <m/>
    <m/>
    <m/>
    <m/>
    <m/>
    <m/>
    <m/>
    <m/>
    <m/>
    <m/>
    <m/>
    <m/>
    <m/>
    <m/>
    <m/>
    <m/>
    <m/>
    <m/>
    <m/>
    <m/>
    <m/>
    <m/>
    <m/>
    <m/>
    <m/>
    <m/>
    <m/>
    <m/>
    <m/>
    <m/>
    <m/>
    <m/>
    <m/>
  </r>
  <r>
    <x v="2"/>
    <n v="0"/>
    <n v="0"/>
    <n v="0"/>
    <n v="0"/>
    <n v="0"/>
    <n v="0"/>
    <n v="0"/>
    <n v="0"/>
    <n v="0"/>
    <n v="0"/>
    <n v="0"/>
    <n v="0"/>
    <n v="0"/>
    <n v="0"/>
    <n v="0"/>
    <n v="2"/>
    <n v="0"/>
    <n v="0"/>
    <n v="0"/>
    <n v="0"/>
    <n v="0"/>
    <n v="0"/>
    <n v="0"/>
    <n v="0"/>
    <n v="0"/>
    <n v="0"/>
    <n v="0"/>
    <n v="0"/>
    <n v="0"/>
    <n v="0"/>
    <n v="0"/>
    <n v="0"/>
    <n v="0"/>
    <n v="0"/>
    <n v="0"/>
    <n v="0"/>
    <n v="0"/>
    <n v="0"/>
    <n v="0"/>
    <n v="4"/>
    <n v="0"/>
    <n v="4"/>
    <n v="10"/>
    <n v="0"/>
    <n v="0"/>
    <n v="0"/>
    <n v="0"/>
    <n v="0"/>
    <n v="0"/>
    <n v="6"/>
    <n v="0"/>
    <n v="0"/>
    <n v="0"/>
    <n v="0"/>
    <n v="0"/>
    <n v="1097"/>
    <n v="904"/>
    <n v="8"/>
    <n v="6"/>
    <n v="10"/>
    <n v="0"/>
    <n v="0"/>
    <n v="0"/>
    <n v="0"/>
    <n v="0"/>
    <n v="0"/>
    <n v="0"/>
    <n v="0"/>
    <n v="0"/>
    <n v="0"/>
    <n v="0"/>
    <n v="0"/>
    <n v="0"/>
    <n v="0"/>
    <n v="0"/>
    <n v="0"/>
    <n v="0"/>
    <n v="0"/>
    <n v="0"/>
    <n v="0"/>
    <n v="0"/>
    <n v="0"/>
    <n v="0"/>
    <n v="0"/>
    <n v="0"/>
    <n v="0"/>
    <n v="0"/>
    <n v="0"/>
    <n v="0"/>
    <n v="0"/>
    <n v="0"/>
    <n v="0"/>
    <n v="0"/>
    <n v="0"/>
    <n v="0"/>
    <n v="0"/>
    <n v="0"/>
    <n v="0"/>
    <n v="0"/>
    <n v="2"/>
    <n v="0"/>
    <n v="0"/>
    <n v="0"/>
    <n v="0"/>
    <n v="0"/>
    <n v="0"/>
    <n v="0"/>
    <n v="0"/>
    <n v="0"/>
    <n v="0"/>
    <n v="0"/>
    <n v="0"/>
    <n v="0"/>
    <n v="0"/>
    <n v="0"/>
    <n v="0"/>
    <n v="2053"/>
    <n v="0"/>
    <n v="0"/>
    <n v="0"/>
    <n v="4"/>
    <n v="10"/>
    <n v="0"/>
    <n v="6"/>
    <n v="0"/>
    <n v="0"/>
    <n v="1097"/>
    <n v="904"/>
    <n v="30"/>
    <n v="0"/>
    <n v="0"/>
    <n v="0"/>
    <n v="0"/>
    <n v="0"/>
    <n v="0"/>
    <n v="2"/>
    <n v="0"/>
    <n v="0"/>
    <n v="0"/>
    <n v="0"/>
    <n v="0"/>
    <m/>
    <m/>
    <m/>
    <m/>
    <m/>
    <m/>
    <m/>
    <m/>
    <m/>
    <m/>
    <m/>
    <m/>
    <m/>
    <m/>
    <m/>
    <m/>
    <m/>
    <m/>
    <m/>
    <m/>
    <m/>
    <m/>
    <m/>
    <m/>
    <m/>
    <m/>
    <m/>
    <m/>
    <m/>
    <m/>
    <m/>
    <m/>
    <m/>
    <m/>
    <m/>
    <m/>
    <m/>
    <m/>
    <m/>
    <m/>
    <m/>
    <m/>
    <m/>
    <m/>
    <m/>
  </r>
  <r>
    <x v="2"/>
    <n v="164"/>
    <n v="0"/>
    <n v="8"/>
    <n v="35"/>
    <n v="0"/>
    <n v="0"/>
    <n v="14"/>
    <n v="72"/>
    <n v="0"/>
    <n v="0"/>
    <n v="0"/>
    <n v="0"/>
    <n v="0"/>
    <n v="70"/>
    <n v="21"/>
    <n v="0"/>
    <n v="0"/>
    <n v="0"/>
    <n v="0"/>
    <n v="0"/>
    <n v="0"/>
    <n v="0"/>
    <n v="0"/>
    <n v="0"/>
    <n v="0"/>
    <n v="0"/>
    <n v="48"/>
    <n v="45"/>
    <n v="7"/>
    <n v="43"/>
    <n v="2"/>
    <n v="1"/>
    <n v="6"/>
    <n v="0"/>
    <n v="1"/>
    <n v="8"/>
    <n v="7"/>
    <n v="8"/>
    <n v="16"/>
    <n v="0"/>
    <n v="274"/>
    <n v="258"/>
    <n v="1734"/>
    <n v="0"/>
    <n v="0"/>
    <n v="0"/>
    <n v="2"/>
    <n v="96"/>
    <n v="90"/>
    <n v="567"/>
    <n v="31"/>
    <n v="135"/>
    <n v="0"/>
    <n v="30"/>
    <n v="45"/>
    <n v="95"/>
    <n v="140"/>
    <n v="127"/>
    <n v="21"/>
    <n v="44"/>
    <n v="0"/>
    <n v="35"/>
    <n v="6"/>
    <n v="0"/>
    <n v="0"/>
    <n v="0"/>
    <n v="0"/>
    <n v="0"/>
    <n v="0"/>
    <n v="4"/>
    <n v="34"/>
    <n v="1955"/>
    <n v="544"/>
    <n v="12"/>
    <n v="8"/>
    <n v="14"/>
    <n v="0"/>
    <n v="0"/>
    <n v="0"/>
    <n v="0"/>
    <n v="0"/>
    <n v="0"/>
    <n v="0"/>
    <n v="0"/>
    <n v="12"/>
    <n v="0"/>
    <n v="0"/>
    <n v="0"/>
    <n v="0"/>
    <n v="15"/>
    <n v="0"/>
    <n v="0"/>
    <n v="0"/>
    <n v="0"/>
    <n v="0"/>
    <n v="0"/>
    <n v="0"/>
    <n v="0"/>
    <n v="7"/>
    <n v="20"/>
    <n v="0"/>
    <n v="0"/>
    <n v="0"/>
    <n v="0"/>
    <n v="0"/>
    <n v="0"/>
    <n v="0"/>
    <n v="0"/>
    <n v="0"/>
    <n v="0"/>
    <n v="0"/>
    <n v="0"/>
    <n v="0"/>
    <n v="0"/>
    <n v="0"/>
    <n v="0"/>
    <n v="6931"/>
    <n v="172"/>
    <n v="121"/>
    <n v="0"/>
    <n v="258"/>
    <n v="1734"/>
    <n v="186"/>
    <n v="567"/>
    <n v="31"/>
    <n v="45"/>
    <n v="95"/>
    <n v="140"/>
    <n v="991"/>
    <n v="2499"/>
    <n v="0"/>
    <n v="0"/>
    <n v="0"/>
    <n v="0"/>
    <n v="0"/>
    <n v="88"/>
    <n v="0"/>
    <n v="0"/>
    <n v="0"/>
    <n v="0"/>
    <n v="4"/>
    <m/>
    <m/>
    <m/>
    <m/>
    <m/>
    <m/>
    <m/>
    <m/>
    <m/>
    <m/>
    <m/>
    <m/>
    <m/>
    <m/>
    <m/>
    <m/>
    <m/>
    <m/>
    <m/>
    <m/>
    <m/>
    <m/>
    <m/>
    <m/>
    <m/>
    <m/>
    <m/>
    <m/>
    <m/>
    <m/>
    <m/>
    <m/>
    <m/>
    <m/>
    <m/>
    <m/>
    <m/>
    <m/>
    <m/>
    <m/>
    <m/>
    <m/>
    <m/>
    <m/>
    <m/>
  </r>
  <r>
    <x v="5"/>
    <n v="323"/>
    <n v="0"/>
    <n v="0"/>
    <n v="1"/>
    <n v="18"/>
    <n v="580"/>
    <n v="0"/>
    <n v="242"/>
    <n v="0"/>
    <n v="0"/>
    <n v="0"/>
    <n v="0"/>
    <n v="184"/>
    <n v="141"/>
    <n v="225"/>
    <n v="1"/>
    <n v="20"/>
    <n v="14"/>
    <n v="8"/>
    <n v="34"/>
    <n v="452"/>
    <n v="291"/>
    <n v="8"/>
    <n v="12"/>
    <n v="38"/>
    <n v="5"/>
    <n v="168"/>
    <n v="0"/>
    <n v="43"/>
    <n v="27"/>
    <n v="0"/>
    <n v="0"/>
    <n v="10"/>
    <n v="1"/>
    <n v="1"/>
    <n v="0"/>
    <n v="113"/>
    <n v="79"/>
    <n v="140"/>
    <n v="0"/>
    <n v="6"/>
    <n v="340"/>
    <n v="73"/>
    <n v="4"/>
    <n v="4"/>
    <n v="1"/>
    <n v="32"/>
    <n v="36"/>
    <n v="9"/>
    <n v="6"/>
    <n v="34"/>
    <n v="30"/>
    <n v="0"/>
    <n v="8"/>
    <n v="95"/>
    <n v="7"/>
    <n v="2"/>
    <n v="1"/>
    <n v="24"/>
    <n v="5"/>
    <n v="0"/>
    <n v="141"/>
    <n v="123"/>
    <n v="0"/>
    <n v="0"/>
    <n v="0"/>
    <n v="0"/>
    <n v="0"/>
    <n v="0"/>
    <n v="0"/>
    <n v="0"/>
    <n v="459"/>
    <n v="154"/>
    <n v="16"/>
    <n v="92"/>
    <n v="90"/>
    <n v="2"/>
    <n v="0"/>
    <n v="1"/>
    <n v="3"/>
    <n v="2"/>
    <n v="63"/>
    <n v="0"/>
    <n v="34"/>
    <n v="0"/>
    <n v="0"/>
    <n v="0"/>
    <n v="0"/>
    <n v="0"/>
    <n v="13"/>
    <n v="15"/>
    <n v="10"/>
    <n v="19"/>
    <n v="3"/>
    <n v="13"/>
    <n v="9"/>
    <n v="16"/>
    <n v="71"/>
    <n v="1"/>
    <n v="15"/>
    <n v="207"/>
    <n v="43"/>
    <n v="2"/>
    <n v="37"/>
    <n v="0"/>
    <n v="2"/>
    <n v="0"/>
    <n v="18"/>
    <n v="124"/>
    <n v="24"/>
    <n v="0"/>
    <n v="0"/>
    <n v="1"/>
    <n v="0"/>
    <n v="3"/>
    <n v="0"/>
    <n v="5722"/>
    <n v="323"/>
    <n v="841"/>
    <n v="746.5"/>
    <n v="340"/>
    <n v="73"/>
    <n v="45"/>
    <n v="6"/>
    <n v="34"/>
    <n v="95"/>
    <n v="7"/>
    <n v="2"/>
    <n v="1647.5"/>
    <n v="613"/>
    <n v="3.0541445085518344"/>
    <n v="0"/>
    <n v="24.568656668260388"/>
    <n v="9.8745779814091819"/>
    <n v="4.5026208417785938"/>
    <n v="573"/>
    <n v="334"/>
    <n v="0"/>
    <n v="0"/>
    <n v="0"/>
    <n v="0"/>
    <m/>
    <m/>
    <m/>
    <m/>
    <m/>
    <m/>
    <m/>
    <m/>
    <m/>
    <m/>
    <m/>
    <m/>
    <m/>
    <m/>
    <m/>
    <m/>
    <m/>
    <m/>
    <m/>
    <m/>
    <m/>
    <m/>
    <m/>
    <m/>
    <m/>
    <m/>
    <m/>
    <m/>
    <m/>
    <m/>
    <m/>
    <m/>
    <m/>
    <m/>
    <m/>
    <m/>
    <m/>
    <m/>
    <m/>
    <m/>
    <m/>
    <m/>
    <m/>
    <m/>
    <m/>
  </r>
  <r>
    <x v="6"/>
    <n v="61"/>
    <n v="0"/>
    <n v="0"/>
    <n v="6"/>
    <n v="6"/>
    <n v="6"/>
    <n v="0"/>
    <n v="33"/>
    <n v="0"/>
    <n v="30"/>
    <n v="3"/>
    <n v="9"/>
    <n v="71"/>
    <n v="53"/>
    <n v="70"/>
    <n v="2"/>
    <n v="29"/>
    <n v="16"/>
    <n v="5"/>
    <n v="6"/>
    <n v="307"/>
    <n v="194"/>
    <n v="11"/>
    <n v="10"/>
    <n v="63"/>
    <n v="6"/>
    <n v="30"/>
    <n v="29"/>
    <n v="40"/>
    <n v="120"/>
    <n v="6"/>
    <n v="1"/>
    <n v="27"/>
    <n v="0"/>
    <n v="1"/>
    <n v="9"/>
    <n v="24"/>
    <n v="8"/>
    <n v="66"/>
    <n v="0"/>
    <n v="449"/>
    <n v="487"/>
    <n v="3853"/>
    <n v="3"/>
    <n v="1"/>
    <n v="1"/>
    <n v="50"/>
    <n v="54"/>
    <n v="33"/>
    <n v="41"/>
    <n v="79"/>
    <n v="53"/>
    <n v="0"/>
    <n v="4"/>
    <n v="88"/>
    <n v="107"/>
    <n v="26"/>
    <n v="301"/>
    <n v="61"/>
    <n v="111"/>
    <n v="18"/>
    <n v="50"/>
    <n v="35"/>
    <n v="0"/>
    <n v="0"/>
    <n v="0"/>
    <n v="6"/>
    <n v="25"/>
    <n v="26"/>
    <n v="0"/>
    <n v="6"/>
    <n v="14135"/>
    <n v="3393"/>
    <n v="170"/>
    <n v="117"/>
    <n v="198"/>
    <n v="2"/>
    <n v="43"/>
    <n v="155"/>
    <n v="2"/>
    <n v="0"/>
    <n v="13"/>
    <n v="0"/>
    <n v="14"/>
    <n v="0"/>
    <n v="0"/>
    <n v="0"/>
    <n v="55"/>
    <n v="95"/>
    <n v="39"/>
    <n v="30"/>
    <n v="29"/>
    <n v="9"/>
    <n v="8"/>
    <n v="73"/>
    <n v="7"/>
    <n v="16"/>
    <n v="505"/>
    <n v="23"/>
    <n v="49"/>
    <n v="0"/>
    <n v="542"/>
    <n v="86"/>
    <n v="100"/>
    <n v="0"/>
    <n v="30"/>
    <n v="0"/>
    <n v="51"/>
    <n v="85"/>
    <n v="274"/>
    <n v="339"/>
    <n v="2"/>
    <n v="32"/>
    <n v="2"/>
    <n v="10"/>
    <n v="0"/>
    <n v="28059"/>
    <n v="61"/>
    <n v="51"/>
    <n v="505.2"/>
    <n v="487"/>
    <n v="3853"/>
    <n v="87"/>
    <n v="41"/>
    <n v="79"/>
    <n v="88"/>
    <n v="107"/>
    <n v="26"/>
    <n v="1889.8"/>
    <n v="17528"/>
    <n v="2.4340595035213437"/>
    <n v="43"/>
    <n v="164.70474098104839"/>
    <n v="4.8307085805802519"/>
    <n v="1.0304909348500093"/>
    <n v="2553"/>
    <n v="436"/>
    <n v="0"/>
    <n v="25"/>
    <n v="26"/>
    <n v="0"/>
    <m/>
    <m/>
    <m/>
    <m/>
    <m/>
    <m/>
    <m/>
    <m/>
    <m/>
    <m/>
    <m/>
    <m/>
    <m/>
    <m/>
    <m/>
    <m/>
    <m/>
    <m/>
    <m/>
    <m/>
    <m/>
    <m/>
    <m/>
    <m/>
    <m/>
    <m/>
    <m/>
    <m/>
    <m/>
    <m/>
    <m/>
    <m/>
    <m/>
    <m/>
    <m/>
    <m/>
    <m/>
    <m/>
    <m/>
    <m/>
    <m/>
    <m/>
    <m/>
    <m/>
    <m/>
  </r>
  <r>
    <x v="2"/>
    <n v="0"/>
    <n v="0"/>
    <n v="0"/>
    <n v="0"/>
    <n v="0"/>
    <n v="0"/>
    <n v="0"/>
    <n v="0"/>
    <n v="0"/>
    <n v="1363"/>
    <n v="81"/>
    <n v="14"/>
    <n v="0"/>
    <n v="2"/>
    <n v="465"/>
    <n v="0"/>
    <n v="7"/>
    <n v="0"/>
    <n v="3"/>
    <n v="8"/>
    <n v="209"/>
    <n v="33"/>
    <n v="13"/>
    <n v="4"/>
    <n v="54"/>
    <n v="0"/>
    <n v="3"/>
    <n v="2"/>
    <n v="7"/>
    <n v="2"/>
    <n v="1"/>
    <n v="1"/>
    <n v="8"/>
    <n v="0"/>
    <n v="1"/>
    <n v="0"/>
    <n v="2"/>
    <n v="0"/>
    <n v="1"/>
    <n v="0"/>
    <n v="0"/>
    <n v="8"/>
    <n v="23"/>
    <n v="1427"/>
    <n v="535"/>
    <n v="51"/>
    <n v="3"/>
    <n v="45"/>
    <n v="44"/>
    <n v="4"/>
    <n v="3"/>
    <n v="3"/>
    <n v="4"/>
    <n v="150"/>
    <n v="34"/>
    <n v="0"/>
    <n v="0"/>
    <n v="0"/>
    <n v="0"/>
    <n v="0"/>
    <n v="28"/>
    <n v="42"/>
    <n v="19"/>
    <n v="0"/>
    <n v="0"/>
    <n v="0"/>
    <n v="0"/>
    <n v="0"/>
    <n v="0"/>
    <n v="0"/>
    <n v="0"/>
    <n v="120"/>
    <n v="102"/>
    <n v="8"/>
    <n v="121"/>
    <n v="24"/>
    <n v="0"/>
    <n v="5"/>
    <n v="2"/>
    <n v="2"/>
    <n v="1"/>
    <n v="0"/>
    <n v="1"/>
    <n v="1"/>
    <n v="0"/>
    <n v="0"/>
    <n v="0"/>
    <n v="0"/>
    <n v="0"/>
    <n v="0"/>
    <n v="0"/>
    <n v="0"/>
    <n v="0"/>
    <n v="0"/>
    <n v="0"/>
    <n v="0"/>
    <n v="0"/>
    <n v="0"/>
    <n v="0"/>
    <n v="0"/>
    <n v="0"/>
    <n v="11"/>
    <n v="0"/>
    <n v="0"/>
    <n v="0"/>
    <n v="0"/>
    <n v="0"/>
    <n v="0"/>
    <n v="0"/>
    <n v="0"/>
    <n v="0"/>
    <n v="0"/>
    <n v="0"/>
    <n v="0"/>
    <n v="0"/>
    <n v="0"/>
    <n v="5105"/>
    <n v="0"/>
    <n v="0"/>
    <n v="242"/>
    <n v="8"/>
    <n v="23"/>
    <n v="89"/>
    <n v="4"/>
    <n v="3"/>
    <n v="34"/>
    <n v="0"/>
    <n v="0"/>
    <n v="4304"/>
    <n v="222"/>
    <n v="3.1004250251524548E-2"/>
    <n v="5"/>
    <n v="2.6931957843605998"/>
    <n v="2.2021934700414465"/>
    <n v="1.0736064953464293"/>
    <n v="165"/>
    <n v="0"/>
    <n v="0"/>
    <n v="0"/>
    <n v="0"/>
    <n v="0"/>
    <m/>
    <m/>
    <m/>
    <m/>
    <m/>
    <m/>
    <m/>
    <m/>
    <m/>
    <m/>
    <m/>
    <m/>
    <m/>
    <m/>
    <m/>
    <m/>
    <m/>
    <m/>
    <m/>
    <m/>
    <m/>
    <m/>
    <m/>
    <m/>
    <m/>
    <m/>
    <m/>
    <m/>
    <m/>
    <m/>
    <m/>
    <m/>
    <m/>
    <m/>
    <m/>
    <m/>
    <m/>
    <m/>
    <m/>
    <m/>
    <m/>
    <m/>
    <m/>
    <m/>
    <m/>
  </r>
  <r>
    <x v="2"/>
    <n v="128"/>
    <n v="0"/>
    <n v="17"/>
    <n v="1"/>
    <n v="0"/>
    <n v="2"/>
    <n v="3"/>
    <n v="7"/>
    <n v="0"/>
    <n v="327"/>
    <n v="58"/>
    <n v="10"/>
    <n v="166"/>
    <n v="118"/>
    <n v="276"/>
    <n v="0"/>
    <n v="7"/>
    <n v="5"/>
    <n v="0"/>
    <n v="9"/>
    <n v="614"/>
    <n v="88"/>
    <n v="14"/>
    <n v="4"/>
    <n v="131"/>
    <n v="5"/>
    <n v="5"/>
    <n v="5"/>
    <n v="12"/>
    <n v="19"/>
    <n v="9"/>
    <n v="7"/>
    <n v="18"/>
    <n v="0"/>
    <n v="3"/>
    <n v="16"/>
    <n v="54"/>
    <n v="26"/>
    <n v="60"/>
    <n v="0"/>
    <n v="8"/>
    <n v="7"/>
    <n v="35"/>
    <n v="35"/>
    <n v="1429"/>
    <n v="48"/>
    <n v="2"/>
    <n v="76"/>
    <n v="19"/>
    <n v="24"/>
    <n v="108"/>
    <n v="107"/>
    <n v="1"/>
    <n v="22"/>
    <n v="76"/>
    <n v="15"/>
    <n v="19"/>
    <n v="51"/>
    <n v="10"/>
    <n v="10"/>
    <n v="0"/>
    <n v="11"/>
    <n v="20"/>
    <n v="0"/>
    <n v="0"/>
    <n v="0"/>
    <n v="0"/>
    <n v="0"/>
    <n v="0"/>
    <n v="0"/>
    <n v="0"/>
    <n v="298"/>
    <n v="111"/>
    <n v="46"/>
    <n v="130"/>
    <n v="158"/>
    <n v="0"/>
    <n v="2"/>
    <n v="2"/>
    <n v="4"/>
    <n v="2"/>
    <n v="0"/>
    <n v="1"/>
    <n v="3"/>
    <n v="7"/>
    <n v="0"/>
    <n v="3"/>
    <n v="0"/>
    <n v="0"/>
    <n v="0"/>
    <n v="0"/>
    <n v="0"/>
    <n v="0"/>
    <n v="0"/>
    <n v="0"/>
    <n v="0"/>
    <n v="0"/>
    <n v="4"/>
    <n v="2"/>
    <n v="2"/>
    <n v="0"/>
    <n v="132"/>
    <n v="14"/>
    <n v="2"/>
    <n v="0"/>
    <n v="12"/>
    <n v="0"/>
    <n v="0"/>
    <n v="0"/>
    <n v="148"/>
    <n v="183"/>
    <n v="2"/>
    <n v="8"/>
    <n v="0"/>
    <n v="0"/>
    <n v="0"/>
    <n v="5633"/>
    <n v="145"/>
    <n v="13"/>
    <n v="705.5"/>
    <n v="7"/>
    <n v="35"/>
    <n v="95"/>
    <n v="24"/>
    <n v="108"/>
    <n v="76"/>
    <n v="15"/>
    <n v="19"/>
    <n v="3114.5"/>
    <n v="409"/>
    <n v="9.3012750754573645E-2"/>
    <n v="2"/>
    <n v="4.0795873530817985"/>
    <n v="4.6065804101243399"/>
    <n v="2.2208194860392876"/>
    <n v="671"/>
    <n v="183"/>
    <n v="0"/>
    <n v="0"/>
    <n v="0"/>
    <n v="0"/>
    <m/>
    <m/>
    <m/>
    <m/>
    <m/>
    <m/>
    <m/>
    <m/>
    <m/>
    <m/>
    <m/>
    <m/>
    <m/>
    <m/>
    <m/>
    <m/>
    <m/>
    <m/>
    <m/>
    <m/>
    <m/>
    <m/>
    <m/>
    <m/>
    <m/>
    <m/>
    <m/>
    <m/>
    <m/>
    <m/>
    <m/>
    <m/>
    <m/>
    <m/>
    <m/>
    <m/>
    <m/>
    <m/>
    <m/>
    <m/>
    <m/>
    <m/>
    <m/>
    <m/>
    <m/>
  </r>
  <r>
    <x v="2"/>
    <n v="0"/>
    <n v="0"/>
    <n v="0"/>
    <n v="0"/>
    <n v="0"/>
    <n v="0"/>
    <n v="0"/>
    <n v="2"/>
    <n v="0"/>
    <n v="102"/>
    <n v="0"/>
    <n v="0"/>
    <n v="0"/>
    <n v="0"/>
    <n v="0"/>
    <n v="0"/>
    <n v="0"/>
    <n v="0"/>
    <n v="0"/>
    <n v="0"/>
    <n v="0"/>
    <n v="0"/>
    <n v="0"/>
    <n v="0"/>
    <n v="0"/>
    <n v="0"/>
    <n v="0"/>
    <n v="0"/>
    <n v="3"/>
    <n v="0"/>
    <n v="0"/>
    <n v="0"/>
    <n v="0"/>
    <n v="0"/>
    <n v="0"/>
    <n v="0"/>
    <n v="0"/>
    <n v="0"/>
    <n v="0"/>
    <n v="0"/>
    <n v="0"/>
    <n v="0"/>
    <n v="0"/>
    <n v="18"/>
    <n v="124"/>
    <n v="118"/>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2"/>
    <n v="0"/>
    <n v="0"/>
    <n v="0"/>
    <n v="0"/>
    <n v="369"/>
    <n v="0"/>
    <n v="2"/>
    <n v="0"/>
    <n v="0"/>
    <n v="0"/>
    <n v="0"/>
    <n v="0"/>
    <n v="0"/>
    <n v="0"/>
    <n v="0"/>
    <n v="0"/>
    <n v="365"/>
    <n v="0"/>
    <n v="0"/>
    <n v="0"/>
    <n v="0"/>
    <n v="0"/>
    <n v="0"/>
    <n v="2"/>
    <n v="0"/>
    <n v="0"/>
    <n v="0"/>
    <n v="0"/>
    <n v="0"/>
    <m/>
    <m/>
    <m/>
    <m/>
    <m/>
    <m/>
    <m/>
    <m/>
    <m/>
    <m/>
    <m/>
    <m/>
    <m/>
    <m/>
    <m/>
    <m/>
    <m/>
    <m/>
    <m/>
    <m/>
    <m/>
    <m/>
    <m/>
    <m/>
    <m/>
    <m/>
    <m/>
    <m/>
    <m/>
    <m/>
    <m/>
    <m/>
    <m/>
    <m/>
    <m/>
    <m/>
    <m/>
    <m/>
    <m/>
    <m/>
    <m/>
    <m/>
    <m/>
    <m/>
    <m/>
  </r>
  <r>
    <x v="2"/>
    <n v="659"/>
    <n v="0"/>
    <n v="3"/>
    <n v="69"/>
    <n v="47"/>
    <n v="132"/>
    <n v="32"/>
    <n v="107"/>
    <n v="0"/>
    <n v="3"/>
    <n v="3"/>
    <n v="153"/>
    <n v="89"/>
    <n v="61"/>
    <n v="2866"/>
    <n v="3"/>
    <n v="84"/>
    <n v="13"/>
    <n v="6"/>
    <n v="6"/>
    <n v="142"/>
    <n v="130"/>
    <n v="46"/>
    <n v="10"/>
    <n v="66"/>
    <n v="0"/>
    <n v="11"/>
    <n v="15"/>
    <n v="11"/>
    <n v="17"/>
    <n v="41"/>
    <n v="3"/>
    <n v="9"/>
    <n v="41"/>
    <n v="1"/>
    <n v="1"/>
    <n v="35"/>
    <n v="0"/>
    <n v="45"/>
    <n v="0"/>
    <n v="54"/>
    <n v="49"/>
    <n v="355"/>
    <n v="11"/>
    <n v="6"/>
    <n v="2"/>
    <n v="3120"/>
    <n v="190"/>
    <n v="136"/>
    <n v="0"/>
    <n v="11"/>
    <n v="0"/>
    <n v="0"/>
    <n v="4"/>
    <n v="104"/>
    <n v="79"/>
    <n v="39"/>
    <n v="25"/>
    <n v="86"/>
    <n v="52"/>
    <n v="45"/>
    <n v="56"/>
    <n v="22"/>
    <n v="0"/>
    <n v="0"/>
    <n v="0"/>
    <n v="0"/>
    <n v="2"/>
    <n v="1"/>
    <n v="1"/>
    <n v="8"/>
    <n v="3624"/>
    <n v="1054"/>
    <n v="106"/>
    <n v="149"/>
    <n v="74"/>
    <n v="1"/>
    <n v="0"/>
    <n v="3"/>
    <n v="9"/>
    <n v="5"/>
    <n v="33"/>
    <n v="0"/>
    <n v="35"/>
    <n v="8"/>
    <n v="0"/>
    <n v="0"/>
    <n v="18"/>
    <n v="59"/>
    <n v="89"/>
    <n v="14"/>
    <n v="7"/>
    <n v="3"/>
    <n v="2"/>
    <n v="2"/>
    <n v="2"/>
    <n v="5"/>
    <n v="43"/>
    <n v="0"/>
    <n v="23"/>
    <n v="0"/>
    <n v="55"/>
    <n v="17"/>
    <n v="44"/>
    <n v="158"/>
    <n v="28"/>
    <n v="0"/>
    <n v="7"/>
    <n v="29"/>
    <n v="1"/>
    <n v="0"/>
    <n v="0"/>
    <n v="0"/>
    <n v="0"/>
    <n v="6"/>
    <n v="45"/>
    <n v="15176"/>
    <n v="662"/>
    <n v="387"/>
    <n v="272"/>
    <n v="49"/>
    <n v="355"/>
    <n v="326"/>
    <n v="0"/>
    <n v="11"/>
    <n v="104"/>
    <n v="79"/>
    <n v="39"/>
    <n v="7130"/>
    <n v="4678"/>
    <n v="2.085148758803359"/>
    <n v="0"/>
    <n v="27.261852452620989"/>
    <n v="16.076771451450629"/>
    <n v="7.5762273371250233"/>
    <n v="947"/>
    <n v="80"/>
    <n v="0"/>
    <n v="2"/>
    <n v="1"/>
    <n v="1"/>
    <m/>
    <m/>
    <m/>
    <m/>
    <m/>
    <m/>
    <m/>
    <m/>
    <m/>
    <m/>
    <m/>
    <m/>
    <m/>
    <m/>
    <m/>
    <m/>
    <m/>
    <m/>
    <m/>
    <m/>
    <m/>
    <m/>
    <m/>
    <m/>
    <m/>
    <m/>
    <m/>
    <m/>
    <m/>
    <m/>
    <m/>
    <m/>
    <m/>
    <m/>
    <m/>
    <m/>
    <m/>
    <m/>
    <m/>
    <m/>
    <m/>
    <m/>
    <m/>
    <m/>
    <m/>
  </r>
  <r>
    <x v="7"/>
    <n v="0"/>
    <n v="0"/>
    <n v="0"/>
    <n v="68"/>
    <n v="132"/>
    <n v="9"/>
    <n v="79"/>
    <n v="275"/>
    <n v="4"/>
    <n v="24"/>
    <n v="23"/>
    <n v="1806"/>
    <n v="456"/>
    <n v="147"/>
    <n v="16"/>
    <n v="2"/>
    <n v="25"/>
    <n v="27"/>
    <n v="12"/>
    <n v="16"/>
    <n v="20"/>
    <n v="52"/>
    <n v="2"/>
    <n v="4"/>
    <n v="16"/>
    <n v="3"/>
    <n v="8"/>
    <n v="10"/>
    <n v="24"/>
    <n v="18"/>
    <n v="9"/>
    <n v="2"/>
    <n v="9"/>
    <n v="1"/>
    <n v="3"/>
    <n v="9"/>
    <n v="21"/>
    <n v="48"/>
    <n v="33"/>
    <n v="0"/>
    <n v="17"/>
    <n v="98"/>
    <n v="62"/>
    <n v="31"/>
    <n v="3"/>
    <n v="25"/>
    <n v="0"/>
    <n v="2446"/>
    <n v="2134"/>
    <n v="15"/>
    <n v="111"/>
    <n v="172"/>
    <n v="2"/>
    <n v="19"/>
    <n v="59"/>
    <n v="0"/>
    <n v="15"/>
    <n v="0"/>
    <n v="30"/>
    <n v="11"/>
    <n v="93"/>
    <n v="104"/>
    <n v="31"/>
    <n v="0"/>
    <n v="0"/>
    <n v="0"/>
    <n v="18"/>
    <n v="9"/>
    <n v="18"/>
    <n v="3"/>
    <n v="16"/>
    <n v="101"/>
    <n v="73"/>
    <n v="75"/>
    <n v="737"/>
    <n v="406"/>
    <n v="0"/>
    <n v="9"/>
    <n v="15"/>
    <n v="16"/>
    <n v="0"/>
    <n v="0"/>
    <n v="1"/>
    <n v="1"/>
    <n v="0"/>
    <n v="0"/>
    <n v="0"/>
    <n v="73"/>
    <n v="12"/>
    <n v="7"/>
    <n v="88"/>
    <n v="161"/>
    <n v="166"/>
    <n v="17"/>
    <n v="184"/>
    <n v="33"/>
    <n v="2"/>
    <n v="243"/>
    <n v="7"/>
    <n v="46"/>
    <n v="0"/>
    <n v="54"/>
    <n v="0"/>
    <n v="1"/>
    <n v="0"/>
    <n v="21"/>
    <n v="0"/>
    <n v="76"/>
    <n v="0"/>
    <n v="7"/>
    <n v="0"/>
    <n v="11"/>
    <n v="1"/>
    <n v="0"/>
    <n v="1"/>
    <n v="0"/>
    <n v="11600"/>
    <n v="0"/>
    <n v="567"/>
    <n v="74.099999999999994"/>
    <n v="98"/>
    <n v="62"/>
    <n v="4580"/>
    <n v="15"/>
    <n v="111"/>
    <n v="59"/>
    <n v="0"/>
    <n v="15"/>
    <n v="3343.9"/>
    <n v="174"/>
    <n v="3.1004250251524548E-2"/>
    <n v="9"/>
    <n v="15.693195784360599"/>
    <n v="16.202193470041447"/>
    <n v="7.360649534642924E-2"/>
    <n v="2429"/>
    <n v="1"/>
    <n v="0"/>
    <n v="9"/>
    <n v="18"/>
    <n v="3"/>
    <m/>
    <m/>
    <m/>
    <m/>
    <m/>
    <m/>
    <m/>
    <m/>
    <m/>
    <m/>
    <m/>
    <m/>
    <m/>
    <m/>
    <m/>
    <m/>
    <m/>
    <m/>
    <m/>
    <m/>
    <m/>
    <m/>
    <m/>
    <m/>
    <m/>
    <m/>
    <m/>
    <m/>
    <m/>
    <m/>
    <m/>
    <m/>
    <m/>
    <m/>
    <m/>
    <m/>
    <m/>
    <m/>
    <m/>
    <m/>
    <m/>
    <m/>
    <m/>
    <m/>
    <m/>
  </r>
  <r>
    <x v="7"/>
    <n v="126"/>
    <n v="4"/>
    <n v="1"/>
    <n v="170"/>
    <n v="310"/>
    <n v="108"/>
    <n v="85"/>
    <n v="809"/>
    <n v="2"/>
    <n v="31"/>
    <n v="19"/>
    <n v="2848"/>
    <n v="344"/>
    <n v="111"/>
    <n v="53"/>
    <n v="7"/>
    <n v="59"/>
    <n v="19"/>
    <n v="12"/>
    <n v="15"/>
    <n v="24"/>
    <n v="12"/>
    <n v="5"/>
    <n v="4"/>
    <n v="29"/>
    <n v="4"/>
    <n v="7"/>
    <n v="9"/>
    <n v="20"/>
    <n v="44"/>
    <n v="8"/>
    <n v="3"/>
    <n v="29"/>
    <n v="1"/>
    <n v="3"/>
    <n v="13"/>
    <n v="22"/>
    <n v="41"/>
    <n v="43"/>
    <n v="0"/>
    <n v="17"/>
    <n v="105"/>
    <n v="53"/>
    <n v="31"/>
    <n v="3"/>
    <n v="24"/>
    <n v="94"/>
    <n v="200"/>
    <n v="1624"/>
    <n v="15"/>
    <n v="98"/>
    <n v="131"/>
    <n v="11"/>
    <n v="14"/>
    <n v="433"/>
    <n v="0"/>
    <n v="23"/>
    <n v="0"/>
    <n v="22"/>
    <n v="16"/>
    <n v="89"/>
    <n v="44"/>
    <n v="21"/>
    <n v="0"/>
    <n v="0"/>
    <n v="0"/>
    <n v="19"/>
    <n v="7"/>
    <n v="8"/>
    <n v="0"/>
    <n v="16"/>
    <n v="142"/>
    <n v="67"/>
    <n v="5"/>
    <n v="152"/>
    <n v="122"/>
    <n v="0"/>
    <n v="3"/>
    <n v="3"/>
    <n v="4"/>
    <n v="2"/>
    <n v="42"/>
    <n v="96"/>
    <n v="66"/>
    <n v="440"/>
    <n v="122"/>
    <n v="177"/>
    <n v="39"/>
    <n v="20"/>
    <n v="77"/>
    <n v="30"/>
    <n v="83"/>
    <n v="57"/>
    <n v="12"/>
    <n v="76"/>
    <n v="18"/>
    <n v="16"/>
    <n v="84"/>
    <n v="2"/>
    <n v="25"/>
    <n v="24"/>
    <n v="101"/>
    <n v="42"/>
    <n v="26"/>
    <n v="111"/>
    <n v="16"/>
    <n v="0"/>
    <n v="107"/>
    <n v="149"/>
    <n v="5"/>
    <n v="2"/>
    <n v="13"/>
    <n v="6"/>
    <n v="76"/>
    <n v="593"/>
    <n v="5"/>
    <n v="11830"/>
    <n v="131"/>
    <n v="1484"/>
    <n v="38.799999999999997"/>
    <n v="105"/>
    <n v="53"/>
    <n v="1824"/>
    <n v="15"/>
    <n v="98"/>
    <n v="433"/>
    <n v="0"/>
    <n v="23"/>
    <n v="4352.2"/>
    <n v="209"/>
    <n v="2.0462805166006204"/>
    <n v="3"/>
    <n v="48.750921767799582"/>
    <n v="17.344769022735473"/>
    <n v="6.8580286928643295"/>
    <n v="2122"/>
    <n v="849"/>
    <n v="0"/>
    <n v="7"/>
    <n v="8"/>
    <n v="0"/>
    <m/>
    <m/>
    <m/>
    <m/>
    <m/>
    <m/>
    <m/>
    <m/>
    <m/>
    <m/>
    <m/>
    <m/>
    <m/>
    <m/>
    <m/>
    <m/>
    <m/>
    <m/>
    <m/>
    <m/>
    <m/>
    <m/>
    <m/>
    <m/>
    <m/>
    <m/>
    <m/>
    <m/>
    <m/>
    <m/>
    <m/>
    <m/>
    <m/>
    <m/>
    <m/>
    <m/>
    <m/>
    <m/>
    <m/>
    <m/>
    <m/>
    <m/>
    <m/>
    <m/>
    <m/>
  </r>
  <r>
    <x v="8"/>
    <n v="2958"/>
    <n v="0"/>
    <n v="0"/>
    <n v="0"/>
    <n v="0"/>
    <n v="1"/>
    <n v="0"/>
    <n v="15"/>
    <n v="0"/>
    <n v="61"/>
    <n v="101"/>
    <n v="14"/>
    <n v="207"/>
    <n v="451"/>
    <n v="75"/>
    <n v="0"/>
    <n v="11"/>
    <n v="23"/>
    <n v="4"/>
    <n v="5"/>
    <n v="101"/>
    <n v="117"/>
    <n v="32"/>
    <n v="0"/>
    <n v="141"/>
    <n v="1"/>
    <n v="50"/>
    <n v="54"/>
    <n v="10"/>
    <n v="60"/>
    <n v="11"/>
    <n v="3"/>
    <n v="24"/>
    <n v="7"/>
    <n v="2"/>
    <n v="2"/>
    <n v="6"/>
    <n v="10"/>
    <n v="7"/>
    <n v="0"/>
    <n v="56"/>
    <n v="203"/>
    <n v="44"/>
    <n v="69"/>
    <n v="102"/>
    <n v="25"/>
    <n v="54"/>
    <n v="84"/>
    <n v="92"/>
    <n v="1734"/>
    <n v="1186"/>
    <n v="387"/>
    <n v="19"/>
    <n v="11"/>
    <n v="99"/>
    <n v="209"/>
    <n v="54"/>
    <n v="51"/>
    <n v="113"/>
    <n v="85"/>
    <n v="0"/>
    <n v="13"/>
    <n v="32"/>
    <n v="0"/>
    <n v="0"/>
    <n v="0"/>
    <n v="0"/>
    <n v="24"/>
    <n v="0"/>
    <n v="6"/>
    <n v="30"/>
    <n v="93"/>
    <n v="38"/>
    <n v="59"/>
    <n v="37"/>
    <n v="35"/>
    <n v="1"/>
    <n v="2"/>
    <n v="2"/>
    <n v="3"/>
    <n v="2"/>
    <n v="2"/>
    <n v="1"/>
    <n v="3"/>
    <n v="0"/>
    <n v="0"/>
    <n v="0"/>
    <n v="1"/>
    <n v="5"/>
    <n v="4"/>
    <n v="11"/>
    <n v="1"/>
    <n v="1"/>
    <n v="1"/>
    <n v="8"/>
    <n v="1"/>
    <n v="2"/>
    <n v="19"/>
    <n v="9"/>
    <n v="51"/>
    <n v="25"/>
    <n v="10"/>
    <n v="2"/>
    <n v="1"/>
    <n v="0"/>
    <n v="9"/>
    <n v="0"/>
    <n v="0"/>
    <n v="0"/>
    <n v="18"/>
    <n v="0"/>
    <n v="0"/>
    <n v="24"/>
    <n v="0"/>
    <n v="2"/>
    <n v="0"/>
    <n v="9829"/>
    <n v="2958"/>
    <n v="16"/>
    <n v="218.7"/>
    <n v="203"/>
    <n v="44"/>
    <n v="176"/>
    <n v="1734"/>
    <n v="1186"/>
    <n v="99"/>
    <n v="209"/>
    <n v="54"/>
    <n v="2418.3000000000002"/>
    <n v="131"/>
    <n v="1.0930127507545737"/>
    <n v="2"/>
    <n v="4.0795873530817985"/>
    <n v="3.6065804101243399"/>
    <n v="2.2208194860392876"/>
    <n v="312"/>
    <n v="27"/>
    <n v="0"/>
    <n v="24"/>
    <n v="0"/>
    <n v="6"/>
    <m/>
    <m/>
    <m/>
    <m/>
    <m/>
    <m/>
    <m/>
    <m/>
    <m/>
    <m/>
    <m/>
    <m/>
    <m/>
    <m/>
    <m/>
    <m/>
    <m/>
    <m/>
    <m/>
    <m/>
    <m/>
    <m/>
    <m/>
    <m/>
    <m/>
    <m/>
    <m/>
    <m/>
    <m/>
    <m/>
    <m/>
    <m/>
    <m/>
    <m/>
    <m/>
    <m/>
    <m/>
    <m/>
    <m/>
    <m/>
    <m/>
    <m/>
    <m/>
    <m/>
    <m/>
  </r>
  <r>
    <x v="9"/>
    <n v="0"/>
    <n v="0"/>
    <n v="0"/>
    <n v="17"/>
    <n v="23"/>
    <n v="42"/>
    <n v="22"/>
    <n v="60"/>
    <n v="1"/>
    <n v="230"/>
    <n v="178"/>
    <n v="303"/>
    <n v="2202"/>
    <n v="1303"/>
    <n v="49"/>
    <n v="2"/>
    <n v="104"/>
    <n v="52"/>
    <n v="22"/>
    <n v="10"/>
    <n v="261"/>
    <n v="123"/>
    <n v="6"/>
    <n v="8"/>
    <n v="92"/>
    <n v="3"/>
    <n v="59"/>
    <n v="55"/>
    <n v="120"/>
    <n v="94"/>
    <n v="20"/>
    <n v="2"/>
    <n v="49"/>
    <n v="0"/>
    <n v="1"/>
    <n v="82"/>
    <n v="1"/>
    <n v="3"/>
    <n v="1"/>
    <n v="0"/>
    <n v="34"/>
    <n v="60"/>
    <n v="106"/>
    <n v="89"/>
    <n v="21"/>
    <n v="27"/>
    <n v="60"/>
    <n v="427"/>
    <n v="292"/>
    <n v="108"/>
    <n v="4411"/>
    <n v="2224"/>
    <n v="34"/>
    <n v="869"/>
    <n v="8377"/>
    <n v="47"/>
    <n v="40"/>
    <n v="13"/>
    <n v="113"/>
    <n v="57"/>
    <n v="0"/>
    <n v="355"/>
    <n v="29"/>
    <n v="0"/>
    <n v="0"/>
    <n v="0"/>
    <n v="0"/>
    <n v="1065"/>
    <n v="17"/>
    <n v="5"/>
    <n v="86"/>
    <n v="57"/>
    <n v="8"/>
    <n v="125"/>
    <n v="119"/>
    <n v="93"/>
    <n v="1"/>
    <n v="3"/>
    <n v="2"/>
    <n v="3"/>
    <n v="2"/>
    <n v="2"/>
    <n v="1"/>
    <n v="4"/>
    <n v="0"/>
    <n v="0"/>
    <n v="0"/>
    <n v="3"/>
    <n v="14"/>
    <n v="9"/>
    <n v="3"/>
    <n v="1"/>
    <n v="1"/>
    <n v="2"/>
    <n v="4"/>
    <n v="2"/>
    <n v="2"/>
    <n v="83"/>
    <n v="4"/>
    <n v="137"/>
    <n v="5"/>
    <n v="22"/>
    <n v="289"/>
    <n v="50"/>
    <n v="0"/>
    <n v="20"/>
    <n v="0"/>
    <n v="0"/>
    <n v="0"/>
    <n v="147"/>
    <n v="185"/>
    <n v="0"/>
    <n v="41"/>
    <n v="0"/>
    <n v="22"/>
    <n v="0"/>
    <n v="26032"/>
    <n v="0"/>
    <n v="165"/>
    <n v="386.1"/>
    <n v="60"/>
    <n v="106"/>
    <n v="719"/>
    <n v="108"/>
    <n v="4411"/>
    <n v="8377"/>
    <n v="47"/>
    <n v="40"/>
    <n v="9059.9"/>
    <n v="65"/>
    <n v="1.1240170010060981"/>
    <n v="3"/>
    <n v="4.7727831374423992"/>
    <n v="3.808773880165786"/>
    <n v="2.2944259813857171"/>
    <n v="1174"/>
    <n v="212"/>
    <n v="0"/>
    <n v="1065"/>
    <n v="17"/>
    <n v="5"/>
    <m/>
    <m/>
    <m/>
    <m/>
    <m/>
    <m/>
    <m/>
    <m/>
    <m/>
    <m/>
    <m/>
    <m/>
    <m/>
    <m/>
    <m/>
    <m/>
    <m/>
    <m/>
    <m/>
    <m/>
    <m/>
    <m/>
    <m/>
    <m/>
    <m/>
    <m/>
    <m/>
    <m/>
    <m/>
    <m/>
    <m/>
    <m/>
    <m/>
    <m/>
    <m/>
    <m/>
    <m/>
    <m/>
    <m/>
    <m/>
    <m/>
    <m/>
    <m/>
    <m/>
    <m/>
  </r>
  <r>
    <x v="2"/>
    <n v="2617"/>
    <n v="3"/>
    <n v="1"/>
    <n v="17"/>
    <n v="24"/>
    <n v="21"/>
    <n v="7"/>
    <n v="32"/>
    <n v="1"/>
    <n v="38"/>
    <n v="4"/>
    <n v="756"/>
    <n v="902"/>
    <n v="763"/>
    <n v="187"/>
    <n v="7"/>
    <n v="76"/>
    <n v="27"/>
    <n v="4"/>
    <n v="15"/>
    <n v="526"/>
    <n v="365"/>
    <n v="25"/>
    <n v="6"/>
    <n v="125"/>
    <n v="18"/>
    <n v="70"/>
    <n v="67"/>
    <n v="87"/>
    <n v="110"/>
    <n v="17"/>
    <n v="14"/>
    <n v="31"/>
    <n v="11"/>
    <n v="4"/>
    <n v="81"/>
    <n v="15"/>
    <n v="42"/>
    <n v="32"/>
    <n v="0"/>
    <n v="81"/>
    <n v="49"/>
    <n v="90"/>
    <n v="17"/>
    <n v="29"/>
    <n v="7"/>
    <n v="46"/>
    <n v="62"/>
    <n v="131"/>
    <n v="56"/>
    <n v="232"/>
    <n v="681"/>
    <n v="1"/>
    <n v="126"/>
    <n v="328"/>
    <n v="123"/>
    <n v="1"/>
    <n v="60"/>
    <n v="708"/>
    <n v="105"/>
    <n v="0"/>
    <n v="367"/>
    <n v="28"/>
    <n v="0"/>
    <n v="0"/>
    <n v="0"/>
    <n v="9"/>
    <n v="23"/>
    <n v="40"/>
    <n v="8"/>
    <n v="14"/>
    <n v="1097"/>
    <n v="295"/>
    <n v="78"/>
    <n v="40"/>
    <n v="72"/>
    <n v="1"/>
    <n v="7"/>
    <n v="18"/>
    <n v="18"/>
    <n v="11"/>
    <n v="9"/>
    <n v="0"/>
    <n v="6"/>
    <n v="7"/>
    <n v="19"/>
    <n v="6"/>
    <n v="50"/>
    <n v="2"/>
    <n v="70"/>
    <n v="29"/>
    <n v="18"/>
    <n v="16"/>
    <n v="15"/>
    <n v="49"/>
    <n v="6"/>
    <n v="10"/>
    <n v="70"/>
    <n v="6"/>
    <n v="104"/>
    <n v="0"/>
    <n v="72"/>
    <n v="9"/>
    <n v="7"/>
    <n v="0"/>
    <n v="114"/>
    <n v="0"/>
    <n v="8"/>
    <n v="7"/>
    <n v="56"/>
    <n v="0"/>
    <n v="2"/>
    <n v="7"/>
    <n v="1"/>
    <n v="8"/>
    <n v="0"/>
    <n v="12990"/>
    <n v="2621"/>
    <n v="102"/>
    <n v="903.6"/>
    <n v="49"/>
    <n v="90"/>
    <n v="193"/>
    <n v="56"/>
    <n v="232"/>
    <n v="328"/>
    <n v="123"/>
    <n v="1"/>
    <n v="5800.4"/>
    <n v="1392"/>
    <n v="1.1860255015091472"/>
    <n v="7"/>
    <n v="22.159174706163597"/>
    <n v="19.213160820248678"/>
    <n v="11.441638972078575"/>
    <n v="951"/>
    <n v="16"/>
    <n v="0"/>
    <n v="23"/>
    <n v="40"/>
    <n v="8"/>
    <m/>
    <m/>
    <m/>
    <m/>
    <m/>
    <m/>
    <m/>
    <m/>
    <m/>
    <m/>
    <m/>
    <m/>
    <m/>
    <m/>
    <m/>
    <m/>
    <m/>
    <m/>
    <m/>
    <m/>
    <m/>
    <m/>
    <m/>
    <m/>
    <m/>
    <m/>
    <m/>
    <m/>
    <m/>
    <m/>
    <m/>
    <m/>
    <m/>
    <m/>
    <m/>
    <m/>
    <m/>
    <m/>
    <m/>
    <m/>
    <m/>
    <m/>
    <m/>
    <m/>
    <m/>
  </r>
  <r>
    <x v="2"/>
    <n v="0"/>
    <n v="0"/>
    <n v="0"/>
    <n v="0"/>
    <n v="1"/>
    <n v="9"/>
    <n v="3"/>
    <n v="5"/>
    <n v="1"/>
    <n v="13"/>
    <n v="0"/>
    <n v="0"/>
    <n v="1"/>
    <n v="0"/>
    <n v="38"/>
    <n v="0"/>
    <n v="4"/>
    <n v="0"/>
    <n v="0"/>
    <n v="0"/>
    <n v="2"/>
    <n v="0"/>
    <n v="0"/>
    <n v="0"/>
    <n v="0"/>
    <n v="0"/>
    <n v="0"/>
    <n v="0"/>
    <n v="0"/>
    <n v="0"/>
    <n v="0"/>
    <n v="0"/>
    <n v="0"/>
    <n v="0"/>
    <n v="0"/>
    <n v="0"/>
    <n v="0"/>
    <n v="0"/>
    <n v="0"/>
    <n v="0"/>
    <n v="0"/>
    <n v="0"/>
    <n v="0"/>
    <n v="348"/>
    <n v="76"/>
    <n v="51"/>
    <n v="0"/>
    <n v="0"/>
    <n v="0"/>
    <n v="0"/>
    <n v="3"/>
    <n v="0"/>
    <n v="94"/>
    <n v="55"/>
    <n v="49"/>
    <n v="0"/>
    <n v="0"/>
    <n v="0"/>
    <n v="0"/>
    <n v="0"/>
    <n v="0"/>
    <n v="0"/>
    <n v="0"/>
    <n v="0"/>
    <n v="0"/>
    <n v="0"/>
    <n v="0"/>
    <n v="0"/>
    <n v="0"/>
    <n v="0"/>
    <n v="0"/>
    <n v="0"/>
    <n v="0"/>
    <n v="0"/>
    <n v="0"/>
    <n v="0"/>
    <n v="0"/>
    <n v="0"/>
    <n v="0"/>
    <n v="0"/>
    <n v="0"/>
    <n v="0"/>
    <n v="0"/>
    <n v="0"/>
    <n v="0"/>
    <n v="0"/>
    <n v="0"/>
    <n v="0"/>
    <n v="0"/>
    <n v="0"/>
    <n v="0"/>
    <n v="0"/>
    <n v="0"/>
    <n v="0"/>
    <n v="0"/>
    <n v="0"/>
    <n v="0"/>
    <n v="0"/>
    <n v="0"/>
    <n v="5"/>
    <n v="0"/>
    <n v="0"/>
    <n v="0"/>
    <n v="0"/>
    <n v="7"/>
    <n v="0"/>
    <n v="0"/>
    <n v="0"/>
    <n v="0"/>
    <n v="0"/>
    <n v="0"/>
    <n v="0"/>
    <n v="0"/>
    <n v="0"/>
    <n v="0"/>
    <n v="0"/>
    <n v="765"/>
    <n v="0"/>
    <n v="19"/>
    <n v="2"/>
    <n v="0"/>
    <n v="0"/>
    <n v="0"/>
    <n v="0"/>
    <n v="3"/>
    <n v="49"/>
    <n v="0"/>
    <n v="0"/>
    <n v="680"/>
    <n v="0"/>
    <n v="0"/>
    <n v="0"/>
    <n v="0"/>
    <n v="0"/>
    <n v="0"/>
    <n v="12"/>
    <n v="0"/>
    <n v="0"/>
    <n v="0"/>
    <n v="0"/>
    <n v="0"/>
    <m/>
    <m/>
    <m/>
    <m/>
    <m/>
    <m/>
    <m/>
    <m/>
    <m/>
    <m/>
    <m/>
    <m/>
    <m/>
    <m/>
    <m/>
    <m/>
    <m/>
    <m/>
    <m/>
    <m/>
    <m/>
    <m/>
    <m/>
    <m/>
    <m/>
    <m/>
    <m/>
    <m/>
    <m/>
    <m/>
    <m/>
    <m/>
    <m/>
    <m/>
    <m/>
    <m/>
    <m/>
    <m/>
    <m/>
    <m/>
    <m/>
    <m/>
    <m/>
    <m/>
    <m/>
  </r>
  <r>
    <x v="2"/>
    <n v="117"/>
    <n v="10"/>
    <n v="0"/>
    <n v="6"/>
    <n v="6"/>
    <n v="5"/>
    <n v="6"/>
    <n v="20"/>
    <n v="0"/>
    <n v="0"/>
    <n v="16"/>
    <n v="5"/>
    <n v="85"/>
    <n v="9"/>
    <n v="31"/>
    <n v="1"/>
    <n v="30"/>
    <n v="44"/>
    <n v="37"/>
    <n v="0"/>
    <n v="1496"/>
    <n v="782"/>
    <n v="0"/>
    <n v="45"/>
    <n v="141"/>
    <n v="40"/>
    <n v="7"/>
    <n v="9"/>
    <n v="34"/>
    <n v="103"/>
    <n v="276"/>
    <n v="2"/>
    <n v="63"/>
    <n v="19"/>
    <n v="3"/>
    <n v="45"/>
    <n v="97"/>
    <n v="0"/>
    <n v="84"/>
    <n v="0"/>
    <n v="20"/>
    <n v="24"/>
    <n v="40"/>
    <n v="10"/>
    <n v="18"/>
    <n v="20"/>
    <n v="5"/>
    <n v="10"/>
    <n v="5"/>
    <n v="20"/>
    <n v="32"/>
    <n v="91"/>
    <n v="1"/>
    <n v="1909"/>
    <n v="65"/>
    <n v="57"/>
    <n v="34"/>
    <n v="37"/>
    <n v="38"/>
    <n v="8"/>
    <n v="0"/>
    <n v="178"/>
    <n v="80"/>
    <n v="0"/>
    <n v="0"/>
    <n v="0"/>
    <n v="33"/>
    <n v="101"/>
    <n v="8"/>
    <n v="2"/>
    <n v="0"/>
    <n v="259"/>
    <n v="75"/>
    <n v="49"/>
    <n v="48"/>
    <n v="2"/>
    <n v="1"/>
    <n v="87"/>
    <n v="353"/>
    <n v="38"/>
    <n v="49"/>
    <n v="25"/>
    <n v="0"/>
    <n v="14"/>
    <n v="0"/>
    <n v="6"/>
    <n v="7"/>
    <n v="3"/>
    <n v="6"/>
    <n v="212"/>
    <n v="50"/>
    <n v="30"/>
    <n v="4"/>
    <n v="28"/>
    <n v="42"/>
    <n v="18"/>
    <n v="21"/>
    <n v="81"/>
    <n v="4"/>
    <n v="40"/>
    <n v="0"/>
    <n v="12"/>
    <n v="1"/>
    <n v="2"/>
    <n v="0"/>
    <n v="5"/>
    <n v="0"/>
    <n v="2"/>
    <n v="0"/>
    <n v="149"/>
    <n v="0"/>
    <n v="5"/>
    <n v="14"/>
    <n v="0"/>
    <n v="0"/>
    <n v="0"/>
    <n v="8262"/>
    <n v="127"/>
    <n v="43"/>
    <n v="2306"/>
    <n v="24"/>
    <n v="40"/>
    <n v="15"/>
    <n v="20"/>
    <n v="32"/>
    <n v="65"/>
    <n v="57"/>
    <n v="34"/>
    <n v="3646"/>
    <n v="334"/>
    <n v="1.4340595035213437"/>
    <n v="87"/>
    <n v="362.70474098104842"/>
    <n v="40.83070858058025"/>
    <n v="50.030490934850008"/>
    <n v="866"/>
    <n v="0"/>
    <n v="0"/>
    <n v="101"/>
    <n v="8"/>
    <n v="2"/>
    <m/>
    <m/>
    <m/>
    <m/>
    <m/>
    <m/>
    <m/>
    <m/>
    <m/>
    <m/>
    <m/>
    <m/>
    <m/>
    <m/>
    <m/>
    <m/>
    <m/>
    <m/>
    <m/>
    <m/>
    <m/>
    <m/>
    <m/>
    <m/>
    <m/>
    <m/>
    <m/>
    <m/>
    <m/>
    <m/>
    <m/>
    <m/>
    <m/>
    <m/>
    <m/>
    <m/>
    <m/>
    <m/>
    <m/>
    <m/>
    <m/>
    <m/>
    <m/>
    <m/>
    <m/>
  </r>
  <r>
    <x v="10"/>
    <n v="248"/>
    <n v="0"/>
    <n v="1"/>
    <n v="200"/>
    <n v="886"/>
    <n v="385"/>
    <n v="337"/>
    <n v="868"/>
    <n v="1"/>
    <n v="262"/>
    <n v="163"/>
    <n v="429"/>
    <n v="304"/>
    <n v="677"/>
    <n v="445"/>
    <n v="8"/>
    <n v="267"/>
    <n v="146"/>
    <n v="82"/>
    <n v="48"/>
    <n v="2569"/>
    <n v="965"/>
    <n v="39"/>
    <n v="43"/>
    <n v="440"/>
    <n v="24"/>
    <n v="102"/>
    <n v="132"/>
    <n v="208"/>
    <n v="368"/>
    <n v="82"/>
    <n v="12"/>
    <n v="111"/>
    <n v="21"/>
    <n v="12"/>
    <n v="229"/>
    <n v="328"/>
    <n v="149"/>
    <n v="188"/>
    <n v="0"/>
    <n v="45"/>
    <n v="41"/>
    <n v="148"/>
    <n v="11"/>
    <n v="18"/>
    <n v="19"/>
    <n v="52"/>
    <n v="67"/>
    <n v="202"/>
    <n v="138"/>
    <n v="312"/>
    <n v="404"/>
    <n v="17"/>
    <n v="151"/>
    <n v="1767"/>
    <n v="86"/>
    <n v="88"/>
    <n v="12"/>
    <n v="470"/>
    <n v="157"/>
    <n v="0"/>
    <n v="1056"/>
    <n v="380"/>
    <n v="0"/>
    <n v="0"/>
    <n v="0"/>
    <n v="0"/>
    <n v="551"/>
    <n v="336"/>
    <n v="4"/>
    <n v="16"/>
    <n v="2867"/>
    <n v="702"/>
    <n v="303"/>
    <n v="1552"/>
    <n v="841"/>
    <n v="1"/>
    <n v="1"/>
    <n v="8"/>
    <n v="12"/>
    <n v="28"/>
    <n v="52"/>
    <n v="11"/>
    <n v="30"/>
    <n v="15"/>
    <n v="24"/>
    <n v="19"/>
    <n v="8"/>
    <n v="25"/>
    <n v="375"/>
    <n v="84"/>
    <n v="42"/>
    <n v="55"/>
    <n v="30"/>
    <n v="41"/>
    <n v="42"/>
    <n v="2"/>
    <n v="142"/>
    <n v="7"/>
    <n v="93"/>
    <n v="0"/>
    <n v="86"/>
    <n v="60"/>
    <n v="89"/>
    <n v="0"/>
    <n v="68"/>
    <n v="0"/>
    <n v="7"/>
    <n v="0"/>
    <n v="127"/>
    <n v="0"/>
    <n v="22"/>
    <n v="37"/>
    <n v="0"/>
    <n v="1"/>
    <n v="0"/>
    <n v="26236"/>
    <n v="249"/>
    <n v="2677"/>
    <n v="3550.8"/>
    <n v="41"/>
    <n v="148"/>
    <n v="269"/>
    <n v="138"/>
    <n v="312"/>
    <n v="1767"/>
    <n v="86"/>
    <n v="88"/>
    <n v="8110.2"/>
    <n v="3569"/>
    <n v="1.9301275075457365"/>
    <n v="1"/>
    <n v="28.795873530817993"/>
    <n v="18.065804101243398"/>
    <n v="30.208194860392876"/>
    <n v="4259"/>
    <n v="1"/>
    <n v="0"/>
    <n v="551"/>
    <n v="336"/>
    <n v="4"/>
    <m/>
    <m/>
    <m/>
    <m/>
    <m/>
    <m/>
    <m/>
    <m/>
    <m/>
    <m/>
    <m/>
    <m/>
    <m/>
    <m/>
    <m/>
    <m/>
    <m/>
    <m/>
    <m/>
    <m/>
    <m/>
    <m/>
    <m/>
    <m/>
    <m/>
    <m/>
    <m/>
    <m/>
    <m/>
    <m/>
    <m/>
    <m/>
    <m/>
    <m/>
    <m/>
    <m/>
    <m/>
    <m/>
    <m/>
    <m/>
    <m/>
    <m/>
    <m/>
    <m/>
    <m/>
  </r>
  <r>
    <x v="11"/>
    <n v="0"/>
    <n v="26"/>
    <n v="0"/>
    <n v="0"/>
    <n v="0"/>
    <n v="0"/>
    <n v="0"/>
    <n v="0"/>
    <n v="0"/>
    <n v="7"/>
    <n v="6"/>
    <n v="0"/>
    <n v="0"/>
    <n v="0"/>
    <n v="164"/>
    <n v="0"/>
    <n v="0"/>
    <n v="18"/>
    <n v="0"/>
    <n v="5"/>
    <n v="2256"/>
    <n v="1357"/>
    <n v="97"/>
    <n v="87"/>
    <n v="385"/>
    <n v="23"/>
    <n v="1545"/>
    <n v="1395"/>
    <n v="175"/>
    <n v="391"/>
    <n v="454"/>
    <n v="42"/>
    <n v="879"/>
    <n v="6"/>
    <n v="8"/>
    <n v="171"/>
    <n v="148"/>
    <n v="98"/>
    <n v="42"/>
    <n v="0"/>
    <n v="0"/>
    <n v="15"/>
    <n v="283"/>
    <n v="0"/>
    <n v="0"/>
    <n v="0"/>
    <n v="0"/>
    <n v="0"/>
    <n v="0"/>
    <n v="0"/>
    <n v="96"/>
    <n v="32"/>
    <n v="0"/>
    <n v="346"/>
    <n v="133"/>
    <n v="7915"/>
    <n v="1"/>
    <n v="84"/>
    <n v="3195"/>
    <n v="2127"/>
    <n v="1488"/>
    <n v="304"/>
    <n v="24"/>
    <n v="0"/>
    <n v="0"/>
    <n v="0"/>
    <n v="6"/>
    <n v="87"/>
    <n v="47"/>
    <n v="4"/>
    <n v="104"/>
    <n v="1282"/>
    <n v="1002"/>
    <n v="39"/>
    <n v="33"/>
    <n v="72"/>
    <n v="9"/>
    <n v="0"/>
    <n v="7"/>
    <n v="5"/>
    <n v="1"/>
    <n v="87"/>
    <n v="0"/>
    <n v="37"/>
    <n v="0"/>
    <n v="0"/>
    <n v="0"/>
    <n v="0"/>
    <n v="0"/>
    <n v="17"/>
    <n v="6"/>
    <n v="1"/>
    <n v="2"/>
    <n v="0"/>
    <n v="1"/>
    <n v="23"/>
    <n v="2"/>
    <n v="63"/>
    <n v="0"/>
    <n v="125"/>
    <n v="0"/>
    <n v="0"/>
    <n v="4"/>
    <n v="14"/>
    <n v="0"/>
    <n v="0"/>
    <n v="0"/>
    <n v="0"/>
    <n v="0"/>
    <n v="0"/>
    <n v="0"/>
    <n v="2"/>
    <n v="0"/>
    <n v="0"/>
    <n v="0"/>
    <n v="0"/>
    <n v="28910"/>
    <n v="26"/>
    <n v="0"/>
    <n v="3629.1"/>
    <n v="15"/>
    <n v="283"/>
    <n v="0"/>
    <n v="0"/>
    <n v="96"/>
    <n v="133"/>
    <n v="7915"/>
    <n v="1"/>
    <n v="13839.9"/>
    <n v="2284"/>
    <n v="10.147157259306407"/>
    <n v="0"/>
    <n v="32.648244021342194"/>
    <n v="12.481158391533523"/>
    <n v="3.7234403278178818"/>
    <n v="491"/>
    <n v="0"/>
    <n v="0"/>
    <n v="87"/>
    <n v="47"/>
    <n v="4"/>
    <m/>
    <m/>
    <m/>
    <m/>
    <m/>
    <m/>
    <m/>
    <m/>
    <m/>
    <m/>
    <m/>
    <m/>
    <m/>
    <m/>
    <m/>
    <m/>
    <m/>
    <m/>
    <m/>
    <m/>
    <m/>
    <m/>
    <m/>
    <m/>
    <m/>
    <m/>
    <m/>
    <m/>
    <m/>
    <m/>
    <m/>
    <m/>
    <m/>
    <m/>
    <m/>
    <m/>
    <m/>
    <m/>
    <m/>
    <m/>
    <m/>
    <m/>
    <m/>
    <m/>
    <m/>
  </r>
  <r>
    <x v="12"/>
    <n v="0"/>
    <n v="0"/>
    <n v="0"/>
    <n v="29"/>
    <n v="0"/>
    <n v="58"/>
    <n v="0"/>
    <n v="0"/>
    <n v="0"/>
    <n v="0"/>
    <n v="7"/>
    <n v="105"/>
    <n v="243"/>
    <n v="85"/>
    <n v="41"/>
    <n v="50"/>
    <n v="0"/>
    <n v="26"/>
    <n v="40"/>
    <n v="121"/>
    <n v="220"/>
    <n v="241"/>
    <n v="56"/>
    <n v="16"/>
    <n v="53"/>
    <n v="13"/>
    <n v="211"/>
    <n v="233"/>
    <n v="266"/>
    <n v="345"/>
    <n v="42"/>
    <n v="38"/>
    <n v="223"/>
    <n v="9"/>
    <n v="0"/>
    <n v="265"/>
    <n v="143"/>
    <n v="164"/>
    <n v="324"/>
    <n v="0"/>
    <n v="28"/>
    <n v="141"/>
    <n v="110"/>
    <n v="0"/>
    <n v="0"/>
    <n v="0"/>
    <n v="39"/>
    <n v="3"/>
    <n v="6"/>
    <n v="98"/>
    <n v="11"/>
    <n v="58"/>
    <n v="0"/>
    <n v="0"/>
    <n v="40"/>
    <n v="817"/>
    <n v="4969"/>
    <n v="608"/>
    <n v="1475"/>
    <n v="629"/>
    <n v="738"/>
    <n v="2047"/>
    <n v="159"/>
    <n v="0"/>
    <n v="0"/>
    <n v="0"/>
    <n v="0"/>
    <n v="71"/>
    <n v="0"/>
    <n v="0"/>
    <n v="35"/>
    <n v="1068"/>
    <n v="157"/>
    <n v="14"/>
    <n v="69"/>
    <n v="83"/>
    <n v="0"/>
    <n v="0"/>
    <n v="0"/>
    <n v="0"/>
    <n v="0"/>
    <n v="0"/>
    <n v="0"/>
    <n v="0"/>
    <n v="0"/>
    <n v="0"/>
    <n v="0"/>
    <n v="0"/>
    <n v="0"/>
    <n v="0"/>
    <n v="6"/>
    <n v="1"/>
    <n v="0"/>
    <n v="0"/>
    <n v="3"/>
    <n v="0"/>
    <n v="0"/>
    <n v="11"/>
    <n v="0"/>
    <n v="197"/>
    <n v="0"/>
    <n v="0"/>
    <n v="0"/>
    <n v="0"/>
    <n v="0"/>
    <n v="0"/>
    <n v="0"/>
    <n v="0"/>
    <n v="0"/>
    <n v="0"/>
    <n v="0"/>
    <n v="0"/>
    <n v="0"/>
    <n v="0"/>
    <n v="0"/>
    <n v="0"/>
    <n v="17358"/>
    <n v="0"/>
    <n v="87"/>
    <n v="470.1"/>
    <n v="141"/>
    <n v="110"/>
    <n v="9"/>
    <n v="98"/>
    <n v="11"/>
    <n v="40"/>
    <n v="817"/>
    <n v="4969"/>
    <n v="8925.9"/>
    <n v="1225"/>
    <n v="0"/>
    <n v="0"/>
    <n v="0"/>
    <n v="0"/>
    <n v="0"/>
    <n v="384"/>
    <n v="0"/>
    <n v="0"/>
    <n v="71"/>
    <n v="0"/>
    <n v="0"/>
    <m/>
    <m/>
    <m/>
    <m/>
    <m/>
    <m/>
    <m/>
    <m/>
    <m/>
    <m/>
    <m/>
    <m/>
    <m/>
    <m/>
    <m/>
    <m/>
    <m/>
    <m/>
    <m/>
    <m/>
    <m/>
    <m/>
    <m/>
    <m/>
    <m/>
    <m/>
    <m/>
    <m/>
    <m/>
    <m/>
    <m/>
    <m/>
    <m/>
    <m/>
    <m/>
    <m/>
    <m/>
    <m/>
    <m/>
    <m/>
    <m/>
    <m/>
    <m/>
    <m/>
    <m/>
  </r>
  <r>
    <x v="2"/>
    <n v="0"/>
    <n v="0"/>
    <n v="0"/>
    <n v="0"/>
    <n v="0"/>
    <n v="0"/>
    <n v="0"/>
    <n v="0"/>
    <n v="0"/>
    <n v="0"/>
    <n v="0"/>
    <n v="0"/>
    <n v="0"/>
    <n v="0"/>
    <n v="17"/>
    <n v="0"/>
    <n v="62"/>
    <n v="52"/>
    <n v="0"/>
    <n v="18"/>
    <n v="1643"/>
    <n v="1268"/>
    <n v="20"/>
    <n v="45"/>
    <n v="41"/>
    <n v="33"/>
    <n v="35"/>
    <n v="42"/>
    <n v="162"/>
    <n v="513"/>
    <n v="165"/>
    <n v="47"/>
    <n v="399"/>
    <n v="0"/>
    <n v="0"/>
    <n v="55"/>
    <n v="0"/>
    <n v="58"/>
    <n v="86"/>
    <n v="0"/>
    <n v="0"/>
    <n v="0"/>
    <n v="78"/>
    <n v="0"/>
    <n v="0"/>
    <n v="0"/>
    <n v="0"/>
    <n v="0"/>
    <n v="0"/>
    <n v="0"/>
    <n v="0"/>
    <n v="0"/>
    <n v="0"/>
    <n v="0"/>
    <n v="0"/>
    <n v="28"/>
    <n v="25"/>
    <n v="74"/>
    <n v="40"/>
    <n v="26"/>
    <n v="0"/>
    <n v="156"/>
    <n v="0"/>
    <n v="0"/>
    <n v="0"/>
    <n v="0"/>
    <n v="0"/>
    <n v="0"/>
    <n v="0"/>
    <n v="0"/>
    <n v="0"/>
    <n v="302"/>
    <n v="74"/>
    <n v="0"/>
    <n v="0"/>
    <n v="0"/>
    <n v="0"/>
    <n v="0"/>
    <n v="0"/>
    <n v="0"/>
    <n v="0"/>
    <n v="0"/>
    <n v="0"/>
    <n v="0"/>
    <n v="0"/>
    <n v="0"/>
    <n v="0"/>
    <n v="0"/>
    <n v="0"/>
    <n v="0"/>
    <n v="0"/>
    <n v="0"/>
    <n v="0"/>
    <n v="0"/>
    <n v="0"/>
    <n v="0"/>
    <n v="0"/>
    <n v="0"/>
    <n v="0"/>
    <n v="0"/>
    <n v="0"/>
    <n v="8"/>
    <n v="0"/>
    <n v="0"/>
    <n v="0"/>
    <n v="0"/>
    <n v="0"/>
    <n v="0"/>
    <n v="0"/>
    <n v="0"/>
    <n v="0"/>
    <n v="0"/>
    <n v="0"/>
    <n v="0"/>
    <n v="0"/>
    <n v="0"/>
    <n v="5572"/>
    <n v="0"/>
    <n v="0"/>
    <n v="2934.1"/>
    <n v="0"/>
    <n v="78"/>
    <n v="0"/>
    <n v="0"/>
    <n v="0"/>
    <n v="0"/>
    <n v="28"/>
    <n v="25"/>
    <n v="2122.9"/>
    <n v="376"/>
    <n v="0"/>
    <n v="0"/>
    <n v="0"/>
    <n v="0"/>
    <n v="0"/>
    <n v="8"/>
    <n v="0"/>
    <n v="0"/>
    <n v="0"/>
    <n v="0"/>
    <n v="0"/>
    <m/>
    <m/>
    <m/>
    <m/>
    <m/>
    <m/>
    <m/>
    <m/>
    <m/>
    <m/>
    <m/>
    <m/>
    <m/>
    <m/>
    <m/>
    <m/>
    <m/>
    <m/>
    <m/>
    <m/>
    <m/>
    <m/>
    <m/>
    <m/>
    <m/>
    <m/>
    <m/>
    <m/>
    <m/>
    <m/>
    <m/>
    <m/>
    <m/>
    <m/>
    <m/>
    <m/>
    <m/>
    <m/>
    <m/>
    <m/>
    <m/>
    <m/>
    <m/>
    <m/>
    <m/>
  </r>
  <r>
    <x v="2"/>
    <n v="0"/>
    <n v="0"/>
    <n v="6"/>
    <n v="244"/>
    <n v="28"/>
    <n v="459"/>
    <n v="44"/>
    <n v="405"/>
    <n v="1"/>
    <n v="72"/>
    <n v="27"/>
    <n v="26"/>
    <n v="76"/>
    <n v="162"/>
    <n v="192"/>
    <n v="3"/>
    <n v="92"/>
    <n v="106"/>
    <n v="37"/>
    <n v="62"/>
    <n v="2677"/>
    <n v="1474"/>
    <n v="69"/>
    <n v="75"/>
    <n v="442"/>
    <n v="43"/>
    <n v="1274"/>
    <n v="596"/>
    <n v="803"/>
    <n v="1012"/>
    <n v="380"/>
    <n v="56"/>
    <n v="654"/>
    <n v="22"/>
    <n v="3"/>
    <n v="234"/>
    <n v="318"/>
    <n v="70"/>
    <n v="416"/>
    <n v="0"/>
    <n v="82"/>
    <n v="38"/>
    <n v="67"/>
    <n v="8"/>
    <n v="10"/>
    <n v="8"/>
    <n v="170"/>
    <n v="89"/>
    <n v="77"/>
    <n v="11"/>
    <n v="206"/>
    <n v="111"/>
    <n v="1"/>
    <n v="89"/>
    <n v="102"/>
    <n v="1062"/>
    <n v="162"/>
    <n v="127"/>
    <n v="3774"/>
    <n v="974"/>
    <n v="118"/>
    <n v="1590"/>
    <n v="243"/>
    <n v="0"/>
    <n v="0"/>
    <n v="0"/>
    <n v="7"/>
    <n v="214"/>
    <n v="156"/>
    <n v="31"/>
    <n v="146"/>
    <n v="1140"/>
    <n v="404"/>
    <n v="280"/>
    <n v="279"/>
    <n v="240"/>
    <n v="3"/>
    <n v="8"/>
    <n v="100"/>
    <n v="5"/>
    <n v="13"/>
    <n v="76"/>
    <n v="0"/>
    <n v="9"/>
    <n v="0"/>
    <n v="0"/>
    <n v="0"/>
    <n v="16"/>
    <n v="10"/>
    <n v="72"/>
    <n v="57"/>
    <n v="29"/>
    <n v="83"/>
    <n v="4"/>
    <n v="31"/>
    <n v="32"/>
    <n v="8"/>
    <n v="213"/>
    <n v="1"/>
    <n v="71"/>
    <n v="0"/>
    <n v="8"/>
    <n v="66"/>
    <n v="80"/>
    <n v="0"/>
    <n v="12"/>
    <n v="0"/>
    <n v="0"/>
    <n v="0"/>
    <n v="76"/>
    <n v="0"/>
    <n v="2"/>
    <n v="42"/>
    <n v="0"/>
    <n v="0"/>
    <n v="0"/>
    <n v="25803"/>
    <n v="6"/>
    <n v="1181"/>
    <n v="4181.1000000000004"/>
    <n v="38"/>
    <n v="67"/>
    <n v="166"/>
    <n v="11"/>
    <n v="206"/>
    <n v="102"/>
    <n v="1062"/>
    <n v="162"/>
    <n v="14749.9"/>
    <n v="1544"/>
    <n v="3.2790382522637209"/>
    <n v="8"/>
    <n v="106.2387620592454"/>
    <n v="6.8197412303730189"/>
    <n v="13.662458458117863"/>
    <n v="1788"/>
    <n v="0"/>
    <n v="0"/>
    <n v="214"/>
    <n v="156"/>
    <n v="31"/>
    <m/>
    <m/>
    <m/>
    <m/>
    <m/>
    <m/>
    <m/>
    <m/>
    <m/>
    <m/>
    <m/>
    <m/>
    <m/>
    <m/>
    <m/>
    <m/>
    <m/>
    <m/>
    <m/>
    <m/>
    <m/>
    <m/>
    <m/>
    <m/>
    <m/>
    <m/>
    <m/>
    <m/>
    <m/>
    <m/>
    <m/>
    <m/>
    <m/>
    <m/>
    <m/>
    <m/>
    <m/>
    <m/>
    <m/>
    <m/>
    <m/>
    <m/>
    <m/>
    <m/>
    <m/>
  </r>
  <r>
    <x v="2"/>
    <n v="496"/>
    <n v="0"/>
    <n v="3"/>
    <n v="37"/>
    <n v="10"/>
    <n v="132"/>
    <n v="22"/>
    <n v="52"/>
    <n v="1"/>
    <n v="85"/>
    <n v="6"/>
    <n v="11"/>
    <n v="65"/>
    <n v="84"/>
    <n v="154"/>
    <n v="10"/>
    <n v="102"/>
    <n v="81"/>
    <n v="22"/>
    <n v="26"/>
    <n v="1310"/>
    <n v="766"/>
    <n v="50"/>
    <n v="77"/>
    <n v="287"/>
    <n v="35"/>
    <n v="863"/>
    <n v="525"/>
    <n v="662"/>
    <n v="1182"/>
    <n v="264"/>
    <n v="144"/>
    <n v="479"/>
    <n v="25"/>
    <n v="7"/>
    <n v="135"/>
    <n v="172"/>
    <n v="276"/>
    <n v="291"/>
    <n v="0"/>
    <n v="9"/>
    <n v="56"/>
    <n v="220"/>
    <n v="24"/>
    <n v="5"/>
    <n v="3"/>
    <n v="184"/>
    <n v="135"/>
    <n v="48"/>
    <n v="9"/>
    <n v="212"/>
    <n v="227"/>
    <n v="1"/>
    <n v="99"/>
    <n v="150"/>
    <n v="1274"/>
    <n v="244"/>
    <n v="149"/>
    <n v="1442"/>
    <n v="866"/>
    <n v="127"/>
    <n v="913"/>
    <n v="173"/>
    <n v="0"/>
    <n v="0"/>
    <n v="0"/>
    <n v="16"/>
    <n v="145"/>
    <n v="161"/>
    <n v="2"/>
    <n v="53"/>
    <n v="500"/>
    <n v="404"/>
    <n v="116"/>
    <n v="90"/>
    <n v="132"/>
    <n v="2"/>
    <n v="5"/>
    <n v="73"/>
    <n v="5"/>
    <n v="28"/>
    <n v="72"/>
    <n v="13"/>
    <n v="81"/>
    <n v="7"/>
    <n v="0"/>
    <n v="0"/>
    <n v="18"/>
    <n v="82"/>
    <n v="39"/>
    <n v="75"/>
    <n v="49"/>
    <n v="100"/>
    <n v="19"/>
    <n v="36"/>
    <n v="29"/>
    <n v="19"/>
    <n v="245"/>
    <n v="1"/>
    <n v="132"/>
    <n v="0"/>
    <n v="162"/>
    <n v="44"/>
    <n v="38"/>
    <n v="22"/>
    <n v="5"/>
    <n v="0"/>
    <n v="7"/>
    <n v="14"/>
    <n v="17"/>
    <n v="154"/>
    <n v="0"/>
    <n v="5"/>
    <n v="56"/>
    <n v="75"/>
    <n v="0"/>
    <n v="18867"/>
    <n v="499"/>
    <n v="254"/>
    <n v="2100.5"/>
    <n v="56"/>
    <n v="220"/>
    <n v="183"/>
    <n v="9"/>
    <n v="212"/>
    <n v="150"/>
    <n v="1274"/>
    <n v="244"/>
    <n v="10386.5"/>
    <n v="904"/>
    <n v="4.5113442703734883"/>
    <n v="5"/>
    <n v="129.14885853320857"/>
    <n v="21.37767107335717"/>
    <n v="33.96212612306077"/>
    <n v="1574"/>
    <n v="299"/>
    <n v="0"/>
    <n v="145"/>
    <n v="161"/>
    <n v="2"/>
    <m/>
    <m/>
    <m/>
    <m/>
    <m/>
    <m/>
    <m/>
    <m/>
    <m/>
    <m/>
    <m/>
    <m/>
    <m/>
    <m/>
    <m/>
    <m/>
    <m/>
    <m/>
    <m/>
    <m/>
    <m/>
    <m/>
    <m/>
    <m/>
    <m/>
    <m/>
    <m/>
    <m/>
    <m/>
    <m/>
    <m/>
    <m/>
    <m/>
    <m/>
    <m/>
    <m/>
    <m/>
    <m/>
    <m/>
    <m/>
    <m/>
    <m/>
    <m/>
    <m/>
    <m/>
  </r>
  <r>
    <x v="2"/>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m/>
    <m/>
    <m/>
    <m/>
    <m/>
    <m/>
    <m/>
    <m/>
    <m/>
    <m/>
    <m/>
    <m/>
    <m/>
    <m/>
    <m/>
    <m/>
    <m/>
    <m/>
    <m/>
    <m/>
    <m/>
    <m/>
    <m/>
    <m/>
  </r>
  <r>
    <x v="2"/>
    <n v="50"/>
    <n v="0"/>
    <n v="0"/>
    <n v="19"/>
    <n v="9"/>
    <n v="19"/>
    <n v="8"/>
    <n v="27"/>
    <n v="0"/>
    <n v="1"/>
    <n v="0"/>
    <n v="9"/>
    <n v="3"/>
    <n v="4"/>
    <n v="64"/>
    <n v="18"/>
    <n v="67"/>
    <n v="76"/>
    <n v="118"/>
    <n v="2"/>
    <n v="864"/>
    <n v="987"/>
    <n v="39"/>
    <n v="7"/>
    <n v="179"/>
    <n v="34"/>
    <n v="67"/>
    <n v="58"/>
    <n v="275"/>
    <n v="483"/>
    <n v="70"/>
    <n v="55"/>
    <n v="262"/>
    <n v="23"/>
    <n v="20"/>
    <n v="217"/>
    <n v="350"/>
    <n v="18"/>
    <n v="147"/>
    <n v="0"/>
    <n v="15"/>
    <n v="26"/>
    <n v="79"/>
    <n v="8"/>
    <n v="0"/>
    <n v="0"/>
    <n v="14"/>
    <n v="29"/>
    <n v="27"/>
    <n v="17"/>
    <n v="88"/>
    <n v="28"/>
    <n v="0"/>
    <n v="9"/>
    <n v="20"/>
    <n v="125"/>
    <n v="99"/>
    <n v="87"/>
    <n v="328"/>
    <n v="165"/>
    <n v="0"/>
    <n v="1826"/>
    <n v="322"/>
    <n v="0"/>
    <n v="0"/>
    <n v="0"/>
    <n v="26"/>
    <n v="67"/>
    <n v="382"/>
    <n v="7"/>
    <n v="70"/>
    <n v="2647"/>
    <n v="1074"/>
    <n v="121"/>
    <n v="681"/>
    <n v="353"/>
    <n v="3"/>
    <n v="4"/>
    <n v="1"/>
    <n v="5"/>
    <n v="4"/>
    <n v="163"/>
    <n v="28"/>
    <n v="145"/>
    <n v="25"/>
    <n v="13"/>
    <n v="12"/>
    <n v="24"/>
    <n v="32"/>
    <n v="1108"/>
    <n v="430"/>
    <n v="229"/>
    <n v="126"/>
    <n v="8"/>
    <n v="159"/>
    <n v="23"/>
    <n v="7"/>
    <n v="353"/>
    <n v="3"/>
    <n v="372"/>
    <n v="0"/>
    <n v="89"/>
    <n v="78"/>
    <n v="26"/>
    <n v="22"/>
    <n v="3"/>
    <n v="0"/>
    <n v="3"/>
    <n v="14"/>
    <n v="19"/>
    <n v="0"/>
    <n v="0"/>
    <n v="7"/>
    <n v="4"/>
    <n v="75"/>
    <n v="0"/>
    <n v="17006"/>
    <n v="50"/>
    <n v="82"/>
    <n v="1874.8"/>
    <n v="26"/>
    <n v="79"/>
    <n v="56"/>
    <n v="17"/>
    <n v="88"/>
    <n v="20"/>
    <n v="125"/>
    <n v="99"/>
    <n v="5540.2"/>
    <n v="3721"/>
    <n v="7.4956162864710594"/>
    <n v="4"/>
    <n v="101.51338873228696"/>
    <n v="34.318053156009753"/>
    <n v="14.67294182523224"/>
    <n v="4517"/>
    <n v="93"/>
    <n v="0"/>
    <n v="67"/>
    <n v="382"/>
    <n v="7"/>
    <m/>
    <m/>
    <m/>
    <m/>
    <m/>
    <m/>
    <m/>
    <m/>
    <m/>
    <m/>
    <m/>
    <m/>
    <m/>
    <m/>
    <m/>
    <m/>
    <m/>
    <m/>
    <m/>
    <m/>
    <m/>
    <m/>
    <m/>
    <m/>
    <m/>
    <m/>
    <m/>
    <m/>
    <m/>
    <m/>
    <m/>
    <m/>
    <m/>
    <m/>
    <m/>
    <m/>
    <m/>
    <m/>
    <m/>
    <m/>
    <m/>
    <m/>
    <m/>
    <m/>
    <m/>
  </r>
  <r>
    <x v="2"/>
    <n v="0"/>
    <n v="0"/>
    <n v="0"/>
    <n v="0"/>
    <n v="7"/>
    <n v="1"/>
    <n v="7"/>
    <n v="24"/>
    <n v="0"/>
    <n v="0"/>
    <n v="0"/>
    <n v="20"/>
    <n v="0"/>
    <n v="7"/>
    <n v="7"/>
    <n v="8"/>
    <n v="121"/>
    <n v="66"/>
    <n v="219"/>
    <n v="15"/>
    <n v="466"/>
    <n v="518"/>
    <n v="46"/>
    <n v="28"/>
    <n v="696"/>
    <n v="6"/>
    <n v="37"/>
    <n v="46"/>
    <n v="180"/>
    <n v="357"/>
    <n v="129"/>
    <n v="44"/>
    <n v="113"/>
    <n v="66"/>
    <n v="104"/>
    <n v="204"/>
    <n v="1209"/>
    <n v="362"/>
    <n v="425"/>
    <n v="0"/>
    <n v="22"/>
    <n v="5"/>
    <n v="1"/>
    <n v="1"/>
    <n v="1"/>
    <n v="3"/>
    <n v="0"/>
    <n v="0"/>
    <n v="0"/>
    <n v="9"/>
    <n v="22"/>
    <n v="19"/>
    <n v="0"/>
    <n v="21"/>
    <n v="39"/>
    <n v="72"/>
    <n v="22"/>
    <n v="15"/>
    <n v="42"/>
    <n v="22"/>
    <n v="0"/>
    <n v="869"/>
    <n v="1027"/>
    <n v="0"/>
    <n v="0"/>
    <n v="0"/>
    <n v="5"/>
    <n v="77"/>
    <n v="131"/>
    <n v="0"/>
    <n v="0"/>
    <n v="299"/>
    <n v="199"/>
    <n v="169"/>
    <n v="344"/>
    <n v="40"/>
    <n v="2"/>
    <n v="0"/>
    <n v="3"/>
    <n v="0"/>
    <n v="0"/>
    <n v="28"/>
    <n v="7"/>
    <n v="33"/>
    <n v="28"/>
    <n v="13"/>
    <n v="7"/>
    <n v="8"/>
    <n v="7"/>
    <n v="1104"/>
    <n v="702"/>
    <n v="87"/>
    <n v="79"/>
    <n v="1"/>
    <n v="139"/>
    <n v="16"/>
    <n v="18"/>
    <n v="231"/>
    <n v="10"/>
    <n v="265"/>
    <n v="0"/>
    <n v="36"/>
    <n v="149"/>
    <n v="55"/>
    <n v="0"/>
    <n v="3"/>
    <n v="0"/>
    <n v="31"/>
    <n v="0"/>
    <n v="27"/>
    <n v="0"/>
    <n v="0"/>
    <n v="24"/>
    <n v="0"/>
    <n v="0"/>
    <n v="0"/>
    <n v="12127"/>
    <n v="0"/>
    <n v="39"/>
    <n v="988.2"/>
    <n v="5"/>
    <n v="1"/>
    <n v="0"/>
    <n v="9"/>
    <n v="22"/>
    <n v="39"/>
    <n v="72"/>
    <n v="22"/>
    <n v="6557.8"/>
    <n v="498"/>
    <n v="3.0231402583003102"/>
    <n v="0"/>
    <n v="25.875460883899791"/>
    <n v="6.6723845113677367"/>
    <n v="2.4290143464321647"/>
    <n v="3628"/>
    <n v="0"/>
    <n v="0"/>
    <n v="77"/>
    <n v="131"/>
    <n v="0"/>
    <m/>
    <m/>
    <m/>
    <m/>
    <m/>
    <m/>
    <m/>
    <m/>
    <m/>
    <m/>
    <m/>
    <m/>
    <m/>
    <m/>
    <m/>
    <m/>
    <m/>
    <m/>
    <m/>
    <m/>
    <m/>
    <m/>
    <m/>
    <m/>
    <m/>
    <m/>
    <m/>
    <m/>
    <m/>
    <m/>
    <m/>
    <m/>
    <m/>
    <m/>
    <m/>
    <m/>
    <m/>
    <m/>
    <m/>
    <m/>
    <m/>
    <m/>
    <m/>
    <m/>
    <m/>
  </r>
  <r>
    <x v="13"/>
    <n v="0"/>
    <n v="0"/>
    <n v="0"/>
    <n v="0"/>
    <n v="0"/>
    <n v="0"/>
    <n v="0"/>
    <n v="0"/>
    <n v="0"/>
    <n v="0"/>
    <n v="0"/>
    <n v="0"/>
    <n v="0"/>
    <n v="0"/>
    <n v="0"/>
    <n v="0"/>
    <n v="0"/>
    <n v="0"/>
    <n v="0"/>
    <n v="0"/>
    <n v="0"/>
    <n v="0"/>
    <n v="0"/>
    <n v="0"/>
    <n v="0"/>
    <n v="0"/>
    <n v="0"/>
    <n v="0"/>
    <n v="0"/>
    <n v="0"/>
    <n v="0"/>
    <n v="0"/>
    <n v="0"/>
    <n v="0"/>
    <n v="0"/>
    <n v="0"/>
    <n v="0"/>
    <n v="0"/>
    <n v="0"/>
    <n v="0"/>
    <n v="0"/>
    <n v="0"/>
    <n v="2"/>
    <n v="0"/>
    <n v="0"/>
    <n v="0"/>
    <n v="0"/>
    <n v="7"/>
    <n v="0"/>
    <n v="10"/>
    <n v="3"/>
    <n v="0"/>
    <n v="0"/>
    <n v="0"/>
    <n v="0"/>
    <n v="380"/>
    <n v="0"/>
    <n v="0"/>
    <n v="0"/>
    <n v="0"/>
    <n v="0"/>
    <n v="0"/>
    <n v="0"/>
    <n v="5"/>
    <n v="0"/>
    <n v="0"/>
    <n v="486"/>
    <n v="0"/>
    <n v="724"/>
    <n v="47"/>
    <n v="0"/>
    <n v="0"/>
    <n v="0"/>
    <n v="0"/>
    <n v="37"/>
    <n v="0"/>
    <n v="0"/>
    <n v="0"/>
    <n v="0"/>
    <n v="0"/>
    <n v="0"/>
    <n v="0"/>
    <n v="0"/>
    <n v="0"/>
    <n v="0"/>
    <n v="0"/>
    <n v="0"/>
    <n v="0"/>
    <n v="0"/>
    <n v="0"/>
    <n v="0"/>
    <n v="0"/>
    <n v="0"/>
    <n v="0"/>
    <n v="0"/>
    <n v="0"/>
    <n v="0"/>
    <n v="0"/>
    <n v="0"/>
    <n v="0"/>
    <n v="0"/>
    <n v="0"/>
    <n v="0"/>
    <n v="0"/>
    <n v="0"/>
    <n v="0"/>
    <n v="0"/>
    <n v="0"/>
    <n v="1"/>
    <n v="0"/>
    <n v="0"/>
    <n v="0"/>
    <n v="0"/>
    <n v="0"/>
    <n v="105"/>
    <n v="0"/>
    <n v="1807"/>
    <n v="0"/>
    <n v="0"/>
    <n v="0"/>
    <n v="0"/>
    <n v="2"/>
    <n v="7"/>
    <n v="10"/>
    <n v="3"/>
    <n v="0"/>
    <n v="380"/>
    <n v="0"/>
    <n v="486"/>
    <n v="0"/>
    <n v="0"/>
    <n v="0"/>
    <n v="0"/>
    <n v="0"/>
    <n v="0"/>
    <n v="37"/>
    <n v="106"/>
    <n v="5"/>
    <n v="0"/>
    <n v="724"/>
    <n v="47"/>
    <m/>
    <m/>
    <m/>
    <m/>
    <m/>
    <m/>
    <m/>
    <m/>
    <m/>
    <m/>
    <m/>
    <m/>
    <m/>
    <m/>
    <m/>
    <m/>
    <m/>
    <m/>
    <m/>
    <m/>
    <m/>
    <m/>
    <m/>
    <m/>
    <m/>
    <m/>
    <m/>
    <m/>
    <m/>
    <m/>
    <m/>
    <m/>
    <m/>
    <m/>
    <m/>
    <m/>
    <m/>
    <m/>
    <m/>
    <m/>
    <m/>
    <m/>
    <m/>
    <m/>
    <m/>
  </r>
  <r>
    <x v="14"/>
    <n v="0"/>
    <n v="0"/>
    <n v="0"/>
    <n v="0"/>
    <n v="0"/>
    <n v="0"/>
    <n v="0"/>
    <n v="0"/>
    <n v="0"/>
    <n v="0"/>
    <n v="0"/>
    <n v="0"/>
    <n v="0"/>
    <n v="0"/>
    <n v="0"/>
    <n v="0"/>
    <n v="0"/>
    <n v="0"/>
    <n v="0"/>
    <n v="0"/>
    <n v="0"/>
    <n v="0"/>
    <n v="0"/>
    <n v="0"/>
    <n v="0"/>
    <n v="0"/>
    <n v="0"/>
    <n v="0"/>
    <n v="0"/>
    <n v="0"/>
    <n v="0"/>
    <n v="0"/>
    <n v="0"/>
    <n v="0"/>
    <n v="0"/>
    <n v="0"/>
    <n v="0"/>
    <n v="0"/>
    <n v="0"/>
    <n v="0"/>
    <n v="0"/>
    <n v="0"/>
    <n v="0"/>
    <n v="0"/>
    <n v="0"/>
    <n v="0"/>
    <n v="0"/>
    <n v="0"/>
    <n v="0"/>
    <n v="24"/>
    <n v="0"/>
    <n v="0"/>
    <n v="0"/>
    <n v="0"/>
    <n v="0"/>
    <n v="0"/>
    <n v="0"/>
    <n v="0"/>
    <n v="0"/>
    <n v="0"/>
    <n v="0"/>
    <n v="0"/>
    <n v="0"/>
    <n v="0"/>
    <n v="9"/>
    <n v="0"/>
    <n v="0"/>
    <n v="32416"/>
    <n v="0"/>
    <n v="9701"/>
    <n v="0"/>
    <n v="0"/>
    <n v="0"/>
    <n v="0"/>
    <n v="0"/>
    <n v="0"/>
    <n v="0"/>
    <n v="0"/>
    <n v="0"/>
    <n v="0"/>
    <n v="0"/>
    <n v="0"/>
    <n v="0"/>
    <n v="0"/>
    <n v="0"/>
    <n v="0"/>
    <n v="0"/>
    <n v="0"/>
    <n v="0"/>
    <n v="0"/>
    <n v="0"/>
    <n v="0"/>
    <n v="0"/>
    <n v="0"/>
    <n v="0"/>
    <n v="0"/>
    <n v="0"/>
    <n v="0"/>
    <n v="0"/>
    <n v="0"/>
    <n v="0"/>
    <n v="0"/>
    <n v="0"/>
    <n v="0"/>
    <n v="0"/>
    <n v="0"/>
    <n v="0"/>
    <n v="0"/>
    <n v="0"/>
    <n v="0"/>
    <n v="0"/>
    <n v="0"/>
    <n v="0"/>
    <n v="0"/>
    <n v="0"/>
    <n v="0"/>
    <n v="42150"/>
    <n v="0"/>
    <n v="0"/>
    <n v="0"/>
    <n v="0"/>
    <n v="0"/>
    <n v="0"/>
    <n v="24"/>
    <n v="0"/>
    <n v="0"/>
    <n v="0"/>
    <n v="0"/>
    <n v="0"/>
    <n v="0"/>
    <n v="0"/>
    <n v="0"/>
    <n v="0"/>
    <n v="0"/>
    <n v="0"/>
    <n v="0"/>
    <n v="0"/>
    <n v="0"/>
    <n v="32422.651295915239"/>
    <n v="0"/>
    <n v="9703.3487040847594"/>
    <m/>
    <m/>
    <m/>
    <m/>
    <m/>
    <m/>
    <m/>
    <m/>
    <m/>
    <m/>
    <m/>
    <m/>
    <m/>
    <m/>
    <m/>
    <m/>
    <m/>
    <m/>
    <m/>
    <m/>
    <m/>
    <m/>
    <m/>
    <m/>
    <m/>
    <m/>
    <m/>
    <m/>
    <m/>
    <m/>
    <m/>
    <m/>
    <m/>
    <m/>
    <m/>
    <m/>
    <m/>
    <m/>
    <m/>
    <m/>
    <m/>
    <m/>
    <m/>
    <m/>
    <m/>
  </r>
  <r>
    <x v="2"/>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2"/>
    <n v="0"/>
    <n v="0"/>
    <n v="0"/>
    <n v="0"/>
    <n v="0"/>
    <n v="0"/>
    <n v="0"/>
    <n v="0"/>
    <n v="0"/>
    <n v="0"/>
    <n v="0"/>
    <n v="0"/>
    <n v="0"/>
    <n v="0"/>
    <n v="0"/>
    <n v="0"/>
    <n v="0"/>
    <n v="0"/>
    <n v="0"/>
    <n v="0"/>
    <n v="0"/>
    <n v="0"/>
    <n v="0"/>
    <n v="0"/>
    <n v="0"/>
    <n v="0"/>
    <n v="0"/>
    <n v="0"/>
    <n v="0"/>
    <n v="0"/>
    <n v="0"/>
    <n v="0"/>
    <n v="0"/>
    <n v="0"/>
    <n v="0"/>
    <n v="0"/>
    <n v="0"/>
    <n v="0"/>
    <n v="0"/>
    <n v="0"/>
    <n v="0"/>
    <n v="0"/>
    <n v="0"/>
    <n v="0"/>
    <n v="0"/>
    <n v="0"/>
    <n v="0"/>
    <n v="0"/>
    <n v="0"/>
    <n v="0"/>
    <n v="2"/>
    <n v="0"/>
    <n v="0"/>
    <n v="0"/>
    <n v="0"/>
    <n v="0"/>
    <n v="0"/>
    <n v="0"/>
    <n v="0"/>
    <n v="0"/>
    <n v="0"/>
    <n v="0"/>
    <n v="2"/>
    <n v="0"/>
    <n v="0"/>
    <n v="0"/>
    <n v="0"/>
    <n v="0"/>
    <n v="0"/>
    <n v="0"/>
    <n v="0"/>
    <n v="0"/>
    <n v="0"/>
    <n v="0"/>
    <n v="0"/>
    <m/>
    <m/>
    <m/>
    <m/>
    <m/>
    <m/>
    <m/>
    <m/>
    <m/>
    <m/>
    <m/>
    <m/>
    <m/>
    <m/>
    <m/>
    <m/>
    <m/>
    <m/>
    <m/>
    <m/>
    <m/>
    <m/>
    <m/>
    <m/>
    <m/>
    <m/>
    <m/>
    <m/>
    <m/>
    <m/>
    <m/>
    <m/>
    <m/>
    <m/>
    <m/>
    <m/>
    <m/>
    <m/>
    <m/>
    <m/>
    <m/>
    <m/>
    <m/>
    <m/>
    <m/>
  </r>
  <r>
    <x v="2"/>
    <n v="0"/>
    <n v="0"/>
    <n v="0"/>
    <n v="0"/>
    <n v="0"/>
    <n v="0"/>
    <n v="0"/>
    <n v="0"/>
    <n v="0"/>
    <n v="0"/>
    <n v="0"/>
    <n v="0"/>
    <n v="0"/>
    <n v="0"/>
    <n v="0"/>
    <n v="0"/>
    <n v="0"/>
    <n v="0"/>
    <n v="0"/>
    <n v="0"/>
    <n v="0"/>
    <n v="0"/>
    <n v="0"/>
    <n v="0"/>
    <n v="0"/>
    <n v="0"/>
    <n v="0"/>
    <n v="0"/>
    <n v="0"/>
    <n v="0"/>
    <n v="0"/>
    <n v="0"/>
    <n v="0"/>
    <n v="0"/>
    <n v="0"/>
    <n v="0"/>
    <n v="0"/>
    <n v="0"/>
    <n v="0"/>
    <n v="0"/>
    <n v="0"/>
    <n v="0"/>
    <n v="0"/>
    <n v="0"/>
    <n v="0"/>
    <n v="0"/>
    <n v="0"/>
    <n v="0"/>
    <n v="0"/>
    <n v="0"/>
    <n v="0"/>
    <n v="0"/>
    <n v="0"/>
    <n v="0"/>
    <n v="0"/>
    <n v="153"/>
    <n v="0"/>
    <n v="0"/>
    <n v="0"/>
    <n v="0"/>
    <n v="0"/>
    <n v="0"/>
    <n v="0"/>
    <n v="0"/>
    <n v="0"/>
    <n v="0"/>
    <n v="1019"/>
    <n v="0"/>
    <n v="3116"/>
    <n v="3"/>
    <n v="0"/>
    <n v="0"/>
    <n v="0"/>
    <n v="0"/>
    <n v="0"/>
    <n v="0"/>
    <n v="0"/>
    <n v="0"/>
    <n v="0"/>
    <n v="0"/>
    <n v="0"/>
    <n v="0"/>
    <n v="0"/>
    <n v="0"/>
    <n v="0"/>
    <n v="0"/>
    <n v="0"/>
    <n v="0"/>
    <n v="0"/>
    <n v="0"/>
    <n v="0"/>
    <n v="0"/>
    <n v="0"/>
    <n v="0"/>
    <n v="0"/>
    <n v="0"/>
    <n v="0"/>
    <n v="0"/>
    <n v="0"/>
    <n v="0"/>
    <n v="259"/>
    <n v="0"/>
    <n v="0"/>
    <n v="0"/>
    <n v="0"/>
    <n v="0"/>
    <n v="0"/>
    <n v="0"/>
    <n v="0"/>
    <n v="0"/>
    <n v="0"/>
    <n v="0"/>
    <n v="0"/>
    <n v="0"/>
    <n v="0"/>
    <n v="1"/>
    <n v="4551"/>
    <n v="0"/>
    <n v="0"/>
    <n v="0"/>
    <n v="0"/>
    <n v="0"/>
    <n v="0"/>
    <n v="0"/>
    <n v="0"/>
    <n v="0"/>
    <n v="153"/>
    <n v="0"/>
    <n v="1019"/>
    <n v="0"/>
    <n v="0"/>
    <n v="0"/>
    <n v="0"/>
    <n v="0"/>
    <n v="0"/>
    <n v="0"/>
    <n v="260"/>
    <n v="0"/>
    <n v="0"/>
    <n v="3116"/>
    <n v="3"/>
    <m/>
    <m/>
    <m/>
    <m/>
    <m/>
    <m/>
    <m/>
    <m/>
    <m/>
    <m/>
    <m/>
    <m/>
    <m/>
    <m/>
    <m/>
    <m/>
    <m/>
    <m/>
    <m/>
    <m/>
    <m/>
    <m/>
    <m/>
    <m/>
    <m/>
    <m/>
    <m/>
    <m/>
    <m/>
    <m/>
    <m/>
    <m/>
    <m/>
    <m/>
    <m/>
    <m/>
    <m/>
    <m/>
    <m/>
    <m/>
    <m/>
    <m/>
    <m/>
    <m/>
    <m/>
  </r>
  <r>
    <x v="15"/>
    <n v="3447"/>
    <n v="173"/>
    <n v="311"/>
    <n v="156"/>
    <n v="251"/>
    <n v="107"/>
    <n v="185"/>
    <n v="284"/>
    <n v="1"/>
    <n v="84"/>
    <n v="24"/>
    <n v="252"/>
    <n v="122"/>
    <n v="140"/>
    <n v="117"/>
    <n v="13"/>
    <n v="46"/>
    <n v="24"/>
    <n v="9"/>
    <n v="22"/>
    <n v="384"/>
    <n v="84"/>
    <n v="16"/>
    <n v="18"/>
    <n v="77"/>
    <n v="10"/>
    <n v="36"/>
    <n v="55"/>
    <n v="77"/>
    <n v="113"/>
    <n v="42"/>
    <n v="17"/>
    <n v="78"/>
    <n v="15"/>
    <n v="5"/>
    <n v="28"/>
    <n v="36"/>
    <n v="30"/>
    <n v="53"/>
    <n v="14"/>
    <n v="281"/>
    <n v="91"/>
    <n v="533"/>
    <n v="55"/>
    <n v="33"/>
    <n v="23"/>
    <n v="118"/>
    <n v="126"/>
    <n v="76"/>
    <n v="112"/>
    <n v="6931"/>
    <n v="131"/>
    <n v="10"/>
    <n v="88"/>
    <n v="168"/>
    <n v="0"/>
    <n v="0"/>
    <n v="43"/>
    <n v="94"/>
    <n v="103"/>
    <n v="137"/>
    <n v="65"/>
    <n v="25"/>
    <n v="0"/>
    <n v="5"/>
    <n v="0"/>
    <n v="46"/>
    <n v="7434"/>
    <n v="490"/>
    <n v="121"/>
    <n v="135"/>
    <n v="1537"/>
    <n v="2241"/>
    <n v="720"/>
    <n v="7007"/>
    <n v="2369"/>
    <n v="121"/>
    <n v="1407"/>
    <n v="6850"/>
    <n v="951"/>
    <n v="2459"/>
    <n v="763"/>
    <n v="281"/>
    <n v="0"/>
    <n v="305"/>
    <n v="92"/>
    <n v="57"/>
    <n v="164"/>
    <n v="185"/>
    <n v="751"/>
    <n v="707"/>
    <n v="361"/>
    <n v="321"/>
    <n v="223"/>
    <n v="510"/>
    <n v="240"/>
    <n v="41"/>
    <n v="993"/>
    <n v="118"/>
    <n v="275"/>
    <n v="22"/>
    <n v="1006"/>
    <n v="331"/>
    <n v="328"/>
    <n v="395"/>
    <n v="76"/>
    <n v="0"/>
    <n v="237"/>
    <n v="208"/>
    <n v="172"/>
    <n v="91"/>
    <n v="15"/>
    <n v="157"/>
    <n v="95"/>
    <n v="1328"/>
    <n v="123"/>
    <n v="61063"/>
    <n v="3931"/>
    <n v="984"/>
    <n v="475"/>
    <n v="91"/>
    <n v="533"/>
    <n v="202"/>
    <n v="112"/>
    <n v="6931"/>
    <n v="168"/>
    <n v="0"/>
    <n v="0"/>
    <n v="2953"/>
    <n v="3778"/>
    <n v="121"/>
    <n v="1407"/>
    <n v="6850"/>
    <n v="951"/>
    <n v="2459"/>
    <n v="19200"/>
    <n v="1867"/>
    <n v="0"/>
    <n v="7437.6951643973553"/>
    <n v="490"/>
    <n v="122.30483560264437"/>
    <m/>
    <m/>
    <m/>
    <m/>
    <m/>
    <m/>
    <m/>
    <m/>
    <m/>
    <m/>
    <m/>
    <m/>
    <m/>
    <m/>
    <m/>
    <m/>
    <m/>
    <m/>
    <m/>
    <m/>
    <m/>
    <m/>
    <m/>
    <m/>
    <m/>
    <m/>
    <m/>
    <m/>
    <m/>
    <m/>
    <m/>
    <m/>
    <m/>
    <m/>
    <m/>
    <m/>
    <m/>
    <m/>
    <m/>
    <m/>
    <m/>
    <m/>
    <m/>
    <m/>
    <m/>
  </r>
  <r>
    <x v="16"/>
    <n v="453"/>
    <n v="211"/>
    <n v="120"/>
    <n v="214"/>
    <n v="206"/>
    <n v="109"/>
    <n v="218"/>
    <n v="571"/>
    <n v="5"/>
    <n v="11"/>
    <n v="11"/>
    <n v="115"/>
    <n v="155"/>
    <n v="38"/>
    <n v="63"/>
    <n v="5"/>
    <n v="19"/>
    <n v="20"/>
    <n v="3"/>
    <n v="7"/>
    <n v="233"/>
    <n v="149"/>
    <n v="100"/>
    <n v="8"/>
    <n v="107"/>
    <n v="3"/>
    <n v="21"/>
    <n v="32"/>
    <n v="61"/>
    <n v="54"/>
    <n v="17"/>
    <n v="7"/>
    <n v="54"/>
    <n v="7"/>
    <n v="63"/>
    <n v="22"/>
    <n v="25"/>
    <n v="26"/>
    <n v="36"/>
    <n v="0"/>
    <n v="118"/>
    <n v="184"/>
    <n v="304"/>
    <n v="79"/>
    <n v="29"/>
    <n v="5"/>
    <n v="151"/>
    <n v="524"/>
    <n v="122"/>
    <n v="351"/>
    <n v="413"/>
    <n v="81"/>
    <n v="27"/>
    <n v="122"/>
    <n v="400"/>
    <n v="520"/>
    <n v="259"/>
    <n v="134"/>
    <n v="271"/>
    <n v="145"/>
    <n v="26"/>
    <n v="173"/>
    <n v="76"/>
    <n v="3"/>
    <n v="3"/>
    <n v="0"/>
    <n v="180"/>
    <n v="201"/>
    <n v="10864"/>
    <n v="99"/>
    <n v="217"/>
    <n v="242"/>
    <n v="324"/>
    <n v="318"/>
    <n v="719"/>
    <n v="1071"/>
    <n v="382"/>
    <n v="143"/>
    <n v="49"/>
    <n v="0"/>
    <n v="10"/>
    <n v="84"/>
    <n v="3"/>
    <n v="45"/>
    <n v="230"/>
    <n v="77"/>
    <n v="100"/>
    <n v="164"/>
    <n v="481"/>
    <n v="562"/>
    <n v="86"/>
    <n v="124"/>
    <n v="219"/>
    <n v="62"/>
    <n v="103"/>
    <n v="22"/>
    <n v="9"/>
    <n v="146"/>
    <n v="80"/>
    <n v="64"/>
    <n v="94"/>
    <n v="738"/>
    <n v="100"/>
    <n v="121"/>
    <n v="799"/>
    <n v="78"/>
    <n v="0"/>
    <n v="48"/>
    <n v="901"/>
    <n v="182"/>
    <n v="12"/>
    <n v="4"/>
    <n v="100"/>
    <n v="290"/>
    <n v="1526"/>
    <n v="152"/>
    <n v="30724"/>
    <n v="784"/>
    <n v="1323"/>
    <n v="384.1"/>
    <n v="184"/>
    <n v="304"/>
    <n v="646"/>
    <n v="351"/>
    <n v="413"/>
    <n v="400"/>
    <n v="520"/>
    <n v="259"/>
    <n v="2921.9"/>
    <n v="566"/>
    <n v="383.39519126131859"/>
    <n v="143"/>
    <n v="80.193810296226985"/>
    <n v="9.0987061518650947"/>
    <n v="13.312292290589316"/>
    <n v="6894"/>
    <n v="2975"/>
    <n v="3"/>
    <n v="203.21709863841338"/>
    <n v="10864"/>
    <n v="99.782901361586624"/>
    <m/>
    <m/>
    <m/>
    <m/>
    <m/>
    <m/>
    <m/>
    <m/>
    <m/>
    <m/>
    <m/>
    <m/>
    <m/>
    <m/>
    <m/>
    <m/>
    <m/>
    <m/>
    <m/>
    <m/>
    <m/>
    <m/>
    <m/>
    <m/>
    <m/>
    <m/>
    <m/>
    <m/>
    <m/>
    <m/>
    <m/>
    <m/>
    <m/>
    <m/>
    <m/>
    <m/>
    <m/>
    <m/>
    <m/>
    <m/>
    <m/>
    <m/>
    <m/>
    <m/>
    <m/>
  </r>
  <r>
    <x v="17"/>
    <n v="148"/>
    <n v="5"/>
    <n v="22"/>
    <n v="89"/>
    <n v="347"/>
    <n v="66"/>
    <n v="178"/>
    <n v="366"/>
    <n v="1"/>
    <n v="3"/>
    <n v="15"/>
    <n v="37"/>
    <n v="116"/>
    <n v="22"/>
    <n v="14"/>
    <n v="1"/>
    <n v="7"/>
    <n v="11"/>
    <n v="2"/>
    <n v="1"/>
    <n v="139"/>
    <n v="55"/>
    <n v="16"/>
    <n v="7"/>
    <n v="50"/>
    <n v="6"/>
    <n v="13"/>
    <n v="18"/>
    <n v="25"/>
    <n v="26"/>
    <n v="9"/>
    <n v="7"/>
    <n v="22"/>
    <n v="4"/>
    <n v="6"/>
    <n v="11"/>
    <n v="6"/>
    <n v="5"/>
    <n v="12"/>
    <n v="0"/>
    <n v="70"/>
    <n v="198"/>
    <n v="310"/>
    <n v="60"/>
    <n v="19"/>
    <n v="5"/>
    <n v="22"/>
    <n v="373"/>
    <n v="78"/>
    <n v="581"/>
    <n v="846"/>
    <n v="77"/>
    <n v="20"/>
    <n v="116"/>
    <n v="79"/>
    <n v="328"/>
    <n v="102"/>
    <n v="52"/>
    <n v="114"/>
    <n v="65"/>
    <n v="16"/>
    <n v="47"/>
    <n v="16"/>
    <n v="0"/>
    <n v="0"/>
    <n v="0"/>
    <n v="24"/>
    <n v="21"/>
    <n v="436"/>
    <n v="6684"/>
    <n v="27"/>
    <n v="42"/>
    <n v="6"/>
    <n v="25"/>
    <n v="150"/>
    <n v="274"/>
    <n v="46"/>
    <n v="63"/>
    <n v="52"/>
    <n v="0"/>
    <n v="1"/>
    <n v="194"/>
    <n v="2"/>
    <n v="14"/>
    <n v="63"/>
    <n v="34"/>
    <n v="26"/>
    <n v="10"/>
    <n v="41"/>
    <n v="138"/>
    <n v="16"/>
    <n v="57"/>
    <n v="85"/>
    <n v="19"/>
    <n v="27"/>
    <n v="2"/>
    <n v="1"/>
    <n v="34"/>
    <n v="40"/>
    <n v="7"/>
    <n v="19"/>
    <n v="424"/>
    <n v="56"/>
    <n v="69"/>
    <n v="216"/>
    <n v="47"/>
    <n v="0"/>
    <n v="132"/>
    <n v="534"/>
    <n v="256"/>
    <n v="426"/>
    <n v="7"/>
    <n v="187"/>
    <n v="124"/>
    <n v="330"/>
    <n v="61"/>
    <n v="17031"/>
    <n v="175"/>
    <n v="1047"/>
    <n v="198.2"/>
    <n v="198"/>
    <n v="310"/>
    <n v="451"/>
    <n v="581"/>
    <n v="846"/>
    <n v="79"/>
    <n v="328"/>
    <n v="102"/>
    <n v="1217.8"/>
    <n v="48"/>
    <n v="46.434059503521347"/>
    <n v="63"/>
    <n v="61.704740981048396"/>
    <n v="2.8307085805802519"/>
    <n v="2.0304909348500093"/>
    <n v="2639"/>
    <n v="1494"/>
    <n v="0"/>
    <n v="21"/>
    <n v="436"/>
    <n v="6684"/>
    <m/>
    <m/>
    <m/>
    <m/>
    <m/>
    <m/>
    <m/>
    <m/>
    <m/>
    <m/>
    <m/>
    <m/>
    <m/>
    <m/>
    <m/>
    <m/>
    <m/>
    <m/>
    <m/>
    <m/>
    <m/>
    <m/>
    <m/>
    <m/>
    <m/>
    <m/>
    <m/>
    <m/>
    <m/>
    <m/>
    <m/>
    <m/>
    <m/>
    <m/>
    <m/>
    <m/>
    <m/>
    <m/>
    <m/>
    <m/>
    <m/>
    <m/>
    <m/>
    <m/>
    <m/>
  </r>
  <r>
    <x v="2"/>
    <n v="332"/>
    <n v="1"/>
    <n v="22"/>
    <n v="129"/>
    <n v="23"/>
    <n v="75"/>
    <n v="8"/>
    <n v="143"/>
    <n v="1"/>
    <n v="9"/>
    <n v="3"/>
    <n v="24"/>
    <n v="13"/>
    <n v="8"/>
    <n v="7"/>
    <n v="6"/>
    <n v="10"/>
    <n v="1"/>
    <n v="3"/>
    <n v="1"/>
    <n v="23"/>
    <n v="12"/>
    <n v="4"/>
    <n v="4"/>
    <n v="22"/>
    <n v="2"/>
    <n v="14"/>
    <n v="22"/>
    <n v="24"/>
    <n v="35"/>
    <n v="4"/>
    <n v="1"/>
    <n v="14"/>
    <n v="7"/>
    <n v="1"/>
    <n v="9"/>
    <n v="9"/>
    <n v="12"/>
    <n v="15"/>
    <n v="0"/>
    <n v="0"/>
    <n v="10"/>
    <n v="17"/>
    <n v="12"/>
    <n v="12"/>
    <n v="3"/>
    <n v="22"/>
    <n v="21"/>
    <n v="26"/>
    <n v="17"/>
    <n v="43"/>
    <n v="32"/>
    <n v="6"/>
    <n v="10"/>
    <n v="28"/>
    <n v="81"/>
    <n v="17"/>
    <n v="20"/>
    <n v="39"/>
    <n v="26"/>
    <n v="6"/>
    <n v="16"/>
    <n v="11"/>
    <n v="0"/>
    <n v="0"/>
    <n v="0"/>
    <n v="5"/>
    <n v="63"/>
    <n v="72"/>
    <n v="30"/>
    <n v="1361"/>
    <n v="120"/>
    <n v="47"/>
    <n v="52"/>
    <n v="209"/>
    <n v="154"/>
    <n v="1"/>
    <n v="2"/>
    <n v="7"/>
    <n v="2"/>
    <n v="8"/>
    <n v="20"/>
    <n v="22"/>
    <n v="20"/>
    <n v="35"/>
    <n v="6"/>
    <n v="58"/>
    <n v="4"/>
    <n v="10"/>
    <n v="48"/>
    <n v="14"/>
    <n v="5"/>
    <n v="4"/>
    <n v="1"/>
    <n v="14"/>
    <n v="4"/>
    <n v="2"/>
    <n v="77"/>
    <n v="23"/>
    <n v="25"/>
    <n v="10"/>
    <n v="145"/>
    <n v="1"/>
    <n v="42"/>
    <n v="214"/>
    <n v="7"/>
    <n v="0"/>
    <n v="44"/>
    <n v="170"/>
    <n v="106"/>
    <n v="367"/>
    <n v="0"/>
    <n v="1"/>
    <n v="86"/>
    <n v="299"/>
    <n v="30"/>
    <n v="5575"/>
    <n v="355"/>
    <n v="379"/>
    <n v="36.4"/>
    <n v="10"/>
    <n v="17"/>
    <n v="47"/>
    <n v="17"/>
    <n v="43"/>
    <n v="28"/>
    <n v="81"/>
    <n v="17"/>
    <n v="1863.6"/>
    <n v="167"/>
    <n v="1.6200850050304909"/>
    <n v="2"/>
    <n v="20.863915687211993"/>
    <n v="6.0438694008289309"/>
    <n v="9.4721299069285845"/>
    <n v="1347"/>
    <n v="962"/>
    <n v="0"/>
    <n v="63"/>
    <n v="72"/>
    <n v="30"/>
    <m/>
    <m/>
    <m/>
    <m/>
    <m/>
    <m/>
    <m/>
    <m/>
    <m/>
    <m/>
    <m/>
    <m/>
    <m/>
    <m/>
    <m/>
    <m/>
    <m/>
    <m/>
    <m/>
    <m/>
    <m/>
    <m/>
    <m/>
    <m/>
    <m/>
    <m/>
    <m/>
    <m/>
    <m/>
    <m/>
    <m/>
    <m/>
    <m/>
    <m/>
    <m/>
    <m/>
    <m/>
    <m/>
    <m/>
    <m/>
    <m/>
    <m/>
    <m/>
    <m/>
    <m/>
  </r>
  <r>
    <x v="18"/>
    <n v="242"/>
    <n v="4"/>
    <n v="0"/>
    <n v="11"/>
    <n v="15"/>
    <n v="21"/>
    <n v="13"/>
    <n v="37"/>
    <n v="1"/>
    <n v="19"/>
    <n v="14"/>
    <n v="21"/>
    <n v="34"/>
    <n v="43"/>
    <n v="24"/>
    <n v="0"/>
    <n v="13"/>
    <n v="10"/>
    <n v="7"/>
    <n v="5"/>
    <n v="77"/>
    <n v="41"/>
    <n v="11"/>
    <n v="4"/>
    <n v="55"/>
    <n v="6"/>
    <n v="25"/>
    <n v="13"/>
    <n v="20"/>
    <n v="30"/>
    <n v="3"/>
    <n v="1"/>
    <n v="26"/>
    <n v="6"/>
    <n v="1"/>
    <n v="3"/>
    <n v="10"/>
    <n v="9"/>
    <n v="7"/>
    <n v="0"/>
    <n v="36"/>
    <n v="21"/>
    <n v="45"/>
    <n v="7"/>
    <n v="6"/>
    <n v="1"/>
    <n v="15"/>
    <n v="6"/>
    <n v="13"/>
    <n v="8"/>
    <n v="41"/>
    <n v="28"/>
    <n v="2"/>
    <n v="0"/>
    <n v="19"/>
    <n v="11"/>
    <n v="14"/>
    <n v="12"/>
    <n v="37"/>
    <n v="6"/>
    <n v="0"/>
    <n v="28"/>
    <n v="6"/>
    <n v="0"/>
    <n v="0"/>
    <n v="0"/>
    <n v="5"/>
    <n v="256"/>
    <n v="1488"/>
    <n v="69"/>
    <n v="356"/>
    <n v="23262"/>
    <n v="14"/>
    <n v="198"/>
    <n v="270"/>
    <n v="172"/>
    <n v="8"/>
    <n v="31"/>
    <n v="49"/>
    <n v="43"/>
    <n v="86"/>
    <n v="135"/>
    <n v="35"/>
    <n v="55"/>
    <n v="314"/>
    <n v="415"/>
    <n v="384"/>
    <n v="1379"/>
    <n v="3018"/>
    <n v="811"/>
    <n v="176"/>
    <n v="97"/>
    <n v="129"/>
    <n v="6"/>
    <n v="73"/>
    <n v="26"/>
    <n v="18"/>
    <n v="475"/>
    <n v="6"/>
    <n v="165"/>
    <n v="65"/>
    <n v="135"/>
    <n v="495"/>
    <n v="98"/>
    <n v="821"/>
    <n v="48"/>
    <n v="0"/>
    <n v="134"/>
    <n v="1092"/>
    <n v="199"/>
    <n v="262"/>
    <n v="2"/>
    <n v="187"/>
    <n v="408"/>
    <n v="1664"/>
    <n v="150"/>
    <n v="41028"/>
    <n v="246"/>
    <n v="98"/>
    <n v="122.2"/>
    <n v="21"/>
    <n v="45"/>
    <n v="19"/>
    <n v="8"/>
    <n v="41"/>
    <n v="19"/>
    <n v="11"/>
    <n v="14"/>
    <n v="960.8"/>
    <n v="23276"/>
    <n v="9.7052337638338493"/>
    <n v="31"/>
    <n v="87.125768139832985"/>
    <n v="54.120640852279564"/>
    <n v="90.048357244053605"/>
    <n v="10421"/>
    <n v="3641"/>
    <n v="0"/>
    <n v="256"/>
    <n v="1488"/>
    <n v="69"/>
    <m/>
    <m/>
    <m/>
    <m/>
    <m/>
    <m/>
    <m/>
    <m/>
    <m/>
    <m/>
    <m/>
    <m/>
    <m/>
    <m/>
    <m/>
    <m/>
    <m/>
    <m/>
    <m/>
    <m/>
    <m/>
    <m/>
    <m/>
    <m/>
    <m/>
    <m/>
    <m/>
    <m/>
    <m/>
    <m/>
    <m/>
    <m/>
    <m/>
    <m/>
    <m/>
    <m/>
    <m/>
    <m/>
    <m/>
    <m/>
    <m/>
    <m/>
    <m/>
    <m/>
    <m/>
  </r>
  <r>
    <x v="18"/>
    <n v="0"/>
    <n v="0"/>
    <n v="8"/>
    <n v="13"/>
    <n v="13"/>
    <n v="14"/>
    <n v="8"/>
    <n v="38"/>
    <n v="2"/>
    <n v="23"/>
    <n v="8"/>
    <n v="8"/>
    <n v="25"/>
    <n v="24"/>
    <n v="14"/>
    <n v="7"/>
    <n v="14"/>
    <n v="7"/>
    <n v="7"/>
    <n v="12"/>
    <n v="14"/>
    <n v="16"/>
    <n v="5"/>
    <n v="12"/>
    <n v="14"/>
    <n v="12"/>
    <n v="20"/>
    <n v="9"/>
    <n v="15"/>
    <n v="20"/>
    <n v="12"/>
    <n v="8"/>
    <n v="14"/>
    <n v="7"/>
    <n v="3"/>
    <n v="9"/>
    <n v="14"/>
    <n v="12"/>
    <n v="7"/>
    <n v="4"/>
    <n v="15"/>
    <n v="13"/>
    <n v="21"/>
    <n v="8"/>
    <n v="10"/>
    <n v="8"/>
    <n v="14"/>
    <n v="17"/>
    <n v="9"/>
    <n v="16"/>
    <n v="22"/>
    <n v="13"/>
    <n v="9"/>
    <n v="0"/>
    <n v="24"/>
    <n v="45"/>
    <n v="36"/>
    <n v="27"/>
    <n v="33"/>
    <n v="20"/>
    <n v="16"/>
    <n v="14"/>
    <n v="9"/>
    <n v="0"/>
    <n v="9"/>
    <n v="0"/>
    <n v="5"/>
    <n v="318"/>
    <n v="995"/>
    <n v="135"/>
    <n v="193"/>
    <n v="62"/>
    <n v="6118"/>
    <n v="56"/>
    <n v="61"/>
    <n v="147"/>
    <n v="20"/>
    <n v="30"/>
    <n v="41"/>
    <n v="97"/>
    <n v="40"/>
    <n v="33"/>
    <n v="14"/>
    <n v="43"/>
    <n v="0"/>
    <n v="0"/>
    <n v="0"/>
    <n v="15"/>
    <n v="34"/>
    <n v="287"/>
    <n v="97"/>
    <n v="97"/>
    <n v="58"/>
    <n v="22"/>
    <n v="61"/>
    <n v="28"/>
    <n v="21"/>
    <n v="210"/>
    <n v="20"/>
    <n v="89"/>
    <n v="657"/>
    <n v="12"/>
    <n v="26"/>
    <n v="23"/>
    <n v="142"/>
    <n v="3"/>
    <n v="0"/>
    <n v="28"/>
    <n v="128"/>
    <n v="8"/>
    <n v="2"/>
    <n v="2"/>
    <n v="16"/>
    <n v="13"/>
    <n v="2096"/>
    <n v="0"/>
    <n v="13483"/>
    <n v="8"/>
    <n v="88"/>
    <n v="38.4"/>
    <n v="13"/>
    <n v="21"/>
    <n v="26"/>
    <n v="16"/>
    <n v="22"/>
    <n v="24"/>
    <n v="45"/>
    <n v="36"/>
    <n v="731.6"/>
    <n v="6180"/>
    <n v="21.333182760815557"/>
    <n v="30"/>
    <n v="70.807418727505791"/>
    <n v="105.6943192117822"/>
    <n v="43.165079299896455"/>
    <n v="1610"/>
    <n v="2896"/>
    <n v="0"/>
    <n v="324.65129591524015"/>
    <n v="995"/>
    <n v="137.34870408475987"/>
    <m/>
    <m/>
    <m/>
    <m/>
    <m/>
    <m/>
    <m/>
    <m/>
    <m/>
    <m/>
    <m/>
    <m/>
    <m/>
    <m/>
    <m/>
    <m/>
    <m/>
    <m/>
    <m/>
    <m/>
    <m/>
    <m/>
    <m/>
    <m/>
    <m/>
    <m/>
    <m/>
    <m/>
    <m/>
    <m/>
    <m/>
    <m/>
    <m/>
    <m/>
    <m/>
    <m/>
    <m/>
    <m/>
    <m/>
    <m/>
    <m/>
    <m/>
    <m/>
    <m/>
    <m/>
  </r>
  <r>
    <x v="19"/>
    <n v="209"/>
    <n v="4"/>
    <n v="0"/>
    <n v="15"/>
    <n v="6"/>
    <n v="5"/>
    <n v="11"/>
    <n v="24"/>
    <n v="1"/>
    <n v="9"/>
    <n v="0"/>
    <n v="24"/>
    <n v="5"/>
    <n v="5"/>
    <n v="19"/>
    <n v="0"/>
    <n v="1"/>
    <n v="4"/>
    <n v="4"/>
    <n v="4"/>
    <n v="41"/>
    <n v="26"/>
    <n v="10"/>
    <n v="0"/>
    <n v="31"/>
    <n v="5"/>
    <n v="0"/>
    <n v="0"/>
    <n v="0"/>
    <n v="0"/>
    <n v="8"/>
    <n v="0"/>
    <n v="0"/>
    <n v="0"/>
    <n v="0"/>
    <n v="0"/>
    <n v="0"/>
    <n v="0"/>
    <n v="0"/>
    <n v="0"/>
    <n v="17"/>
    <n v="8"/>
    <n v="67"/>
    <n v="5"/>
    <n v="3"/>
    <n v="1"/>
    <n v="17"/>
    <n v="9"/>
    <n v="18"/>
    <n v="4"/>
    <n v="4"/>
    <n v="12"/>
    <n v="0"/>
    <n v="5"/>
    <n v="20"/>
    <n v="26"/>
    <n v="16"/>
    <n v="10"/>
    <n v="5"/>
    <n v="5"/>
    <n v="5"/>
    <n v="4"/>
    <n v="6"/>
    <n v="0"/>
    <n v="0"/>
    <n v="0"/>
    <n v="0"/>
    <n v="16"/>
    <n v="5"/>
    <n v="1"/>
    <n v="5"/>
    <n v="49"/>
    <n v="24"/>
    <n v="261"/>
    <n v="515"/>
    <n v="115"/>
    <n v="0"/>
    <n v="93"/>
    <n v="785"/>
    <n v="0"/>
    <n v="23"/>
    <n v="21"/>
    <n v="0"/>
    <n v="0"/>
    <n v="15"/>
    <n v="51"/>
    <n v="15"/>
    <n v="16"/>
    <n v="21"/>
    <n v="7"/>
    <n v="19"/>
    <n v="22"/>
    <n v="9"/>
    <n v="5"/>
    <n v="14"/>
    <n v="27"/>
    <n v="18"/>
    <n v="34"/>
    <n v="1"/>
    <n v="24"/>
    <n v="2"/>
    <n v="48"/>
    <n v="30"/>
    <n v="24"/>
    <n v="112"/>
    <n v="0"/>
    <n v="0"/>
    <n v="7"/>
    <n v="20"/>
    <n v="11"/>
    <n v="0"/>
    <n v="4"/>
    <n v="66"/>
    <n v="43"/>
    <n v="269"/>
    <n v="68"/>
    <n v="3653"/>
    <n v="213"/>
    <n v="62"/>
    <n v="70.5"/>
    <n v="8"/>
    <n v="67"/>
    <n v="27"/>
    <n v="4"/>
    <n v="4"/>
    <n v="20"/>
    <n v="26"/>
    <n v="16"/>
    <n v="225.5"/>
    <n v="73"/>
    <n v="0"/>
    <n v="93"/>
    <n v="785"/>
    <n v="0"/>
    <n v="23"/>
    <n v="1512"/>
    <n v="402"/>
    <n v="0"/>
    <n v="16"/>
    <n v="5"/>
    <n v="1"/>
    <m/>
    <m/>
    <m/>
    <m/>
    <m/>
    <m/>
    <m/>
    <m/>
    <m/>
    <m/>
    <m/>
    <m/>
    <m/>
    <m/>
    <m/>
    <m/>
    <m/>
    <m/>
    <m/>
    <m/>
    <m/>
    <m/>
    <m/>
    <m/>
    <m/>
    <m/>
    <m/>
    <m/>
    <m/>
    <m/>
    <m/>
    <m/>
    <m/>
    <m/>
    <m/>
    <m/>
    <m/>
    <m/>
    <m/>
    <m/>
    <m/>
    <m/>
    <m/>
    <m/>
    <m/>
  </r>
  <r>
    <x v="19"/>
    <n v="3"/>
    <n v="0"/>
    <n v="0"/>
    <n v="142"/>
    <n v="203"/>
    <n v="188"/>
    <n v="219"/>
    <n v="311"/>
    <n v="1"/>
    <n v="143"/>
    <n v="55"/>
    <n v="497"/>
    <n v="567"/>
    <n v="184"/>
    <n v="156"/>
    <n v="19"/>
    <n v="42"/>
    <n v="44"/>
    <n v="44"/>
    <n v="22"/>
    <n v="515"/>
    <n v="475"/>
    <n v="47"/>
    <n v="0"/>
    <n v="489"/>
    <n v="3"/>
    <n v="44"/>
    <n v="124"/>
    <n v="134"/>
    <n v="336"/>
    <n v="20"/>
    <n v="8"/>
    <n v="84"/>
    <n v="64"/>
    <n v="26"/>
    <n v="132"/>
    <n v="85"/>
    <n v="54"/>
    <n v="169"/>
    <n v="0"/>
    <n v="76"/>
    <n v="147"/>
    <n v="331"/>
    <n v="44"/>
    <n v="17"/>
    <n v="11"/>
    <n v="107"/>
    <n v="40"/>
    <n v="28"/>
    <n v="43"/>
    <n v="161"/>
    <n v="114"/>
    <n v="0"/>
    <n v="37"/>
    <n v="273"/>
    <n v="206"/>
    <n v="41"/>
    <n v="59"/>
    <n v="246"/>
    <n v="143"/>
    <n v="49"/>
    <n v="151"/>
    <n v="44"/>
    <n v="0"/>
    <n v="0"/>
    <n v="0"/>
    <n v="10"/>
    <n v="267"/>
    <n v="132"/>
    <n v="11"/>
    <n v="153"/>
    <n v="1684"/>
    <n v="512"/>
    <n v="109"/>
    <n v="10976"/>
    <n v="525"/>
    <n v="0"/>
    <n v="69"/>
    <n v="1088"/>
    <n v="108"/>
    <n v="270"/>
    <n v="299"/>
    <n v="48"/>
    <n v="303"/>
    <n v="27"/>
    <n v="17"/>
    <n v="44"/>
    <n v="588"/>
    <n v="1163"/>
    <n v="197"/>
    <n v="386"/>
    <n v="460"/>
    <n v="990"/>
    <n v="27"/>
    <n v="317"/>
    <n v="44"/>
    <n v="20"/>
    <n v="1741"/>
    <n v="23"/>
    <n v="455"/>
    <n v="0"/>
    <n v="194"/>
    <n v="391"/>
    <n v="96"/>
    <n v="0"/>
    <n v="65"/>
    <n v="0"/>
    <n v="71"/>
    <n v="0"/>
    <n v="703"/>
    <n v="0"/>
    <n v="4"/>
    <n v="223"/>
    <n v="0"/>
    <n v="0"/>
    <n v="0"/>
    <n v="32827"/>
    <n v="3"/>
    <n v="1064"/>
    <n v="992.1"/>
    <n v="147"/>
    <n v="331"/>
    <n v="68"/>
    <n v="43"/>
    <n v="161"/>
    <n v="273"/>
    <n v="206"/>
    <n v="41"/>
    <n v="4850.8999999999996"/>
    <n v="2196"/>
    <n v="9.3942878262119383"/>
    <n v="69"/>
    <n v="1298.0383226612616"/>
    <n v="169.26462142255832"/>
    <n v="292.30276808996808"/>
    <n v="20203"/>
    <n v="0"/>
    <n v="0"/>
    <n v="267"/>
    <n v="132"/>
    <n v="11"/>
    <m/>
    <m/>
    <m/>
    <m/>
    <m/>
    <m/>
    <m/>
    <m/>
    <m/>
    <m/>
    <m/>
    <m/>
    <m/>
    <m/>
    <m/>
    <m/>
    <m/>
    <m/>
    <m/>
    <m/>
    <m/>
    <m/>
    <m/>
    <m/>
    <m/>
    <m/>
    <m/>
    <m/>
    <m/>
    <m/>
    <m/>
    <m/>
    <m/>
    <m/>
    <m/>
    <m/>
    <m/>
    <m/>
    <m/>
    <m/>
    <m/>
    <m/>
    <m/>
    <m/>
    <m/>
  </r>
  <r>
    <x v="19"/>
    <n v="1"/>
    <n v="0"/>
    <n v="0"/>
    <n v="0"/>
    <n v="0"/>
    <n v="0"/>
    <n v="0"/>
    <n v="15"/>
    <n v="0"/>
    <n v="0"/>
    <n v="0"/>
    <n v="3"/>
    <n v="0"/>
    <n v="0"/>
    <n v="0"/>
    <n v="0"/>
    <n v="0"/>
    <n v="0"/>
    <n v="0"/>
    <n v="0"/>
    <n v="5"/>
    <n v="0"/>
    <n v="0"/>
    <n v="0"/>
    <n v="0"/>
    <n v="0"/>
    <n v="0"/>
    <n v="0"/>
    <n v="0"/>
    <n v="5"/>
    <n v="0"/>
    <n v="0"/>
    <n v="0"/>
    <n v="0"/>
    <n v="0"/>
    <n v="0"/>
    <n v="4"/>
    <n v="0"/>
    <n v="0"/>
    <n v="0"/>
    <n v="0"/>
    <n v="0"/>
    <n v="0"/>
    <n v="0"/>
    <n v="0"/>
    <n v="0"/>
    <n v="0"/>
    <n v="0"/>
    <n v="0"/>
    <n v="0"/>
    <n v="0"/>
    <n v="4"/>
    <n v="0"/>
    <n v="0"/>
    <n v="0"/>
    <n v="0"/>
    <n v="0"/>
    <n v="0"/>
    <n v="0"/>
    <n v="0"/>
    <n v="0"/>
    <n v="0"/>
    <n v="0"/>
    <n v="0"/>
    <n v="0"/>
    <n v="0"/>
    <n v="0"/>
    <n v="7"/>
    <n v="0"/>
    <n v="0"/>
    <n v="0"/>
    <n v="4"/>
    <n v="0"/>
    <n v="0"/>
    <n v="4"/>
    <n v="0"/>
    <n v="0"/>
    <n v="0"/>
    <n v="4"/>
    <n v="0"/>
    <n v="0"/>
    <n v="0"/>
    <n v="0"/>
    <n v="0"/>
    <n v="0"/>
    <n v="2"/>
    <n v="0"/>
    <n v="0"/>
    <n v="5"/>
    <n v="0"/>
    <n v="5"/>
    <n v="0"/>
    <n v="0"/>
    <n v="0"/>
    <n v="0"/>
    <n v="0"/>
    <n v="0"/>
    <n v="0"/>
    <n v="0"/>
    <n v="0"/>
    <n v="0"/>
    <n v="5"/>
    <n v="0"/>
    <n v="0"/>
    <n v="47"/>
    <n v="0"/>
    <n v="0"/>
    <n v="0"/>
    <n v="37"/>
    <n v="0"/>
    <n v="56"/>
    <n v="0"/>
    <n v="0"/>
    <n v="6"/>
    <n v="156"/>
    <n v="0"/>
    <n v="375"/>
    <n v="1"/>
    <n v="15"/>
    <n v="5"/>
    <n v="0"/>
    <n v="0"/>
    <n v="0"/>
    <n v="0"/>
    <n v="0"/>
    <n v="0"/>
    <n v="0"/>
    <n v="0"/>
    <n v="16"/>
    <n v="4"/>
    <n v="0"/>
    <n v="0"/>
    <n v="4"/>
    <n v="0"/>
    <n v="0"/>
    <n v="68"/>
    <n v="255"/>
    <n v="0"/>
    <n v="7"/>
    <n v="0"/>
    <n v="0"/>
    <m/>
    <m/>
    <m/>
    <m/>
    <m/>
    <m/>
    <m/>
    <m/>
    <m/>
    <m/>
    <m/>
    <m/>
    <m/>
    <m/>
    <m/>
    <m/>
    <m/>
    <m/>
    <m/>
    <m/>
    <m/>
    <m/>
    <m/>
    <m/>
    <m/>
    <m/>
    <m/>
    <m/>
    <m/>
    <m/>
    <m/>
    <m/>
    <m/>
    <m/>
    <m/>
    <m/>
    <m/>
    <m/>
    <m/>
    <m/>
    <m/>
    <m/>
    <m/>
    <m/>
    <m/>
  </r>
  <r>
    <x v="20"/>
    <n v="0"/>
    <n v="0"/>
    <n v="1"/>
    <n v="1"/>
    <n v="1"/>
    <n v="2"/>
    <n v="1"/>
    <n v="7"/>
    <n v="0"/>
    <n v="1"/>
    <n v="1"/>
    <n v="7"/>
    <n v="17"/>
    <n v="10"/>
    <n v="2"/>
    <n v="1"/>
    <n v="7"/>
    <n v="2"/>
    <n v="4"/>
    <n v="1"/>
    <n v="2"/>
    <n v="1"/>
    <n v="1"/>
    <n v="0"/>
    <n v="1"/>
    <n v="0"/>
    <n v="1"/>
    <n v="1"/>
    <n v="2"/>
    <n v="1"/>
    <n v="1"/>
    <n v="1"/>
    <n v="1"/>
    <n v="1"/>
    <n v="1"/>
    <n v="1"/>
    <n v="3"/>
    <n v="1"/>
    <n v="6"/>
    <n v="0"/>
    <n v="1"/>
    <n v="1"/>
    <n v="1"/>
    <n v="1"/>
    <n v="1"/>
    <n v="1"/>
    <n v="1"/>
    <n v="1"/>
    <n v="4"/>
    <n v="2"/>
    <n v="4"/>
    <n v="3"/>
    <n v="1"/>
    <n v="1"/>
    <n v="4"/>
    <n v="4"/>
    <n v="2"/>
    <n v="1"/>
    <n v="6"/>
    <n v="7"/>
    <n v="1"/>
    <n v="2"/>
    <n v="0"/>
    <n v="0"/>
    <n v="0"/>
    <n v="0"/>
    <n v="6"/>
    <n v="17"/>
    <n v="7"/>
    <n v="1"/>
    <n v="3"/>
    <n v="23"/>
    <n v="6"/>
    <n v="23"/>
    <n v="225"/>
    <n v="117"/>
    <n v="18"/>
    <n v="1"/>
    <n v="2"/>
    <n v="1"/>
    <n v="4"/>
    <n v="6"/>
    <n v="9"/>
    <n v="6"/>
    <n v="35"/>
    <n v="19"/>
    <n v="19"/>
    <n v="2"/>
    <n v="2"/>
    <n v="24"/>
    <n v="27"/>
    <n v="23"/>
    <n v="20"/>
    <n v="15"/>
    <n v="34"/>
    <n v="23"/>
    <n v="10"/>
    <n v="23"/>
    <n v="4"/>
    <n v="4"/>
    <n v="133"/>
    <n v="15"/>
    <n v="4"/>
    <n v="6"/>
    <n v="70"/>
    <n v="4"/>
    <n v="0"/>
    <n v="18"/>
    <n v="294"/>
    <n v="11"/>
    <n v="0"/>
    <n v="4"/>
    <n v="4"/>
    <n v="22"/>
    <n v="205"/>
    <n v="121"/>
    <n v="1812"/>
    <n v="1"/>
    <n v="12"/>
    <n v="3"/>
    <n v="1"/>
    <n v="1"/>
    <n v="5"/>
    <n v="2"/>
    <n v="4"/>
    <n v="4"/>
    <n v="4"/>
    <n v="2"/>
    <n v="112"/>
    <n v="29"/>
    <n v="18.186025501509146"/>
    <n v="1"/>
    <n v="6.159174706163598"/>
    <n v="2.2131608202486794"/>
    <n v="4.4416389720785752"/>
    <n v="800"/>
    <n v="775"/>
    <n v="0"/>
    <n v="17"/>
    <n v="7"/>
    <n v="1"/>
    <m/>
    <m/>
    <m/>
    <m/>
    <m/>
    <m/>
    <m/>
    <m/>
    <m/>
    <m/>
    <m/>
    <m/>
    <m/>
    <m/>
    <m/>
    <m/>
    <m/>
    <m/>
    <m/>
    <m/>
    <m/>
    <m/>
    <m/>
    <m/>
    <m/>
    <m/>
    <m/>
    <m/>
    <m/>
    <m/>
    <m/>
    <m/>
    <m/>
    <m/>
    <m/>
    <m/>
    <m/>
    <m/>
    <m/>
    <m/>
    <m/>
    <m/>
    <m/>
    <m/>
    <m/>
  </r>
  <r>
    <x v="21"/>
    <n v="0"/>
    <n v="0"/>
    <n v="0"/>
    <n v="15"/>
    <n v="23"/>
    <n v="11"/>
    <n v="1"/>
    <n v="41"/>
    <n v="0"/>
    <n v="7"/>
    <n v="1"/>
    <n v="21"/>
    <n v="40"/>
    <n v="21"/>
    <n v="11"/>
    <n v="1"/>
    <n v="2"/>
    <n v="2"/>
    <n v="1"/>
    <n v="1"/>
    <n v="16"/>
    <n v="8"/>
    <n v="2"/>
    <n v="0"/>
    <n v="5"/>
    <n v="0"/>
    <n v="1"/>
    <n v="3"/>
    <n v="5"/>
    <n v="3"/>
    <n v="1"/>
    <n v="1"/>
    <n v="8"/>
    <n v="1"/>
    <n v="2"/>
    <n v="1"/>
    <n v="4"/>
    <n v="1"/>
    <n v="8"/>
    <n v="0"/>
    <n v="1"/>
    <n v="2"/>
    <n v="8"/>
    <n v="1"/>
    <n v="1"/>
    <n v="1"/>
    <n v="2"/>
    <n v="2"/>
    <n v="2"/>
    <n v="1"/>
    <n v="12"/>
    <n v="7"/>
    <n v="0"/>
    <n v="2"/>
    <n v="11"/>
    <n v="3"/>
    <n v="1"/>
    <n v="2"/>
    <n v="5"/>
    <n v="2"/>
    <n v="15"/>
    <n v="2"/>
    <n v="1"/>
    <n v="0"/>
    <n v="0"/>
    <n v="0"/>
    <n v="6"/>
    <n v="21"/>
    <n v="14"/>
    <n v="2"/>
    <n v="6"/>
    <n v="41"/>
    <n v="19"/>
    <n v="18"/>
    <n v="491"/>
    <n v="201"/>
    <n v="2"/>
    <n v="397"/>
    <n v="14"/>
    <n v="16"/>
    <n v="25"/>
    <n v="12"/>
    <n v="16"/>
    <n v="19"/>
    <n v="35"/>
    <n v="19"/>
    <n v="20"/>
    <n v="37"/>
    <n v="49"/>
    <n v="63"/>
    <n v="25"/>
    <n v="24"/>
    <n v="22"/>
    <n v="9"/>
    <n v="22"/>
    <n v="5"/>
    <n v="5"/>
    <n v="70"/>
    <n v="0"/>
    <n v="15"/>
    <n v="0"/>
    <n v="21"/>
    <n v="2"/>
    <n v="25"/>
    <n v="132"/>
    <n v="1"/>
    <n v="0"/>
    <n v="50"/>
    <n v="761"/>
    <n v="25"/>
    <n v="16"/>
    <n v="0"/>
    <n v="6"/>
    <n v="209"/>
    <n v="759"/>
    <n v="115"/>
    <n v="4215"/>
    <n v="0"/>
    <n v="91"/>
    <n v="24"/>
    <n v="2"/>
    <n v="8"/>
    <n v="4"/>
    <n v="1"/>
    <n v="12"/>
    <n v="11"/>
    <n v="3"/>
    <n v="1"/>
    <n v="208"/>
    <n v="60"/>
    <n v="2.5890807547789665"/>
    <n v="397"/>
    <n v="27.170719902851395"/>
    <n v="19.841675930787485"/>
    <n v="26.398523411582154"/>
    <n v="1420"/>
    <n v="1860"/>
    <n v="0"/>
    <n v="21"/>
    <n v="14"/>
    <n v="2"/>
    <m/>
    <m/>
    <m/>
    <m/>
    <m/>
    <m/>
    <m/>
    <m/>
    <m/>
    <m/>
    <m/>
    <m/>
    <m/>
    <m/>
    <m/>
    <m/>
    <m/>
    <m/>
    <m/>
    <m/>
    <m/>
    <m/>
    <m/>
    <m/>
    <m/>
    <m/>
    <m/>
    <m/>
    <m/>
    <m/>
    <m/>
    <m/>
    <m/>
    <m/>
    <m/>
    <m/>
    <m/>
    <m/>
    <m/>
    <m/>
    <m/>
    <m/>
    <m/>
    <m/>
    <m/>
  </r>
  <r>
    <x v="22"/>
    <n v="37"/>
    <n v="0"/>
    <n v="0"/>
    <n v="2"/>
    <n v="3"/>
    <n v="2"/>
    <n v="1"/>
    <n v="5"/>
    <n v="0"/>
    <n v="7"/>
    <n v="1"/>
    <n v="17"/>
    <n v="4"/>
    <n v="2"/>
    <n v="1"/>
    <n v="0"/>
    <n v="1"/>
    <n v="0"/>
    <n v="1"/>
    <n v="2"/>
    <n v="5"/>
    <n v="3"/>
    <n v="1"/>
    <n v="0"/>
    <n v="1"/>
    <n v="0"/>
    <n v="1"/>
    <n v="1"/>
    <n v="2"/>
    <n v="2"/>
    <n v="1"/>
    <n v="0"/>
    <n v="2"/>
    <n v="0"/>
    <n v="1"/>
    <n v="0"/>
    <n v="1"/>
    <n v="1"/>
    <n v="4"/>
    <n v="0"/>
    <n v="1"/>
    <n v="2"/>
    <n v="2"/>
    <n v="1"/>
    <n v="1"/>
    <n v="1"/>
    <n v="1"/>
    <n v="1"/>
    <n v="2"/>
    <n v="1"/>
    <n v="3"/>
    <n v="2"/>
    <n v="0"/>
    <n v="1"/>
    <n v="5"/>
    <n v="3"/>
    <n v="1"/>
    <n v="1"/>
    <n v="3"/>
    <n v="2"/>
    <n v="1"/>
    <n v="1"/>
    <n v="0"/>
    <n v="0"/>
    <n v="0"/>
    <n v="0"/>
    <n v="5"/>
    <n v="4"/>
    <n v="2"/>
    <n v="1"/>
    <n v="1"/>
    <n v="22"/>
    <n v="3"/>
    <n v="317"/>
    <n v="3756"/>
    <n v="1242"/>
    <n v="2"/>
    <n v="28"/>
    <n v="4284"/>
    <n v="0"/>
    <n v="2"/>
    <n v="79"/>
    <n v="2"/>
    <n v="68"/>
    <n v="8"/>
    <n v="4"/>
    <n v="1"/>
    <n v="1"/>
    <n v="3"/>
    <n v="6"/>
    <n v="3"/>
    <n v="2"/>
    <n v="1"/>
    <n v="1"/>
    <n v="3"/>
    <n v="2"/>
    <n v="2"/>
    <n v="5"/>
    <n v="1"/>
    <n v="3"/>
    <n v="0"/>
    <n v="2"/>
    <n v="3"/>
    <n v="2"/>
    <n v="17"/>
    <n v="1"/>
    <n v="0"/>
    <n v="1"/>
    <n v="15"/>
    <n v="12"/>
    <n v="311"/>
    <n v="5"/>
    <n v="6"/>
    <n v="2"/>
    <n v="382"/>
    <n v="0"/>
    <n v="10771"/>
    <n v="37"/>
    <n v="13"/>
    <n v="8"/>
    <n v="2"/>
    <n v="2"/>
    <n v="3"/>
    <n v="1"/>
    <n v="3"/>
    <n v="5"/>
    <n v="3"/>
    <n v="1"/>
    <n v="76"/>
    <n v="25"/>
    <n v="4.1082890171036688"/>
    <n v="28"/>
    <n v="4331.1373133365205"/>
    <n v="13.749155962818365"/>
    <n v="7.0052416835571885"/>
    <n v="5491"/>
    <n v="710"/>
    <n v="0"/>
    <n v="4"/>
    <n v="2"/>
    <n v="1"/>
    <m/>
    <m/>
    <m/>
    <m/>
    <m/>
    <m/>
    <m/>
    <m/>
    <m/>
    <m/>
    <m/>
    <m/>
    <m/>
    <m/>
    <m/>
    <m/>
    <m/>
    <m/>
    <m/>
    <m/>
    <m/>
    <m/>
    <m/>
    <m/>
    <m/>
    <m/>
    <m/>
    <m/>
    <m/>
    <m/>
    <m/>
    <m/>
    <m/>
    <m/>
    <m/>
    <m/>
    <m/>
    <m/>
    <m/>
    <m/>
    <m/>
    <m/>
    <m/>
    <m/>
    <m/>
  </r>
  <r>
    <x v="23"/>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1571"/>
    <n v="0"/>
    <n v="100"/>
    <n v="0"/>
    <n v="106"/>
    <n v="0"/>
    <n v="0"/>
    <n v="0"/>
    <n v="0"/>
    <n v="0"/>
    <n v="0"/>
    <n v="0"/>
    <n v="0"/>
    <n v="0"/>
    <n v="0"/>
    <n v="0"/>
    <n v="0"/>
    <n v="0"/>
    <n v="0"/>
    <n v="0"/>
    <n v="0"/>
    <n v="0"/>
    <n v="0"/>
    <n v="0"/>
    <n v="0"/>
    <n v="0"/>
    <n v="0"/>
    <n v="0"/>
    <n v="0"/>
    <n v="0"/>
    <n v="0"/>
    <n v="0"/>
    <n v="0"/>
    <n v="0"/>
    <n v="0"/>
    <n v="2"/>
    <n v="0"/>
    <n v="1779"/>
    <n v="0"/>
    <n v="0"/>
    <n v="0"/>
    <n v="0"/>
    <n v="0"/>
    <n v="0"/>
    <n v="0"/>
    <n v="0"/>
    <n v="0"/>
    <n v="0"/>
    <n v="0"/>
    <n v="0"/>
    <n v="0"/>
    <n v="3.2864505266616022"/>
    <n v="0"/>
    <n v="73.478753142223567"/>
    <n v="1592.4325078243933"/>
    <n v="7.8022885067214993"/>
    <n v="100"/>
    <n v="2"/>
    <n v="0"/>
    <n v="0"/>
    <n v="0"/>
    <n v="0"/>
    <m/>
    <m/>
    <m/>
    <m/>
    <m/>
    <m/>
    <m/>
    <m/>
    <m/>
    <m/>
    <m/>
    <m/>
    <m/>
    <m/>
    <m/>
    <m/>
    <m/>
    <m/>
    <m/>
    <m/>
    <m/>
    <m/>
    <m/>
    <m/>
    <m/>
    <m/>
    <m/>
    <m/>
    <m/>
    <m/>
    <m/>
    <m/>
    <m/>
    <m/>
    <m/>
    <m/>
    <m/>
    <m/>
    <m/>
    <m/>
    <m/>
    <m/>
    <m/>
    <m/>
    <m/>
  </r>
  <r>
    <x v="24"/>
    <n v="4"/>
    <n v="0"/>
    <n v="5"/>
    <n v="19"/>
    <n v="23"/>
    <n v="40"/>
    <n v="13"/>
    <n v="46"/>
    <n v="1"/>
    <n v="21"/>
    <n v="5"/>
    <n v="40"/>
    <n v="81"/>
    <n v="44"/>
    <n v="4"/>
    <n v="1"/>
    <n v="1"/>
    <n v="2"/>
    <n v="2"/>
    <n v="3"/>
    <n v="16"/>
    <n v="26"/>
    <n v="2"/>
    <n v="10"/>
    <n v="38"/>
    <n v="1"/>
    <n v="3"/>
    <n v="1"/>
    <n v="8"/>
    <n v="5"/>
    <n v="3"/>
    <n v="3"/>
    <n v="4"/>
    <n v="4"/>
    <n v="1"/>
    <n v="4"/>
    <n v="9"/>
    <n v="3"/>
    <n v="10"/>
    <n v="0"/>
    <n v="8"/>
    <n v="12"/>
    <n v="39"/>
    <n v="12"/>
    <n v="9"/>
    <n v="3"/>
    <n v="5"/>
    <n v="9"/>
    <n v="9"/>
    <n v="12"/>
    <n v="24"/>
    <n v="12"/>
    <n v="1"/>
    <n v="14"/>
    <n v="27"/>
    <n v="17"/>
    <n v="10"/>
    <n v="8"/>
    <n v="13"/>
    <n v="19"/>
    <n v="11"/>
    <n v="26"/>
    <n v="6"/>
    <n v="0"/>
    <n v="0"/>
    <n v="0"/>
    <n v="0"/>
    <n v="53"/>
    <n v="28"/>
    <n v="4"/>
    <n v="8"/>
    <n v="94"/>
    <n v="45"/>
    <n v="90"/>
    <n v="468"/>
    <n v="452"/>
    <n v="3"/>
    <n v="15"/>
    <n v="38"/>
    <n v="32"/>
    <n v="2392"/>
    <n v="186"/>
    <n v="182"/>
    <n v="197"/>
    <n v="355"/>
    <n v="126"/>
    <n v="186"/>
    <n v="33"/>
    <n v="77"/>
    <n v="60"/>
    <n v="175"/>
    <n v="170"/>
    <n v="140"/>
    <n v="74"/>
    <n v="199"/>
    <n v="107"/>
    <n v="34"/>
    <n v="347"/>
    <n v="15"/>
    <n v="97"/>
    <n v="100"/>
    <n v="127"/>
    <n v="160"/>
    <n v="98"/>
    <n v="29"/>
    <n v="34"/>
    <n v="0"/>
    <n v="97"/>
    <n v="0"/>
    <n v="125"/>
    <n v="0"/>
    <n v="4"/>
    <n v="58"/>
    <n v="11"/>
    <n v="151"/>
    <n v="50"/>
    <n v="8338"/>
    <n v="9"/>
    <n v="142"/>
    <n v="42.7"/>
    <n v="12"/>
    <n v="39"/>
    <n v="18"/>
    <n v="12"/>
    <n v="24"/>
    <n v="27"/>
    <n v="17"/>
    <n v="10"/>
    <n v="467.3"/>
    <n v="139"/>
    <n v="9.1078372995503365"/>
    <n v="15"/>
    <n v="174.55956951903815"/>
    <n v="71.832113598164966"/>
    <n v="2406.5004795832465"/>
    <n v="4305"/>
    <n v="312"/>
    <n v="0"/>
    <n v="53"/>
    <n v="28"/>
    <n v="4"/>
    <m/>
    <m/>
    <m/>
    <m/>
    <m/>
    <m/>
    <m/>
    <m/>
    <m/>
    <m/>
    <m/>
    <m/>
    <m/>
    <m/>
    <m/>
    <m/>
    <m/>
    <m/>
    <m/>
    <m/>
    <m/>
    <m/>
    <m/>
    <m/>
    <m/>
    <m/>
    <m/>
    <m/>
    <m/>
    <m/>
    <m/>
    <m/>
    <m/>
    <m/>
    <m/>
    <m/>
    <m/>
    <m/>
    <m/>
    <m/>
    <m/>
    <m/>
    <m/>
    <m/>
    <m/>
  </r>
  <r>
    <x v="19"/>
    <n v="0"/>
    <n v="0"/>
    <n v="7"/>
    <n v="108"/>
    <n v="72"/>
    <n v="77"/>
    <n v="129"/>
    <n v="261"/>
    <n v="1"/>
    <n v="50"/>
    <n v="10"/>
    <n v="578"/>
    <n v="227"/>
    <n v="24"/>
    <n v="19"/>
    <n v="2"/>
    <n v="12"/>
    <n v="10"/>
    <n v="7"/>
    <n v="4"/>
    <n v="79"/>
    <n v="61"/>
    <n v="20"/>
    <n v="24"/>
    <n v="66"/>
    <n v="6"/>
    <n v="14"/>
    <n v="9"/>
    <n v="39"/>
    <n v="59"/>
    <n v="13"/>
    <n v="3"/>
    <n v="48"/>
    <n v="9"/>
    <n v="5"/>
    <n v="53"/>
    <n v="56"/>
    <n v="19"/>
    <n v="68"/>
    <n v="0"/>
    <n v="38"/>
    <n v="43"/>
    <n v="338"/>
    <n v="40"/>
    <n v="30"/>
    <n v="3"/>
    <n v="71"/>
    <n v="169"/>
    <n v="136"/>
    <n v="26"/>
    <n v="112"/>
    <n v="129"/>
    <n v="1"/>
    <n v="70"/>
    <n v="92"/>
    <n v="200"/>
    <n v="68"/>
    <n v="112"/>
    <n v="143"/>
    <n v="72"/>
    <n v="15"/>
    <n v="100"/>
    <n v="26"/>
    <n v="0"/>
    <n v="0"/>
    <n v="0"/>
    <n v="7"/>
    <n v="377"/>
    <n v="249"/>
    <n v="18"/>
    <n v="68"/>
    <n v="545"/>
    <n v="88"/>
    <n v="278"/>
    <n v="1983"/>
    <n v="1085"/>
    <n v="2019"/>
    <n v="377"/>
    <n v="2693"/>
    <n v="1080"/>
    <n v="524"/>
    <n v="6087"/>
    <n v="77"/>
    <n v="593"/>
    <n v="28"/>
    <n v="11"/>
    <n v="0"/>
    <n v="117"/>
    <n v="446"/>
    <n v="81"/>
    <n v="336"/>
    <n v="259"/>
    <n v="240"/>
    <n v="20"/>
    <n v="347"/>
    <n v="40"/>
    <n v="32"/>
    <n v="871"/>
    <n v="74"/>
    <n v="50"/>
    <n v="0"/>
    <n v="330"/>
    <n v="350"/>
    <n v="129"/>
    <n v="0"/>
    <n v="62"/>
    <n v="0"/>
    <n v="76"/>
    <n v="0"/>
    <n v="43"/>
    <n v="0"/>
    <n v="5"/>
    <n v="20"/>
    <n v="0"/>
    <n v="15"/>
    <n v="0"/>
    <n v="26413"/>
    <n v="7"/>
    <n v="648"/>
    <n v="144.19999999999999"/>
    <n v="43"/>
    <n v="338"/>
    <n v="305"/>
    <n v="26"/>
    <n v="112"/>
    <n v="92"/>
    <n v="200"/>
    <n v="68"/>
    <n v="2374.8000000000002"/>
    <n v="633"/>
    <n v="2037.3855203991541"/>
    <n v="377"/>
    <n v="3104.0651001258357"/>
    <n v="1199.9007277345779"/>
    <n v="567.64865174043257"/>
    <n v="13477"/>
    <n v="15"/>
    <n v="0"/>
    <n v="377"/>
    <n v="249"/>
    <n v="18"/>
    <m/>
    <m/>
    <m/>
    <m/>
    <m/>
    <m/>
    <m/>
    <m/>
    <m/>
    <m/>
    <m/>
    <m/>
    <m/>
    <m/>
    <m/>
    <m/>
    <m/>
    <m/>
    <m/>
    <m/>
    <m/>
    <m/>
    <m/>
    <m/>
    <m/>
    <m/>
    <m/>
    <m/>
    <m/>
    <m/>
    <m/>
    <m/>
    <m/>
    <m/>
    <m/>
    <m/>
    <m/>
    <m/>
    <m/>
    <m/>
    <m/>
    <m/>
    <m/>
    <m/>
    <m/>
  </r>
  <r>
    <x v="19"/>
    <n v="0"/>
    <n v="0"/>
    <n v="2"/>
    <n v="17"/>
    <n v="16"/>
    <n v="28"/>
    <n v="13"/>
    <n v="34"/>
    <n v="0"/>
    <n v="7"/>
    <n v="6"/>
    <n v="11"/>
    <n v="23"/>
    <n v="19"/>
    <n v="11"/>
    <n v="1"/>
    <n v="11"/>
    <n v="4"/>
    <n v="6"/>
    <n v="6"/>
    <n v="42"/>
    <n v="27"/>
    <n v="10"/>
    <n v="4"/>
    <n v="36"/>
    <n v="0"/>
    <n v="3"/>
    <n v="5"/>
    <n v="6"/>
    <n v="21"/>
    <n v="1"/>
    <n v="6"/>
    <n v="18"/>
    <n v="1"/>
    <n v="4"/>
    <n v="12"/>
    <n v="22"/>
    <n v="2"/>
    <n v="22"/>
    <n v="0"/>
    <n v="5"/>
    <n v="7"/>
    <n v="197"/>
    <n v="9"/>
    <n v="3"/>
    <n v="1"/>
    <n v="7"/>
    <n v="18"/>
    <n v="3"/>
    <n v="4"/>
    <n v="38"/>
    <n v="5"/>
    <n v="0"/>
    <n v="5"/>
    <n v="20"/>
    <n v="105"/>
    <n v="49"/>
    <n v="35"/>
    <n v="24"/>
    <n v="18"/>
    <n v="0"/>
    <n v="28"/>
    <n v="9"/>
    <n v="0"/>
    <n v="0"/>
    <n v="0"/>
    <n v="15"/>
    <n v="41"/>
    <n v="11"/>
    <n v="4"/>
    <n v="16"/>
    <n v="58"/>
    <n v="36"/>
    <n v="96"/>
    <n v="701"/>
    <n v="466"/>
    <n v="2"/>
    <n v="80"/>
    <n v="116"/>
    <n v="69"/>
    <n v="104"/>
    <n v="83"/>
    <n v="2398"/>
    <n v="99"/>
    <n v="8"/>
    <n v="0"/>
    <n v="8"/>
    <n v="0"/>
    <n v="13"/>
    <n v="15"/>
    <n v="89"/>
    <n v="85"/>
    <n v="34"/>
    <n v="17"/>
    <n v="52"/>
    <n v="18"/>
    <n v="31"/>
    <n v="245"/>
    <n v="11"/>
    <n v="18"/>
    <n v="0"/>
    <n v="390"/>
    <n v="38"/>
    <n v="66"/>
    <n v="0"/>
    <n v="5"/>
    <n v="0"/>
    <n v="18"/>
    <n v="5"/>
    <n v="13"/>
    <n v="0"/>
    <n v="2"/>
    <n v="12"/>
    <n v="0"/>
    <n v="13"/>
    <n v="0"/>
    <n v="6648"/>
    <n v="2"/>
    <n v="108"/>
    <n v="69"/>
    <n v="7"/>
    <n v="197"/>
    <n v="21"/>
    <n v="4"/>
    <n v="38"/>
    <n v="20"/>
    <n v="105"/>
    <n v="49"/>
    <n v="458"/>
    <n v="94"/>
    <n v="5.0694207749009301"/>
    <n v="80"/>
    <n v="184.62638265169937"/>
    <n v="89.017153534103215"/>
    <n v="111.28704303929649"/>
    <n v="4932"/>
    <n v="18"/>
    <n v="0"/>
    <n v="41"/>
    <n v="11"/>
    <n v="4"/>
    <m/>
    <m/>
    <m/>
    <m/>
    <m/>
    <m/>
    <m/>
    <m/>
    <m/>
    <m/>
    <m/>
    <m/>
    <m/>
    <m/>
    <m/>
    <m/>
    <m/>
    <m/>
    <m/>
    <m/>
    <m/>
    <m/>
    <m/>
    <m/>
    <m/>
    <m/>
    <m/>
    <m/>
    <m/>
    <m/>
    <m/>
    <m/>
    <m/>
    <m/>
    <m/>
    <m/>
    <m/>
    <m/>
    <m/>
    <m/>
    <m/>
    <m/>
    <m/>
    <m/>
    <m/>
  </r>
  <r>
    <x v="25"/>
    <n v="0"/>
    <n v="0"/>
    <n v="0"/>
    <n v="62"/>
    <n v="67"/>
    <n v="86"/>
    <n v="26"/>
    <n v="163"/>
    <n v="0"/>
    <n v="9"/>
    <n v="6"/>
    <n v="118"/>
    <n v="30"/>
    <n v="23"/>
    <n v="16"/>
    <n v="5"/>
    <n v="8"/>
    <n v="2"/>
    <n v="7"/>
    <n v="3"/>
    <n v="74"/>
    <n v="95"/>
    <n v="16"/>
    <n v="13"/>
    <n v="74"/>
    <n v="0"/>
    <n v="18"/>
    <n v="25"/>
    <n v="22"/>
    <n v="52"/>
    <n v="11"/>
    <n v="5"/>
    <n v="52"/>
    <n v="9"/>
    <n v="3"/>
    <n v="13"/>
    <n v="56"/>
    <n v="22"/>
    <n v="21"/>
    <n v="0"/>
    <n v="49"/>
    <n v="42"/>
    <n v="98"/>
    <n v="13"/>
    <n v="31"/>
    <n v="4"/>
    <n v="60"/>
    <n v="49"/>
    <n v="23"/>
    <n v="11"/>
    <n v="41"/>
    <n v="59"/>
    <n v="0"/>
    <n v="30"/>
    <n v="53"/>
    <n v="181"/>
    <n v="37"/>
    <n v="36"/>
    <n v="80"/>
    <n v="16"/>
    <n v="23"/>
    <n v="28"/>
    <n v="6"/>
    <n v="0"/>
    <n v="0"/>
    <n v="0"/>
    <n v="21"/>
    <n v="292"/>
    <n v="289"/>
    <n v="17"/>
    <n v="162"/>
    <n v="323"/>
    <n v="120"/>
    <n v="285"/>
    <n v="3272"/>
    <n v="1181"/>
    <n v="2"/>
    <n v="31"/>
    <n v="123"/>
    <n v="166"/>
    <n v="231"/>
    <n v="862"/>
    <n v="37"/>
    <n v="1558"/>
    <n v="43"/>
    <n v="53"/>
    <n v="0"/>
    <n v="59"/>
    <n v="155"/>
    <n v="95"/>
    <n v="82"/>
    <n v="66"/>
    <n v="27"/>
    <n v="32"/>
    <n v="93"/>
    <n v="59"/>
    <n v="47"/>
    <n v="88"/>
    <n v="28"/>
    <n v="84"/>
    <n v="0"/>
    <n v="155"/>
    <n v="150"/>
    <n v="179"/>
    <n v="0"/>
    <n v="36"/>
    <n v="0"/>
    <n v="40"/>
    <n v="0"/>
    <n v="82"/>
    <n v="0"/>
    <n v="5"/>
    <n v="24"/>
    <n v="0"/>
    <n v="83"/>
    <n v="0"/>
    <n v="12919"/>
    <n v="0"/>
    <n v="404"/>
    <n v="169"/>
    <n v="42"/>
    <n v="98"/>
    <n v="72"/>
    <n v="11"/>
    <n v="41"/>
    <n v="53"/>
    <n v="181"/>
    <n v="37"/>
    <n v="1257"/>
    <n v="443"/>
    <n v="50.304621891875243"/>
    <n v="31"/>
    <n v="1202.9990320338143"/>
    <n v="481.01742632457371"/>
    <n v="345.67891974973674"/>
    <n v="7319"/>
    <n v="83"/>
    <n v="0"/>
    <n v="292"/>
    <n v="289"/>
    <n v="17"/>
    <m/>
    <m/>
    <m/>
    <m/>
    <m/>
    <m/>
    <m/>
    <m/>
    <m/>
    <m/>
    <m/>
    <m/>
    <m/>
    <m/>
    <m/>
    <m/>
    <m/>
    <m/>
    <m/>
    <m/>
    <m/>
    <m/>
    <m/>
    <m/>
    <m/>
    <m/>
    <m/>
    <m/>
    <m/>
    <m/>
    <m/>
    <m/>
    <m/>
    <m/>
    <m/>
    <m/>
    <m/>
    <m/>
    <m/>
    <m/>
    <m/>
    <m/>
    <m/>
    <m/>
    <m/>
  </r>
  <r>
    <x v="19"/>
    <n v="1068"/>
    <n v="25"/>
    <n v="39"/>
    <n v="309"/>
    <n v="277"/>
    <n v="265"/>
    <n v="229"/>
    <n v="623"/>
    <n v="20"/>
    <n v="103"/>
    <n v="43"/>
    <n v="544"/>
    <n v="273"/>
    <n v="192"/>
    <n v="77"/>
    <n v="9"/>
    <n v="31"/>
    <n v="19"/>
    <n v="10"/>
    <n v="21"/>
    <n v="263"/>
    <n v="103"/>
    <n v="15"/>
    <n v="7"/>
    <n v="333"/>
    <n v="6"/>
    <n v="27"/>
    <n v="49"/>
    <n v="128"/>
    <n v="192"/>
    <n v="31"/>
    <n v="18"/>
    <n v="122"/>
    <n v="13"/>
    <n v="28"/>
    <n v="42"/>
    <n v="91"/>
    <n v="18"/>
    <n v="75"/>
    <n v="0"/>
    <n v="52"/>
    <n v="34"/>
    <n v="82"/>
    <n v="84"/>
    <n v="104"/>
    <n v="20"/>
    <n v="82"/>
    <n v="171"/>
    <n v="175"/>
    <n v="51"/>
    <n v="85"/>
    <n v="64"/>
    <n v="5"/>
    <n v="13"/>
    <n v="100"/>
    <n v="185"/>
    <n v="138"/>
    <n v="118"/>
    <n v="177"/>
    <n v="95"/>
    <n v="28"/>
    <n v="79"/>
    <n v="27"/>
    <n v="8"/>
    <n v="28"/>
    <n v="0"/>
    <n v="42"/>
    <n v="213"/>
    <n v="602"/>
    <n v="39"/>
    <n v="368"/>
    <n v="4061"/>
    <n v="764"/>
    <n v="628"/>
    <n v="8568"/>
    <n v="4458"/>
    <n v="379"/>
    <n v="100"/>
    <n v="306"/>
    <n v="82"/>
    <n v="181"/>
    <n v="1138"/>
    <n v="153"/>
    <n v="226"/>
    <n v="18674"/>
    <n v="1328"/>
    <n v="1782"/>
    <n v="926"/>
    <n v="7001"/>
    <n v="900"/>
    <n v="360"/>
    <n v="876"/>
    <n v="2850"/>
    <n v="295"/>
    <n v="645"/>
    <n v="774"/>
    <n v="101"/>
    <n v="1404"/>
    <n v="98"/>
    <n v="513"/>
    <n v="105"/>
    <n v="1000"/>
    <n v="127"/>
    <n v="998"/>
    <n v="235"/>
    <n v="190"/>
    <n v="0"/>
    <n v="69"/>
    <n v="329"/>
    <n v="446"/>
    <n v="329"/>
    <n v="9"/>
    <n v="60"/>
    <n v="360"/>
    <n v="1991"/>
    <n v="179"/>
    <n v="75005"/>
    <n v="1132"/>
    <n v="1723"/>
    <n v="370.2"/>
    <n v="34"/>
    <n v="82"/>
    <n v="346"/>
    <n v="51"/>
    <n v="85"/>
    <n v="100"/>
    <n v="185"/>
    <n v="138"/>
    <n v="3870.8"/>
    <n v="4825"/>
    <n v="386.00696055684455"/>
    <n v="100"/>
    <n v="462.66224726549552"/>
    <n v="127.69572422936693"/>
    <n v="197.635067948293"/>
    <n v="56606"/>
    <n v="3293"/>
    <n v="8"/>
    <n v="233.69292062519153"/>
    <n v="602"/>
    <n v="46.30707937480846"/>
    <m/>
    <m/>
    <m/>
    <m/>
    <m/>
    <m/>
    <m/>
    <m/>
    <m/>
    <m/>
    <m/>
    <m/>
    <m/>
    <m/>
    <m/>
    <m/>
    <m/>
    <m/>
    <m/>
    <m/>
    <m/>
    <m/>
    <m/>
    <m/>
    <m/>
    <m/>
    <m/>
    <m/>
    <m/>
    <m/>
    <m/>
    <m/>
    <m/>
    <m/>
    <m/>
    <m/>
    <m/>
    <m/>
    <m/>
    <m/>
    <m/>
    <m/>
    <m/>
    <m/>
    <m/>
  </r>
  <r>
    <x v="19"/>
    <n v="1220"/>
    <n v="26"/>
    <n v="2"/>
    <n v="113"/>
    <n v="106"/>
    <n v="112"/>
    <n v="119"/>
    <n v="324"/>
    <n v="0"/>
    <n v="71"/>
    <n v="25"/>
    <n v="178"/>
    <n v="196"/>
    <n v="134"/>
    <n v="83"/>
    <n v="10"/>
    <n v="28"/>
    <n v="16"/>
    <n v="7"/>
    <n v="17"/>
    <n v="83"/>
    <n v="64"/>
    <n v="22"/>
    <n v="31"/>
    <n v="116"/>
    <n v="15"/>
    <n v="42"/>
    <n v="31"/>
    <n v="55"/>
    <n v="99"/>
    <n v="30"/>
    <n v="9"/>
    <n v="50"/>
    <n v="18"/>
    <n v="4"/>
    <n v="28"/>
    <n v="61"/>
    <n v="32"/>
    <n v="63"/>
    <n v="0"/>
    <n v="28"/>
    <n v="39"/>
    <n v="121"/>
    <n v="38"/>
    <n v="33"/>
    <n v="23"/>
    <n v="47"/>
    <n v="31"/>
    <n v="41"/>
    <n v="36"/>
    <n v="71"/>
    <n v="69"/>
    <n v="1"/>
    <n v="36"/>
    <n v="66"/>
    <n v="76"/>
    <n v="26"/>
    <n v="27"/>
    <n v="62"/>
    <n v="46"/>
    <n v="55"/>
    <n v="114"/>
    <n v="52"/>
    <n v="0"/>
    <n v="10"/>
    <n v="0"/>
    <n v="29"/>
    <n v="87"/>
    <n v="102"/>
    <n v="12"/>
    <n v="44"/>
    <n v="643"/>
    <n v="181"/>
    <n v="282"/>
    <n v="1623"/>
    <n v="888"/>
    <n v="6"/>
    <n v="244"/>
    <n v="820"/>
    <n v="307"/>
    <n v="206"/>
    <n v="84"/>
    <n v="83"/>
    <n v="137"/>
    <n v="336"/>
    <n v="267"/>
    <n v="811"/>
    <n v="304"/>
    <n v="553"/>
    <n v="1283"/>
    <n v="248"/>
    <n v="425"/>
    <n v="430"/>
    <n v="57"/>
    <n v="356"/>
    <n v="183"/>
    <n v="79"/>
    <n v="920"/>
    <n v="21"/>
    <n v="202"/>
    <n v="0"/>
    <n v="381"/>
    <n v="174"/>
    <n v="226"/>
    <n v="9"/>
    <n v="88"/>
    <n v="0"/>
    <n v="56"/>
    <n v="0"/>
    <n v="129"/>
    <n v="141"/>
    <n v="8"/>
    <n v="208"/>
    <n v="56"/>
    <n v="400"/>
    <n v="35"/>
    <n v="18952"/>
    <n v="1248"/>
    <n v="774"/>
    <n v="157.5"/>
    <n v="39"/>
    <n v="121"/>
    <n v="72"/>
    <n v="36"/>
    <n v="71"/>
    <n v="66"/>
    <n v="76"/>
    <n v="26"/>
    <n v="2164.5"/>
    <n v="824"/>
    <n v="10.247582284458863"/>
    <n v="244"/>
    <n v="914.96782245740212"/>
    <n v="334.70050539567819"/>
    <n v="216.08408986246081"/>
    <n v="10714"/>
    <n v="632"/>
    <n v="0"/>
    <n v="94.390328794711266"/>
    <n v="102"/>
    <n v="14.609671205288734"/>
    <m/>
    <m/>
    <m/>
    <m/>
    <m/>
    <m/>
    <m/>
    <m/>
    <m/>
    <m/>
    <m/>
    <m/>
    <m/>
    <m/>
    <m/>
    <m/>
    <m/>
    <m/>
    <m/>
    <m/>
    <m/>
    <m/>
    <m/>
    <m/>
    <m/>
    <m/>
    <m/>
    <m/>
    <m/>
    <m/>
    <m/>
    <m/>
    <m/>
    <m/>
    <m/>
    <m/>
    <m/>
    <m/>
    <m/>
    <m/>
    <m/>
    <m/>
    <m/>
    <m/>
    <m/>
  </r>
  <r>
    <x v="19"/>
    <n v="8"/>
    <n v="31"/>
    <n v="3"/>
    <n v="63"/>
    <n v="46"/>
    <n v="120"/>
    <n v="96"/>
    <n v="159"/>
    <n v="2"/>
    <n v="60"/>
    <n v="15"/>
    <n v="206"/>
    <n v="86"/>
    <n v="80"/>
    <n v="83"/>
    <n v="8"/>
    <n v="32"/>
    <n v="23"/>
    <n v="7"/>
    <n v="28"/>
    <n v="59"/>
    <n v="22"/>
    <n v="20"/>
    <n v="32"/>
    <n v="128"/>
    <n v="8"/>
    <n v="25"/>
    <n v="15"/>
    <n v="149"/>
    <n v="188"/>
    <n v="54"/>
    <n v="30"/>
    <n v="173"/>
    <n v="25"/>
    <n v="3"/>
    <n v="31"/>
    <n v="87"/>
    <n v="32"/>
    <n v="71"/>
    <n v="0"/>
    <n v="1"/>
    <n v="48"/>
    <n v="94"/>
    <n v="35"/>
    <n v="31"/>
    <n v="18"/>
    <n v="25"/>
    <n v="31"/>
    <n v="38"/>
    <n v="35"/>
    <n v="127"/>
    <n v="194"/>
    <n v="1"/>
    <n v="3"/>
    <n v="15"/>
    <n v="11"/>
    <n v="11"/>
    <n v="9"/>
    <n v="37"/>
    <n v="32"/>
    <n v="0"/>
    <n v="75"/>
    <n v="46"/>
    <n v="0"/>
    <n v="11"/>
    <n v="0"/>
    <n v="35"/>
    <n v="176"/>
    <n v="152"/>
    <n v="16"/>
    <n v="124"/>
    <n v="933"/>
    <n v="228"/>
    <n v="102"/>
    <n v="334"/>
    <n v="352"/>
    <n v="8"/>
    <n v="281"/>
    <n v="461"/>
    <n v="161"/>
    <n v="138"/>
    <n v="55"/>
    <n v="75"/>
    <n v="105"/>
    <n v="1077"/>
    <n v="13350"/>
    <n v="5532"/>
    <n v="108"/>
    <n v="159"/>
    <n v="1288"/>
    <n v="230"/>
    <n v="503"/>
    <n v="226"/>
    <n v="33"/>
    <n v="366"/>
    <n v="146"/>
    <n v="62"/>
    <n v="917"/>
    <n v="44"/>
    <n v="172"/>
    <n v="0"/>
    <n v="318"/>
    <n v="184"/>
    <n v="143"/>
    <n v="0"/>
    <n v="65"/>
    <n v="0"/>
    <n v="54"/>
    <n v="0"/>
    <n v="64"/>
    <n v="0"/>
    <n v="12"/>
    <n v="133"/>
    <n v="0"/>
    <n v="0"/>
    <n v="0"/>
    <n v="32158"/>
    <n v="42"/>
    <n v="486"/>
    <n v="86.6"/>
    <n v="48"/>
    <n v="94"/>
    <n v="69"/>
    <n v="35"/>
    <n v="127"/>
    <n v="15"/>
    <n v="11"/>
    <n v="11"/>
    <n v="2359.4"/>
    <n v="1161"/>
    <n v="11.255446276410078"/>
    <n v="281"/>
    <n v="533.78555735786301"/>
    <n v="182.23031435435189"/>
    <n v="145.72868201137507"/>
    <n v="26104"/>
    <n v="0"/>
    <n v="0"/>
    <n v="184.12936167418241"/>
    <n v="152"/>
    <n v="18.870638325817609"/>
    <m/>
    <m/>
    <m/>
    <m/>
    <m/>
    <m/>
    <m/>
    <m/>
    <m/>
    <m/>
    <m/>
    <m/>
    <m/>
    <m/>
    <m/>
    <m/>
    <m/>
    <m/>
    <m/>
    <m/>
    <m/>
    <m/>
    <m/>
    <m/>
    <m/>
    <m/>
    <m/>
    <m/>
    <m/>
    <m/>
    <m/>
    <m/>
    <m/>
    <m/>
    <m/>
    <m/>
    <m/>
    <m/>
    <m/>
    <m/>
    <m/>
    <m/>
    <m/>
    <m/>
    <m/>
  </r>
  <r>
    <x v="19"/>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497"/>
    <n v="0"/>
    <n v="0"/>
    <n v="0"/>
    <n v="0"/>
    <n v="0"/>
    <n v="0"/>
    <n v="0"/>
    <n v="0"/>
    <n v="0"/>
    <n v="0"/>
    <n v="0"/>
    <n v="4382"/>
    <n v="7891"/>
    <n v="0"/>
    <n v="0"/>
    <n v="0"/>
    <n v="0"/>
    <n v="0"/>
    <n v="0"/>
    <n v="0"/>
    <n v="0"/>
    <n v="0"/>
    <n v="0"/>
    <n v="0"/>
    <n v="0"/>
    <n v="0"/>
    <n v="0"/>
    <n v="0"/>
    <n v="12"/>
    <n v="0"/>
    <n v="0"/>
    <n v="0"/>
    <n v="1"/>
    <n v="0"/>
    <n v="1"/>
    <n v="0"/>
    <n v="0"/>
    <n v="4"/>
    <n v="73"/>
    <n v="0"/>
    <n v="12861"/>
    <n v="0"/>
    <n v="0"/>
    <n v="0"/>
    <n v="0"/>
    <n v="0"/>
    <n v="0"/>
    <n v="0"/>
    <n v="0"/>
    <n v="0"/>
    <n v="0"/>
    <n v="0"/>
    <n v="0"/>
    <n v="0"/>
    <n v="0"/>
    <n v="0"/>
    <n v="0"/>
    <n v="0"/>
    <n v="0"/>
    <n v="12782"/>
    <n v="79"/>
    <n v="0"/>
    <n v="0"/>
    <n v="0"/>
    <n v="0"/>
    <m/>
    <m/>
    <m/>
    <m/>
    <m/>
    <m/>
    <m/>
    <m/>
    <m/>
    <m/>
    <m/>
    <m/>
    <m/>
    <m/>
    <m/>
    <m/>
    <m/>
    <m/>
    <m/>
    <m/>
    <m/>
    <m/>
    <m/>
    <m/>
    <m/>
    <m/>
    <m/>
    <m/>
    <m/>
    <m/>
    <m/>
    <m/>
    <m/>
    <m/>
    <m/>
    <m/>
    <m/>
    <m/>
    <m/>
    <m/>
    <m/>
    <m/>
    <m/>
    <m/>
    <m/>
  </r>
  <r>
    <x v="19"/>
    <n v="19"/>
    <n v="0"/>
    <n v="0"/>
    <n v="103"/>
    <n v="94"/>
    <n v="130"/>
    <n v="49"/>
    <n v="219"/>
    <n v="1"/>
    <n v="122"/>
    <n v="13"/>
    <n v="352"/>
    <n v="450"/>
    <n v="165"/>
    <n v="112"/>
    <n v="1"/>
    <n v="24"/>
    <n v="17"/>
    <n v="22"/>
    <n v="14"/>
    <n v="147"/>
    <n v="100"/>
    <n v="30"/>
    <n v="45"/>
    <n v="246"/>
    <n v="6"/>
    <n v="24"/>
    <n v="33"/>
    <n v="86"/>
    <n v="98"/>
    <n v="53"/>
    <n v="2"/>
    <n v="57"/>
    <n v="5"/>
    <n v="7"/>
    <n v="57"/>
    <n v="97"/>
    <n v="7"/>
    <n v="65"/>
    <n v="0"/>
    <n v="16"/>
    <n v="46"/>
    <n v="130"/>
    <n v="33"/>
    <n v="28"/>
    <n v="5"/>
    <n v="105"/>
    <n v="82"/>
    <n v="120"/>
    <n v="36"/>
    <n v="138"/>
    <n v="79"/>
    <n v="10"/>
    <n v="1"/>
    <n v="121"/>
    <n v="272"/>
    <n v="83"/>
    <n v="77"/>
    <n v="108"/>
    <n v="92"/>
    <n v="18"/>
    <n v="162"/>
    <n v="76"/>
    <n v="0"/>
    <n v="0"/>
    <n v="0"/>
    <n v="10"/>
    <n v="99"/>
    <n v="141"/>
    <n v="41"/>
    <n v="52"/>
    <n v="165"/>
    <n v="84"/>
    <n v="762"/>
    <n v="9438"/>
    <n v="4979"/>
    <n v="6"/>
    <n v="184"/>
    <n v="634"/>
    <n v="128"/>
    <n v="163"/>
    <n v="164"/>
    <n v="123"/>
    <n v="218"/>
    <n v="2633"/>
    <n v="1040"/>
    <n v="719"/>
    <n v="1082"/>
    <n v="2815"/>
    <n v="1038"/>
    <n v="1624"/>
    <n v="1545"/>
    <n v="1249"/>
    <n v="85"/>
    <n v="1482"/>
    <n v="319"/>
    <n v="32"/>
    <n v="3465"/>
    <n v="108"/>
    <n v="798"/>
    <n v="54"/>
    <n v="2196"/>
    <n v="1065"/>
    <n v="276"/>
    <n v="162"/>
    <n v="214"/>
    <n v="0"/>
    <n v="187"/>
    <n v="224"/>
    <n v="836"/>
    <n v="139"/>
    <n v="15"/>
    <n v="385"/>
    <n v="647"/>
    <n v="2501"/>
    <n v="418"/>
    <n v="51654"/>
    <n v="19"/>
    <n v="596"/>
    <n v="251.2"/>
    <n v="46"/>
    <n v="130"/>
    <n v="202"/>
    <n v="36"/>
    <n v="138"/>
    <n v="121"/>
    <n v="272"/>
    <n v="83"/>
    <n v="3077.8"/>
    <n v="249"/>
    <n v="12.758926554832351"/>
    <n v="184"/>
    <n v="785.1166809906108"/>
    <n v="172.07817646903536"/>
    <n v="179.04621598552157"/>
    <n v="40836"/>
    <n v="3983"/>
    <n v="0"/>
    <n v="99"/>
    <n v="141"/>
    <n v="41"/>
    <m/>
    <m/>
    <m/>
    <m/>
    <m/>
    <m/>
    <m/>
    <m/>
    <m/>
    <m/>
    <m/>
    <m/>
    <m/>
    <m/>
    <m/>
    <m/>
    <m/>
    <m/>
    <m/>
    <m/>
    <m/>
    <m/>
    <m/>
    <m/>
    <m/>
    <m/>
    <m/>
    <m/>
    <m/>
    <m/>
    <m/>
    <m/>
    <m/>
    <m/>
    <m/>
    <m/>
    <m/>
    <m/>
    <m/>
    <m/>
    <m/>
    <m/>
    <m/>
    <m/>
    <m/>
  </r>
  <r>
    <x v="19"/>
    <n v="19"/>
    <n v="13"/>
    <n v="2"/>
    <n v="33"/>
    <n v="46"/>
    <n v="74"/>
    <n v="25"/>
    <n v="118"/>
    <n v="2"/>
    <n v="42"/>
    <n v="9"/>
    <n v="377"/>
    <n v="141"/>
    <n v="87"/>
    <n v="47"/>
    <n v="11"/>
    <n v="16"/>
    <n v="9"/>
    <n v="8"/>
    <n v="12"/>
    <n v="141"/>
    <n v="44"/>
    <n v="10"/>
    <n v="15"/>
    <n v="127"/>
    <n v="7"/>
    <n v="31"/>
    <n v="31"/>
    <n v="70"/>
    <n v="96"/>
    <n v="12"/>
    <n v="9"/>
    <n v="35"/>
    <n v="7"/>
    <n v="4"/>
    <n v="28"/>
    <n v="25"/>
    <n v="20"/>
    <n v="50"/>
    <n v="0"/>
    <n v="14"/>
    <n v="20"/>
    <n v="65"/>
    <n v="37"/>
    <n v="11"/>
    <n v="8"/>
    <n v="20"/>
    <n v="22"/>
    <n v="36"/>
    <n v="26"/>
    <n v="35"/>
    <n v="48"/>
    <n v="2"/>
    <n v="23"/>
    <n v="49"/>
    <n v="34"/>
    <n v="25"/>
    <n v="13"/>
    <n v="43"/>
    <n v="42"/>
    <n v="32"/>
    <n v="93"/>
    <n v="26"/>
    <n v="0"/>
    <n v="9"/>
    <n v="0"/>
    <n v="8"/>
    <n v="27"/>
    <n v="238"/>
    <n v="47"/>
    <n v="47"/>
    <n v="499"/>
    <n v="136"/>
    <n v="597"/>
    <n v="3530"/>
    <n v="2157"/>
    <n v="6"/>
    <n v="42"/>
    <n v="91"/>
    <n v="64"/>
    <n v="93"/>
    <n v="46"/>
    <n v="62"/>
    <n v="56"/>
    <n v="4772"/>
    <n v="605"/>
    <n v="454"/>
    <n v="319"/>
    <n v="525"/>
    <n v="10667"/>
    <n v="1807"/>
    <n v="1299"/>
    <n v="979"/>
    <n v="180"/>
    <n v="1152"/>
    <n v="636"/>
    <n v="144"/>
    <n v="2781"/>
    <n v="62"/>
    <n v="428"/>
    <n v="44"/>
    <n v="603"/>
    <n v="645"/>
    <n v="344"/>
    <n v="267"/>
    <n v="130"/>
    <n v="0"/>
    <n v="224"/>
    <n v="349"/>
    <n v="435"/>
    <n v="218"/>
    <n v="18"/>
    <n v="312"/>
    <n v="79"/>
    <n v="2437"/>
    <n v="174"/>
    <n v="43421"/>
    <n v="34"/>
    <n v="298"/>
    <n v="189.9"/>
    <n v="20"/>
    <n v="65"/>
    <n v="58"/>
    <n v="26"/>
    <n v="35"/>
    <n v="49"/>
    <n v="34"/>
    <n v="25"/>
    <n v="1798.1"/>
    <n v="635"/>
    <n v="7.7362380140853748"/>
    <n v="42"/>
    <n v="129.81896392419358"/>
    <n v="75.322834322321"/>
    <n v="97.12196373940003"/>
    <n v="36180"/>
    <n v="3301"/>
    <n v="0"/>
    <n v="33.651295915240141"/>
    <n v="238"/>
    <n v="49.348704084759859"/>
    <m/>
    <m/>
    <m/>
    <m/>
    <m/>
    <m/>
    <m/>
    <m/>
    <m/>
    <m/>
    <m/>
    <m/>
    <m/>
    <m/>
    <m/>
    <m/>
    <m/>
    <m/>
    <m/>
    <m/>
    <m/>
    <m/>
    <m/>
    <m/>
    <m/>
    <m/>
    <m/>
    <m/>
    <m/>
    <m/>
    <m/>
    <m/>
    <m/>
    <m/>
    <m/>
    <m/>
    <m/>
    <m/>
    <m/>
    <m/>
    <m/>
    <m/>
    <m/>
    <m/>
    <m/>
  </r>
  <r>
    <x v="19"/>
    <n v="0"/>
    <n v="3"/>
    <n v="4"/>
    <n v="127"/>
    <n v="125"/>
    <n v="79"/>
    <n v="80"/>
    <n v="670"/>
    <n v="11"/>
    <n v="125"/>
    <n v="29"/>
    <n v="648"/>
    <n v="306"/>
    <n v="278"/>
    <n v="73"/>
    <n v="13"/>
    <n v="57"/>
    <n v="23"/>
    <n v="68"/>
    <n v="37"/>
    <n v="114"/>
    <n v="108"/>
    <n v="151"/>
    <n v="68"/>
    <n v="392"/>
    <n v="12"/>
    <n v="29"/>
    <n v="22"/>
    <n v="120"/>
    <n v="98"/>
    <n v="8"/>
    <n v="11"/>
    <n v="73"/>
    <n v="11"/>
    <n v="36"/>
    <n v="40"/>
    <n v="236"/>
    <n v="11"/>
    <n v="182"/>
    <n v="0"/>
    <n v="3"/>
    <n v="39"/>
    <n v="44"/>
    <n v="36"/>
    <n v="29"/>
    <n v="24"/>
    <n v="72"/>
    <n v="42"/>
    <n v="71"/>
    <n v="46"/>
    <n v="128"/>
    <n v="189"/>
    <n v="2"/>
    <n v="17"/>
    <n v="239"/>
    <n v="65"/>
    <n v="30"/>
    <n v="42"/>
    <n v="119"/>
    <n v="80"/>
    <n v="12"/>
    <n v="94"/>
    <n v="55"/>
    <n v="3"/>
    <n v="4"/>
    <n v="0"/>
    <n v="10"/>
    <n v="396"/>
    <n v="343"/>
    <n v="228"/>
    <n v="276"/>
    <n v="743"/>
    <n v="400"/>
    <n v="439"/>
    <n v="2170"/>
    <n v="1241"/>
    <n v="48"/>
    <n v="91"/>
    <n v="105"/>
    <n v="114"/>
    <n v="213"/>
    <n v="117"/>
    <n v="80"/>
    <n v="86"/>
    <n v="5888"/>
    <n v="785"/>
    <n v="828"/>
    <n v="568"/>
    <n v="1040"/>
    <n v="1434"/>
    <n v="5584"/>
    <n v="495"/>
    <n v="855"/>
    <n v="87"/>
    <n v="887"/>
    <n v="128"/>
    <n v="50"/>
    <n v="1628"/>
    <n v="120"/>
    <n v="471"/>
    <n v="44"/>
    <n v="314"/>
    <n v="76"/>
    <n v="55"/>
    <n v="68"/>
    <n v="51"/>
    <n v="0"/>
    <n v="42"/>
    <n v="99"/>
    <n v="75"/>
    <n v="76"/>
    <n v="10"/>
    <n v="74"/>
    <n v="26"/>
    <n v="1309"/>
    <n v="178"/>
    <n v="36408"/>
    <n v="7"/>
    <n v="1092"/>
    <n v="230.4"/>
    <n v="39"/>
    <n v="44"/>
    <n v="113"/>
    <n v="46"/>
    <n v="128"/>
    <n v="239"/>
    <n v="65"/>
    <n v="30"/>
    <n v="4208.6000000000004"/>
    <n v="1143"/>
    <n v="50.666365521631114"/>
    <n v="91"/>
    <n v="164.61483745501158"/>
    <n v="131.3886384235644"/>
    <n v="219.33015859979292"/>
    <n v="25660"/>
    <n v="1732"/>
    <n v="3"/>
    <n v="398.9561315178845"/>
    <n v="343"/>
    <n v="229.0438684821155"/>
    <m/>
    <m/>
    <m/>
    <m/>
    <m/>
    <m/>
    <m/>
    <m/>
    <m/>
    <m/>
    <m/>
    <m/>
    <m/>
    <m/>
    <m/>
    <m/>
    <m/>
    <m/>
    <m/>
    <m/>
    <m/>
    <m/>
    <m/>
    <m/>
    <m/>
    <m/>
    <m/>
    <m/>
    <m/>
    <m/>
    <m/>
    <m/>
    <m/>
    <m/>
    <m/>
    <m/>
    <m/>
    <m/>
    <m/>
    <m/>
    <m/>
    <m/>
    <m/>
    <m/>
    <m/>
  </r>
  <r>
    <x v="19"/>
    <n v="1361"/>
    <n v="12"/>
    <n v="8"/>
    <n v="141"/>
    <n v="133"/>
    <n v="86"/>
    <n v="122"/>
    <n v="418"/>
    <n v="1"/>
    <n v="188"/>
    <n v="32"/>
    <n v="858"/>
    <n v="489"/>
    <n v="306"/>
    <n v="116"/>
    <n v="40"/>
    <n v="86"/>
    <n v="36"/>
    <n v="12"/>
    <n v="24"/>
    <n v="354"/>
    <n v="117"/>
    <n v="38"/>
    <n v="121"/>
    <n v="409"/>
    <n v="32"/>
    <n v="54"/>
    <n v="89"/>
    <n v="253"/>
    <n v="511"/>
    <n v="91"/>
    <n v="18"/>
    <n v="266"/>
    <n v="16"/>
    <n v="12"/>
    <n v="47"/>
    <n v="112"/>
    <n v="97"/>
    <n v="145"/>
    <n v="0"/>
    <n v="37"/>
    <n v="72"/>
    <n v="275"/>
    <n v="83"/>
    <n v="100"/>
    <n v="27"/>
    <n v="144"/>
    <n v="158"/>
    <n v="169"/>
    <n v="37"/>
    <n v="163"/>
    <n v="138"/>
    <n v="5"/>
    <n v="95"/>
    <n v="415"/>
    <n v="325"/>
    <n v="146"/>
    <n v="87"/>
    <n v="316"/>
    <n v="154"/>
    <n v="42"/>
    <n v="112"/>
    <n v="65"/>
    <n v="0"/>
    <n v="9"/>
    <n v="0"/>
    <n v="12"/>
    <n v="377"/>
    <n v="383"/>
    <n v="109"/>
    <n v="215"/>
    <n v="1799"/>
    <n v="452"/>
    <n v="493"/>
    <n v="2976"/>
    <n v="1647"/>
    <n v="5"/>
    <n v="116"/>
    <n v="333"/>
    <n v="130"/>
    <n v="188"/>
    <n v="205"/>
    <n v="154"/>
    <n v="254"/>
    <n v="2268"/>
    <n v="1690"/>
    <n v="1438"/>
    <n v="594"/>
    <n v="1848"/>
    <n v="768"/>
    <n v="826"/>
    <n v="5746"/>
    <n v="1117"/>
    <n v="96"/>
    <n v="1111"/>
    <n v="339"/>
    <n v="104"/>
    <n v="2243"/>
    <n v="103"/>
    <n v="397"/>
    <n v="88"/>
    <n v="1299"/>
    <n v="361"/>
    <n v="474"/>
    <n v="282"/>
    <n v="129"/>
    <n v="0"/>
    <n v="175"/>
    <n v="501"/>
    <n v="279"/>
    <n v="131"/>
    <n v="9"/>
    <n v="872"/>
    <n v="784"/>
    <n v="3515"/>
    <n v="475"/>
    <n v="50335"/>
    <n v="1381"/>
    <n v="901"/>
    <n v="493.4"/>
    <n v="72"/>
    <n v="275"/>
    <n v="327"/>
    <n v="37"/>
    <n v="163"/>
    <n v="415"/>
    <n v="325"/>
    <n v="146"/>
    <n v="6107.6"/>
    <n v="2251"/>
    <n v="12.875079563887235"/>
    <n v="116"/>
    <n v="509.0717292275923"/>
    <n v="181.35714139052743"/>
    <n v="206.69604981799301"/>
    <n v="30043"/>
    <n v="5494"/>
    <n v="0"/>
    <n v="383.65129591524015"/>
    <n v="383"/>
    <n v="111.34870408475986"/>
    <m/>
    <m/>
    <m/>
    <m/>
    <m/>
    <m/>
    <m/>
    <m/>
    <m/>
    <m/>
    <m/>
    <m/>
    <m/>
    <m/>
    <m/>
    <m/>
    <m/>
    <m/>
    <m/>
    <m/>
    <m/>
    <m/>
    <m/>
    <m/>
    <m/>
    <m/>
    <m/>
    <m/>
    <m/>
    <m/>
    <m/>
    <m/>
    <m/>
    <m/>
    <m/>
    <m/>
    <m/>
    <m/>
    <m/>
    <m/>
    <m/>
    <m/>
    <m/>
    <m/>
    <m/>
  </r>
  <r>
    <x v="19"/>
    <n v="0"/>
    <n v="15"/>
    <n v="1"/>
    <n v="95"/>
    <n v="100"/>
    <n v="135"/>
    <n v="106"/>
    <n v="168"/>
    <n v="1"/>
    <n v="95"/>
    <n v="26"/>
    <n v="648"/>
    <n v="567"/>
    <n v="326"/>
    <n v="150"/>
    <n v="23"/>
    <n v="50"/>
    <n v="33"/>
    <n v="10"/>
    <n v="16"/>
    <n v="244"/>
    <n v="130"/>
    <n v="25"/>
    <n v="79"/>
    <n v="331"/>
    <n v="9"/>
    <n v="53"/>
    <n v="58"/>
    <n v="189"/>
    <n v="269"/>
    <n v="55"/>
    <n v="12"/>
    <n v="168"/>
    <n v="17"/>
    <n v="19"/>
    <n v="38"/>
    <n v="120"/>
    <n v="87"/>
    <n v="121"/>
    <n v="0"/>
    <n v="6"/>
    <n v="75"/>
    <n v="189"/>
    <n v="74"/>
    <n v="90"/>
    <n v="23"/>
    <n v="89"/>
    <n v="130"/>
    <n v="139"/>
    <n v="38"/>
    <n v="121"/>
    <n v="81"/>
    <n v="1"/>
    <n v="87"/>
    <n v="478"/>
    <n v="290"/>
    <n v="142"/>
    <n v="151"/>
    <n v="255"/>
    <n v="144"/>
    <n v="52"/>
    <n v="96"/>
    <n v="63"/>
    <n v="0"/>
    <n v="9"/>
    <n v="0"/>
    <n v="36"/>
    <n v="501"/>
    <n v="348"/>
    <n v="48"/>
    <n v="245"/>
    <n v="1951"/>
    <n v="571"/>
    <n v="526"/>
    <n v="5873"/>
    <n v="1643"/>
    <n v="11"/>
    <n v="141"/>
    <n v="358"/>
    <n v="252"/>
    <n v="217"/>
    <n v="198"/>
    <n v="145"/>
    <n v="189"/>
    <n v="0"/>
    <n v="0"/>
    <n v="0"/>
    <n v="0"/>
    <n v="1328"/>
    <n v="772"/>
    <n v="1183"/>
    <n v="1092"/>
    <n v="9396"/>
    <n v="90"/>
    <n v="976"/>
    <n v="280"/>
    <n v="118"/>
    <n v="1879"/>
    <n v="152"/>
    <n v="235"/>
    <n v="0"/>
    <n v="837"/>
    <n v="294"/>
    <n v="130"/>
    <n v="0"/>
    <n v="253"/>
    <n v="0"/>
    <n v="245"/>
    <n v="0"/>
    <n v="239"/>
    <n v="0"/>
    <n v="11"/>
    <n v="326"/>
    <n v="0"/>
    <n v="0"/>
    <n v="0"/>
    <n v="40501"/>
    <n v="16"/>
    <n v="605"/>
    <n v="380.3"/>
    <n v="75"/>
    <n v="189"/>
    <n v="269"/>
    <n v="38"/>
    <n v="121"/>
    <n v="478"/>
    <n v="290"/>
    <n v="142"/>
    <n v="5080.7"/>
    <n v="2522"/>
    <n v="16.859803297538139"/>
    <n v="141"/>
    <n v="489.01400324415334"/>
    <n v="290.21456583783339"/>
    <n v="230.91162762047512"/>
    <n v="28221"/>
    <n v="0"/>
    <n v="0"/>
    <n v="507.65129591524015"/>
    <n v="348"/>
    <n v="50.348704084759859"/>
    <m/>
    <m/>
    <m/>
    <m/>
    <m/>
    <m/>
    <m/>
    <m/>
    <m/>
    <m/>
    <m/>
    <m/>
    <m/>
    <m/>
    <m/>
    <m/>
    <m/>
    <m/>
    <m/>
    <m/>
    <m/>
    <m/>
    <m/>
    <m/>
    <m/>
    <m/>
    <m/>
    <m/>
    <m/>
    <m/>
    <m/>
    <m/>
    <m/>
    <m/>
    <m/>
    <m/>
    <m/>
    <m/>
    <m/>
    <m/>
    <m/>
    <m/>
    <m/>
    <m/>
    <m/>
  </r>
  <r>
    <x v="19"/>
    <n v="0"/>
    <n v="0"/>
    <n v="0"/>
    <n v="177"/>
    <n v="537"/>
    <n v="884"/>
    <n v="203"/>
    <n v="1572"/>
    <n v="1"/>
    <n v="487"/>
    <n v="69"/>
    <n v="923"/>
    <n v="1163"/>
    <n v="1513"/>
    <n v="207"/>
    <n v="84"/>
    <n v="251"/>
    <n v="68"/>
    <n v="59"/>
    <n v="119"/>
    <n v="1752"/>
    <n v="101"/>
    <n v="10"/>
    <n v="9"/>
    <n v="7"/>
    <n v="6"/>
    <n v="36"/>
    <n v="20"/>
    <n v="9"/>
    <n v="41"/>
    <n v="7"/>
    <n v="20"/>
    <n v="16"/>
    <n v="44"/>
    <n v="23"/>
    <n v="96"/>
    <n v="22"/>
    <n v="55"/>
    <n v="64"/>
    <n v="0"/>
    <n v="0"/>
    <n v="2"/>
    <n v="37"/>
    <n v="3"/>
    <n v="2"/>
    <n v="2"/>
    <n v="18"/>
    <n v="15"/>
    <n v="33"/>
    <n v="2"/>
    <n v="2"/>
    <n v="140"/>
    <n v="2"/>
    <n v="39"/>
    <n v="56"/>
    <n v="29"/>
    <n v="6"/>
    <n v="2"/>
    <n v="18"/>
    <n v="15"/>
    <n v="85"/>
    <n v="27"/>
    <n v="1"/>
    <n v="16"/>
    <n v="0"/>
    <n v="0"/>
    <n v="4"/>
    <n v="138"/>
    <n v="89"/>
    <n v="26"/>
    <n v="0"/>
    <n v="272"/>
    <n v="50"/>
    <n v="88"/>
    <n v="151"/>
    <n v="3456"/>
    <n v="121"/>
    <n v="16"/>
    <n v="50"/>
    <n v="6"/>
    <n v="118"/>
    <n v="26"/>
    <n v="359"/>
    <n v="27"/>
    <n v="829"/>
    <n v="426"/>
    <n v="33"/>
    <n v="103"/>
    <n v="72"/>
    <n v="826"/>
    <n v="295"/>
    <n v="210"/>
    <n v="27"/>
    <n v="6726"/>
    <n v="102"/>
    <n v="128"/>
    <n v="111"/>
    <n v="205"/>
    <n v="5"/>
    <n v="41"/>
    <n v="24"/>
    <n v="222"/>
    <n v="1068"/>
    <n v="761"/>
    <n v="142"/>
    <n v="0"/>
    <n v="0"/>
    <n v="56"/>
    <n v="46"/>
    <n v="55"/>
    <n v="75"/>
    <n v="24"/>
    <n v="32"/>
    <n v="9"/>
    <n v="459"/>
    <n v="36"/>
    <n v="29352"/>
    <n v="0"/>
    <n v="3374"/>
    <n v="1857.2"/>
    <n v="2"/>
    <n v="37"/>
    <n v="48"/>
    <n v="2"/>
    <n v="2"/>
    <n v="56"/>
    <n v="29"/>
    <n v="6"/>
    <n v="5781.8"/>
    <n v="322"/>
    <n v="121.83711475679117"/>
    <n v="16"/>
    <n v="68.716286177736194"/>
    <n v="11.459223691119057"/>
    <n v="119.98737537435359"/>
    <n v="16579"/>
    <n v="649"/>
    <n v="16"/>
    <n v="138"/>
    <n v="89"/>
    <n v="26"/>
    <m/>
    <m/>
    <m/>
    <m/>
    <m/>
    <m/>
    <m/>
    <m/>
    <m/>
    <m/>
    <m/>
    <m/>
    <m/>
    <m/>
    <m/>
    <m/>
    <m/>
    <m/>
    <m/>
    <m/>
    <m/>
    <m/>
    <m/>
    <m/>
    <m/>
    <m/>
    <m/>
    <m/>
    <m/>
    <m/>
    <m/>
    <m/>
    <m/>
    <m/>
    <m/>
    <m/>
    <m/>
    <m/>
    <m/>
    <m/>
    <m/>
    <m/>
    <m/>
    <m/>
    <m/>
  </r>
  <r>
    <x v="19"/>
    <n v="0"/>
    <n v="21"/>
    <n v="5"/>
    <n v="85"/>
    <n v="93"/>
    <n v="58"/>
    <n v="69"/>
    <n v="219"/>
    <n v="1"/>
    <n v="68"/>
    <n v="14"/>
    <n v="115"/>
    <n v="191"/>
    <n v="109"/>
    <n v="33"/>
    <n v="6"/>
    <n v="26"/>
    <n v="12"/>
    <n v="18"/>
    <n v="11"/>
    <n v="247"/>
    <n v="200"/>
    <n v="71"/>
    <n v="112"/>
    <n v="416"/>
    <n v="36"/>
    <n v="31"/>
    <n v="33"/>
    <n v="89"/>
    <n v="99"/>
    <n v="30"/>
    <n v="23"/>
    <n v="72"/>
    <n v="22"/>
    <n v="7"/>
    <n v="50"/>
    <n v="89"/>
    <n v="68"/>
    <n v="126"/>
    <n v="4"/>
    <n v="10"/>
    <n v="46"/>
    <n v="117"/>
    <n v="27"/>
    <n v="23"/>
    <n v="17"/>
    <n v="56"/>
    <n v="27"/>
    <n v="28"/>
    <n v="19"/>
    <n v="43"/>
    <n v="45"/>
    <n v="7"/>
    <n v="23"/>
    <n v="60"/>
    <n v="112"/>
    <n v="40"/>
    <n v="34"/>
    <n v="92"/>
    <n v="28"/>
    <n v="34"/>
    <n v="72"/>
    <n v="31"/>
    <n v="0"/>
    <n v="18"/>
    <n v="0"/>
    <n v="7"/>
    <n v="85"/>
    <n v="197"/>
    <n v="41"/>
    <n v="99"/>
    <n v="3535"/>
    <n v="812"/>
    <n v="159"/>
    <n v="616"/>
    <n v="168"/>
    <n v="6"/>
    <n v="49"/>
    <n v="77"/>
    <n v="65"/>
    <n v="66"/>
    <n v="93"/>
    <n v="19"/>
    <n v="83"/>
    <n v="549"/>
    <n v="421"/>
    <n v="404"/>
    <n v="2494"/>
    <n v="414"/>
    <n v="171"/>
    <n v="526"/>
    <n v="356"/>
    <n v="173"/>
    <n v="89"/>
    <n v="10592"/>
    <n v="673"/>
    <n v="145"/>
    <n v="988"/>
    <n v="47"/>
    <n v="448"/>
    <n v="4"/>
    <n v="287"/>
    <n v="263"/>
    <n v="274"/>
    <n v="101"/>
    <n v="69"/>
    <n v="0"/>
    <n v="40"/>
    <n v="108"/>
    <n v="39"/>
    <n v="3"/>
    <n v="2"/>
    <n v="86"/>
    <n v="31"/>
    <n v="1664"/>
    <n v="3"/>
    <n v="31629"/>
    <n v="26"/>
    <n v="525"/>
    <n v="472.2"/>
    <n v="46"/>
    <n v="117"/>
    <n v="55"/>
    <n v="19"/>
    <n v="43"/>
    <n v="60"/>
    <n v="112"/>
    <n v="40"/>
    <n v="2560.8000000000002"/>
    <n v="4347"/>
    <n v="8.5733527708765376"/>
    <n v="49"/>
    <n v="134.53525010192976"/>
    <n v="81.782058013440064"/>
    <n v="72.109339113753634"/>
    <n v="20706"/>
    <n v="1813"/>
    <n v="0"/>
    <n v="98.302591830480281"/>
    <n v="197"/>
    <n v="45.697408169519726"/>
    <m/>
    <m/>
    <m/>
    <m/>
    <m/>
    <m/>
    <m/>
    <m/>
    <m/>
    <m/>
    <m/>
    <m/>
    <m/>
    <m/>
    <m/>
    <m/>
    <m/>
    <m/>
    <m/>
    <m/>
    <m/>
    <m/>
    <m/>
    <m/>
    <m/>
    <m/>
    <m/>
    <m/>
    <m/>
    <m/>
    <m/>
    <m/>
    <m/>
    <m/>
    <m/>
    <m/>
    <m/>
    <m/>
    <m/>
    <m/>
    <m/>
    <m/>
    <m/>
    <m/>
    <m/>
  </r>
  <r>
    <x v="19"/>
    <n v="795"/>
    <n v="0"/>
    <n v="0"/>
    <n v="146"/>
    <n v="205"/>
    <n v="230"/>
    <n v="66"/>
    <n v="366"/>
    <n v="1"/>
    <n v="22"/>
    <n v="5"/>
    <n v="122"/>
    <n v="166"/>
    <n v="122"/>
    <n v="25"/>
    <n v="5"/>
    <n v="12"/>
    <n v="17"/>
    <n v="7"/>
    <n v="8"/>
    <n v="236"/>
    <n v="124"/>
    <n v="14"/>
    <n v="24"/>
    <n v="168"/>
    <n v="2"/>
    <n v="33"/>
    <n v="40"/>
    <n v="80"/>
    <n v="125"/>
    <n v="57"/>
    <n v="6"/>
    <n v="95"/>
    <n v="5"/>
    <n v="4"/>
    <n v="19"/>
    <n v="27"/>
    <n v="36"/>
    <n v="36"/>
    <n v="0"/>
    <n v="44"/>
    <n v="70"/>
    <n v="106"/>
    <n v="23"/>
    <n v="23"/>
    <n v="21"/>
    <n v="7"/>
    <n v="45"/>
    <n v="67"/>
    <n v="41"/>
    <n v="66"/>
    <n v="84"/>
    <n v="1"/>
    <n v="49"/>
    <n v="283"/>
    <n v="185"/>
    <n v="49"/>
    <n v="47"/>
    <n v="114"/>
    <n v="71"/>
    <n v="1"/>
    <n v="41"/>
    <n v="19"/>
    <n v="0"/>
    <n v="9"/>
    <n v="0"/>
    <n v="5"/>
    <n v="192"/>
    <n v="1006"/>
    <n v="174"/>
    <n v="378"/>
    <n v="2033"/>
    <n v="636"/>
    <n v="337"/>
    <n v="1097"/>
    <n v="922"/>
    <n v="6"/>
    <n v="242"/>
    <n v="856"/>
    <n v="100"/>
    <n v="246"/>
    <n v="282"/>
    <n v="55"/>
    <n v="250"/>
    <n v="72"/>
    <n v="73"/>
    <n v="0"/>
    <n v="64"/>
    <n v="192"/>
    <n v="561"/>
    <n v="598"/>
    <n v="447"/>
    <n v="145"/>
    <n v="291"/>
    <n v="474"/>
    <n v="4410"/>
    <n v="46"/>
    <n v="880"/>
    <n v="36"/>
    <n v="166"/>
    <n v="44"/>
    <n v="131"/>
    <n v="142"/>
    <n v="72"/>
    <n v="249"/>
    <n v="44"/>
    <n v="0"/>
    <n v="83"/>
    <n v="95"/>
    <n v="27"/>
    <n v="32"/>
    <n v="4"/>
    <n v="32"/>
    <n v="44"/>
    <n v="737"/>
    <n v="37"/>
    <n v="23962"/>
    <n v="795"/>
    <n v="1014"/>
    <n v="361.4"/>
    <n v="70"/>
    <n v="106"/>
    <n v="112"/>
    <n v="41"/>
    <n v="66"/>
    <n v="283"/>
    <n v="185"/>
    <n v="49"/>
    <n v="2208.6"/>
    <n v="2669"/>
    <n v="13.751062562881138"/>
    <n v="242"/>
    <n v="1029.2989460901499"/>
    <n v="150.54836751036163"/>
    <n v="264.40162383660731"/>
    <n v="11932"/>
    <n v="989"/>
    <n v="0"/>
    <n v="198.65129591524013"/>
    <n v="1006"/>
    <n v="176.34870408475987"/>
    <m/>
    <m/>
    <m/>
    <m/>
    <m/>
    <m/>
    <m/>
    <m/>
    <m/>
    <m/>
    <m/>
    <m/>
    <m/>
    <m/>
    <m/>
    <m/>
    <m/>
    <m/>
    <m/>
    <m/>
    <m/>
    <m/>
    <m/>
    <m/>
    <m/>
    <m/>
    <m/>
    <m/>
    <m/>
    <m/>
    <m/>
    <m/>
    <m/>
    <m/>
    <m/>
    <m/>
    <m/>
    <m/>
    <m/>
    <m/>
    <m/>
    <m/>
    <m/>
    <m/>
    <m/>
  </r>
  <r>
    <x v="19"/>
    <n v="0"/>
    <n v="103"/>
    <n v="75"/>
    <n v="463"/>
    <n v="345"/>
    <n v="235"/>
    <n v="196"/>
    <n v="612"/>
    <n v="49"/>
    <n v="59"/>
    <n v="18"/>
    <n v="238"/>
    <n v="387"/>
    <n v="156"/>
    <n v="277"/>
    <n v="34"/>
    <n v="88"/>
    <n v="67"/>
    <n v="49"/>
    <n v="45"/>
    <n v="841"/>
    <n v="335"/>
    <n v="49"/>
    <n v="26"/>
    <n v="372"/>
    <n v="11"/>
    <n v="189"/>
    <n v="210"/>
    <n v="285"/>
    <n v="424"/>
    <n v="104"/>
    <n v="51"/>
    <n v="247"/>
    <n v="65"/>
    <n v="45"/>
    <n v="91"/>
    <n v="172"/>
    <n v="88"/>
    <n v="206"/>
    <n v="0"/>
    <n v="0"/>
    <n v="149"/>
    <n v="417"/>
    <n v="68"/>
    <n v="72"/>
    <n v="23"/>
    <n v="226"/>
    <n v="152"/>
    <n v="206"/>
    <n v="116"/>
    <n v="382"/>
    <n v="223"/>
    <n v="7"/>
    <n v="167"/>
    <n v="448"/>
    <n v="411"/>
    <n v="182"/>
    <n v="84"/>
    <n v="506"/>
    <n v="301"/>
    <n v="122"/>
    <n v="502"/>
    <n v="226"/>
    <n v="0"/>
    <n v="0"/>
    <n v="0"/>
    <n v="3"/>
    <n v="38"/>
    <n v="151"/>
    <n v="79"/>
    <n v="29"/>
    <n v="4379"/>
    <n v="1337"/>
    <n v="204"/>
    <n v="1443"/>
    <n v="842"/>
    <n v="116"/>
    <n v="189"/>
    <n v="547"/>
    <n v="119"/>
    <n v="231"/>
    <n v="372"/>
    <n v="184"/>
    <n v="418"/>
    <n v="244"/>
    <n v="128"/>
    <n v="114"/>
    <n v="60"/>
    <n v="76"/>
    <n v="257"/>
    <n v="287"/>
    <n v="306"/>
    <n v="223"/>
    <n v="158"/>
    <n v="275"/>
    <n v="232"/>
    <n v="251"/>
    <n v="719"/>
    <n v="124"/>
    <n v="72"/>
    <n v="76"/>
    <n v="341"/>
    <n v="42"/>
    <n v="43"/>
    <n v="144"/>
    <n v="45"/>
    <n v="0"/>
    <n v="0"/>
    <n v="278"/>
    <n v="0"/>
    <n v="224"/>
    <n v="0"/>
    <n v="0"/>
    <n v="191"/>
    <n v="996"/>
    <n v="10"/>
    <n v="28894"/>
    <n v="178"/>
    <n v="1900"/>
    <n v="1183.7"/>
    <n v="149"/>
    <n v="417"/>
    <n v="358"/>
    <n v="116"/>
    <n v="382"/>
    <n v="448"/>
    <n v="411"/>
    <n v="182"/>
    <n v="6604.3"/>
    <n v="5716"/>
    <n v="128.95977660513725"/>
    <n v="189"/>
    <n v="836.75583786273069"/>
    <n v="203.51687047732466"/>
    <n v="261.7675150548074"/>
    <n v="7186"/>
    <n v="1775"/>
    <n v="0"/>
    <n v="38"/>
    <n v="151"/>
    <n v="79"/>
    <m/>
    <m/>
    <m/>
    <m/>
    <m/>
    <m/>
    <m/>
    <m/>
    <m/>
    <m/>
    <m/>
    <m/>
    <m/>
    <m/>
    <m/>
    <m/>
    <m/>
    <m/>
    <m/>
    <m/>
    <m/>
    <m/>
    <m/>
    <m/>
    <m/>
    <m/>
    <m/>
    <m/>
    <m/>
    <m/>
    <m/>
    <m/>
    <m/>
    <m/>
    <m/>
    <m/>
    <m/>
    <m/>
    <m/>
    <m/>
    <m/>
    <m/>
    <m/>
    <m/>
    <m/>
  </r>
  <r>
    <x v="19"/>
    <n v="7"/>
    <n v="47"/>
    <n v="3"/>
    <n v="338"/>
    <n v="677"/>
    <n v="643"/>
    <n v="238"/>
    <n v="760"/>
    <n v="1"/>
    <n v="163"/>
    <n v="25"/>
    <n v="903"/>
    <n v="437"/>
    <n v="406"/>
    <n v="163"/>
    <n v="51"/>
    <n v="73"/>
    <n v="46"/>
    <n v="24"/>
    <n v="12"/>
    <n v="485"/>
    <n v="191"/>
    <n v="58"/>
    <n v="171"/>
    <n v="541"/>
    <n v="64"/>
    <n v="146"/>
    <n v="160"/>
    <n v="236"/>
    <n v="632"/>
    <n v="72"/>
    <n v="44"/>
    <n v="306"/>
    <n v="146"/>
    <n v="12"/>
    <n v="122"/>
    <n v="163"/>
    <n v="144"/>
    <n v="168"/>
    <n v="0"/>
    <n v="54"/>
    <n v="207"/>
    <n v="436"/>
    <n v="123"/>
    <n v="109"/>
    <n v="47"/>
    <n v="126"/>
    <n v="259"/>
    <n v="271"/>
    <n v="66"/>
    <n v="271"/>
    <n v="200"/>
    <n v="11"/>
    <n v="157"/>
    <n v="407"/>
    <n v="567"/>
    <n v="393"/>
    <n v="144"/>
    <n v="762"/>
    <n v="337"/>
    <n v="71"/>
    <n v="218"/>
    <n v="96"/>
    <n v="0"/>
    <n v="0"/>
    <n v="0"/>
    <n v="95"/>
    <n v="407"/>
    <n v="1317"/>
    <n v="95"/>
    <n v="277"/>
    <n v="3208"/>
    <n v="627"/>
    <n v="1731"/>
    <n v="12462"/>
    <n v="3585"/>
    <n v="14"/>
    <n v="398"/>
    <n v="941"/>
    <n v="734"/>
    <n v="531"/>
    <n v="801"/>
    <n v="422"/>
    <n v="714"/>
    <n v="5119"/>
    <n v="3473"/>
    <n v="3093"/>
    <n v="1147"/>
    <n v="2215"/>
    <n v="2112"/>
    <n v="1722"/>
    <n v="1409"/>
    <n v="5019"/>
    <n v="1258"/>
    <n v="2029"/>
    <n v="1448"/>
    <n v="103"/>
    <n v="12255"/>
    <n v="131"/>
    <n v="2887"/>
    <n v="127"/>
    <n v="1629"/>
    <n v="438"/>
    <n v="849"/>
    <n v="615"/>
    <n v="338"/>
    <n v="0"/>
    <n v="442"/>
    <n v="2150"/>
    <n v="1473"/>
    <n v="1824"/>
    <n v="27"/>
    <n v="415"/>
    <n v="569"/>
    <n v="5351"/>
    <n v="707"/>
    <n v="104943"/>
    <n v="57"/>
    <n v="2657"/>
    <n v="720.8"/>
    <n v="207"/>
    <n v="436"/>
    <n v="530"/>
    <n v="66"/>
    <n v="271"/>
    <n v="407"/>
    <n v="567"/>
    <n v="393"/>
    <n v="8270.2000000000007"/>
    <n v="3835"/>
    <n v="36.137034679588524"/>
    <n v="398"/>
    <n v="1435.9417900334681"/>
    <n v="878.3661376095929"/>
    <n v="583.55503767735047"/>
    <n v="70647"/>
    <n v="10728"/>
    <n v="0"/>
    <n v="407"/>
    <n v="1317"/>
    <n v="95"/>
    <m/>
    <m/>
    <m/>
    <m/>
    <m/>
    <m/>
    <m/>
    <m/>
    <m/>
    <m/>
    <m/>
    <m/>
    <m/>
    <m/>
    <m/>
    <m/>
    <m/>
    <m/>
    <m/>
    <m/>
    <m/>
    <m/>
    <m/>
    <m/>
    <m/>
    <m/>
    <m/>
    <m/>
    <m/>
    <m/>
    <m/>
    <m/>
    <m/>
    <m/>
    <m/>
    <m/>
    <m/>
    <m/>
    <m/>
    <m/>
    <m/>
    <m/>
    <m/>
    <m/>
    <m/>
  </r>
  <r>
    <x v="19"/>
    <n v="53"/>
    <n v="0"/>
    <n v="0"/>
    <n v="74"/>
    <n v="58"/>
    <n v="73"/>
    <n v="35"/>
    <n v="91"/>
    <n v="1"/>
    <n v="18"/>
    <n v="13"/>
    <n v="100"/>
    <n v="177"/>
    <n v="124"/>
    <n v="41"/>
    <n v="1"/>
    <n v="16"/>
    <n v="6"/>
    <n v="5"/>
    <n v="9"/>
    <n v="62"/>
    <n v="46"/>
    <n v="9"/>
    <n v="12"/>
    <n v="29"/>
    <n v="6"/>
    <n v="10"/>
    <n v="9"/>
    <n v="25"/>
    <n v="22"/>
    <n v="16"/>
    <n v="6"/>
    <n v="19"/>
    <n v="5"/>
    <n v="4"/>
    <n v="13"/>
    <n v="35"/>
    <n v="14"/>
    <n v="22"/>
    <n v="0"/>
    <n v="27"/>
    <n v="42"/>
    <n v="128"/>
    <n v="23"/>
    <n v="34"/>
    <n v="12"/>
    <n v="100"/>
    <n v="65"/>
    <n v="102"/>
    <n v="38"/>
    <n v="98"/>
    <n v="79"/>
    <n v="3"/>
    <n v="34"/>
    <n v="87"/>
    <n v="135"/>
    <n v="67"/>
    <n v="53"/>
    <n v="85"/>
    <n v="63"/>
    <n v="80"/>
    <n v="29"/>
    <n v="42"/>
    <n v="0"/>
    <n v="9"/>
    <n v="0"/>
    <n v="7"/>
    <n v="76"/>
    <n v="145"/>
    <n v="73"/>
    <n v="692"/>
    <n v="443"/>
    <n v="193"/>
    <n v="226"/>
    <n v="655"/>
    <n v="671"/>
    <n v="3"/>
    <n v="15"/>
    <n v="62"/>
    <n v="23"/>
    <n v="51"/>
    <n v="48"/>
    <n v="28"/>
    <n v="75"/>
    <n v="28"/>
    <n v="36"/>
    <n v="23"/>
    <n v="170"/>
    <n v="1332"/>
    <n v="221"/>
    <n v="270"/>
    <n v="228"/>
    <n v="246"/>
    <n v="113"/>
    <n v="219"/>
    <n v="143"/>
    <n v="19"/>
    <n v="715"/>
    <n v="4245"/>
    <n v="143"/>
    <n v="0"/>
    <n v="254"/>
    <n v="91"/>
    <n v="60"/>
    <n v="6"/>
    <n v="50"/>
    <n v="0"/>
    <n v="33"/>
    <n v="1"/>
    <n v="93"/>
    <n v="1"/>
    <n v="2"/>
    <n v="56"/>
    <n v="10"/>
    <n v="2876"/>
    <n v="0"/>
    <n v="17864"/>
    <n v="53"/>
    <n v="332"/>
    <n v="112.2"/>
    <n v="42"/>
    <n v="128"/>
    <n v="167"/>
    <n v="38"/>
    <n v="98"/>
    <n v="87"/>
    <n v="135"/>
    <n v="67"/>
    <n v="2124.8000000000002"/>
    <n v="636"/>
    <n v="5.3253187688643413"/>
    <n v="15"/>
    <n v="113.98968382704498"/>
    <n v="38.164510253108489"/>
    <n v="56.520487150982191"/>
    <n v="10424"/>
    <n v="2888"/>
    <n v="0"/>
    <n v="82.651295915240141"/>
    <n v="145"/>
    <n v="75.348704084759859"/>
    <m/>
    <m/>
    <m/>
    <m/>
    <m/>
    <m/>
    <m/>
    <m/>
    <m/>
    <m/>
    <m/>
    <m/>
    <m/>
    <m/>
    <m/>
    <m/>
    <m/>
    <m/>
    <m/>
    <m/>
    <m/>
    <m/>
    <m/>
    <m/>
    <m/>
    <m/>
    <m/>
    <m/>
    <m/>
    <m/>
    <m/>
    <m/>
    <m/>
    <m/>
    <m/>
    <m/>
    <m/>
    <m/>
    <m/>
    <m/>
    <m/>
    <m/>
    <m/>
    <m/>
    <m/>
  </r>
  <r>
    <x v="19"/>
    <n v="237"/>
    <n v="6"/>
    <n v="1"/>
    <n v="26"/>
    <n v="101"/>
    <n v="64"/>
    <n v="76"/>
    <n v="172"/>
    <n v="11"/>
    <n v="20"/>
    <n v="3"/>
    <n v="7"/>
    <n v="2964"/>
    <n v="466"/>
    <n v="130"/>
    <n v="2"/>
    <n v="58"/>
    <n v="60"/>
    <n v="118"/>
    <n v="62"/>
    <n v="2827"/>
    <n v="715"/>
    <n v="54"/>
    <n v="94"/>
    <n v="1672"/>
    <n v="23"/>
    <n v="7"/>
    <n v="90"/>
    <n v="248"/>
    <n v="245"/>
    <n v="76"/>
    <n v="38"/>
    <n v="183"/>
    <n v="0"/>
    <n v="149"/>
    <n v="98"/>
    <n v="1187"/>
    <n v="186"/>
    <n v="756"/>
    <n v="1"/>
    <n v="37"/>
    <n v="153"/>
    <n v="124"/>
    <n v="21"/>
    <n v="58"/>
    <n v="12"/>
    <n v="12"/>
    <n v="27"/>
    <n v="18"/>
    <n v="192"/>
    <n v="279"/>
    <n v="291"/>
    <n v="3"/>
    <n v="569"/>
    <n v="254"/>
    <n v="187"/>
    <n v="83"/>
    <n v="49"/>
    <n v="29"/>
    <n v="93"/>
    <n v="3"/>
    <n v="810"/>
    <n v="1584"/>
    <n v="0"/>
    <n v="56"/>
    <n v="0"/>
    <n v="29"/>
    <n v="123"/>
    <n v="374"/>
    <n v="32"/>
    <n v="1"/>
    <n v="48"/>
    <n v="65"/>
    <n v="0"/>
    <n v="0"/>
    <n v="0"/>
    <n v="13"/>
    <n v="2"/>
    <n v="1"/>
    <n v="4"/>
    <n v="0"/>
    <n v="0"/>
    <n v="0"/>
    <n v="0"/>
    <n v="0"/>
    <n v="0"/>
    <n v="0"/>
    <n v="0"/>
    <n v="0"/>
    <n v="772"/>
    <n v="1238"/>
    <n v="0"/>
    <n v="0"/>
    <n v="0"/>
    <n v="244"/>
    <n v="0"/>
    <n v="0"/>
    <n v="0"/>
    <n v="0"/>
    <n v="1662"/>
    <n v="839"/>
    <n v="0"/>
    <n v="0"/>
    <n v="0"/>
    <n v="13"/>
    <n v="0"/>
    <n v="0"/>
    <n v="0"/>
    <n v="29"/>
    <n v="45"/>
    <n v="95"/>
    <n v="0"/>
    <n v="0"/>
    <n v="0"/>
    <n v="1214"/>
    <n v="0"/>
    <n v="25020"/>
    <n v="244"/>
    <n v="450"/>
    <n v="3558.1"/>
    <n v="153"/>
    <n v="124"/>
    <n v="45"/>
    <n v="192"/>
    <n v="279"/>
    <n v="254"/>
    <n v="187"/>
    <n v="83"/>
    <n v="12581.9"/>
    <n v="113"/>
    <n v="13"/>
    <n v="2"/>
    <n v="1"/>
    <n v="4"/>
    <n v="0"/>
    <n v="3974"/>
    <n v="2177"/>
    <n v="0"/>
    <n v="164.38584125038307"/>
    <n v="374"/>
    <n v="46.614158749616919"/>
    <m/>
    <m/>
    <m/>
    <m/>
    <m/>
    <m/>
    <m/>
    <m/>
    <m/>
    <m/>
    <m/>
    <m/>
    <m/>
    <m/>
    <m/>
    <m/>
    <m/>
    <m/>
    <m/>
    <m/>
    <m/>
    <m/>
    <m/>
    <m/>
    <m/>
    <m/>
    <m/>
    <m/>
    <m/>
    <m/>
    <m/>
    <m/>
    <m/>
    <m/>
    <m/>
    <m/>
    <m/>
    <m/>
    <m/>
    <m/>
    <m/>
    <m/>
    <m/>
    <m/>
    <m/>
  </r>
  <r>
    <x v="26"/>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m/>
    <m/>
    <m/>
    <m/>
    <m/>
    <m/>
    <m/>
    <m/>
    <m/>
    <m/>
    <m/>
    <m/>
    <m/>
    <m/>
    <m/>
    <m/>
    <m/>
    <m/>
    <m/>
    <m/>
    <m/>
    <m/>
    <m/>
    <m/>
  </r>
  <r>
    <x v="19"/>
    <n v="26"/>
    <n v="3"/>
    <n v="1"/>
    <n v="40"/>
    <n v="84"/>
    <n v="49"/>
    <n v="54"/>
    <n v="150"/>
    <n v="1"/>
    <n v="26"/>
    <n v="8"/>
    <n v="109"/>
    <n v="162"/>
    <n v="107"/>
    <n v="52"/>
    <n v="7"/>
    <n v="21"/>
    <n v="7"/>
    <n v="12"/>
    <n v="7"/>
    <n v="148"/>
    <n v="62"/>
    <n v="22"/>
    <n v="26"/>
    <n v="135"/>
    <n v="14"/>
    <n v="31"/>
    <n v="39"/>
    <n v="48"/>
    <n v="82"/>
    <n v="17"/>
    <n v="8"/>
    <n v="57"/>
    <n v="7"/>
    <n v="8"/>
    <n v="27"/>
    <n v="54"/>
    <n v="30"/>
    <n v="52"/>
    <n v="0"/>
    <n v="0"/>
    <n v="39"/>
    <n v="78"/>
    <n v="21"/>
    <n v="19"/>
    <n v="9"/>
    <n v="47"/>
    <n v="16"/>
    <n v="25"/>
    <n v="31"/>
    <n v="75"/>
    <n v="39"/>
    <n v="1"/>
    <n v="24"/>
    <n v="106"/>
    <n v="121"/>
    <n v="33"/>
    <n v="22"/>
    <n v="83"/>
    <n v="51"/>
    <n v="48"/>
    <n v="52"/>
    <n v="13"/>
    <n v="0"/>
    <n v="0"/>
    <n v="0"/>
    <n v="0"/>
    <n v="81"/>
    <n v="108"/>
    <n v="14"/>
    <n v="50"/>
    <n v="133"/>
    <n v="104"/>
    <n v="213"/>
    <n v="3038"/>
    <n v="2048"/>
    <n v="9"/>
    <n v="134"/>
    <n v="488"/>
    <n v="166"/>
    <n v="107"/>
    <n v="115"/>
    <n v="118"/>
    <n v="100"/>
    <n v="474"/>
    <n v="98"/>
    <n v="61"/>
    <n v="352"/>
    <n v="487"/>
    <n v="293"/>
    <n v="661"/>
    <n v="608"/>
    <n v="435"/>
    <n v="73"/>
    <n v="541"/>
    <n v="244"/>
    <n v="78"/>
    <n v="1517"/>
    <n v="53"/>
    <n v="220"/>
    <n v="34"/>
    <n v="1993"/>
    <n v="264"/>
    <n v="364"/>
    <n v="306"/>
    <n v="49"/>
    <n v="0"/>
    <n v="56"/>
    <n v="581"/>
    <n v="233"/>
    <n v="99"/>
    <n v="7"/>
    <n v="358"/>
    <n v="1181"/>
    <n v="291"/>
    <n v="86"/>
    <n v="21869"/>
    <n v="30"/>
    <n v="378"/>
    <n v="219.8"/>
    <n v="39"/>
    <n v="78"/>
    <n v="41"/>
    <n v="31"/>
    <n v="75"/>
    <n v="106"/>
    <n v="121"/>
    <n v="33"/>
    <n v="1644.2"/>
    <n v="237"/>
    <n v="12.100425025152454"/>
    <n v="134"/>
    <n v="557.31957843605994"/>
    <n v="186.21934700414465"/>
    <n v="114.36064953464293"/>
    <n v="15357"/>
    <n v="2272"/>
    <n v="0"/>
    <n v="81"/>
    <n v="108"/>
    <n v="14"/>
    <m/>
    <m/>
    <m/>
    <m/>
    <m/>
    <m/>
    <m/>
    <m/>
    <m/>
    <m/>
    <m/>
    <m/>
    <m/>
    <m/>
    <m/>
    <m/>
    <m/>
    <m/>
    <m/>
    <m/>
    <m/>
    <m/>
    <m/>
    <m/>
    <m/>
    <m/>
    <m/>
    <m/>
    <m/>
    <m/>
    <m/>
    <m/>
    <m/>
    <m/>
    <m/>
    <m/>
    <m/>
    <m/>
    <m/>
    <m/>
    <m/>
    <m/>
    <m/>
    <m/>
    <m/>
  </r>
  <r>
    <x v="19"/>
    <n v="0"/>
    <n v="0"/>
    <n v="0"/>
    <n v="2"/>
    <n v="2"/>
    <n v="0"/>
    <n v="0"/>
    <n v="0"/>
    <n v="0"/>
    <n v="9"/>
    <n v="2"/>
    <n v="165"/>
    <n v="49"/>
    <n v="13"/>
    <n v="11"/>
    <n v="0"/>
    <n v="25"/>
    <n v="10"/>
    <n v="7"/>
    <n v="8"/>
    <n v="0"/>
    <n v="0"/>
    <n v="2"/>
    <n v="1"/>
    <n v="4"/>
    <n v="1"/>
    <n v="7"/>
    <n v="9"/>
    <n v="11"/>
    <n v="12"/>
    <n v="3"/>
    <n v="1"/>
    <n v="8"/>
    <n v="15"/>
    <n v="2"/>
    <n v="5"/>
    <n v="4"/>
    <n v="7"/>
    <n v="10"/>
    <n v="0"/>
    <n v="10"/>
    <n v="22"/>
    <n v="59"/>
    <n v="9"/>
    <n v="7"/>
    <n v="7"/>
    <n v="3"/>
    <n v="12"/>
    <n v="13"/>
    <n v="4"/>
    <n v="21"/>
    <n v="20"/>
    <n v="1"/>
    <n v="10"/>
    <n v="13"/>
    <n v="49"/>
    <n v="22"/>
    <n v="25"/>
    <n v="34"/>
    <n v="15"/>
    <n v="15"/>
    <n v="25"/>
    <n v="6"/>
    <n v="0"/>
    <n v="0"/>
    <n v="0"/>
    <n v="3"/>
    <n v="34"/>
    <n v="67"/>
    <n v="11"/>
    <n v="33"/>
    <n v="70"/>
    <n v="20"/>
    <n v="69"/>
    <n v="48"/>
    <n v="192"/>
    <n v="3"/>
    <n v="6"/>
    <n v="8"/>
    <n v="0"/>
    <n v="15"/>
    <n v="0"/>
    <n v="23"/>
    <n v="2"/>
    <n v="0"/>
    <n v="0"/>
    <n v="0"/>
    <n v="122"/>
    <n v="1009"/>
    <n v="0"/>
    <n v="245"/>
    <n v="243"/>
    <n v="51"/>
    <n v="31"/>
    <n v="209"/>
    <n v="115"/>
    <n v="16"/>
    <n v="1246"/>
    <n v="26"/>
    <n v="184"/>
    <n v="0"/>
    <n v="333"/>
    <n v="4306"/>
    <n v="375"/>
    <n v="0"/>
    <n v="28"/>
    <n v="0"/>
    <n v="2"/>
    <n v="0"/>
    <n v="16"/>
    <n v="0"/>
    <n v="0"/>
    <n v="52"/>
    <n v="0"/>
    <n v="1"/>
    <n v="0"/>
    <n v="10021"/>
    <n v="0"/>
    <n v="4"/>
    <n v="0.7"/>
    <n v="22"/>
    <n v="59"/>
    <n v="25"/>
    <n v="4"/>
    <n v="21"/>
    <n v="13"/>
    <n v="49"/>
    <n v="22"/>
    <n v="623.29999999999995"/>
    <n v="90"/>
    <n v="3.0620085005030493"/>
    <n v="6"/>
    <n v="9.3863915687211996"/>
    <n v="0.40438694008289311"/>
    <n v="15.147212990692859"/>
    <n v="8941"/>
    <n v="1"/>
    <n v="0"/>
    <n v="34"/>
    <n v="67"/>
    <n v="11"/>
    <m/>
    <m/>
    <m/>
    <m/>
    <m/>
    <m/>
    <m/>
    <m/>
    <m/>
    <m/>
    <m/>
    <m/>
    <m/>
    <m/>
    <m/>
    <m/>
    <m/>
    <m/>
    <m/>
    <m/>
    <m/>
    <m/>
    <m/>
    <m/>
    <m/>
    <m/>
    <m/>
    <m/>
    <m/>
    <m/>
    <m/>
    <m/>
    <m/>
    <m/>
    <m/>
    <m/>
    <m/>
    <m/>
    <m/>
    <m/>
    <m/>
    <m/>
    <m/>
    <m/>
    <m/>
  </r>
  <r>
    <x v="19"/>
    <n v="0"/>
    <n v="0"/>
    <n v="0"/>
    <n v="1"/>
    <n v="9"/>
    <n v="7"/>
    <n v="5"/>
    <n v="11"/>
    <n v="1"/>
    <n v="1"/>
    <n v="0"/>
    <n v="181"/>
    <n v="5"/>
    <n v="5"/>
    <n v="7"/>
    <n v="0"/>
    <n v="1"/>
    <n v="1"/>
    <n v="1"/>
    <n v="1"/>
    <n v="4"/>
    <n v="3"/>
    <n v="1"/>
    <n v="0"/>
    <n v="3"/>
    <n v="0"/>
    <n v="1"/>
    <n v="1"/>
    <n v="1"/>
    <n v="3"/>
    <n v="0"/>
    <n v="0"/>
    <n v="1"/>
    <n v="0"/>
    <n v="1"/>
    <n v="2"/>
    <n v="2"/>
    <n v="3"/>
    <n v="2"/>
    <n v="0"/>
    <n v="1"/>
    <n v="1"/>
    <n v="2"/>
    <n v="1"/>
    <n v="1"/>
    <n v="1"/>
    <n v="1"/>
    <n v="1"/>
    <n v="1"/>
    <n v="1"/>
    <n v="6"/>
    <n v="1"/>
    <n v="0"/>
    <n v="0"/>
    <n v="0"/>
    <n v="3"/>
    <n v="2"/>
    <n v="1"/>
    <n v="3"/>
    <n v="2"/>
    <n v="0"/>
    <n v="3"/>
    <n v="2"/>
    <n v="0"/>
    <n v="0"/>
    <n v="0"/>
    <n v="0"/>
    <n v="3"/>
    <n v="6"/>
    <n v="1"/>
    <n v="1"/>
    <n v="26"/>
    <n v="3"/>
    <n v="5"/>
    <n v="46"/>
    <n v="22"/>
    <n v="0"/>
    <n v="2"/>
    <n v="7"/>
    <n v="2"/>
    <n v="2"/>
    <n v="6"/>
    <n v="3"/>
    <n v="6"/>
    <n v="0"/>
    <n v="0"/>
    <n v="0"/>
    <n v="12"/>
    <n v="17"/>
    <n v="10"/>
    <n v="8"/>
    <n v="7"/>
    <n v="49"/>
    <n v="5"/>
    <n v="19"/>
    <n v="6"/>
    <n v="0"/>
    <n v="69"/>
    <n v="1"/>
    <n v="12"/>
    <n v="0"/>
    <n v="86"/>
    <n v="574"/>
    <n v="1538"/>
    <n v="898"/>
    <n v="11"/>
    <n v="0"/>
    <n v="7"/>
    <n v="138"/>
    <n v="6"/>
    <n v="0"/>
    <n v="0"/>
    <n v="19"/>
    <n v="111"/>
    <n v="277"/>
    <n v="241"/>
    <n v="4561"/>
    <n v="0"/>
    <n v="34"/>
    <n v="7"/>
    <n v="1"/>
    <n v="2"/>
    <n v="2"/>
    <n v="1"/>
    <n v="6"/>
    <n v="0"/>
    <n v="3"/>
    <n v="2"/>
    <n v="242"/>
    <n v="29"/>
    <n v="0.18602550150914729"/>
    <n v="2"/>
    <n v="11.159174706163597"/>
    <n v="3.2131608202486794"/>
    <n v="2.4416389720785756"/>
    <n v="3436"/>
    <n v="767"/>
    <n v="0"/>
    <n v="3"/>
    <n v="6"/>
    <n v="1"/>
    <m/>
    <m/>
    <m/>
    <m/>
    <m/>
    <m/>
    <m/>
    <m/>
    <m/>
    <m/>
    <m/>
    <m/>
    <m/>
    <m/>
    <m/>
    <m/>
    <m/>
    <m/>
    <m/>
    <m/>
    <m/>
    <m/>
    <m/>
    <m/>
    <m/>
    <m/>
    <m/>
    <m/>
    <m/>
    <m/>
    <m/>
    <m/>
    <m/>
    <m/>
    <m/>
    <m/>
    <m/>
    <m/>
    <m/>
    <m/>
    <m/>
    <m/>
    <m/>
    <m/>
    <m/>
  </r>
  <r>
    <x v="19"/>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m/>
    <m/>
    <m/>
    <m/>
    <m/>
    <m/>
    <m/>
    <m/>
    <m/>
    <m/>
    <m/>
    <m/>
    <m/>
    <m/>
    <m/>
    <m/>
    <m/>
    <m/>
    <m/>
    <m/>
    <m/>
    <m/>
    <m/>
    <m/>
  </r>
  <r>
    <x v="19"/>
    <n v="0"/>
    <n v="0"/>
    <n v="0"/>
    <n v="14"/>
    <n v="19"/>
    <n v="22"/>
    <n v="13"/>
    <n v="30"/>
    <n v="3"/>
    <n v="13"/>
    <n v="5"/>
    <n v="19"/>
    <n v="26"/>
    <n v="13"/>
    <n v="3"/>
    <n v="0"/>
    <n v="2"/>
    <n v="1"/>
    <n v="1"/>
    <n v="2"/>
    <n v="4"/>
    <n v="5"/>
    <n v="2"/>
    <n v="1"/>
    <n v="4"/>
    <n v="1"/>
    <n v="0"/>
    <n v="0"/>
    <n v="0"/>
    <n v="0"/>
    <n v="0"/>
    <n v="0"/>
    <n v="0"/>
    <n v="0"/>
    <n v="1"/>
    <n v="3"/>
    <n v="3"/>
    <n v="2"/>
    <n v="1"/>
    <n v="0"/>
    <n v="0"/>
    <n v="0"/>
    <n v="1"/>
    <n v="5"/>
    <n v="3"/>
    <n v="1"/>
    <n v="2"/>
    <n v="3"/>
    <n v="4"/>
    <n v="3"/>
    <n v="28"/>
    <n v="18"/>
    <n v="0"/>
    <n v="1"/>
    <n v="12"/>
    <n v="2"/>
    <n v="2"/>
    <n v="1"/>
    <n v="6"/>
    <n v="1"/>
    <n v="0"/>
    <n v="4"/>
    <n v="3"/>
    <n v="0"/>
    <n v="0"/>
    <n v="0"/>
    <n v="3"/>
    <n v="9"/>
    <n v="7"/>
    <n v="2"/>
    <n v="6"/>
    <n v="30"/>
    <n v="1"/>
    <n v="1"/>
    <n v="53"/>
    <n v="65"/>
    <n v="2"/>
    <n v="6"/>
    <n v="43"/>
    <n v="14"/>
    <n v="9"/>
    <n v="22"/>
    <n v="17"/>
    <n v="26"/>
    <n v="0"/>
    <n v="0"/>
    <n v="0"/>
    <n v="104"/>
    <n v="97"/>
    <n v="18"/>
    <n v="11"/>
    <n v="10"/>
    <n v="46"/>
    <n v="1"/>
    <n v="48"/>
    <n v="21"/>
    <n v="5"/>
    <n v="93"/>
    <n v="10"/>
    <n v="45"/>
    <n v="0"/>
    <n v="208"/>
    <n v="111"/>
    <n v="175"/>
    <n v="22"/>
    <n v="756"/>
    <n v="0"/>
    <n v="26"/>
    <n v="0"/>
    <n v="12"/>
    <n v="0"/>
    <n v="0"/>
    <n v="5"/>
    <n v="22"/>
    <n v="0"/>
    <n v="155"/>
    <n v="2630"/>
    <n v="0"/>
    <n v="101"/>
    <n v="9.6999999999999993"/>
    <n v="0"/>
    <n v="1"/>
    <n v="7"/>
    <n v="3"/>
    <n v="28"/>
    <n v="12"/>
    <n v="2"/>
    <n v="2"/>
    <n v="156.30000000000001"/>
    <n v="31"/>
    <n v="2.8061105065396381"/>
    <n v="6"/>
    <n v="61.023090393375597"/>
    <n v="19.25703022107761"/>
    <n v="10.91376887900716"/>
    <n v="1982"/>
    <n v="177"/>
    <n v="0"/>
    <n v="9"/>
    <n v="7"/>
    <n v="2"/>
    <m/>
    <m/>
    <m/>
    <m/>
    <m/>
    <m/>
    <m/>
    <m/>
    <m/>
    <m/>
    <m/>
    <m/>
    <m/>
    <m/>
    <m/>
    <m/>
    <m/>
    <m/>
    <m/>
    <m/>
    <m/>
    <m/>
    <m/>
    <m/>
    <m/>
    <m/>
    <m/>
    <m/>
    <m/>
    <m/>
    <m/>
    <m/>
    <m/>
    <m/>
    <m/>
    <m/>
    <m/>
    <m/>
    <m/>
    <m/>
    <m/>
    <m/>
    <m/>
    <m/>
    <m/>
  </r>
  <r>
    <x v="19"/>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789"/>
    <n v="0"/>
    <n v="0"/>
    <n v="0"/>
    <n v="0"/>
    <n v="0"/>
    <n v="0"/>
    <n v="0"/>
    <n v="0"/>
    <n v="0"/>
    <n v="0"/>
    <n v="0"/>
    <n v="0"/>
    <n v="0"/>
    <n v="0"/>
    <n v="0"/>
    <n v="0"/>
    <n v="0"/>
    <n v="0"/>
    <n v="0"/>
    <n v="0"/>
    <n v="0"/>
    <n v="0"/>
    <n v="0"/>
    <n v="0"/>
    <n v="0"/>
    <n v="0"/>
    <n v="0"/>
    <n v="789"/>
    <n v="0"/>
    <n v="0"/>
    <n v="0"/>
    <n v="0"/>
    <n v="0"/>
    <n v="0"/>
    <n v="0"/>
    <n v="0"/>
    <n v="0"/>
    <n v="0"/>
    <n v="0"/>
    <n v="0"/>
    <n v="0"/>
    <n v="0"/>
    <n v="0"/>
    <n v="0"/>
    <n v="0"/>
    <n v="0"/>
    <n v="789"/>
    <n v="0"/>
    <n v="0"/>
    <n v="0"/>
    <n v="0"/>
    <n v="0"/>
    <m/>
    <m/>
    <m/>
    <m/>
    <m/>
    <m/>
    <m/>
    <m/>
    <m/>
    <m/>
    <m/>
    <m/>
    <m/>
    <m/>
    <m/>
    <m/>
    <m/>
    <m/>
    <m/>
    <m/>
    <m/>
    <m/>
    <m/>
    <m/>
    <m/>
    <m/>
    <m/>
    <m/>
    <m/>
    <m/>
    <m/>
    <m/>
    <m/>
    <m/>
    <m/>
    <m/>
    <m/>
    <m/>
    <m/>
    <m/>
    <m/>
    <m/>
    <m/>
    <m/>
    <m/>
  </r>
  <r>
    <x v="19"/>
    <n v="130"/>
    <n v="22"/>
    <n v="2"/>
    <n v="59"/>
    <n v="44"/>
    <n v="33"/>
    <n v="27"/>
    <n v="85"/>
    <n v="7"/>
    <n v="24"/>
    <n v="11"/>
    <n v="0"/>
    <n v="151"/>
    <n v="61"/>
    <n v="34"/>
    <n v="4"/>
    <n v="11"/>
    <n v="12"/>
    <n v="10"/>
    <n v="8"/>
    <n v="369"/>
    <n v="147"/>
    <n v="21"/>
    <n v="11"/>
    <n v="161"/>
    <n v="5"/>
    <n v="28"/>
    <n v="31"/>
    <n v="49"/>
    <n v="73"/>
    <n v="18"/>
    <n v="9"/>
    <n v="43"/>
    <n v="11"/>
    <n v="64"/>
    <n v="25"/>
    <n v="47"/>
    <n v="21"/>
    <n v="50"/>
    <n v="0"/>
    <n v="16"/>
    <n v="25"/>
    <n v="71"/>
    <n v="15"/>
    <n v="16"/>
    <n v="5"/>
    <n v="23"/>
    <n v="23"/>
    <n v="31"/>
    <n v="27"/>
    <n v="88"/>
    <n v="52"/>
    <n v="2"/>
    <n v="45"/>
    <n v="121"/>
    <n v="49"/>
    <n v="21"/>
    <n v="10"/>
    <n v="75"/>
    <n v="45"/>
    <n v="9"/>
    <n v="95"/>
    <n v="42"/>
    <n v="0"/>
    <n v="3"/>
    <n v="0"/>
    <n v="6"/>
    <n v="78"/>
    <n v="183"/>
    <n v="95"/>
    <n v="16"/>
    <n v="264"/>
    <n v="85"/>
    <n v="181"/>
    <n v="760"/>
    <n v="419"/>
    <n v="79"/>
    <n v="129"/>
    <n v="373"/>
    <n v="13"/>
    <n v="281"/>
    <n v="69"/>
    <n v="34"/>
    <n v="90"/>
    <n v="688"/>
    <n v="122"/>
    <n v="15"/>
    <n v="75"/>
    <n v="65"/>
    <n v="390"/>
    <n v="324"/>
    <n v="177"/>
    <n v="129"/>
    <n v="91"/>
    <n v="159"/>
    <n v="45"/>
    <n v="87"/>
    <n v="250"/>
    <n v="44"/>
    <n v="119"/>
    <n v="38"/>
    <n v="128"/>
    <n v="66"/>
    <n v="64"/>
    <n v="39"/>
    <n v="13"/>
    <n v="0"/>
    <n v="96"/>
    <n v="168"/>
    <n v="452"/>
    <n v="387"/>
    <n v="16"/>
    <n v="119"/>
    <n v="62"/>
    <n v="466"/>
    <n v="8"/>
    <n v="10884"/>
    <n v="154"/>
    <n v="255"/>
    <n v="519.5"/>
    <n v="25"/>
    <n v="71"/>
    <n v="54"/>
    <n v="27"/>
    <n v="88"/>
    <n v="121"/>
    <n v="49"/>
    <n v="21"/>
    <n v="1461.5"/>
    <n v="349"/>
    <n v="81.790382522637202"/>
    <n v="129"/>
    <n v="435.38762059245397"/>
    <n v="31.197412303730189"/>
    <n v="287.62458458117862"/>
    <n v="5236"/>
    <n v="1129"/>
    <n v="0"/>
    <n v="80.217098638413376"/>
    <n v="183"/>
    <n v="95.782901361586624"/>
    <m/>
    <m/>
    <m/>
    <m/>
    <m/>
    <m/>
    <m/>
    <m/>
    <m/>
    <m/>
    <m/>
    <m/>
    <m/>
    <m/>
    <m/>
    <m/>
    <m/>
    <m/>
    <m/>
    <m/>
    <m/>
    <m/>
    <m/>
    <m/>
    <m/>
    <m/>
    <m/>
    <m/>
    <m/>
    <m/>
    <m/>
    <m/>
    <m/>
    <m/>
    <m/>
    <m/>
    <m/>
    <m/>
    <m/>
    <m/>
    <m/>
    <m/>
    <m/>
    <m/>
    <m/>
  </r>
  <r>
    <x v="26"/>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m/>
    <m/>
    <m/>
    <m/>
    <m/>
    <m/>
    <m/>
    <m/>
    <m/>
    <m/>
    <m/>
    <m/>
    <m/>
    <m/>
    <m/>
    <m/>
    <m/>
    <m/>
    <m/>
    <m/>
    <m/>
    <m/>
    <m/>
    <m/>
  </r>
  <r>
    <x v="19"/>
    <n v="0"/>
    <n v="0"/>
    <n v="0"/>
    <n v="13"/>
    <n v="16"/>
    <n v="12"/>
    <n v="14"/>
    <n v="47"/>
    <n v="1"/>
    <n v="8"/>
    <n v="4"/>
    <n v="29"/>
    <n v="9"/>
    <n v="8"/>
    <n v="10"/>
    <n v="0"/>
    <n v="6"/>
    <n v="2"/>
    <n v="1"/>
    <n v="1"/>
    <n v="29"/>
    <n v="16"/>
    <n v="2"/>
    <n v="1"/>
    <n v="17"/>
    <n v="1"/>
    <n v="4"/>
    <n v="4"/>
    <n v="7"/>
    <n v="14"/>
    <n v="2"/>
    <n v="2"/>
    <n v="6"/>
    <n v="0"/>
    <n v="1"/>
    <n v="3"/>
    <n v="6"/>
    <n v="3"/>
    <n v="7"/>
    <n v="0"/>
    <n v="3"/>
    <n v="4"/>
    <n v="6"/>
    <n v="4"/>
    <n v="4"/>
    <n v="2"/>
    <n v="2"/>
    <n v="3"/>
    <n v="4"/>
    <n v="2"/>
    <n v="8"/>
    <n v="8"/>
    <n v="1"/>
    <n v="4"/>
    <n v="12"/>
    <n v="15"/>
    <n v="7"/>
    <n v="6"/>
    <n v="13"/>
    <n v="9"/>
    <n v="1"/>
    <n v="9"/>
    <n v="4"/>
    <n v="0"/>
    <n v="0"/>
    <n v="0"/>
    <n v="6"/>
    <n v="22"/>
    <n v="26"/>
    <n v="2"/>
    <n v="9"/>
    <n v="111"/>
    <n v="36"/>
    <n v="23"/>
    <n v="99"/>
    <n v="37"/>
    <n v="1"/>
    <n v="8"/>
    <n v="29"/>
    <n v="8"/>
    <n v="10"/>
    <n v="31"/>
    <n v="4"/>
    <n v="16"/>
    <n v="15"/>
    <n v="103"/>
    <n v="58"/>
    <n v="22"/>
    <n v="22"/>
    <n v="43"/>
    <n v="53"/>
    <n v="28"/>
    <n v="15"/>
    <n v="14"/>
    <n v="7"/>
    <n v="14"/>
    <n v="0"/>
    <n v="204"/>
    <n v="10"/>
    <n v="64"/>
    <n v="0"/>
    <n v="156"/>
    <n v="36"/>
    <n v="11"/>
    <n v="3"/>
    <n v="53"/>
    <n v="0"/>
    <n v="6"/>
    <n v="5"/>
    <n v="4027"/>
    <n v="4"/>
    <n v="3"/>
    <n v="196"/>
    <n v="32"/>
    <n v="223"/>
    <n v="0"/>
    <n v="6342"/>
    <n v="0"/>
    <n v="103"/>
    <n v="45.7"/>
    <n v="4"/>
    <n v="6"/>
    <n v="7"/>
    <n v="2"/>
    <n v="8"/>
    <n v="12"/>
    <n v="15"/>
    <n v="7"/>
    <n v="242.3"/>
    <n v="147"/>
    <n v="1.4960680040243928"/>
    <n v="8"/>
    <n v="40.091132549769597"/>
    <n v="11.235095520663144"/>
    <n v="11.177703925542868"/>
    <n v="5357"/>
    <n v="264"/>
    <n v="0"/>
    <n v="22"/>
    <n v="26"/>
    <n v="2"/>
    <m/>
    <m/>
    <m/>
    <m/>
    <m/>
    <m/>
    <m/>
    <m/>
    <m/>
    <m/>
    <m/>
    <m/>
    <m/>
    <m/>
    <m/>
    <m/>
    <m/>
    <m/>
    <m/>
    <m/>
    <m/>
    <m/>
    <m/>
    <m/>
    <m/>
    <m/>
    <m/>
    <m/>
    <m/>
    <m/>
    <m/>
    <m/>
    <m/>
    <m/>
    <m/>
    <m/>
    <m/>
    <m/>
    <m/>
    <m/>
    <m/>
    <m/>
    <m/>
    <m/>
    <m/>
  </r>
  <r>
    <x v="26"/>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m/>
    <m/>
    <m/>
    <m/>
    <m/>
    <m/>
    <m/>
    <m/>
    <m/>
    <m/>
    <m/>
    <m/>
    <m/>
    <m/>
    <m/>
    <m/>
    <m/>
    <m/>
    <m/>
    <m/>
    <m/>
    <m/>
    <m/>
    <m/>
  </r>
  <r>
    <x v="19"/>
    <n v="241"/>
    <n v="0"/>
    <n v="0"/>
    <n v="44"/>
    <n v="0"/>
    <n v="0"/>
    <n v="9"/>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364"/>
    <n v="0"/>
    <n v="0"/>
    <n v="0"/>
    <n v="0"/>
    <n v="0"/>
    <n v="0"/>
    <n v="0"/>
    <n v="0"/>
    <n v="0"/>
    <n v="0"/>
    <n v="0"/>
    <n v="0"/>
    <n v="658"/>
    <n v="241"/>
    <n v="53"/>
    <n v="0"/>
    <n v="0"/>
    <n v="0"/>
    <n v="0"/>
    <n v="0"/>
    <n v="0"/>
    <n v="0"/>
    <n v="0"/>
    <n v="0"/>
    <n v="0"/>
    <n v="0"/>
    <n v="0"/>
    <n v="0"/>
    <n v="0"/>
    <n v="0"/>
    <n v="0"/>
    <n v="364"/>
    <n v="0"/>
    <n v="0"/>
    <n v="0"/>
    <n v="0"/>
    <n v="0"/>
    <m/>
    <m/>
    <m/>
    <m/>
    <m/>
    <m/>
    <m/>
    <m/>
    <m/>
    <m/>
    <m/>
    <m/>
    <m/>
    <m/>
    <m/>
    <m/>
    <m/>
    <m/>
    <m/>
    <m/>
    <m/>
    <m/>
    <m/>
    <m/>
    <m/>
    <m/>
    <m/>
    <m/>
    <m/>
    <m/>
    <m/>
    <m/>
    <m/>
    <m/>
    <m/>
    <m/>
    <m/>
    <m/>
    <m/>
    <m/>
    <m/>
    <m/>
    <m/>
    <m/>
    <m/>
  </r>
  <r>
    <x v="19"/>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m/>
    <m/>
    <m/>
    <m/>
    <m/>
    <m/>
    <m/>
    <m/>
    <m/>
    <m/>
    <m/>
    <m/>
    <m/>
    <m/>
    <m/>
    <m/>
    <m/>
    <m/>
    <m/>
    <m/>
    <m/>
    <m/>
    <m/>
    <m/>
  </r>
  <r>
    <x v="26"/>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m/>
    <m/>
    <m/>
    <m/>
    <m/>
    <m/>
    <m/>
    <m/>
    <m/>
    <m/>
    <m/>
    <m/>
    <m/>
    <m/>
    <m/>
    <m/>
    <m/>
    <m/>
    <m/>
    <m/>
    <m/>
    <m/>
    <m/>
    <m/>
  </r>
  <r>
    <x v="26"/>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m/>
    <m/>
    <m/>
    <m/>
    <m/>
    <m/>
    <m/>
    <m/>
    <m/>
    <m/>
    <m/>
    <m/>
    <m/>
    <m/>
    <m/>
    <m/>
    <m/>
    <m/>
    <m/>
    <m/>
    <m/>
    <m/>
    <m/>
    <m/>
  </r>
  <r>
    <x v="26"/>
    <n v="0"/>
    <n v="0"/>
    <n v="14"/>
    <n v="19"/>
    <n v="5"/>
    <n v="14"/>
    <n v="20"/>
    <n v="1"/>
    <n v="2"/>
    <n v="3"/>
    <n v="41"/>
    <n v="61"/>
    <n v="29"/>
    <n v="7"/>
    <n v="1"/>
    <n v="2"/>
    <n v="3"/>
    <n v="2"/>
    <n v="1"/>
    <n v="24"/>
    <n v="10"/>
    <n v="7"/>
    <n v="0"/>
    <n v="42"/>
    <n v="0"/>
    <n v="3"/>
    <n v="5"/>
    <n v="6"/>
    <n v="19"/>
    <n v="1"/>
    <n v="1"/>
    <n v="8"/>
    <n v="0"/>
    <n v="5"/>
    <n v="1"/>
    <n v="18"/>
    <n v="1"/>
    <n v="8"/>
    <n v="0"/>
    <n v="4"/>
    <n v="2"/>
    <n v="23"/>
    <n v="5"/>
    <n v="5"/>
    <n v="2"/>
    <n v="13"/>
    <n v="5"/>
    <n v="5"/>
    <n v="2"/>
    <n v="18"/>
    <n v="12"/>
    <n v="0"/>
    <n v="4"/>
    <n v="10"/>
    <n v="15"/>
    <n v="10"/>
    <n v="12"/>
    <n v="15"/>
    <n v="10"/>
    <n v="2"/>
    <n v="12"/>
    <n v="3"/>
    <n v="0"/>
    <n v="0"/>
    <n v="0"/>
    <n v="0"/>
    <n v="88"/>
    <n v="40"/>
    <n v="3"/>
    <n v="10"/>
    <n v="100"/>
    <n v="52"/>
    <n v="26"/>
    <n v="302"/>
    <n v="171"/>
    <n v="4"/>
    <n v="2"/>
    <n v="22"/>
    <n v="2"/>
    <n v="15"/>
    <n v="1"/>
    <n v="8"/>
    <n v="31"/>
    <n v="112"/>
    <n v="123"/>
    <n v="43"/>
    <n v="58"/>
    <n v="162"/>
    <n v="12"/>
    <n v="110"/>
    <n v="39"/>
    <n v="32"/>
    <n v="36"/>
    <n v="65"/>
    <n v="12"/>
    <n v="1"/>
    <n v="259"/>
    <n v="8"/>
    <n v="33"/>
    <n v="39"/>
    <n v="0"/>
    <n v="64"/>
    <n v="24"/>
    <n v="0"/>
    <n v="0"/>
    <n v="0"/>
    <n v="0"/>
    <n v="0"/>
    <n v="0"/>
    <n v="0"/>
    <n v="0"/>
    <n v="4"/>
    <n v="0"/>
    <n v="0"/>
    <n v="0"/>
    <n v="0"/>
    <n v="2686"/>
    <n v="14"/>
    <n v="61"/>
    <n v="19.100000000000001"/>
    <n v="23"/>
    <n v="5"/>
    <n v="7"/>
    <n v="18"/>
    <n v="12"/>
    <n v="15"/>
    <n v="10"/>
    <n v="12"/>
    <n v="564.9"/>
    <n v="78"/>
    <n v="5.4724760281707496"/>
    <n v="22"/>
    <n v="79.637927848387164"/>
    <n v="37.645668644642015"/>
    <n v="9.2439274788000745"/>
    <n v="1640"/>
    <n v="0"/>
    <n v="0"/>
    <n v="40"/>
    <n v="3"/>
    <n v="10"/>
    <m/>
    <m/>
    <m/>
    <m/>
    <m/>
    <m/>
    <m/>
    <m/>
    <m/>
    <m/>
    <m/>
    <m/>
    <m/>
    <m/>
    <m/>
    <m/>
    <m/>
    <m/>
    <m/>
    <m/>
    <m/>
    <m/>
    <m/>
    <m/>
    <m/>
    <m/>
    <m/>
    <m/>
    <m/>
    <m/>
    <m/>
    <m/>
    <m/>
    <m/>
    <m/>
    <m/>
    <m/>
    <m/>
    <m/>
    <m/>
    <m/>
    <m/>
    <m/>
    <m/>
    <m/>
  </r>
  <r>
    <x v="27"/>
    <n v="40793"/>
    <n v="2659"/>
    <n v="721"/>
    <n v="23213"/>
    <n v="18484"/>
    <n v="11701"/>
    <n v="10791"/>
    <n v="28240"/>
    <n v="221"/>
    <n v="6674"/>
    <n v="2064"/>
    <n v="19606"/>
    <n v="26506"/>
    <n v="12582"/>
    <n v="9027"/>
    <n v="896"/>
    <n v="2891"/>
    <n v="2030"/>
    <n v="1574"/>
    <n v="1194"/>
    <n v="55564"/>
    <n v="19795"/>
    <n v="2579"/>
    <n v="2543"/>
    <n v="39413"/>
    <n v="750"/>
    <n v="6534"/>
    <n v="6352"/>
    <n v="9413"/>
    <n v="13842"/>
    <n v="3513"/>
    <n v="1377"/>
    <n v="8743"/>
    <n v="2281"/>
    <n v="1773"/>
    <n v="4181"/>
    <n v="8137"/>
    <n v="3216"/>
    <n v="8173"/>
    <n v="31"/>
    <n v="3476"/>
    <n v="4189"/>
    <n v="13183"/>
    <n v="3819"/>
    <n v="3510"/>
    <n v="904"/>
    <n v="8418"/>
    <n v="7213"/>
    <n v="7488"/>
    <n v="5150"/>
    <n v="19416"/>
    <n v="8590"/>
    <n v="361"/>
    <n v="6590"/>
    <n v="17661"/>
    <n v="19545"/>
    <n v="9493"/>
    <n v="3821"/>
    <n v="17128"/>
    <n v="8545"/>
    <n v="4010"/>
    <n v="16623"/>
    <n v="7361"/>
    <n v="35"/>
    <n v="201"/>
    <n v="2"/>
    <n v="2607"/>
    <n v="48116"/>
    <n v="27203"/>
    <n v="18307"/>
    <n v="6868"/>
    <n v="97436"/>
    <n v="31670"/>
    <n v="17783"/>
    <n v="96280"/>
    <n v="45735"/>
    <n v="3528"/>
    <n v="5528"/>
    <n v="24066"/>
    <n v="7526"/>
    <n v="11163"/>
    <n v="14721"/>
    <n v="5665"/>
    <n v="7484"/>
    <n v="47850"/>
    <n v="25688"/>
    <n v="17170"/>
    <n v="16427"/>
    <n v="36454"/>
    <n v="33296"/>
    <n v="24786"/>
    <n v="20445"/>
    <n v="28443"/>
    <n v="10722"/>
    <n v="26341"/>
    <n v="12039"/>
    <n v="2513"/>
    <n v="47278"/>
    <n v="6064"/>
    <n v="16494"/>
    <n v="4145"/>
    <n v="39358"/>
    <n v="15198"/>
    <n v="10947"/>
    <n v="9256"/>
    <n v="4299"/>
    <n v="0"/>
    <n v="5414"/>
    <n v="12934"/>
    <n v="16856"/>
    <n v="14626"/>
    <n v="942"/>
    <n v="7060"/>
    <n v="6526"/>
    <n v="48880"/>
    <n v="4435"/>
    <n v="1661381"/>
    <n v="44173"/>
    <n v="92650"/>
    <n v="75884"/>
    <n v="4189"/>
    <n v="13183"/>
    <n v="14701"/>
    <n v="5150"/>
    <n v="19416"/>
    <n v="17661"/>
    <n v="19545"/>
    <n v="9493"/>
    <n v="310003"/>
    <n v="129106"/>
    <n v="3760.0358088824096"/>
    <n v="5528"/>
    <n v="29253.877250154728"/>
    <n v="9039.2159297901853"/>
    <n v="11713.871011172676"/>
    <n v="661524"/>
    <n v="91546"/>
    <n v="35"/>
    <n v="48264.545608773697"/>
    <n v="27203"/>
    <n v="18359.454391226303"/>
    <m/>
    <m/>
    <m/>
    <m/>
    <m/>
    <m/>
    <m/>
    <m/>
    <m/>
    <m/>
    <m/>
    <m/>
    <m/>
    <m/>
    <m/>
    <m/>
    <m/>
    <m/>
    <m/>
    <m/>
    <m/>
    <m/>
    <m/>
    <m/>
    <m/>
    <m/>
    <m/>
    <m/>
    <m/>
    <m/>
    <m/>
    <m/>
    <m/>
    <m/>
    <m/>
    <m/>
    <m/>
    <m/>
    <m/>
    <m/>
    <m/>
    <m/>
    <m/>
    <m/>
    <m/>
  </r>
  <r>
    <x v="28"/>
    <n v="3447"/>
    <n v="173"/>
    <n v="311"/>
    <n v="156"/>
    <n v="251"/>
    <n v="107"/>
    <n v="185"/>
    <n v="284"/>
    <n v="1"/>
    <n v="84"/>
    <n v="24"/>
    <n v="252"/>
    <n v="122"/>
    <n v="140"/>
    <n v="117"/>
    <n v="13"/>
    <n v="46"/>
    <n v="24"/>
    <n v="9"/>
    <n v="22"/>
    <n v="384"/>
    <n v="84"/>
    <n v="16"/>
    <n v="18"/>
    <n v="77"/>
    <n v="10"/>
    <n v="36"/>
    <n v="55"/>
    <n v="77"/>
    <n v="113"/>
    <n v="42"/>
    <n v="17"/>
    <n v="78"/>
    <n v="15"/>
    <n v="5"/>
    <n v="28"/>
    <n v="36"/>
    <n v="30"/>
    <n v="53"/>
    <n v="14"/>
    <n v="281"/>
    <n v="91"/>
    <n v="533"/>
    <n v="55"/>
    <n v="33"/>
    <n v="23"/>
    <n v="118"/>
    <n v="126"/>
    <n v="76"/>
    <n v="129.73678910730703"/>
    <n v="6931"/>
    <n v="131"/>
    <n v="10"/>
    <n v="88"/>
    <n v="168"/>
    <n v="0"/>
    <n v="0"/>
    <n v="43"/>
    <n v="94"/>
    <n v="103"/>
    <n v="137"/>
    <n v="65"/>
    <n v="25"/>
    <n v="0"/>
    <n v="11.651295915240139"/>
    <n v="0"/>
    <n v="46"/>
    <n v="31390.489820936036"/>
    <n v="490"/>
    <n v="7290.3579637493986"/>
    <n v="135"/>
    <n v="1537"/>
    <n v="2241"/>
    <n v="720"/>
    <n v="7007"/>
    <n v="2369"/>
    <n v="121"/>
    <n v="1407"/>
    <n v="6850"/>
    <n v="951"/>
    <n v="2459"/>
    <n v="763"/>
    <n v="281"/>
    <n v="0"/>
    <n v="305"/>
    <n v="92"/>
    <n v="57"/>
    <n v="164"/>
    <n v="185"/>
    <n v="751"/>
    <n v="707"/>
    <n v="361"/>
    <n v="321"/>
    <n v="223"/>
    <n v="510"/>
    <n v="240"/>
    <n v="41"/>
    <n v="993"/>
    <n v="118"/>
    <n v="275"/>
    <n v="22"/>
    <n v="1006"/>
    <n v="331"/>
    <n v="328"/>
    <n v="395"/>
    <n v="76"/>
    <n v="0"/>
    <n v="237"/>
    <n v="208"/>
    <n v="172"/>
    <n v="91"/>
    <n v="15"/>
    <n v="157"/>
    <n v="95"/>
    <n v="1328"/>
    <n v="123"/>
    <n v="92213.235869707976"/>
    <n v="3931"/>
    <n v="984"/>
    <n v="475"/>
    <n v="91"/>
    <n v="533"/>
    <n v="202"/>
    <n v="129.73678910730703"/>
    <n v="6931"/>
    <n v="168"/>
    <n v="0"/>
    <n v="0"/>
    <n v="2953"/>
    <n v="3778"/>
    <n v="121"/>
    <n v="1407"/>
    <n v="6850"/>
    <n v="951"/>
    <n v="2459"/>
    <n v="19200"/>
    <n v="1867"/>
    <n v="0"/>
    <n v="31399.100511705845"/>
    <n v="490"/>
    <n v="7293.3985688948287"/>
    <m/>
    <m/>
    <m/>
    <m/>
    <m/>
    <m/>
    <m/>
    <m/>
    <m/>
    <m/>
    <m/>
    <m/>
    <m/>
    <m/>
    <m/>
    <m/>
    <m/>
    <m/>
    <m/>
    <m/>
    <m/>
    <m/>
    <m/>
    <m/>
    <m/>
    <m/>
    <m/>
    <m/>
    <m/>
    <m/>
    <m/>
    <m/>
    <m/>
    <m/>
    <m/>
    <m/>
    <m/>
    <m/>
    <m/>
    <m/>
    <m/>
    <m/>
    <m/>
    <m/>
    <m/>
  </r>
  <r>
    <x v="29"/>
    <n v="148"/>
    <n v="5"/>
    <n v="22"/>
    <n v="89"/>
    <n v="347"/>
    <n v="66"/>
    <n v="178"/>
    <n v="366"/>
    <n v="1"/>
    <n v="3"/>
    <n v="15"/>
    <n v="37"/>
    <n v="116"/>
    <n v="22"/>
    <n v="14"/>
    <n v="1"/>
    <n v="7"/>
    <n v="11"/>
    <n v="2"/>
    <n v="1"/>
    <n v="139"/>
    <n v="55"/>
    <n v="16"/>
    <n v="7"/>
    <n v="50"/>
    <n v="6"/>
    <n v="13"/>
    <n v="18"/>
    <n v="25"/>
    <n v="26"/>
    <n v="9"/>
    <n v="7"/>
    <n v="22"/>
    <n v="4"/>
    <n v="6"/>
    <n v="11"/>
    <n v="6"/>
    <n v="5"/>
    <n v="12"/>
    <n v="0"/>
    <n v="70"/>
    <n v="198"/>
    <n v="310"/>
    <n v="60"/>
    <n v="19"/>
    <n v="5"/>
    <n v="22"/>
    <n v="373"/>
    <n v="78"/>
    <n v="587.263210892693"/>
    <n v="846"/>
    <n v="77"/>
    <n v="20"/>
    <n v="116"/>
    <n v="79"/>
    <n v="328"/>
    <n v="102"/>
    <n v="52"/>
    <n v="114"/>
    <n v="65"/>
    <n v="16"/>
    <n v="47"/>
    <n v="16"/>
    <n v="0"/>
    <n v="2.3487040847598615"/>
    <n v="0"/>
    <n v="24"/>
    <n v="8480.5101790639637"/>
    <n v="436"/>
    <n v="9215.6420362506014"/>
    <n v="27"/>
    <n v="42"/>
    <n v="6"/>
    <n v="25"/>
    <n v="150"/>
    <n v="274"/>
    <n v="46"/>
    <n v="63"/>
    <n v="52"/>
    <n v="0"/>
    <n v="1"/>
    <n v="194"/>
    <n v="2"/>
    <n v="14"/>
    <n v="63"/>
    <n v="34"/>
    <n v="26"/>
    <n v="10"/>
    <n v="41"/>
    <n v="138"/>
    <n v="16"/>
    <n v="57"/>
    <n v="85"/>
    <n v="19"/>
    <n v="27"/>
    <n v="2"/>
    <n v="1"/>
    <n v="34"/>
    <n v="40"/>
    <n v="7"/>
    <n v="19"/>
    <n v="424"/>
    <n v="56"/>
    <n v="69"/>
    <n v="216"/>
    <n v="47"/>
    <n v="0"/>
    <n v="132"/>
    <n v="534"/>
    <n v="256"/>
    <n v="426"/>
    <n v="7"/>
    <n v="187"/>
    <n v="124"/>
    <n v="330"/>
    <n v="61"/>
    <n v="28030.764130292016"/>
    <n v="175"/>
    <n v="1047"/>
    <n v="198.2"/>
    <n v="198"/>
    <n v="310"/>
    <n v="451"/>
    <n v="587.263210892693"/>
    <n v="846"/>
    <n v="79"/>
    <n v="328"/>
    <n v="102"/>
    <n v="1217.8"/>
    <n v="48"/>
    <n v="46.434059503521347"/>
    <n v="63"/>
    <n v="61.704740981048396"/>
    <n v="2.8307085805802519"/>
    <n v="2.0304909348500093"/>
    <n v="2639"/>
    <n v="1494"/>
    <n v="0"/>
    <n v="8482.2459486067492"/>
    <n v="436"/>
    <n v="9216.2549707925755"/>
    <m/>
    <m/>
    <m/>
    <m/>
    <m/>
    <m/>
    <m/>
    <m/>
    <m/>
    <m/>
    <m/>
    <m/>
    <m/>
    <m/>
    <m/>
    <m/>
    <m/>
    <m/>
    <m/>
    <m/>
    <m/>
    <m/>
    <m/>
    <m/>
    <m/>
    <m/>
    <m/>
    <m/>
    <m/>
    <m/>
    <m/>
    <m/>
    <m/>
    <m/>
    <m/>
    <m/>
    <m/>
    <m/>
    <m/>
    <m/>
    <m/>
    <m/>
    <m/>
    <m/>
    <m/>
  </r>
  <r>
    <x v="30"/>
    <n v="0"/>
    <n v="0"/>
    <n v="1"/>
    <n v="2.9222635155945218"/>
    <n v="3.0772847668521446"/>
    <n v="4.6663655216311106"/>
    <n v="1.8061105065396381"/>
    <n v="12.0536927909985"/>
    <n v="0"/>
    <n v="1.2790382522637209"/>
    <n v="1.1860255015091472"/>
    <n v="10.658501529679896"/>
    <n v="17.930127507545738"/>
    <n v="10.713097755785064"/>
    <n v="2.4960680040243926"/>
    <n v="1.1550212512576228"/>
    <n v="7.2480340020121963"/>
    <n v="2.0620085005030493"/>
    <n v="4.2170297517606716"/>
    <n v="1.0930127507545737"/>
    <n v="4.2943145186128167"/>
    <n v="3.945403773894832"/>
    <n v="1.4960680040243928"/>
    <n v="0.40305525326981911"/>
    <n v="3.2943145186128167"/>
    <n v="0"/>
    <n v="1.5580765045274418"/>
    <n v="1.7751062562881137"/>
    <n v="2.68209350553354"/>
    <n v="2.6122210130792762"/>
    <n v="1.34104675276677"/>
    <n v="1.1550212512576228"/>
    <n v="2.6122210130792762"/>
    <n v="1.2790382522637209"/>
    <n v="1.0930127507545737"/>
    <n v="1.4030552532698191"/>
    <n v="4.7362380140853748"/>
    <n v="1.68209350553354"/>
    <n v="6.6510892552820158"/>
    <n v="0"/>
    <n v="2.5192082623247032"/>
    <n v="2.3021785105640311"/>
    <n v="4.0384165246494064"/>
    <n v="1.4030552532698191"/>
    <n v="1.9611317577972609"/>
    <n v="1.1240170010060981"/>
    <n v="2.860255015091473"/>
    <n v="2.5192082623247032"/>
    <n v="4.7130977557850642"/>
    <n v="2.3410467527667702"/>
    <n v="5.271174260312506"/>
    <n v="4.8292507648399479"/>
    <n v="1"/>
    <n v="1.9301275075457365"/>
    <n v="5.6432252633308009"/>
    <n v="9.6117692955259422"/>
    <n v="3.1471572593064083"/>
    <n v="2.1161530090548837"/>
    <n v="8.4803400201219645"/>
    <n v="7.4960680040243926"/>
    <n v="1.7130977557850646"/>
    <n v="2.8681190070426874"/>
    <n v="0.18602550150914729"/>
    <n v="0"/>
    <n v="0"/>
    <n v="0"/>
    <n v="6.6510892552820158"/>
    <n v="26.053241073445168"/>
    <n v="15.960228322690595"/>
    <n v="1.5270722542759172"/>
    <n v="8.0226885407469766"/>
    <n v="33.014372831242426"/>
    <n v="9.7205100301829468"/>
    <n v="31.836211321684495"/>
    <n v="326.44590682298832"/>
    <n v="153.61601954705048"/>
    <n v="18.062008500503048"/>
    <n v="1.9611317577972609"/>
    <n v="5.8135227809375198"/>
    <n v="6.1467055417530752"/>
    <n v="11.161981808102171"/>
    <n v="32.725663716814161"/>
    <n v="10.147157259306407"/>
    <n v="54.304621891875243"/>
    <n v="36.333182760815554"/>
    <n v="20.643225263330802"/>
    <n v="19"/>
    <n v="3.8292507648399483"/>
    <n v="6.8056587889863049"/>
    <n v="26.945403773894832"/>
    <n v="29.542348520625012"/>
    <n v="25.046280516600621"/>
    <n v="20.837114756791163"/>
    <n v="15.992136008048785"/>
    <n v="36.883395273391784"/>
    <n v="24.829250764839948"/>
    <n v="11.457199761821654"/>
    <n v="25.728374022134162"/>
    <n v="4.8681190070426874"/>
    <n v="6.6043570211280622"/>
    <n v="133"/>
    <n v="19.805658788986307"/>
    <n v="8.6506375377286826"/>
    <n v="11.549760795022895"/>
    <n v="70"/>
    <n v="5.1161530090548837"/>
    <n v="0"/>
    <n v="19.240170010060982"/>
    <n v="294"/>
    <n v="13.542348520625012"/>
    <n v="0"/>
    <n v="4.1550212512576223"/>
    <n v="4.7441020060365888"/>
    <n v="22"/>
    <n v="207.57335277087654"/>
    <n v="121"/>
    <n v="2212.5439089994456"/>
    <n v="1"/>
    <n v="24.525717101615914"/>
    <n v="8.2397182925076482"/>
    <n v="2.3021785105640311"/>
    <n v="4.0384165246494064"/>
    <n v="7.2323060181097674"/>
    <n v="2.3410467527667702"/>
    <n v="5.271174260312506"/>
    <n v="5.6432252633308009"/>
    <n v="9.6117692955259422"/>
    <n v="3.1471572593064083"/>
    <n v="150.9723425661663"/>
    <n v="42.734882861425376"/>
    <n v="19.745682587453167"/>
    <n v="1.9611317577972609"/>
    <n v="43.457257747681773"/>
    <n v="17.126745481360032"/>
    <n v="15.159154706676086"/>
    <n v="1026.9201075909079"/>
    <n v="777.57335277087657"/>
    <n v="0"/>
    <n v="26.053241073445168"/>
    <n v="15.960228322690595"/>
    <n v="1.5270722542759172"/>
    <m/>
    <m/>
    <m/>
    <m/>
    <m/>
    <m/>
    <m/>
    <m/>
    <m/>
    <m/>
    <m/>
    <m/>
    <m/>
    <m/>
    <m/>
    <m/>
    <m/>
    <m/>
    <m/>
    <m/>
    <m/>
    <m/>
    <m/>
    <m/>
    <m/>
    <m/>
    <m/>
    <m/>
    <m/>
    <m/>
    <m/>
    <m/>
    <m/>
    <m/>
    <m/>
    <m/>
    <m/>
    <m/>
    <m/>
    <m/>
    <m/>
    <m/>
    <m/>
    <m/>
    <m/>
  </r>
  <r>
    <x v="31"/>
    <n v="37"/>
    <n v="0"/>
    <n v="0"/>
    <n v="44.978138630357179"/>
    <n v="49.444117552160179"/>
    <n v="61.614837455011575"/>
    <n v="19.023090393375593"/>
    <n v="117.99091285077775"/>
    <n v="0"/>
    <n v="13.238762059245397"/>
    <n v="5.159174706163598"/>
    <n v="98.797102554550762"/>
    <n v="24.795873530817993"/>
    <n v="17.943503040293791"/>
    <n v="12.091132549769595"/>
    <n v="3.4659789218029986"/>
    <n v="6.5455662748847976"/>
    <n v="1.3863915687211994"/>
    <n v="5.8523704905241978"/>
    <n v="4.0795873530817985"/>
    <n v="56.296488042684381"/>
    <n v="68.85359951425697"/>
    <n v="12.091132549769595"/>
    <n v="9.0115451966877966"/>
    <n v="52.296488042684381"/>
    <n v="0"/>
    <n v="13.477524118490795"/>
    <n v="18.329894609014993"/>
    <n v="17.250307255933194"/>
    <n v="38.046180786751187"/>
    <n v="8.625153627966597"/>
    <n v="3.4659789218029986"/>
    <n v="38.046180786751187"/>
    <n v="6.2387620592453974"/>
    <n v="3.079587353081799"/>
    <n v="9.0115451966877966"/>
    <n v="39.818963924193582"/>
    <n v="16.250307255933194"/>
    <n v="18.557111471572593"/>
    <n v="0"/>
    <n v="34.966593433669388"/>
    <n v="31.114222943145187"/>
    <n v="69.933186867338776"/>
    <n v="10.011545196687797"/>
    <n v="22.48906931517859"/>
    <n v="3.7727831374423988"/>
    <n v="42.591747061635985"/>
    <n v="34.966593433669388"/>
    <n v="17.943503040293791"/>
    <n v="8.625153627966597"/>
    <n v="31.421027158784586"/>
    <n v="42.898551277275381"/>
    <n v="0"/>
    <n v="21.795873530817993"/>
    <n v="41.739376571111784"/>
    <n v="128.46843696926857"/>
    <n v="26.64824402134219"/>
    <n v="25.95504823698159"/>
    <n v="58.455662748847978"/>
    <n v="13.091132549769595"/>
    <n v="16.943503040293791"/>
    <n v="20.409481962096791"/>
    <n v="4.159174706163598"/>
    <n v="0"/>
    <n v="0"/>
    <n v="0"/>
    <n v="19.557111471572593"/>
    <n v="206.41316903329511"/>
    <n v="202.33358168021331"/>
    <n v="12.784328334130194"/>
    <n v="113.29771706641715"/>
    <n v="245.9022383484737"/>
    <n v="86.18349412327197"/>
    <n v="514.56079854277095"/>
    <n v="6024.1366064278827"/>
    <n v="2060.6642213298683"/>
    <n v="3.3863915687211996"/>
    <n v="49.48906931517859"/>
    <n v="4369.2630814763534"/>
    <n v="115.07050020385955"/>
    <n v="162.12822618729854"/>
    <n v="676.53476611883696"/>
    <n v="27.64824402134219"/>
    <n v="1147.9990320338143"/>
    <n v="37.807418727505791"/>
    <n v="40.739376571111784"/>
    <n v="1"/>
    <n v="41.898551277275381"/>
    <n v="110.44534657589296"/>
    <n v="71.85359951425697"/>
    <n v="59.842054317569172"/>
    <n v="47.750921767799582"/>
    <n v="19.71628617773619"/>
    <n v="23.18226509953919"/>
    <n v="67.467207945535776"/>
    <n v="42.898551277275381"/>
    <n v="34.580201864948187"/>
    <n v="66.001229023732776"/>
    <n v="20.409481962096791"/>
    <n v="61.228445886290373"/>
    <n v="0"/>
    <n v="109.44534657589296"/>
    <n v="106.97936765408996"/>
    <n v="126.08204540054734"/>
    <n v="17"/>
    <n v="25.95504823698159"/>
    <n v="0"/>
    <n v="28.727831374423989"/>
    <n v="15"/>
    <n v="68.842054317569165"/>
    <n v="311"/>
    <n v="8.4659789218029982"/>
    <n v="22.636698824654392"/>
    <n v="2"/>
    <n v="439.53525010192976"/>
    <n v="0"/>
    <n v="19726.396338154584"/>
    <n v="37"/>
    <n v="293.05109688168227"/>
    <n v="125.15008755694134"/>
    <n v="31.114222943145187"/>
    <n v="69.933186867338776"/>
    <n v="52.910096473963179"/>
    <n v="8.625153627966597"/>
    <n v="31.421027158784586"/>
    <n v="41.739376571111784"/>
    <n v="128.46843696926857"/>
    <n v="26.64824402134219"/>
    <n v="947.34710094127377"/>
    <n v="332.0857324717457"/>
    <n v="38.979240846405524"/>
    <n v="49.48906931517859"/>
    <n v="5165.0511709322427"/>
    <n v="347.18840809499818"/>
    <n v="246.62841159640078"/>
    <n v="10564.499945735228"/>
    <n v="767.53525010192971"/>
    <n v="0"/>
    <n v="206.41316903329511"/>
    <n v="202.33358168021331"/>
    <n v="12.784328334130194"/>
    <m/>
    <m/>
    <m/>
    <m/>
    <m/>
    <m/>
    <m/>
    <m/>
    <m/>
    <m/>
    <m/>
    <m/>
    <m/>
    <m/>
    <m/>
    <m/>
    <m/>
    <m/>
    <m/>
    <m/>
    <m/>
    <m/>
    <m/>
    <m/>
    <m/>
    <m/>
    <m/>
    <m/>
    <m/>
    <m/>
    <m/>
    <m/>
    <m/>
    <m/>
    <m/>
    <m/>
    <m/>
    <m/>
    <m/>
    <m/>
    <m/>
    <m/>
    <m/>
    <m/>
    <m/>
  </r>
  <r>
    <x v="32"/>
    <n v="0"/>
    <n v="0"/>
    <n v="0"/>
    <n v="12.535995142569686"/>
    <n v="13.546962492776919"/>
    <n v="17.388638423564405"/>
    <n v="5.2570302210776108"/>
    <n v="32.957535616755791"/>
    <n v="0"/>
    <n v="1.8197412303730189"/>
    <n v="1.2131608202486794"/>
    <n v="23.858829464890693"/>
    <n v="6.0658041012433968"/>
    <n v="4.6504498109532708"/>
    <n v="3.2350955206631449"/>
    <n v="1.0109673502072327"/>
    <n v="1.6175477603315724"/>
    <n v="0.40438694008289311"/>
    <n v="1.4153542902901259"/>
    <n v="0.60658041012433972"/>
    <n v="14.962316783067045"/>
    <n v="19.208379653937424"/>
    <n v="3.2350955206631449"/>
    <n v="2.6285151105388054"/>
    <n v="14.962316783067045"/>
    <n v="0"/>
    <n v="3.6394824607460379"/>
    <n v="5.0548367510361638"/>
    <n v="4.4482563409118239"/>
    <n v="10.514060442155222"/>
    <n v="2.2241281704559119"/>
    <n v="1.0109673502072327"/>
    <n v="10.514060442155222"/>
    <n v="1.8197412303730189"/>
    <n v="0.60658041012433972"/>
    <n v="2.6285151105388054"/>
    <n v="11.322834322321008"/>
    <n v="4.4482563409118239"/>
    <n v="4.2460628708703778"/>
    <n v="0"/>
    <n v="9.9074800320308807"/>
    <n v="8.4921257417407556"/>
    <n v="19.814960064061761"/>
    <n v="2.6285151105388054"/>
    <n v="6.2679975712848428"/>
    <n v="0.80877388016578622"/>
    <n v="12.131608202486794"/>
    <n v="9.9074800320308807"/>
    <n v="4.6504498109532708"/>
    <n v="2.2241281704559119"/>
    <n v="8.2899322716993087"/>
    <n v="11.929414732445347"/>
    <n v="0"/>
    <n v="6.0658041012433968"/>
    <n v="10.716253912196667"/>
    <n v="36.597018077501829"/>
    <n v="7.4811583915335227"/>
    <n v="7.2789649214920757"/>
    <n v="16.175477603315723"/>
    <n v="3.2350955206631449"/>
    <n v="4.6504498109532708"/>
    <n v="5.6614171611605038"/>
    <n v="1.2131608202486794"/>
    <n v="0"/>
    <n v="0"/>
    <n v="0"/>
    <n v="4.2460628708703778"/>
    <n v="59.040493252102394"/>
    <n v="58.433912841978056"/>
    <n v="3.4372889907045914"/>
    <n v="32.755342146714341"/>
    <n v="65.308490823387231"/>
    <n v="24.263216404973587"/>
    <n v="57.625138961812269"/>
    <n v="661.57703397561318"/>
    <n v="238.79048811894839"/>
    <n v="0.40438694008289311"/>
    <n v="6.2679975712848428"/>
    <n v="24.869796815097928"/>
    <n v="1604.5641160268801"/>
    <n v="46.706691579574155"/>
    <n v="274.29077117572695"/>
    <n v="7.4811583915335227"/>
    <n v="421.01742632457371"/>
    <n v="8.6943192117822026"/>
    <n v="10.716253912196667"/>
    <n v="0"/>
    <n v="11.929414732445347"/>
    <n v="31.339987856424216"/>
    <n v="19.208379653937424"/>
    <n v="16.579864543398617"/>
    <n v="13.344769022735473"/>
    <n v="5.4592236911190568"/>
    <n v="6.4701910413262897"/>
    <n v="18.80399271385453"/>
    <n v="11.929414732445347"/>
    <n v="9.5030930919479886"/>
    <n v="17.793025363647295"/>
    <n v="5.6614171611605038"/>
    <n v="16.984251483481511"/>
    <n v="0"/>
    <n v="31.339987856424216"/>
    <n v="30.329020506216985"/>
    <n v="36.192631137418935"/>
    <n v="0"/>
    <n v="7.2789649214920757"/>
    <n v="0"/>
    <n v="8.0877388016578617"/>
    <n v="0"/>
    <n v="16.579864543398617"/>
    <n v="0"/>
    <n v="1.0109673502072327"/>
    <n v="4.8526432809947178"/>
    <n v="0"/>
    <n v="18.782058013440064"/>
    <n v="0"/>
    <n v="4391.1374394654504"/>
    <n v="0"/>
    <n v="81.686161896744409"/>
    <n v="34.170696437004466"/>
    <n v="8.4921257417407556"/>
    <n v="19.814960064061761"/>
    <n v="14.557929842984151"/>
    <n v="2.2241281704559119"/>
    <n v="8.2899322716993087"/>
    <n v="10.716253912196667"/>
    <n v="36.597018077501829"/>
    <n v="7.4811583915335227"/>
    <n v="254.15719184209837"/>
    <n v="89.571707228360822"/>
    <n v="13.457716586102777"/>
    <n v="6.2679975712848428"/>
    <n v="316.7173018856418"/>
    <n v="1689.6910904033648"/>
    <n v="77.696308811099499"/>
    <n v="1579.8540072333467"/>
    <n v="18.782058013440064"/>
    <n v="0"/>
    <n v="59.040493252102394"/>
    <n v="58.433912841978056"/>
    <n v="3.4372889907045914"/>
    <m/>
    <m/>
    <m/>
    <m/>
    <m/>
    <m/>
    <m/>
    <m/>
    <m/>
    <m/>
    <m/>
    <m/>
    <m/>
    <m/>
    <m/>
    <m/>
    <m/>
    <m/>
    <m/>
    <m/>
    <m/>
    <m/>
    <m/>
    <m/>
    <m/>
    <m/>
    <m/>
    <m/>
    <m/>
    <m/>
    <m/>
    <m/>
    <m/>
    <m/>
    <m/>
    <m/>
    <m/>
    <m/>
    <m/>
    <m/>
    <m/>
    <m/>
    <m/>
    <m/>
    <m/>
  </r>
  <r>
    <x v="33"/>
    <n v="4"/>
    <n v="0"/>
    <n v="5"/>
    <n v="23.563602711478612"/>
    <n v="27.931635188210759"/>
    <n v="46.330158599792917"/>
    <n v="14.91376887900716"/>
    <n v="57.997858741467965"/>
    <n v="1"/>
    <n v="21.662458458117865"/>
    <n v="5.4416389720785752"/>
    <n v="48.685566450878653"/>
    <n v="83.208194860392879"/>
    <n v="45.692949392967876"/>
    <n v="5.1777039255428683"/>
    <n v="1.3680324767321461"/>
    <n v="1.5888519627714339"/>
    <n v="2.1472129906928585"/>
    <n v="2.5152454674250047"/>
    <n v="3.2208194860392876"/>
    <n v="21.446880655635763"/>
    <n v="32.992617057910778"/>
    <n v="3.1777039255428678"/>
    <n v="10.956884439503581"/>
    <n v="43.446880655635766"/>
    <n v="1"/>
    <n v="4.3249169162357264"/>
    <n v="2.840162383660731"/>
    <n v="9.6193428976214435"/>
    <n v="8.8275377580143211"/>
    <n v="3.8096714488107217"/>
    <n v="3.3680324767321461"/>
    <n v="7.8275377580143211"/>
    <n v="4.6624584581178627"/>
    <n v="1.2208194860392878"/>
    <n v="4.9568844395035798"/>
    <n v="13.121963739400037"/>
    <n v="4.6193428976214435"/>
    <n v="11.545736402275015"/>
    <n v="0"/>
    <n v="11.606718271975033"/>
    <n v="15.091472804550028"/>
    <n v="46.213436543950067"/>
    <n v="12.956884439503581"/>
    <n v="11.281801355739306"/>
    <n v="3.2944259813857171"/>
    <n v="9.4163897207857552"/>
    <n v="12.606718271975033"/>
    <n v="10.692949392967872"/>
    <n v="12.809671448810722"/>
    <n v="27.017866309203598"/>
    <n v="16.342783225439327"/>
    <n v="1"/>
    <n v="16.208194860392876"/>
    <n v="30.901144253360748"/>
    <n v="30.322775657703694"/>
    <n v="12.723440327817881"/>
    <n v="10.649833832471453"/>
    <n v="18.888519627714338"/>
    <n v="20.177703925542868"/>
    <n v="12.692949392967872"/>
    <n v="28.060981869700019"/>
    <n v="6.4416389720785752"/>
    <n v="0"/>
    <n v="0"/>
    <n v="0"/>
    <n v="1.545736402275014"/>
    <n v="74.493096641157337"/>
    <n v="49.272277155118047"/>
    <n v="5.2513104208892969"/>
    <n v="19.924252246121537"/>
    <n v="117.77489799689664"/>
    <n v="53.83277944157151"/>
    <n v="110.97785117373233"/>
    <n v="708.84045277351652"/>
    <n v="538.92927100413294"/>
    <n v="3.1472129906928585"/>
    <n v="17.281801355739308"/>
    <n v="47.053598927610793"/>
    <n v="44.218678227507255"/>
    <n v="2409.003100425025"/>
    <n v="249.448798988622"/>
    <n v="184.72344032781788"/>
    <n v="311.67891974973674"/>
    <n v="358.16507929989643"/>
    <n v="129.90114425336074"/>
    <n v="186"/>
    <n v="37.342783225439327"/>
    <n v="88.409006778696536"/>
    <n v="66.992617057910778"/>
    <n v="181.0357326184072"/>
    <n v="174.85802869286434"/>
    <n v="141.98737537435358"/>
    <n v="76.355407851085729"/>
    <n v="205.84540406721791"/>
    <n v="111.34278322543932"/>
    <n v="37.459505281282176"/>
    <n v="353.47737159048575"/>
    <n v="17.060981869700019"/>
    <n v="103.18294560910006"/>
    <n v="100"/>
    <n v="138.40900677869652"/>
    <n v="171.04097430196438"/>
    <n v="111.17556266701084"/>
    <n v="29"/>
    <n v="36.649833832471451"/>
    <n v="0"/>
    <n v="99.944259813857173"/>
    <n v="0"/>
    <n v="131.0357326184072"/>
    <n v="0"/>
    <n v="4.3680324767321466"/>
    <n v="59.766555888314301"/>
    <n v="11"/>
    <n v="157.10933911375363"/>
    <n v="50"/>
    <n v="9288.922313380519"/>
    <n v="9"/>
    <n v="171.73702411995743"/>
    <n v="55.139497713546547"/>
    <n v="15.091472804550028"/>
    <n v="46.213436543950067"/>
    <n v="23.299667664942906"/>
    <n v="12.809671448810722"/>
    <n v="27.017866309203598"/>
    <n v="30.901144253360748"/>
    <n v="30.322775657703694"/>
    <n v="12.723440327817881"/>
    <n v="559.82336465046149"/>
    <n v="171.60767743846816"/>
    <n v="12.810584216738533"/>
    <n v="17.281801355739308"/>
    <n v="263.10811217219396"/>
    <n v="107.23812055047608"/>
    <n v="2431.9446933811641"/>
    <n v="4843.7259394405164"/>
    <n v="318.10933911375366"/>
    <n v="0"/>
    <n v="74.493096641157337"/>
    <n v="49.272277155118047"/>
    <n v="5.2513104208892969"/>
    <m/>
    <m/>
    <m/>
    <m/>
    <m/>
    <m/>
    <m/>
    <m/>
    <m/>
    <m/>
    <m/>
    <m/>
    <m/>
    <m/>
    <m/>
    <m/>
    <m/>
    <m/>
    <m/>
    <m/>
    <m/>
    <m/>
    <m/>
    <m/>
    <m/>
    <m/>
    <m/>
    <m/>
    <m/>
    <m/>
    <m/>
    <m/>
    <m/>
    <m/>
    <m/>
    <m/>
    <m/>
    <m/>
    <m/>
    <m/>
    <m/>
    <m/>
    <m/>
    <m/>
    <m/>
  </r>
  <r>
    <x v="34"/>
    <n v="158"/>
    <n v="20"/>
    <n v="0"/>
    <n v="18.399999999999999"/>
    <n v="7"/>
    <n v="161"/>
    <n v="16"/>
    <n v="22.7"/>
    <n v="0"/>
    <n v="2.7"/>
    <n v="4"/>
    <n v="10.7"/>
    <n v="3.7"/>
    <n v="10.7"/>
    <n v="14.7"/>
    <n v="3"/>
    <n v="3.7"/>
    <n v="5"/>
    <n v="7"/>
    <n v="3"/>
    <n v="21873"/>
    <n v="3737.7"/>
    <n v="6.7"/>
    <n v="10"/>
    <n v="20.7"/>
    <n v="47.3"/>
    <n v="18.7"/>
    <n v="20.399999999999999"/>
    <n v="43.7"/>
    <n v="110.7"/>
    <n v="30.7"/>
    <n v="14"/>
    <n v="47.7"/>
    <n v="24"/>
    <n v="2.7"/>
    <n v="19"/>
    <n v="14.7"/>
    <n v="16.7"/>
    <n v="14.7"/>
    <n v="0"/>
    <n v="19"/>
    <n v="12.7"/>
    <n v="69.8"/>
    <n v="8.6999999999999993"/>
    <n v="5"/>
    <n v="5"/>
    <n v="15.7"/>
    <n v="10.7"/>
    <n v="8.6999999999999993"/>
    <n v="6"/>
    <n v="18.399999999999999"/>
    <n v="12.7"/>
    <n v="1"/>
    <n v="4.7"/>
    <n v="10.1"/>
    <n v="20.399999999999999"/>
    <n v="16"/>
    <n v="15"/>
    <n v="25.7"/>
    <n v="22.7"/>
    <n v="55.1"/>
    <n v="31.7"/>
    <n v="17.7"/>
    <n v="0"/>
    <n v="0"/>
    <n v="0"/>
    <n v="10"/>
    <n v="60.7"/>
    <n v="65.7"/>
    <n v="3.7"/>
    <n v="13.7"/>
    <n v="55.8"/>
    <n v="29.7"/>
    <n v="4569.8"/>
    <n v="1147.8"/>
    <n v="178.6"/>
    <n v="3"/>
    <n v="49.7"/>
    <n v="445.8"/>
    <n v="41"/>
    <n v="69"/>
    <n v="497.9"/>
    <n v="39"/>
    <n v="61.7"/>
    <n v="7"/>
    <n v="0"/>
    <n v="0"/>
    <n v="18"/>
    <n v="23"/>
    <n v="136"/>
    <n v="52.7"/>
    <n v="38.700000000000003"/>
    <n v="63"/>
    <n v="11"/>
    <n v="39.700000000000003"/>
    <n v="40.700000000000003"/>
    <n v="17"/>
    <n v="288.8"/>
    <n v="3"/>
    <n v="76.099999999999994"/>
    <n v="0"/>
    <n v="29.4"/>
    <n v="39.4"/>
    <n v="64.7"/>
    <n v="133"/>
    <n v="11.7"/>
    <n v="0"/>
    <n v="18.7"/>
    <n v="2"/>
    <n v="26.7"/>
    <n v="0"/>
    <n v="2"/>
    <n v="21.7"/>
    <n v="72"/>
    <n v="102.4"/>
    <n v="120"/>
    <n v="35757.899999999994"/>
    <n v="178"/>
    <n v="225.1"/>
    <n v="25643.81"/>
    <n v="12.7"/>
    <n v="69.8"/>
    <n v="19.399999999999999"/>
    <n v="6"/>
    <n v="18.399999999999999"/>
    <n v="10.1"/>
    <n v="20.399999999999999"/>
    <n v="16"/>
    <n v="760.89000000000044"/>
    <n v="85.5"/>
    <n v="4.9129622405190645"/>
    <n v="49.7"/>
    <n v="488.57017989504902"/>
    <n v="53.475337101557251"/>
    <n v="73.541520762874683"/>
    <n v="7595.0999999999985"/>
    <n v="296.39999999999998"/>
    <n v="0"/>
    <n v="60.7"/>
    <n v="65.7"/>
    <n v="3.7"/>
    <m/>
    <m/>
    <m/>
    <m/>
    <m/>
    <m/>
    <m/>
    <m/>
    <m/>
    <m/>
    <m/>
    <m/>
    <m/>
    <m/>
    <m/>
    <m/>
    <m/>
    <m/>
    <m/>
    <m/>
    <m/>
    <m/>
    <m/>
    <m/>
    <m/>
    <m/>
    <m/>
    <m/>
    <m/>
    <m/>
    <m/>
    <m/>
    <m/>
    <m/>
    <m/>
    <m/>
    <m/>
    <m/>
    <m/>
    <m/>
    <m/>
    <m/>
    <m/>
    <m/>
    <m/>
  </r>
  <r>
    <x v="2"/>
    <n v="0"/>
    <n v="0"/>
    <n v="0"/>
    <n v="0.6"/>
    <n v="0"/>
    <n v="0"/>
    <n v="0"/>
    <n v="0.3"/>
    <n v="0"/>
    <n v="0.3"/>
    <n v="0"/>
    <n v="0.3"/>
    <n v="0.3"/>
    <n v="0.3"/>
    <n v="0.3"/>
    <n v="0"/>
    <n v="0.3"/>
    <n v="0"/>
    <n v="0"/>
    <n v="0"/>
    <n v="9"/>
    <n v="3.3"/>
    <n v="0.3"/>
    <n v="0"/>
    <n v="0.3"/>
    <n v="14.7"/>
    <n v="0.3"/>
    <n v="0.6"/>
    <n v="0.3"/>
    <n v="0.3"/>
    <n v="0.3"/>
    <n v="0"/>
    <n v="0.3"/>
    <n v="0"/>
    <n v="0.3"/>
    <n v="0"/>
    <n v="0.3"/>
    <n v="0.3"/>
    <n v="0.3"/>
    <n v="0"/>
    <n v="0"/>
    <n v="0.3"/>
    <n v="1.2"/>
    <n v="0.3"/>
    <n v="0"/>
    <n v="0"/>
    <n v="0.3"/>
    <n v="0.3"/>
    <n v="0.3"/>
    <n v="0"/>
    <n v="0.6"/>
    <n v="0.3"/>
    <n v="0"/>
    <n v="0.3"/>
    <n v="0.89999999999999991"/>
    <n v="0.6"/>
    <n v="0"/>
    <n v="0"/>
    <n v="0.3"/>
    <n v="0.3"/>
    <n v="0.89999999999999991"/>
    <n v="0.3"/>
    <n v="0.3"/>
    <n v="0"/>
    <n v="0"/>
    <n v="0"/>
    <n v="0"/>
    <n v="0.3"/>
    <n v="0.3"/>
    <n v="0.3"/>
    <n v="0.3"/>
    <n v="1.2"/>
    <n v="0.3"/>
    <n v="10.199999999999999"/>
    <n v="1.2"/>
    <n v="2.4"/>
    <n v="0"/>
    <n v="0.3"/>
    <n v="1.2"/>
    <n v="0"/>
    <n v="0"/>
    <n v="2.1"/>
    <n v="0"/>
    <n v="3.3"/>
    <n v="0"/>
    <n v="0"/>
    <n v="0"/>
    <n v="0"/>
    <n v="0"/>
    <n v="3"/>
    <n v="0.3"/>
    <n v="0.3"/>
    <n v="0"/>
    <n v="0"/>
    <n v="0.3"/>
    <n v="0.3"/>
    <n v="0"/>
    <n v="1.2"/>
    <n v="0"/>
    <n v="0.89999999999999991"/>
    <n v="0"/>
    <n v="0.6"/>
    <n v="0.6"/>
    <n v="0.3"/>
    <n v="0"/>
    <n v="0.3"/>
    <n v="0"/>
    <n v="0.3"/>
    <n v="0"/>
    <n v="0.3"/>
    <n v="0"/>
    <n v="0"/>
    <n v="0.3"/>
    <n v="0"/>
    <n v="0.6"/>
    <n v="0"/>
    <n v="74.099999999999909"/>
    <n v="0"/>
    <n v="0.89999999999999991"/>
    <n v="22.59"/>
    <n v="0.3"/>
    <n v="1.2"/>
    <n v="0.6"/>
    <n v="0"/>
    <n v="0.6"/>
    <n v="0.89999999999999991"/>
    <n v="0.6"/>
    <n v="0"/>
    <n v="13.709999999999997"/>
    <n v="1.5"/>
    <n v="0.10231402583003101"/>
    <n v="0.3"/>
    <n v="3.4875460883899789"/>
    <n v="0.6672384511367736"/>
    <n v="0.24290143464321648"/>
    <n v="24.900000000000006"/>
    <n v="0.6"/>
    <n v="0"/>
    <n v="0.3"/>
    <n v="0.3"/>
    <n v="0.3"/>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count="188">
  <r>
    <x v="0"/>
    <s v="AGRICULTURE  CHASSE  SERVICES ANNEXES"/>
    <s v="GA01 "/>
    <n v="60993"/>
    <n v="7546"/>
    <n v="0"/>
    <n v="0"/>
    <n v="68539"/>
    <n v="16031"/>
    <n v="1149"/>
    <n v="1648"/>
    <n v="1562"/>
    <n v="-2779"/>
    <n v="84588"/>
    <n v="26191"/>
    <n v="0"/>
    <n v="0"/>
    <n v="0"/>
    <n v="0"/>
    <n v="26191"/>
    <n v="1057"/>
    <n v="0"/>
    <n v="0"/>
    <n v="10"/>
    <n v="0"/>
    <n v="1067"/>
    <n v="0"/>
    <n v="839"/>
    <n v="1906"/>
    <n v="9916"/>
    <n v="38013"/>
    <n v="46575"/>
    <n v="84588"/>
  </r>
  <r>
    <x v="0"/>
    <s v="PRODUITS SYLVICOLES"/>
    <s v="GA02 "/>
    <n v="6467"/>
    <n v="388"/>
    <n v="0"/>
    <n v="0"/>
    <n v="6855"/>
    <n v="704"/>
    <n v="248"/>
    <n v="60"/>
    <n v="60"/>
    <n v="-143"/>
    <n v="7724"/>
    <n v="733"/>
    <n v="0"/>
    <n v="0"/>
    <n v="0"/>
    <n v="0"/>
    <n v="733"/>
    <n v="300"/>
    <n v="0"/>
    <n v="0"/>
    <n v="119"/>
    <n v="0"/>
    <n v="419"/>
    <n v="0"/>
    <n v="2110"/>
    <n v="2529"/>
    <n v="356"/>
    <n v="3618"/>
    <n v="4106"/>
    <n v="7724"/>
  </r>
  <r>
    <x v="0"/>
    <s v="PRODUITS DE LA PECHE ET DE L AQUACULTURE"/>
    <s v="GA03 "/>
    <n v="2071"/>
    <n v="1138"/>
    <n v="0"/>
    <n v="0"/>
    <n v="3209"/>
    <n v="2656"/>
    <n v="118"/>
    <n v="178"/>
    <n v="163"/>
    <n v="0"/>
    <n v="6161"/>
    <n v="3510"/>
    <n v="0"/>
    <n v="0"/>
    <n v="0"/>
    <n v="0"/>
    <n v="3510"/>
    <n v="0"/>
    <n v="0"/>
    <n v="0"/>
    <n v="0"/>
    <n v="0"/>
    <n v="0"/>
    <n v="0"/>
    <n v="-20"/>
    <n v="-20"/>
    <n v="525"/>
    <n v="4015"/>
    <n v="2146"/>
    <n v="6161"/>
  </r>
  <r>
    <x v="1"/>
    <s v="INDUSTRIE DES VIANDES"/>
    <s v="GB01 "/>
    <n v="29328"/>
    <n v="4133"/>
    <n v="0"/>
    <n v="0"/>
    <n v="33461"/>
    <n v="12931"/>
    <n v="1541"/>
    <n v="1883"/>
    <n v="1742"/>
    <n v="-205"/>
    <n v="49611"/>
    <n v="35962"/>
    <n v="0"/>
    <n v="0"/>
    <n v="0"/>
    <n v="0"/>
    <n v="35962"/>
    <n v="0"/>
    <n v="0"/>
    <n v="0"/>
    <n v="0"/>
    <n v="0"/>
    <n v="0"/>
    <n v="0"/>
    <n v="0"/>
    <n v="0"/>
    <n v="3890"/>
    <n v="39852"/>
    <n v="9759"/>
    <n v="49611"/>
  </r>
  <r>
    <x v="1"/>
    <s v="INDUSTRIE DU LAIT"/>
    <s v="GB02 "/>
    <n v="21557"/>
    <n v="2224"/>
    <n v="0"/>
    <n v="0"/>
    <n v="23781"/>
    <n v="8428"/>
    <n v="703"/>
    <n v="1040"/>
    <n v="1020"/>
    <n v="-159"/>
    <n v="33793"/>
    <n v="20631"/>
    <n v="0"/>
    <n v="0"/>
    <n v="0"/>
    <n v="0"/>
    <n v="20631"/>
    <n v="0"/>
    <n v="0"/>
    <n v="0"/>
    <n v="0"/>
    <n v="0"/>
    <n v="0"/>
    <n v="0"/>
    <n v="0"/>
    <n v="0"/>
    <n v="4647"/>
    <n v="25278"/>
    <n v="8515"/>
    <n v="33793"/>
  </r>
  <r>
    <x v="1"/>
    <s v="INDUSTRIE DES BOISSONS"/>
    <s v="GB03 "/>
    <n v="23994"/>
    <n v="2305"/>
    <n v="0"/>
    <n v="0"/>
    <n v="26299"/>
    <n v="10639"/>
    <n v="842"/>
    <n v="5777"/>
    <n v="2508"/>
    <n v="-100"/>
    <n v="43457"/>
    <n v="20107"/>
    <n v="0"/>
    <n v="0"/>
    <n v="0"/>
    <n v="0"/>
    <n v="20107"/>
    <n v="0"/>
    <n v="0"/>
    <n v="0"/>
    <n v="0"/>
    <n v="0"/>
    <n v="0"/>
    <n v="0"/>
    <n v="-259"/>
    <n v="-259"/>
    <n v="11029"/>
    <n v="30877"/>
    <n v="12580"/>
    <n v="43457"/>
  </r>
  <r>
    <x v="1"/>
    <s v="TRAVAIL DU GRAIN: FABRICATION D ALIMENTS"/>
    <s v="GB04 "/>
    <n v="13243"/>
    <n v="1531"/>
    <n v="0"/>
    <n v="0"/>
    <n v="14774"/>
    <n v="3692"/>
    <n v="793"/>
    <n v="543"/>
    <n v="455"/>
    <n v="0"/>
    <n v="19802"/>
    <n v="3801"/>
    <n v="0"/>
    <n v="0"/>
    <n v="0"/>
    <n v="0"/>
    <n v="3801"/>
    <n v="0"/>
    <n v="0"/>
    <n v="0"/>
    <n v="0"/>
    <n v="0"/>
    <n v="0"/>
    <n v="0"/>
    <n v="0"/>
    <n v="0"/>
    <n v="3398"/>
    <n v="7199"/>
    <n v="12603"/>
    <n v="19802"/>
  </r>
  <r>
    <x v="1"/>
    <s v="INDUSTRIES ALIMENTAIRES DIVERSES"/>
    <s v="GB05 "/>
    <n v="40729"/>
    <n v="13730"/>
    <n v="0"/>
    <n v="0"/>
    <n v="54459"/>
    <n v="23127"/>
    <n v="3104"/>
    <n v="3039"/>
    <n v="2715"/>
    <n v="-177"/>
    <n v="83552"/>
    <n v="49008"/>
    <n v="0"/>
    <n v="0"/>
    <n v="0"/>
    <n v="0"/>
    <n v="49008"/>
    <n v="0"/>
    <n v="0"/>
    <n v="0"/>
    <n v="0"/>
    <n v="0"/>
    <n v="0"/>
    <n v="0"/>
    <n v="0"/>
    <n v="0"/>
    <n v="9487"/>
    <n v="58495"/>
    <n v="25057"/>
    <n v="83552"/>
  </r>
  <r>
    <x v="1"/>
    <s v="INDUSTRIE DU TABAC"/>
    <s v="GB06 "/>
    <n v="765"/>
    <n v="1806"/>
    <n v="0"/>
    <n v="0"/>
    <n v="2571"/>
    <n v="1559"/>
    <n v="7"/>
    <n v="12219"/>
    <n v="2573"/>
    <n v="0"/>
    <n v="16356"/>
    <n v="15838"/>
    <n v="0"/>
    <n v="0"/>
    <n v="0"/>
    <n v="0"/>
    <n v="15838"/>
    <n v="0"/>
    <n v="0"/>
    <n v="0"/>
    <n v="0"/>
    <n v="0"/>
    <n v="0"/>
    <n v="0"/>
    <n v="0"/>
    <n v="0"/>
    <n v="405"/>
    <n v="16243"/>
    <n v="113"/>
    <n v="16356"/>
  </r>
  <r>
    <x v="2"/>
    <s v="INDUSTRIE DE L HABILLEMENT ET DES FOURRU"/>
    <s v="GC11 "/>
    <n v="9847"/>
    <n v="12486"/>
    <n v="0"/>
    <n v="0"/>
    <n v="22333"/>
    <n v="12780"/>
    <n v="468"/>
    <n v="5094"/>
    <n v="4790"/>
    <n v="0"/>
    <n v="40675"/>
    <n v="30390"/>
    <n v="0"/>
    <n v="0"/>
    <n v="0"/>
    <n v="0"/>
    <n v="30390"/>
    <n v="0"/>
    <n v="0"/>
    <n v="0"/>
    <n v="0"/>
    <n v="0"/>
    <n v="0"/>
    <n v="0"/>
    <n v="281"/>
    <n v="281"/>
    <n v="6549"/>
    <n v="37220"/>
    <n v="3455"/>
    <n v="40675"/>
  </r>
  <r>
    <x v="2"/>
    <s v="INDUSTRIE DU CUIR ET DE LA CHAUSSURE"/>
    <s v="GC12 "/>
    <n v="3294"/>
    <n v="5937"/>
    <n v="0"/>
    <n v="0"/>
    <n v="9231"/>
    <n v="4386"/>
    <n v="267"/>
    <n v="1714"/>
    <n v="1616"/>
    <n v="0"/>
    <n v="15598"/>
    <n v="10376"/>
    <n v="0"/>
    <n v="0"/>
    <n v="0"/>
    <n v="0"/>
    <n v="10376"/>
    <n v="0"/>
    <n v="0"/>
    <n v="0"/>
    <n v="0"/>
    <n v="0"/>
    <n v="0"/>
    <n v="0"/>
    <n v="-221"/>
    <n v="-221"/>
    <n v="4330"/>
    <n v="14485"/>
    <n v="1113"/>
    <n v="15598"/>
  </r>
  <r>
    <x v="2"/>
    <s v="EDITION  IMPRIMERIE  REPRODUCTION"/>
    <s v="GC20 "/>
    <n v="28695"/>
    <n v="2841"/>
    <n v="0"/>
    <n v="0"/>
    <n v="31536"/>
    <n v="6804"/>
    <n v="1919"/>
    <n v="1429"/>
    <n v="1388"/>
    <n v="-36"/>
    <n v="41652"/>
    <n v="12882"/>
    <n v="0"/>
    <n v="6"/>
    <n v="6"/>
    <n v="0"/>
    <n v="12888"/>
    <n v="0"/>
    <n v="0"/>
    <n v="0"/>
    <n v="0"/>
    <n v="0"/>
    <n v="0"/>
    <n v="0"/>
    <n v="0"/>
    <n v="0"/>
    <n v="2301"/>
    <n v="15189"/>
    <n v="26463"/>
    <n v="41652"/>
  </r>
  <r>
    <x v="2"/>
    <s v="INDUSTRIE PHARMACEUTIQUE"/>
    <s v="GC31 "/>
    <n v="36417"/>
    <n v="16410"/>
    <n v="0"/>
    <n v="0"/>
    <n v="52827"/>
    <n v="18980"/>
    <n v="678"/>
    <n v="1415"/>
    <n v="807"/>
    <n v="0"/>
    <n v="73900"/>
    <n v="10281"/>
    <n v="0"/>
    <n v="23449"/>
    <n v="23449"/>
    <n v="0"/>
    <n v="33730"/>
    <n v="0"/>
    <n v="0"/>
    <n v="0"/>
    <n v="0"/>
    <n v="0"/>
    <n v="0"/>
    <n v="0"/>
    <n v="0"/>
    <n v="0"/>
    <n v="21123"/>
    <n v="54853"/>
    <n v="19047"/>
    <n v="73900"/>
  </r>
  <r>
    <x v="2"/>
    <s v="FABRICATION DE SAVONS  DE PARFUM ET DE P"/>
    <s v="GC32 "/>
    <n v="16171"/>
    <n v="3263"/>
    <n v="0"/>
    <n v="0"/>
    <n v="19434"/>
    <n v="8581"/>
    <n v="816"/>
    <n v="2928"/>
    <n v="2839"/>
    <n v="0"/>
    <n v="31759"/>
    <n v="17647"/>
    <n v="0"/>
    <n v="0"/>
    <n v="0"/>
    <n v="0"/>
    <n v="17647"/>
    <n v="0"/>
    <n v="0"/>
    <n v="0"/>
    <n v="0"/>
    <n v="0"/>
    <n v="0"/>
    <n v="0"/>
    <n v="0"/>
    <n v="0"/>
    <n v="9972"/>
    <n v="27619"/>
    <n v="4140"/>
    <n v="31759"/>
  </r>
  <r>
    <x v="2"/>
    <s v="FABRICATION DE MEUBLES"/>
    <s v="GC41 "/>
    <n v="13183"/>
    <n v="5404"/>
    <n v="0"/>
    <n v="0"/>
    <n v="18587"/>
    <n v="4863"/>
    <n v="410"/>
    <n v="2678"/>
    <n v="2642"/>
    <n v="0"/>
    <n v="26538"/>
    <n v="13826"/>
    <n v="0"/>
    <n v="0"/>
    <n v="0"/>
    <n v="0"/>
    <n v="13826"/>
    <n v="2331"/>
    <n v="0"/>
    <n v="388"/>
    <n v="1584"/>
    <n v="193"/>
    <n v="4496"/>
    <n v="0"/>
    <n v="12"/>
    <n v="4508"/>
    <n v="2496"/>
    <n v="20830"/>
    <n v="5708"/>
    <n v="26538"/>
  </r>
  <r>
    <x v="2"/>
    <s v="BIJOUTERIE ET FABRICATION D INSTRUMENTS "/>
    <s v="GC42 "/>
    <n v="1622"/>
    <n v="1813"/>
    <n v="0"/>
    <n v="0"/>
    <n v="3435"/>
    <n v="2188"/>
    <n v="86"/>
    <n v="703"/>
    <n v="647"/>
    <n v="0"/>
    <n v="6412"/>
    <n v="3733"/>
    <n v="0"/>
    <n v="0"/>
    <n v="0"/>
    <n v="0"/>
    <n v="3733"/>
    <n v="67"/>
    <n v="0"/>
    <n v="0"/>
    <n v="0"/>
    <n v="0"/>
    <n v="67"/>
    <n v="476"/>
    <n v="19"/>
    <n v="562"/>
    <n v="1649"/>
    <n v="5944"/>
    <n v="468"/>
    <n v="6412"/>
  </r>
  <r>
    <x v="2"/>
    <s v="FABRICATION D ARTICLES DE SPORTS  JEUX E"/>
    <s v="GC43 "/>
    <n v="4187"/>
    <n v="4630"/>
    <n v="0"/>
    <n v="0"/>
    <n v="8817"/>
    <n v="7603"/>
    <n v="243"/>
    <n v="2148"/>
    <n v="2087"/>
    <n v="0"/>
    <n v="18811"/>
    <n v="13037"/>
    <n v="0"/>
    <n v="0"/>
    <n v="0"/>
    <n v="0"/>
    <n v="13037"/>
    <n v="145"/>
    <n v="0"/>
    <n v="0"/>
    <n v="0"/>
    <n v="0"/>
    <n v="145"/>
    <n v="0"/>
    <n v="-8"/>
    <n v="137"/>
    <n v="2665"/>
    <n v="15839"/>
    <n v="2972"/>
    <n v="18811"/>
  </r>
  <r>
    <x v="2"/>
    <s v="FABRICATION D APPAREILS DOMESTIQUES"/>
    <s v="GC44 "/>
    <n v="2886"/>
    <n v="3995"/>
    <n v="0"/>
    <n v="0"/>
    <n v="6881"/>
    <n v="3686"/>
    <n v="67"/>
    <n v="1378"/>
    <n v="1352"/>
    <n v="0"/>
    <n v="12012"/>
    <n v="8608"/>
    <n v="0"/>
    <n v="0"/>
    <n v="0"/>
    <n v="0"/>
    <n v="8608"/>
    <n v="1"/>
    <n v="0"/>
    <n v="0"/>
    <n v="0"/>
    <n v="0"/>
    <n v="1"/>
    <n v="0"/>
    <n v="9"/>
    <n v="10"/>
    <n v="1977"/>
    <n v="10595"/>
    <n v="1417"/>
    <n v="12012"/>
  </r>
  <r>
    <x v="2"/>
    <s v="FABRICATION D APPAREILS DE RECEPTION  EN"/>
    <s v="GC45 "/>
    <n v="1741"/>
    <n v="8130"/>
    <n v="0"/>
    <n v="0"/>
    <n v="9871"/>
    <n v="4250"/>
    <n v="592"/>
    <n v="1593"/>
    <n v="1460"/>
    <n v="0"/>
    <n v="16306"/>
    <n v="9103"/>
    <n v="0"/>
    <n v="0"/>
    <n v="0"/>
    <n v="0"/>
    <n v="9103"/>
    <n v="1637"/>
    <n v="0"/>
    <n v="15"/>
    <n v="0"/>
    <n v="7"/>
    <n v="1659"/>
    <n v="0"/>
    <n v="-20"/>
    <n v="1639"/>
    <n v="3845"/>
    <n v="14587"/>
    <n v="1719"/>
    <n v="16306"/>
  </r>
  <r>
    <x v="2"/>
    <s v="FABRICATION DE MATERIEL OPTIQUE ET PHOTO"/>
    <s v="GC46 "/>
    <n v="2021"/>
    <n v="2497"/>
    <n v="0"/>
    <n v="0"/>
    <n v="4518"/>
    <n v="3080"/>
    <n v="104"/>
    <n v="907"/>
    <n v="876"/>
    <n v="0"/>
    <n v="8609"/>
    <n v="5562"/>
    <n v="0"/>
    <n v="185"/>
    <n v="185"/>
    <n v="0"/>
    <n v="5747"/>
    <n v="53"/>
    <n v="0"/>
    <n v="0"/>
    <n v="0"/>
    <n v="0"/>
    <n v="53"/>
    <n v="0"/>
    <n v="4"/>
    <n v="57"/>
    <n v="1913"/>
    <n v="7717"/>
    <n v="892"/>
    <n v="8609"/>
  </r>
  <r>
    <x v="3"/>
    <s v="CONSTRUCTION AUTOMOBILE"/>
    <s v="GD01 "/>
    <n v="62433"/>
    <n v="32074"/>
    <n v="0"/>
    <n v="0"/>
    <n v="94507"/>
    <n v="14309"/>
    <n v="1782"/>
    <n v="7184"/>
    <n v="6853"/>
    <n v="0"/>
    <n v="117782"/>
    <n v="35817"/>
    <n v="0"/>
    <n v="0"/>
    <n v="0"/>
    <n v="0"/>
    <n v="35817"/>
    <n v="21335"/>
    <n v="0"/>
    <n v="242"/>
    <n v="2059"/>
    <n v="267"/>
    <n v="23903"/>
    <n v="0"/>
    <n v="483"/>
    <n v="24386"/>
    <n v="35788"/>
    <n v="95991"/>
    <n v="21791"/>
    <n v="117782"/>
  </r>
  <r>
    <x v="3"/>
    <s v="FABRICATION D EQUIPEMENTS AUTOMOBILES"/>
    <s v="GD02 "/>
    <n v="26296"/>
    <n v="13296"/>
    <n v="0"/>
    <n v="0"/>
    <n v="39592"/>
    <n v="5356"/>
    <n v="559"/>
    <n v="3579"/>
    <n v="3551"/>
    <n v="0"/>
    <n v="49086"/>
    <n v="20594"/>
    <n v="0"/>
    <n v="0"/>
    <n v="0"/>
    <n v="0"/>
    <n v="20594"/>
    <n v="0"/>
    <n v="0"/>
    <n v="0"/>
    <n v="0"/>
    <n v="0"/>
    <n v="0"/>
    <n v="0"/>
    <n v="-559"/>
    <n v="-559"/>
    <n v="15257"/>
    <n v="35292"/>
    <n v="13794"/>
    <n v="49086"/>
  </r>
  <r>
    <x v="2"/>
    <s v="CONSTRUCTION NAVALE"/>
    <s v="GE11 "/>
    <n v="4661"/>
    <n v="1570"/>
    <n v="0"/>
    <n v="0"/>
    <n v="6231"/>
    <n v="107"/>
    <n v="59"/>
    <n v="273"/>
    <n v="269"/>
    <n v="-7"/>
    <n v="6663"/>
    <n v="1562"/>
    <n v="0"/>
    <n v="0"/>
    <n v="0"/>
    <n v="0"/>
    <n v="1562"/>
    <n v="37"/>
    <n v="0"/>
    <n v="0"/>
    <n v="10"/>
    <n v="0"/>
    <n v="47"/>
    <n v="0"/>
    <n v="623"/>
    <n v="670"/>
    <n v="1908"/>
    <n v="4140"/>
    <n v="2523"/>
    <n v="6663"/>
  </r>
  <r>
    <x v="2"/>
    <s v="CONSTRUCTION DE MATERIEL FERROVIAIRE ROU"/>
    <s v="GE12 "/>
    <n v="3341"/>
    <n v="379"/>
    <n v="0"/>
    <n v="0"/>
    <n v="3720"/>
    <n v="17"/>
    <n v="66"/>
    <n v="3"/>
    <n v="3"/>
    <n v="0"/>
    <n v="3806"/>
    <n v="0"/>
    <n v="0"/>
    <n v="0"/>
    <n v="0"/>
    <n v="0"/>
    <n v="0"/>
    <n v="2258"/>
    <n v="0"/>
    <n v="0"/>
    <n v="0"/>
    <n v="0"/>
    <n v="2258"/>
    <n v="0"/>
    <n v="-65"/>
    <n v="2193"/>
    <n v="859"/>
    <n v="3052"/>
    <n v="754"/>
    <n v="3806"/>
  </r>
  <r>
    <x v="2"/>
    <s v="CONSTRUCTION AERONAUTIQUE ET SPATIALE"/>
    <s v="GE13 "/>
    <n v="46487"/>
    <n v="14603"/>
    <n v="0"/>
    <n v="0"/>
    <n v="61090"/>
    <n v="180"/>
    <n v="175"/>
    <n v="276"/>
    <n v="276"/>
    <n v="0"/>
    <n v="61721"/>
    <n v="43"/>
    <n v="0"/>
    <n v="0"/>
    <n v="0"/>
    <n v="0"/>
    <n v="43"/>
    <n v="2469"/>
    <n v="0"/>
    <n v="0"/>
    <n v="112"/>
    <n v="0"/>
    <n v="2581"/>
    <n v="0"/>
    <n v="1570"/>
    <n v="4151"/>
    <n v="29038"/>
    <n v="33232"/>
    <n v="28489"/>
    <n v="61721"/>
  </r>
  <r>
    <x v="4"/>
    <s v="FABRICATION DE CYCLES  MOTOCYCLES  MATERriel de transport non classé ailleurs"/>
    <s v="GE14 "/>
    <n v="1016"/>
    <n v="1924"/>
    <n v="0"/>
    <n v="0"/>
    <n v="2940"/>
    <n v="878"/>
    <n v="10"/>
    <n v="569"/>
    <n v="532"/>
    <n v="0"/>
    <n v="4397"/>
    <n v="3132"/>
    <n v="0"/>
    <n v="126"/>
    <n v="126"/>
    <n v="0"/>
    <n v="3258"/>
    <n v="25"/>
    <n v="0"/>
    <n v="0"/>
    <n v="199"/>
    <n v="0"/>
    <n v="224"/>
    <n v="0"/>
    <n v="-199"/>
    <n v="25"/>
    <n v="867"/>
    <n v="4150"/>
    <n v="247"/>
    <n v="4397"/>
  </r>
  <r>
    <x v="2"/>
    <s v="FABRICATION D ELEMENTS EN METAL POUR LA "/>
    <s v="GE21 "/>
    <n v="9437"/>
    <n v="1472"/>
    <n v="0"/>
    <n v="0"/>
    <n v="10909"/>
    <n v="758"/>
    <n v="170"/>
    <n v="89"/>
    <n v="80"/>
    <n v="0"/>
    <n v="11926"/>
    <n v="0"/>
    <n v="0"/>
    <n v="0"/>
    <n v="0"/>
    <n v="0"/>
    <n v="0"/>
    <n v="3459"/>
    <n v="0"/>
    <n v="165"/>
    <n v="23"/>
    <n v="0"/>
    <n v="3647"/>
    <n v="0"/>
    <n v="89"/>
    <n v="3736"/>
    <n v="813"/>
    <n v="4549"/>
    <n v="7377"/>
    <n v="11926"/>
  </r>
  <r>
    <x v="2"/>
    <s v="CHAUDRONNERIE  FABRICATION DE RESERVOIRS"/>
    <s v="GE22 "/>
    <n v="10302"/>
    <n v="819"/>
    <n v="0"/>
    <n v="0"/>
    <n v="11121"/>
    <n v="1391"/>
    <n v="218"/>
    <n v="84"/>
    <n v="84"/>
    <n v="0"/>
    <n v="12814"/>
    <n v="0"/>
    <n v="0"/>
    <n v="0"/>
    <n v="0"/>
    <n v="0"/>
    <n v="0"/>
    <n v="4186"/>
    <n v="0"/>
    <n v="0"/>
    <n v="0"/>
    <n v="0"/>
    <n v="4186"/>
    <n v="0"/>
    <n v="0"/>
    <n v="4186"/>
    <n v="806"/>
    <n v="4992"/>
    <n v="7822"/>
    <n v="12814"/>
  </r>
  <r>
    <x v="2"/>
    <s v="FABRICATION D EQUIPEMENTS MECANIQUES"/>
    <s v="GE23 "/>
    <n v="13695"/>
    <n v="8989"/>
    <n v="0"/>
    <n v="0"/>
    <n v="22684"/>
    <n v="1539"/>
    <n v="849"/>
    <n v="81"/>
    <n v="48"/>
    <n v="0"/>
    <n v="25153"/>
    <n v="0"/>
    <n v="0"/>
    <n v="0"/>
    <n v="0"/>
    <n v="0"/>
    <n v="0"/>
    <n v="2638"/>
    <n v="0"/>
    <n v="0"/>
    <n v="0"/>
    <n v="0"/>
    <n v="2638"/>
    <n v="0"/>
    <n v="109"/>
    <n v="2747"/>
    <n v="9889"/>
    <n v="12636"/>
    <n v="12517"/>
    <n v="25153"/>
  </r>
  <r>
    <x v="2"/>
    <s v="FABRICATION DE MACHINES D USAGE GENERAL"/>
    <s v="GE24 "/>
    <n v="21110"/>
    <n v="8396"/>
    <n v="0"/>
    <n v="0"/>
    <n v="29506"/>
    <n v="6984"/>
    <n v="327"/>
    <n v="384"/>
    <n v="359"/>
    <n v="0"/>
    <n v="37201"/>
    <n v="972"/>
    <n v="0"/>
    <n v="0"/>
    <n v="0"/>
    <n v="0"/>
    <n v="972"/>
    <n v="10949"/>
    <n v="0"/>
    <n v="535"/>
    <n v="112"/>
    <n v="0"/>
    <n v="11596"/>
    <n v="0"/>
    <n v="274"/>
    <n v="11870"/>
    <n v="9402"/>
    <n v="22244"/>
    <n v="14957"/>
    <n v="37201"/>
  </r>
  <r>
    <x v="2"/>
    <s v="FABRICATION DE MACHINES AGRICOLES"/>
    <s v="GE25 "/>
    <n v="4801"/>
    <n v="2378"/>
    <n v="0"/>
    <n v="0"/>
    <n v="7179"/>
    <n v="3892"/>
    <n v="57"/>
    <n v="147"/>
    <n v="146"/>
    <n v="0"/>
    <n v="11275"/>
    <n v="776"/>
    <n v="0"/>
    <n v="0"/>
    <n v="0"/>
    <n v="0"/>
    <n v="776"/>
    <n v="4878"/>
    <n v="0"/>
    <n v="0"/>
    <n v="1"/>
    <n v="0"/>
    <n v="4879"/>
    <n v="0"/>
    <n v="16"/>
    <n v="4895"/>
    <n v="1970"/>
    <n v="7641"/>
    <n v="3634"/>
    <n v="11275"/>
  </r>
  <r>
    <x v="2"/>
    <s v="FABRICATION DE MACHINES OUTILS"/>
    <s v="GE26 "/>
    <n v="2196"/>
    <n v="2893"/>
    <n v="0"/>
    <n v="0"/>
    <n v="5089"/>
    <n v="707"/>
    <n v="332"/>
    <n v="253"/>
    <n v="241"/>
    <n v="0"/>
    <n v="6381"/>
    <n v="985"/>
    <n v="0"/>
    <n v="0"/>
    <n v="0"/>
    <n v="0"/>
    <n v="985"/>
    <n v="2168"/>
    <n v="0"/>
    <n v="0"/>
    <n v="10"/>
    <n v="299"/>
    <n v="2477"/>
    <n v="0"/>
    <n v="14"/>
    <n v="2491"/>
    <n v="1671"/>
    <n v="5147"/>
    <n v="1234"/>
    <n v="6381"/>
  </r>
  <r>
    <x v="2"/>
    <s v="FABRICATION D AUTRES MACHINES A USAGE SP"/>
    <s v="GE27 "/>
    <n v="12418"/>
    <n v="6881"/>
    <n v="0"/>
    <n v="0"/>
    <n v="19299"/>
    <n v="1151"/>
    <n v="74"/>
    <n v="139"/>
    <n v="122"/>
    <n v="0"/>
    <n v="20663"/>
    <n v="37"/>
    <n v="0"/>
    <n v="0"/>
    <n v="0"/>
    <n v="0"/>
    <n v="37"/>
    <n v="6606"/>
    <n v="0"/>
    <n v="0"/>
    <n v="256"/>
    <n v="0"/>
    <n v="6862"/>
    <n v="0"/>
    <n v="46"/>
    <n v="6908"/>
    <n v="8824"/>
    <n v="15769"/>
    <n v="4894"/>
    <n v="20663"/>
  </r>
  <r>
    <x v="2"/>
    <s v="FABRICATION D ARMES ET MUNITIONS"/>
    <s v="GE28 "/>
    <n v="4353"/>
    <n v="341"/>
    <n v="0"/>
    <n v="0"/>
    <n v="4694"/>
    <n v="10"/>
    <n v="2"/>
    <n v="458"/>
    <n v="457"/>
    <n v="0"/>
    <n v="5164"/>
    <n v="305"/>
    <n v="0"/>
    <n v="0"/>
    <n v="0"/>
    <n v="0"/>
    <n v="305"/>
    <n v="64"/>
    <n v="0"/>
    <n v="0"/>
    <n v="79"/>
    <n v="0"/>
    <n v="143"/>
    <n v="0"/>
    <n v="-196"/>
    <n v="-53"/>
    <n v="1275"/>
    <n v="1527"/>
    <n v="3637"/>
    <n v="5164"/>
  </r>
  <r>
    <x v="2"/>
    <s v="FABRICATION DE MACHINES DE BUREAU ET MAT"/>
    <s v="GE31 "/>
    <n v="2391"/>
    <n v="15043"/>
    <n v="0"/>
    <n v="0"/>
    <n v="17434"/>
    <n v="8646"/>
    <n v="309"/>
    <n v="1840"/>
    <n v="1808"/>
    <n v="0"/>
    <n v="28229"/>
    <n v="6242"/>
    <n v="0"/>
    <n v="0"/>
    <n v="0"/>
    <n v="0"/>
    <n v="6242"/>
    <n v="4193"/>
    <n v="0"/>
    <n v="2338"/>
    <n v="1953"/>
    <n v="179"/>
    <n v="8663"/>
    <n v="0"/>
    <n v="-265"/>
    <n v="8398"/>
    <n v="6542"/>
    <n v="21182"/>
    <n v="7047"/>
    <n v="28229"/>
  </r>
  <r>
    <x v="2"/>
    <s v="FABRICATION DE MOTEURS  GENERATRICES ET "/>
    <s v="GE32 "/>
    <n v="6272"/>
    <n v="3121"/>
    <n v="0"/>
    <n v="0"/>
    <n v="9393"/>
    <n v="1120"/>
    <n v="199"/>
    <n v="41"/>
    <n v="25"/>
    <n v="0"/>
    <n v="10753"/>
    <n v="0"/>
    <n v="0"/>
    <n v="0"/>
    <n v="0"/>
    <n v="0"/>
    <n v="0"/>
    <n v="1684"/>
    <n v="0"/>
    <n v="15"/>
    <n v="6"/>
    <n v="0"/>
    <n v="1705"/>
    <n v="0"/>
    <n v="21"/>
    <n v="1726"/>
    <n v="3499"/>
    <n v="5225"/>
    <n v="5528"/>
    <n v="10753"/>
  </r>
  <r>
    <x v="2"/>
    <s v="FABRICATION D APPAREILS D EMISSION ET DE"/>
    <s v="GE33 "/>
    <n v="9673"/>
    <n v="8526"/>
    <n v="0"/>
    <n v="0"/>
    <n v="18199"/>
    <n v="3332"/>
    <n v="570"/>
    <n v="513"/>
    <n v="481"/>
    <n v="0"/>
    <n v="22614"/>
    <n v="1794"/>
    <n v="0"/>
    <n v="0"/>
    <n v="0"/>
    <n v="0"/>
    <n v="1794"/>
    <n v="5822"/>
    <n v="0"/>
    <n v="185"/>
    <n v="261"/>
    <n v="0"/>
    <n v="6268"/>
    <n v="0"/>
    <n v="261"/>
    <n v="6529"/>
    <n v="7703"/>
    <n v="16026"/>
    <n v="6588"/>
    <n v="22614"/>
  </r>
  <r>
    <x v="2"/>
    <s v="FABRICATION DE MATERIEL MEDICO_CHIRURGIC"/>
    <s v="GE34 "/>
    <n v="5854"/>
    <n v="5768"/>
    <n v="0"/>
    <n v="0"/>
    <n v="11622"/>
    <n v="3662"/>
    <n v="255"/>
    <n v="1065"/>
    <n v="1057"/>
    <n v="0"/>
    <n v="16604"/>
    <n v="681"/>
    <n v="0"/>
    <n v="3975"/>
    <n v="3975"/>
    <n v="0"/>
    <n v="4656"/>
    <n v="1334"/>
    <n v="0"/>
    <n v="0"/>
    <n v="876"/>
    <n v="0"/>
    <n v="2210"/>
    <n v="0"/>
    <n v="36"/>
    <n v="2246"/>
    <n v="5301"/>
    <n v="12203"/>
    <n v="4401"/>
    <n v="16604"/>
  </r>
  <r>
    <x v="2"/>
    <s v="FABRICATION DE MATERIEL DE MESURE ET DE "/>
    <s v="GE35 "/>
    <n v="12612"/>
    <n v="5587"/>
    <n v="0"/>
    <n v="0"/>
    <n v="18199"/>
    <n v="1449"/>
    <n v="384"/>
    <n v="164"/>
    <n v="146"/>
    <n v="0"/>
    <n v="20196"/>
    <n v="485"/>
    <n v="0"/>
    <n v="0"/>
    <n v="0"/>
    <n v="0"/>
    <n v="485"/>
    <n v="1274"/>
    <n v="0"/>
    <n v="0"/>
    <n v="367"/>
    <n v="0"/>
    <n v="1641"/>
    <n v="0"/>
    <n v="-269"/>
    <n v="1372"/>
    <n v="5838"/>
    <n v="7695"/>
    <n v="12501"/>
    <n v="20196"/>
  </r>
  <r>
    <x v="2"/>
    <s v="EXTRACTION DE MINERAIS METALLIQUES"/>
    <s v="GF11 "/>
    <n v="31"/>
    <n v="1328"/>
    <n v="0"/>
    <n v="0"/>
    <n v="1359"/>
    <n v="750"/>
    <n v="59"/>
    <n v="1"/>
    <n v="0"/>
    <n v="0"/>
    <n v="2169"/>
    <n v="0"/>
    <n v="0"/>
    <n v="0"/>
    <n v="0"/>
    <n v="0"/>
    <n v="0"/>
    <n v="0"/>
    <n v="0"/>
    <n v="0"/>
    <n v="0"/>
    <n v="0"/>
    <n v="0"/>
    <n v="0"/>
    <n v="30"/>
    <n v="30"/>
    <n v="86"/>
    <n v="116"/>
    <n v="2053"/>
    <n v="2169"/>
  </r>
  <r>
    <x v="2"/>
    <s v="AUTRES INDUSTRIES EXTRACTIVES"/>
    <s v="GF12 "/>
    <n v="5494"/>
    <n v="674"/>
    <n v="0"/>
    <n v="0"/>
    <n v="6168"/>
    <n v="278"/>
    <n v="1183"/>
    <n v="44"/>
    <n v="19"/>
    <n v="0"/>
    <n v="7673"/>
    <n v="201"/>
    <n v="0"/>
    <n v="0"/>
    <n v="0"/>
    <n v="0"/>
    <n v="201"/>
    <n v="0"/>
    <n v="0"/>
    <n v="0"/>
    <n v="0"/>
    <n v="0"/>
    <n v="0"/>
    <n v="0"/>
    <n v="0"/>
    <n v="0"/>
    <n v="541"/>
    <n v="742"/>
    <n v="6931"/>
    <n v="7673"/>
  </r>
  <r>
    <x v="5"/>
    <s v="FABRICATION DE VERRE ET D ARTICLES EN VE"/>
    <s v="GF13 "/>
    <n v="6754"/>
    <n v="2399"/>
    <n v="0"/>
    <n v="0"/>
    <n v="9153"/>
    <n v="477"/>
    <n v="488"/>
    <n v="329"/>
    <n v="323"/>
    <n v="0"/>
    <n v="10447"/>
    <n v="1878"/>
    <n v="0"/>
    <n v="0"/>
    <n v="0"/>
    <n v="0"/>
    <n v="1878"/>
    <n v="0"/>
    <n v="0"/>
    <n v="0"/>
    <n v="0"/>
    <n v="0"/>
    <n v="0"/>
    <n v="0"/>
    <n v="0"/>
    <n v="0"/>
    <n v="2847"/>
    <n v="4725"/>
    <n v="5722"/>
    <n v="10447"/>
  </r>
  <r>
    <x v="6"/>
    <s v="FABRICATION DE PRODUITS CERAMIQUES ET DE"/>
    <s v="GF14 "/>
    <n v="19667"/>
    <n v="3674"/>
    <n v="0"/>
    <n v="0"/>
    <n v="23341"/>
    <n v="7756"/>
    <n v="1155"/>
    <n v="258"/>
    <n v="246"/>
    <n v="0"/>
    <n v="32510"/>
    <n v="1813"/>
    <n v="0"/>
    <n v="0"/>
    <n v="0"/>
    <n v="0"/>
    <n v="1813"/>
    <n v="6"/>
    <n v="0"/>
    <n v="0"/>
    <n v="0"/>
    <n v="0"/>
    <n v="6"/>
    <n v="0"/>
    <n v="201"/>
    <n v="207"/>
    <n v="2431"/>
    <n v="4451"/>
    <n v="28059"/>
    <n v="32510"/>
  </r>
  <r>
    <x v="2"/>
    <s v="FILATURE ET TISSAGE"/>
    <s v="GF21 "/>
    <n v="5172"/>
    <n v="2044"/>
    <n v="0"/>
    <n v="0"/>
    <n v="7216"/>
    <n v="242"/>
    <n v="368"/>
    <n v="74"/>
    <n v="49"/>
    <n v="0"/>
    <n v="7900"/>
    <n v="414"/>
    <n v="0"/>
    <n v="0"/>
    <n v="0"/>
    <n v="0"/>
    <n v="414"/>
    <n v="0"/>
    <n v="0"/>
    <n v="0"/>
    <n v="0"/>
    <n v="0"/>
    <n v="0"/>
    <n v="0"/>
    <n v="-65"/>
    <n v="-65"/>
    <n v="2446"/>
    <n v="2795"/>
    <n v="5105"/>
    <n v="7900"/>
  </r>
  <r>
    <x v="2"/>
    <s v="FABRICATION DE PRODUITS TEXTILES"/>
    <s v="GF22 "/>
    <n v="5118"/>
    <n v="3447"/>
    <n v="0"/>
    <n v="0"/>
    <n v="8565"/>
    <n v="2191"/>
    <n v="189"/>
    <n v="635"/>
    <n v="587"/>
    <n v="0"/>
    <n v="11580"/>
    <n v="3543"/>
    <n v="0"/>
    <n v="0"/>
    <n v="0"/>
    <n v="0"/>
    <n v="3543"/>
    <n v="0"/>
    <n v="0"/>
    <n v="0"/>
    <n v="0"/>
    <n v="0"/>
    <n v="0"/>
    <n v="0"/>
    <n v="-62"/>
    <n v="-62"/>
    <n v="2466"/>
    <n v="5947"/>
    <n v="5633"/>
    <n v="11580"/>
  </r>
  <r>
    <x v="2"/>
    <s v="FABRICATION D ETOFFES ET D ARTICLES A MA"/>
    <s v="GF23 "/>
    <n v="1436"/>
    <n v="2705"/>
    <n v="0"/>
    <n v="0"/>
    <n v="4141"/>
    <n v="1060"/>
    <n v="274"/>
    <n v="825"/>
    <n v="761"/>
    <n v="0"/>
    <n v="6300"/>
    <n v="4796"/>
    <n v="0"/>
    <n v="0"/>
    <n v="0"/>
    <n v="0"/>
    <n v="4796"/>
    <n v="0"/>
    <n v="0"/>
    <n v="0"/>
    <n v="0"/>
    <n v="0"/>
    <n v="0"/>
    <n v="0"/>
    <n v="-65"/>
    <n v="-65"/>
    <n v="1200"/>
    <n v="5931"/>
    <n v="369"/>
    <n v="6300"/>
  </r>
  <r>
    <x v="2"/>
    <s v="TRAVAIL DU BOIS ET FABRICATION D ARTICLE"/>
    <s v="GF31 "/>
    <n v="11871"/>
    <n v="3575"/>
    <n v="0"/>
    <n v="0"/>
    <n v="15446"/>
    <n v="2757"/>
    <n v="642"/>
    <n v="240"/>
    <n v="225"/>
    <n v="0"/>
    <n v="19085"/>
    <n v="1774"/>
    <n v="0"/>
    <n v="0"/>
    <n v="0"/>
    <n v="0"/>
    <n v="1774"/>
    <n v="0"/>
    <n v="0"/>
    <n v="0"/>
    <n v="0"/>
    <n v="0"/>
    <n v="0"/>
    <n v="0"/>
    <n v="-132"/>
    <n v="-132"/>
    <n v="2267"/>
    <n v="3909"/>
    <n v="15176"/>
    <n v="19085"/>
  </r>
  <r>
    <x v="7"/>
    <s v="FABRICATION DE PATE A PAPIER  DE PAPIER "/>
    <s v="GF32 "/>
    <n v="9376"/>
    <n v="5845"/>
    <n v="0"/>
    <n v="0"/>
    <n v="15221"/>
    <n v="419"/>
    <n v="751"/>
    <n v="22"/>
    <n v="18"/>
    <n v="0"/>
    <n v="16413"/>
    <n v="0"/>
    <n v="0"/>
    <n v="0"/>
    <n v="0"/>
    <n v="0"/>
    <n v="0"/>
    <n v="0"/>
    <n v="0"/>
    <n v="0"/>
    <n v="0"/>
    <n v="0"/>
    <n v="0"/>
    <n v="0"/>
    <n v="-100"/>
    <n v="-100"/>
    <n v="4913"/>
    <n v="4813"/>
    <n v="11600"/>
    <n v="16413"/>
  </r>
  <r>
    <x v="7"/>
    <s v="FABRICATION D ARTICLES EN PAPIER ET EN C"/>
    <s v="GF33 "/>
    <n v="10532"/>
    <n v="2729"/>
    <n v="0"/>
    <n v="0"/>
    <n v="13261"/>
    <n v="3185"/>
    <n v="393"/>
    <n v="840"/>
    <n v="828"/>
    <n v="0"/>
    <n v="17679"/>
    <n v="3920"/>
    <n v="0"/>
    <n v="0"/>
    <n v="0"/>
    <n v="0"/>
    <n v="3920"/>
    <n v="0"/>
    <n v="0"/>
    <n v="0"/>
    <n v="0"/>
    <n v="0"/>
    <n v="0"/>
    <n v="0"/>
    <n v="145"/>
    <n v="145"/>
    <n v="1784"/>
    <n v="5849"/>
    <n v="11830"/>
    <n v="17679"/>
  </r>
  <r>
    <x v="8"/>
    <s v="INDUSTRIE CHIMIQUE MINERALE"/>
    <s v="GF41 "/>
    <n v="5993"/>
    <n v="4433"/>
    <n v="0"/>
    <n v="0"/>
    <n v="10426"/>
    <n v="1096"/>
    <n v="1053"/>
    <n v="54"/>
    <n v="12"/>
    <n v="0"/>
    <n v="12629"/>
    <n v="98"/>
    <n v="0"/>
    <n v="0"/>
    <n v="0"/>
    <n v="0"/>
    <n v="98"/>
    <n v="0"/>
    <n v="0"/>
    <n v="0"/>
    <n v="0"/>
    <n v="0"/>
    <n v="0"/>
    <n v="0"/>
    <n v="0"/>
    <n v="0"/>
    <n v="2702"/>
    <n v="2800"/>
    <n v="9829"/>
    <n v="12629"/>
  </r>
  <r>
    <x v="9"/>
    <s v="INDUSTRIE CHIMIQUE ORGANIQUE"/>
    <s v="GF42 "/>
    <n v="23764"/>
    <n v="17741"/>
    <n v="0"/>
    <n v="0"/>
    <n v="41505"/>
    <n v="2600"/>
    <n v="661"/>
    <n v="124"/>
    <n v="70"/>
    <n v="0"/>
    <n v="44890"/>
    <n v="20"/>
    <n v="0"/>
    <n v="0"/>
    <n v="0"/>
    <n v="0"/>
    <n v="20"/>
    <n v="0"/>
    <n v="0"/>
    <n v="0"/>
    <n v="0"/>
    <n v="0"/>
    <n v="0"/>
    <n v="0"/>
    <n v="0"/>
    <n v="0"/>
    <n v="18838"/>
    <n v="18858"/>
    <n v="26032"/>
    <n v="44890"/>
  </r>
  <r>
    <x v="2"/>
    <s v="PARACHIMIE"/>
    <s v="GF43 "/>
    <n v="12207"/>
    <n v="9903"/>
    <n v="0"/>
    <n v="0"/>
    <n v="22110"/>
    <n v="4191"/>
    <n v="557"/>
    <n v="453"/>
    <n v="395"/>
    <n v="0"/>
    <n v="27311"/>
    <n v="2726"/>
    <n v="0"/>
    <n v="0"/>
    <n v="0"/>
    <n v="0"/>
    <n v="2726"/>
    <n v="0"/>
    <n v="0"/>
    <n v="0"/>
    <n v="0"/>
    <n v="0"/>
    <n v="0"/>
    <n v="0"/>
    <n v="-160"/>
    <n v="-160"/>
    <n v="11755"/>
    <n v="14321"/>
    <n v="12990"/>
    <n v="27311"/>
  </r>
  <r>
    <x v="2"/>
    <s v="FABRICATION DE FIBRES ARTIFICIELLES OU S"/>
    <s v="GF44 "/>
    <n v="425"/>
    <n v="862"/>
    <n v="0"/>
    <n v="0"/>
    <n v="1287"/>
    <n v="39"/>
    <n v="34"/>
    <n v="5"/>
    <n v="0"/>
    <n v="0"/>
    <n v="1365"/>
    <n v="0"/>
    <n v="0"/>
    <n v="0"/>
    <n v="0"/>
    <n v="0"/>
    <n v="0"/>
    <n v="0"/>
    <n v="0"/>
    <n v="0"/>
    <n v="0"/>
    <n v="0"/>
    <n v="0"/>
    <n v="0"/>
    <n v="0"/>
    <n v="0"/>
    <n v="600"/>
    <n v="600"/>
    <n v="765"/>
    <n v="1365"/>
  </r>
  <r>
    <x v="2"/>
    <s v="INDUSTRIE DU CAOUTCHOUC"/>
    <s v="GF45 "/>
    <n v="9614"/>
    <n v="3799"/>
    <n v="0"/>
    <n v="0"/>
    <n v="13413"/>
    <n v="1030"/>
    <n v="419"/>
    <n v="376"/>
    <n v="354"/>
    <n v="0"/>
    <n v="15238"/>
    <n v="2156"/>
    <n v="0"/>
    <n v="0"/>
    <n v="0"/>
    <n v="0"/>
    <n v="2156"/>
    <n v="0"/>
    <n v="0"/>
    <n v="0"/>
    <n v="0"/>
    <n v="0"/>
    <n v="0"/>
    <n v="0"/>
    <n v="0"/>
    <n v="0"/>
    <n v="4820"/>
    <n v="6976"/>
    <n v="8262"/>
    <n v="15238"/>
  </r>
  <r>
    <x v="10"/>
    <s v="TRANSFORMATION DES MATIERES PLASTIQUES"/>
    <s v="GF46 "/>
    <n v="25169"/>
    <n v="9041"/>
    <n v="0"/>
    <n v="0"/>
    <n v="34210"/>
    <n v="2072"/>
    <n v="1189"/>
    <n v="830"/>
    <n v="768"/>
    <n v="0"/>
    <n v="38301"/>
    <n v="5048"/>
    <n v="0"/>
    <n v="0"/>
    <n v="0"/>
    <n v="0"/>
    <n v="5048"/>
    <n v="0"/>
    <n v="0"/>
    <n v="0"/>
    <n v="0"/>
    <n v="0"/>
    <n v="0"/>
    <n v="0"/>
    <n v="0"/>
    <n v="0"/>
    <n v="7017"/>
    <n v="12065"/>
    <n v="26236"/>
    <n v="38301"/>
  </r>
  <r>
    <x v="11"/>
    <s v="SIDERURGIE ET PREMIERE TRANSFORMATION DE"/>
    <s v="GF51 "/>
    <n v="27396"/>
    <n v="14686"/>
    <n v="0"/>
    <n v="0"/>
    <n v="42082"/>
    <n v="2431"/>
    <n v="965"/>
    <n v="8"/>
    <n v="5"/>
    <n v="0"/>
    <n v="45486"/>
    <n v="0"/>
    <n v="0"/>
    <n v="0"/>
    <n v="0"/>
    <n v="0"/>
    <n v="0"/>
    <n v="0"/>
    <n v="0"/>
    <n v="0"/>
    <n v="0"/>
    <n v="0"/>
    <n v="0"/>
    <n v="0"/>
    <n v="80"/>
    <n v="80"/>
    <n v="16496"/>
    <n v="16576"/>
    <n v="28910"/>
    <n v="45486"/>
  </r>
  <r>
    <x v="12"/>
    <s v="PRODUCTION DE METAUX NON FERREUX"/>
    <s v="GF52 "/>
    <n v="12661"/>
    <n v="12431"/>
    <n v="0"/>
    <n v="0"/>
    <n v="25092"/>
    <n v="1737"/>
    <n v="361"/>
    <n v="12"/>
    <n v="0"/>
    <n v="0"/>
    <n v="27202"/>
    <n v="164"/>
    <n v="0"/>
    <n v="0"/>
    <n v="0"/>
    <n v="0"/>
    <n v="164"/>
    <n v="0"/>
    <n v="0"/>
    <n v="0"/>
    <n v="0"/>
    <n v="0"/>
    <n v="0"/>
    <n v="330"/>
    <n v="0"/>
    <n v="330"/>
    <n v="9350"/>
    <n v="9844"/>
    <n v="17358"/>
    <n v="27202"/>
  </r>
  <r>
    <x v="2"/>
    <s v="FONDERIE"/>
    <s v="GF53 "/>
    <n v="5547"/>
    <n v="0"/>
    <n v="0"/>
    <n v="0"/>
    <n v="5547"/>
    <n v="15"/>
    <n v="10"/>
    <n v="0"/>
    <n v="0"/>
    <n v="0"/>
    <n v="5572"/>
    <n v="0"/>
    <n v="0"/>
    <n v="0"/>
    <n v="0"/>
    <n v="0"/>
    <n v="0"/>
    <n v="0"/>
    <n v="0"/>
    <n v="0"/>
    <n v="0"/>
    <n v="0"/>
    <n v="0"/>
    <n v="0"/>
    <n v="0"/>
    <n v="0"/>
    <n v="0"/>
    <n v="0"/>
    <n v="5572"/>
    <n v="5572"/>
  </r>
  <r>
    <x v="2"/>
    <s v="SERVICES INDUSTRIELS DU TRAVAIL DES META"/>
    <s v="GF54 "/>
    <n v="28770"/>
    <n v="0"/>
    <n v="0"/>
    <n v="0"/>
    <n v="28770"/>
    <n v="430"/>
    <n v="0"/>
    <n v="20"/>
    <n v="20"/>
    <n v="0"/>
    <n v="29220"/>
    <n v="0"/>
    <n v="0"/>
    <n v="0"/>
    <n v="0"/>
    <n v="0"/>
    <n v="0"/>
    <n v="3417"/>
    <n v="0"/>
    <n v="0"/>
    <n v="0"/>
    <n v="0"/>
    <n v="3417"/>
    <n v="0"/>
    <n v="0"/>
    <n v="3417"/>
    <n v="0"/>
    <n v="3417"/>
    <n v="25803"/>
    <n v="29220"/>
  </r>
  <r>
    <x v="2"/>
    <s v="FABRICATION DE PRODUITS METALLIQUES"/>
    <s v="GF55 "/>
    <n v="13506"/>
    <n v="8507"/>
    <n v="0"/>
    <n v="0"/>
    <n v="22013"/>
    <n v="6411"/>
    <n v="1659"/>
    <n v="705"/>
    <n v="672"/>
    <n v="0"/>
    <n v="30788"/>
    <n v="4445"/>
    <n v="0"/>
    <n v="0"/>
    <n v="0"/>
    <n v="0"/>
    <n v="4445"/>
    <n v="0"/>
    <n v="0"/>
    <n v="15"/>
    <n v="0"/>
    <n v="0"/>
    <n v="15"/>
    <n v="0"/>
    <n v="130"/>
    <n v="145"/>
    <n v="7331"/>
    <n v="11921"/>
    <n v="18867"/>
    <n v="30788"/>
  </r>
  <r>
    <x v="2"/>
    <s v="RECUPERATION"/>
    <s v="GF56 "/>
    <n v="0"/>
    <n v="0"/>
    <n v="0"/>
    <n v="0"/>
    <n v="0"/>
    <n v="0"/>
    <n v="0"/>
    <n v="0"/>
    <n v="0"/>
    <n v="0"/>
    <n v="0"/>
    <n v="0"/>
    <n v="0"/>
    <n v="0"/>
    <n v="0"/>
    <n v="0"/>
    <n v="0"/>
    <n v="0"/>
    <n v="0"/>
    <n v="0"/>
    <n v="0"/>
    <n v="0"/>
    <n v="0"/>
    <n v="0"/>
    <n v="0"/>
    <n v="0"/>
    <n v="0"/>
    <n v="0"/>
    <n v="0"/>
    <n v="0"/>
  </r>
  <r>
    <x v="2"/>
    <s v="FABRICATION DE MATERIEL ELECTRIQUE"/>
    <s v="GF61 "/>
    <n v="22509"/>
    <n v="11409"/>
    <n v="0"/>
    <n v="0"/>
    <n v="33918"/>
    <n v="2023"/>
    <n v="535"/>
    <n v="898"/>
    <n v="845"/>
    <n v="0"/>
    <n v="37374"/>
    <n v="5058"/>
    <n v="0"/>
    <n v="0"/>
    <n v="0"/>
    <n v="0"/>
    <n v="5058"/>
    <n v="2390"/>
    <n v="0"/>
    <n v="0"/>
    <n v="6"/>
    <n v="0"/>
    <n v="2396"/>
    <n v="0"/>
    <n v="197"/>
    <n v="2593"/>
    <n v="12717"/>
    <n v="20368"/>
    <n v="17006"/>
    <n v="37374"/>
  </r>
  <r>
    <x v="2"/>
    <s v="FABRICATION DE COMPOSANTS ELECTRONIQUES"/>
    <s v="GF62 "/>
    <n v="10364"/>
    <n v="6170"/>
    <n v="0"/>
    <n v="0"/>
    <n v="16534"/>
    <n v="2893"/>
    <n v="153"/>
    <n v="42"/>
    <n v="36"/>
    <n v="0"/>
    <n v="19622"/>
    <n v="21"/>
    <n v="0"/>
    <n v="0"/>
    <n v="0"/>
    <n v="0"/>
    <n v="21"/>
    <n v="8"/>
    <n v="0"/>
    <n v="0"/>
    <n v="0"/>
    <n v="0"/>
    <n v="8"/>
    <n v="0"/>
    <n v="26"/>
    <n v="34"/>
    <n v="7440"/>
    <n v="7495"/>
    <n v="12127"/>
    <n v="19622"/>
  </r>
  <r>
    <x v="13"/>
    <s v="EXTRACTION ET AGGLOMERATION DE LA HOUILL"/>
    <s v="GG11 "/>
    <n v="131"/>
    <n v="1561"/>
    <n v="0"/>
    <n v="0"/>
    <n v="1692"/>
    <n v="67"/>
    <n v="65"/>
    <n v="34"/>
    <n v="28"/>
    <n v="0"/>
    <n v="1858"/>
    <n v="65"/>
    <n v="0"/>
    <n v="0"/>
    <n v="0"/>
    <n v="0"/>
    <n v="65"/>
    <n v="0"/>
    <n v="0"/>
    <n v="0"/>
    <n v="0"/>
    <n v="0"/>
    <n v="0"/>
    <n v="0"/>
    <n v="-26"/>
    <n v="-26"/>
    <n v="12"/>
    <n v="51"/>
    <n v="1807"/>
    <n v="1858"/>
  </r>
  <r>
    <x v="14"/>
    <s v="EXTRACTION D HYDROCARBURES  SERVICES ANN"/>
    <s v="GG12 "/>
    <n v="562"/>
    <n v="43240"/>
    <n v="0"/>
    <n v="0"/>
    <n v="43802"/>
    <n v="42"/>
    <n v="50"/>
    <n v="22"/>
    <n v="0"/>
    <n v="0"/>
    <n v="43916"/>
    <n v="0"/>
    <n v="0"/>
    <n v="0"/>
    <n v="0"/>
    <n v="0"/>
    <n v="0"/>
    <n v="0"/>
    <n v="0"/>
    <n v="0"/>
    <n v="0"/>
    <n v="0"/>
    <n v="0"/>
    <n v="0"/>
    <n v="-9"/>
    <n v="-9"/>
    <n v="1775"/>
    <n v="1766"/>
    <n v="42150"/>
    <n v="43916"/>
  </r>
  <r>
    <x v="2"/>
    <s v="EXTRACTION DE MINERAIS D URANIUM"/>
    <s v="GG13 "/>
    <n v="0"/>
    <n v="2"/>
    <n v="0"/>
    <n v="0"/>
    <n v="2"/>
    <n v="0"/>
    <n v="0"/>
    <n v="0"/>
    <n v="0"/>
    <n v="0"/>
    <n v="2"/>
    <n v="0"/>
    <n v="0"/>
    <n v="0"/>
    <n v="0"/>
    <n v="0"/>
    <n v="0"/>
    <n v="0"/>
    <n v="0"/>
    <n v="0"/>
    <n v="0"/>
    <n v="0"/>
    <n v="0"/>
    <n v="0"/>
    <n v="0"/>
    <n v="0"/>
    <n v="0"/>
    <n v="0"/>
    <n v="2"/>
    <n v="2"/>
  </r>
  <r>
    <x v="2"/>
    <s v="COKEFACTION ET INDUSTRIE NUCLEAIRE"/>
    <s v="GG14 "/>
    <n v="4049"/>
    <n v="2031"/>
    <n v="0"/>
    <n v="0"/>
    <n v="6080"/>
    <n v="0"/>
    <n v="14"/>
    <n v="42"/>
    <n v="42"/>
    <n v="0"/>
    <n v="6136"/>
    <n v="1"/>
    <n v="0"/>
    <n v="0"/>
    <n v="0"/>
    <n v="0"/>
    <n v="1"/>
    <n v="0"/>
    <n v="0"/>
    <n v="0"/>
    <n v="0"/>
    <n v="0"/>
    <n v="0"/>
    <n v="0"/>
    <n v="0"/>
    <n v="0"/>
    <n v="1584"/>
    <n v="1585"/>
    <n v="4551"/>
    <n v="6136"/>
  </r>
  <r>
    <x v="15"/>
    <s v="RAFFINAGE DE PETROLE"/>
    <s v="GG15 "/>
    <n v="49961"/>
    <n v="17560"/>
    <n v="0"/>
    <n v="0"/>
    <n v="67521"/>
    <n v="13188"/>
    <n v="2468"/>
    <n v="34305"/>
    <n v="9330"/>
    <n v="0"/>
    <n v="117482"/>
    <n v="43742"/>
    <n v="0"/>
    <n v="0"/>
    <n v="0"/>
    <n v="0"/>
    <n v="43742"/>
    <n v="0"/>
    <n v="0"/>
    <n v="0"/>
    <n v="0"/>
    <n v="0"/>
    <n v="0"/>
    <n v="0"/>
    <n v="-209"/>
    <n v="-209"/>
    <n v="12886"/>
    <n v="56419"/>
    <n v="61063"/>
    <n v="117482"/>
  </r>
  <r>
    <x v="16"/>
    <s v="PRODUCTION ET DISTRIBUTION D ELECTRICITE"/>
    <s v="GG2A "/>
    <n v="46037"/>
    <n v="548"/>
    <n v="0"/>
    <n v="0"/>
    <n v="46585"/>
    <n v="0"/>
    <n v="0"/>
    <n v="6640"/>
    <n v="3199"/>
    <n v="-1535"/>
    <n v="51690"/>
    <n v="17844"/>
    <n v="0"/>
    <n v="0"/>
    <n v="0"/>
    <n v="0"/>
    <n v="17844"/>
    <n v="0"/>
    <n v="0"/>
    <n v="0"/>
    <n v="0"/>
    <n v="0"/>
    <n v="0"/>
    <n v="0"/>
    <n v="0"/>
    <n v="0"/>
    <n v="3122"/>
    <n v="20966"/>
    <n v="30724"/>
    <n v="51690"/>
  </r>
  <r>
    <x v="17"/>
    <s v="PRODUCTION ET DISTRIBUTION DE COMBUSTIBLE GAZEUX"/>
    <s v="GG2B "/>
    <n v="23843"/>
    <n v="0"/>
    <n v="0"/>
    <n v="0"/>
    <n v="23843"/>
    <n v="0"/>
    <n v="1626"/>
    <n v="2034"/>
    <n v="1827"/>
    <n v="0"/>
    <n v="27503"/>
    <n v="10467"/>
    <n v="0"/>
    <n v="5"/>
    <n v="5"/>
    <n v="0"/>
    <n v="10472"/>
    <n v="0"/>
    <n v="0"/>
    <n v="0"/>
    <n v="0"/>
    <n v="0"/>
    <n v="0"/>
    <n v="0"/>
    <n v="0"/>
    <n v="0"/>
    <n v="0"/>
    <n v="10472"/>
    <n v="17031"/>
    <n v="27503"/>
  </r>
  <r>
    <x v="2"/>
    <s v="CAPTAGE  TRAITEMENT ET DISTRIBUTION D EA"/>
    <s v="GG22 "/>
    <n v="8873"/>
    <n v="0"/>
    <n v="0"/>
    <n v="0"/>
    <n v="8873"/>
    <n v="0"/>
    <n v="0"/>
    <n v="581"/>
    <n v="262"/>
    <n v="0"/>
    <n v="9454"/>
    <n v="3879"/>
    <n v="0"/>
    <n v="0"/>
    <n v="0"/>
    <n v="0"/>
    <n v="3879"/>
    <n v="0"/>
    <n v="0"/>
    <n v="0"/>
    <n v="0"/>
    <n v="0"/>
    <n v="0"/>
    <n v="0"/>
    <n v="0"/>
    <n v="0"/>
    <n v="0"/>
    <n v="3879"/>
    <n v="5575"/>
    <n v="9454"/>
  </r>
  <r>
    <x v="18"/>
    <s v="BATIMENT"/>
    <s v="GH01 "/>
    <n v="180449"/>
    <n v="0"/>
    <n v="0"/>
    <n v="0"/>
    <n v="180449"/>
    <n v="0"/>
    <n v="0"/>
    <n v="16902"/>
    <n v="16105"/>
    <n v="-69"/>
    <n v="197282"/>
    <n v="10499"/>
    <n v="0"/>
    <n v="0"/>
    <n v="0"/>
    <n v="0"/>
    <n v="10499"/>
    <n v="30770"/>
    <n v="77701"/>
    <n v="8271"/>
    <n v="27710"/>
    <n v="1303"/>
    <n v="145755"/>
    <n v="0"/>
    <n v="0"/>
    <n v="145755"/>
    <n v="0"/>
    <n v="156254"/>
    <n v="41028"/>
    <n v="197282"/>
  </r>
  <r>
    <x v="18"/>
    <s v="TRAVAUX PUBLICS"/>
    <s v="GH02 "/>
    <n v="49282"/>
    <n v="0"/>
    <n v="0"/>
    <n v="0"/>
    <n v="49282"/>
    <n v="0"/>
    <n v="0"/>
    <n v="4840"/>
    <n v="4839"/>
    <n v="0"/>
    <n v="54122"/>
    <n v="0"/>
    <n v="0"/>
    <n v="0"/>
    <n v="0"/>
    <n v="0"/>
    <n v="0"/>
    <n v="21129"/>
    <n v="2392"/>
    <n v="0"/>
    <n v="17118"/>
    <n v="0"/>
    <n v="40639"/>
    <n v="0"/>
    <n v="0"/>
    <n v="40639"/>
    <n v="0"/>
    <n v="40639"/>
    <n v="13483"/>
    <n v="54122"/>
  </r>
  <r>
    <x v="19"/>
    <s v="COMMERCE ET REPARATION AUTOMOBILE"/>
    <s v="GJ10 "/>
    <n v="43521"/>
    <n v="0"/>
    <n v="0"/>
    <n v="0"/>
    <n v="43521"/>
    <n v="-23204"/>
    <n v="0"/>
    <n v="1258"/>
    <n v="1258"/>
    <n v="0"/>
    <n v="21575"/>
    <n v="17922"/>
    <n v="0"/>
    <n v="0"/>
    <n v="0"/>
    <n v="0"/>
    <n v="17922"/>
    <n v="0"/>
    <n v="0"/>
    <n v="0"/>
    <n v="0"/>
    <n v="0"/>
    <n v="0"/>
    <n v="0"/>
    <n v="0"/>
    <n v="0"/>
    <n v="0"/>
    <n v="17922"/>
    <n v="3653"/>
    <n v="21575"/>
  </r>
  <r>
    <x v="19"/>
    <s v="COMMERCE DE GROS  INTERMEDIAIRES"/>
    <s v="GJ20 "/>
    <n v="168677"/>
    <n v="0"/>
    <n v="4559"/>
    <n v="0"/>
    <n v="173236"/>
    <n v="-137221"/>
    <n v="0"/>
    <n v="482"/>
    <n v="482"/>
    <n v="0"/>
    <n v="36497"/>
    <n v="0"/>
    <n v="0"/>
    <n v="0"/>
    <n v="0"/>
    <n v="0"/>
    <n v="0"/>
    <n v="0"/>
    <n v="0"/>
    <n v="0"/>
    <n v="0"/>
    <n v="0"/>
    <n v="0"/>
    <n v="0"/>
    <n v="0"/>
    <n v="0"/>
    <n v="3670"/>
    <n v="3670"/>
    <n v="32827"/>
    <n v="36497"/>
  </r>
  <r>
    <x v="19"/>
    <s v="COMMERCE DE DETAIL ET REPARATIONS"/>
    <s v="GJ30 "/>
    <n v="113992"/>
    <n v="0"/>
    <n v="0"/>
    <n v="0"/>
    <n v="113992"/>
    <n v="-111411"/>
    <n v="0"/>
    <n v="355"/>
    <n v="355"/>
    <n v="0"/>
    <n v="2936"/>
    <n v="2561"/>
    <n v="0"/>
    <n v="0"/>
    <n v="0"/>
    <n v="0"/>
    <n v="2561"/>
    <n v="0"/>
    <n v="0"/>
    <n v="0"/>
    <n v="0"/>
    <n v="0"/>
    <n v="0"/>
    <n v="0"/>
    <n v="0"/>
    <n v="0"/>
    <n v="0"/>
    <n v="2561"/>
    <n v="375"/>
    <n v="2936"/>
  </r>
  <r>
    <x v="20"/>
    <s v="TRANSPORTS FERROVIAIRES"/>
    <s v="GK01 "/>
    <n v="9702"/>
    <n v="0"/>
    <n v="868"/>
    <n v="-119"/>
    <n v="10451"/>
    <n v="0"/>
    <n v="-1535"/>
    <n v="290"/>
    <n v="290"/>
    <n v="-1794"/>
    <n v="7412"/>
    <n v="4178"/>
    <n v="0"/>
    <n v="190"/>
    <n v="190"/>
    <n v="0"/>
    <n v="4368"/>
    <n v="0"/>
    <n v="0"/>
    <n v="0"/>
    <n v="0"/>
    <n v="0"/>
    <n v="0"/>
    <n v="0"/>
    <n v="0"/>
    <n v="0"/>
    <n v="1232"/>
    <n v="5600"/>
    <n v="1812"/>
    <n v="7412"/>
  </r>
  <r>
    <x v="21"/>
    <s v="TRANSPORT ROUTIER DE VOYAGEURS"/>
    <s v="GK02 "/>
    <n v="17708"/>
    <n v="0"/>
    <n v="0"/>
    <n v="0"/>
    <n v="17708"/>
    <n v="0"/>
    <n v="0"/>
    <n v="768"/>
    <n v="704"/>
    <n v="-3393"/>
    <n v="15083"/>
    <n v="9238"/>
    <n v="0"/>
    <n v="1630"/>
    <n v="1630"/>
    <n v="0"/>
    <n v="10868"/>
    <n v="0"/>
    <n v="0"/>
    <n v="0"/>
    <n v="0"/>
    <n v="0"/>
    <n v="0"/>
    <n v="0"/>
    <n v="0"/>
    <n v="0"/>
    <n v="0"/>
    <n v="10868"/>
    <n v="4215"/>
    <n v="15083"/>
  </r>
  <r>
    <x v="22"/>
    <s v="TRANSPORT ROUTIER (OU PAR CONDUITES) DE marchandises"/>
    <s v="GK03 "/>
    <n v="42100"/>
    <n v="0"/>
    <n v="5165"/>
    <n v="-3788"/>
    <n v="43477"/>
    <n v="0"/>
    <n v="-30886"/>
    <n v="215"/>
    <n v="215"/>
    <n v="0"/>
    <n v="12806"/>
    <n v="640"/>
    <n v="0"/>
    <n v="4"/>
    <n v="4"/>
    <n v="0"/>
    <n v="644"/>
    <n v="0"/>
    <n v="0"/>
    <n v="0"/>
    <n v="0"/>
    <n v="0"/>
    <n v="0"/>
    <n v="0"/>
    <n v="0"/>
    <n v="0"/>
    <n v="1391"/>
    <n v="2035"/>
    <n v="10771"/>
    <n v="12806"/>
  </r>
  <r>
    <x v="23"/>
    <s v="TRANSPORTS PAR EAU"/>
    <s v="GK04 "/>
    <n v="9494"/>
    <n v="0"/>
    <n v="5018"/>
    <n v="-6704"/>
    <n v="7808"/>
    <n v="0"/>
    <n v="-1903"/>
    <n v="5"/>
    <n v="5"/>
    <n v="-130"/>
    <n v="5780"/>
    <n v="348"/>
    <n v="0"/>
    <n v="0"/>
    <n v="0"/>
    <n v="0"/>
    <n v="348"/>
    <n v="0"/>
    <n v="0"/>
    <n v="0"/>
    <n v="0"/>
    <n v="0"/>
    <n v="0"/>
    <n v="0"/>
    <n v="0"/>
    <n v="0"/>
    <n v="3653"/>
    <n v="4001"/>
    <n v="1779"/>
    <n v="5780"/>
  </r>
  <r>
    <x v="24"/>
    <s v="TRANSPORTS AERIENS"/>
    <s v="GK05 "/>
    <n v="17798"/>
    <n v="0"/>
    <n v="7296"/>
    <n v="-2151"/>
    <n v="22943"/>
    <n v="0"/>
    <n v="-403"/>
    <n v="540"/>
    <n v="155"/>
    <n v="-67"/>
    <n v="23013"/>
    <n v="7332"/>
    <n v="0"/>
    <n v="0"/>
    <n v="0"/>
    <n v="0"/>
    <n v="7332"/>
    <n v="0"/>
    <n v="0"/>
    <n v="0"/>
    <n v="0"/>
    <n v="0"/>
    <n v="0"/>
    <n v="0"/>
    <n v="0"/>
    <n v="0"/>
    <n v="7343"/>
    <n v="14675"/>
    <n v="8338"/>
    <n v="23013"/>
  </r>
  <r>
    <x v="19"/>
    <s v="MANUTENTION  ENTREPOSAGE ET GESTION D IN"/>
    <s v="GK07 "/>
    <n v="30807"/>
    <n v="0"/>
    <n v="2022"/>
    <n v="0"/>
    <n v="32829"/>
    <n v="0"/>
    <n v="0"/>
    <n v="1416"/>
    <n v="903"/>
    <n v="-832"/>
    <n v="33413"/>
    <n v="5767"/>
    <n v="0"/>
    <n v="0"/>
    <n v="0"/>
    <n v="0"/>
    <n v="5767"/>
    <n v="0"/>
    <n v="0"/>
    <n v="0"/>
    <n v="0"/>
    <n v="0"/>
    <n v="0"/>
    <n v="0"/>
    <n v="0"/>
    <n v="0"/>
    <n v="1233"/>
    <n v="7000"/>
    <n v="26413"/>
    <n v="33413"/>
  </r>
  <r>
    <x v="19"/>
    <s v="AGENCES DE VOYAGE"/>
    <s v="GK08 "/>
    <n v="7728"/>
    <n v="0"/>
    <n v="0"/>
    <n v="0"/>
    <n v="7728"/>
    <n v="0"/>
    <n v="0"/>
    <n v="76"/>
    <n v="76"/>
    <n v="0"/>
    <n v="7804"/>
    <n v="1156"/>
    <n v="0"/>
    <n v="0"/>
    <n v="0"/>
    <n v="0"/>
    <n v="1156"/>
    <n v="0"/>
    <n v="0"/>
    <n v="0"/>
    <n v="0"/>
    <n v="0"/>
    <n v="0"/>
    <n v="0"/>
    <n v="0"/>
    <n v="0"/>
    <n v="0"/>
    <n v="1156"/>
    <n v="6648"/>
    <n v="7804"/>
  </r>
  <r>
    <x v="25"/>
    <s v="ORGANISATION DU TRANSPORT DE FRET ET TRANSPORT SPATIAL"/>
    <s v="GK69 "/>
    <n v="14279"/>
    <n v="0"/>
    <n v="5506"/>
    <n v="0"/>
    <n v="19785"/>
    <n v="0"/>
    <n v="-3146"/>
    <n v="41"/>
    <n v="41"/>
    <n v="0"/>
    <n v="16680"/>
    <n v="55"/>
    <n v="0"/>
    <n v="0"/>
    <n v="0"/>
    <n v="0"/>
    <n v="55"/>
    <n v="0"/>
    <n v="0"/>
    <n v="0"/>
    <n v="0"/>
    <n v="0"/>
    <n v="0"/>
    <n v="0"/>
    <n v="-145"/>
    <n v="-145"/>
    <n v="3851"/>
    <n v="3761"/>
    <n v="12919"/>
    <n v="16680"/>
  </r>
  <r>
    <x v="19"/>
    <s v="INTERMEDIATION FINANCIERE"/>
    <s v="GL01 "/>
    <n v="94080"/>
    <n v="0"/>
    <n v="3369"/>
    <n v="0"/>
    <n v="97449"/>
    <n v="0"/>
    <n v="0"/>
    <n v="934"/>
    <n v="690"/>
    <n v="0"/>
    <n v="98383"/>
    <n v="17400"/>
    <n v="0"/>
    <n v="0"/>
    <n v="0"/>
    <n v="0"/>
    <n v="17400"/>
    <n v="0"/>
    <n v="0"/>
    <n v="0"/>
    <n v="0"/>
    <n v="0"/>
    <n v="0"/>
    <n v="0"/>
    <n v="0"/>
    <n v="0"/>
    <n v="5978"/>
    <n v="23378"/>
    <n v="75005"/>
    <n v="98383"/>
  </r>
  <r>
    <x v="19"/>
    <s v="ASSURANCES"/>
    <s v="GL02 "/>
    <n v="45545"/>
    <n v="0"/>
    <n v="2111"/>
    <n v="-109"/>
    <n v="47547"/>
    <n v="0"/>
    <n v="0"/>
    <n v="8036"/>
    <n v="0"/>
    <n v="-81"/>
    <n v="55502"/>
    <n v="35701"/>
    <n v="0"/>
    <n v="0"/>
    <n v="0"/>
    <n v="0"/>
    <n v="35701"/>
    <n v="0"/>
    <n v="0"/>
    <n v="0"/>
    <n v="0"/>
    <n v="0"/>
    <n v="0"/>
    <n v="0"/>
    <n v="0"/>
    <n v="0"/>
    <n v="849"/>
    <n v="36550"/>
    <n v="18952"/>
    <n v="55502"/>
  </r>
  <r>
    <x v="19"/>
    <s v="AUXILIAIRES FINANCIERS ET D ASSURANCE"/>
    <s v="GL03 "/>
    <n v="31290"/>
    <n v="0"/>
    <n v="0"/>
    <n v="0"/>
    <n v="31290"/>
    <n v="0"/>
    <n v="0"/>
    <n v="1510"/>
    <n v="1510"/>
    <n v="0"/>
    <n v="32800"/>
    <n v="642"/>
    <n v="0"/>
    <n v="0"/>
    <n v="0"/>
    <n v="0"/>
    <n v="642"/>
    <n v="0"/>
    <n v="0"/>
    <n v="0"/>
    <n v="0"/>
    <n v="0"/>
    <n v="0"/>
    <n v="0"/>
    <n v="0"/>
    <n v="0"/>
    <n v="0"/>
    <n v="642"/>
    <n v="32158"/>
    <n v="32800"/>
  </r>
  <r>
    <x v="19"/>
    <s v="PROMOTION  GESTION IMMOBILIERE"/>
    <s v="GM01 "/>
    <n v="34981"/>
    <n v="0"/>
    <n v="0"/>
    <n v="0"/>
    <n v="34981"/>
    <n v="0"/>
    <n v="0"/>
    <n v="3434"/>
    <n v="3402"/>
    <n v="0"/>
    <n v="38415"/>
    <n v="1153"/>
    <n v="0"/>
    <n v="0"/>
    <n v="0"/>
    <n v="0"/>
    <n v="1153"/>
    <n v="10801"/>
    <n v="13303"/>
    <n v="297"/>
    <n v="0"/>
    <n v="0"/>
    <n v="24401"/>
    <n v="0"/>
    <n v="0"/>
    <n v="24401"/>
    <n v="0"/>
    <n v="25554"/>
    <n v="12861"/>
    <n v="38415"/>
  </r>
  <r>
    <x v="19"/>
    <s v="LOCATION IMMOBILIERE"/>
    <s v="GM02 "/>
    <n v="249025"/>
    <n v="0"/>
    <n v="0"/>
    <n v="0"/>
    <n v="249025"/>
    <n v="0"/>
    <n v="0"/>
    <n v="1338"/>
    <n v="661"/>
    <n v="0"/>
    <n v="250363"/>
    <n v="186287"/>
    <n v="0"/>
    <n v="12422"/>
    <n v="12422"/>
    <n v="0"/>
    <n v="198709"/>
    <n v="0"/>
    <n v="0"/>
    <n v="0"/>
    <n v="0"/>
    <n v="0"/>
    <n v="0"/>
    <n v="0"/>
    <n v="0"/>
    <n v="0"/>
    <n v="0"/>
    <n v="198709"/>
    <n v="51654"/>
    <n v="250363"/>
  </r>
  <r>
    <x v="19"/>
    <s v="TELECOMMUNICATION, POSTE ET COURRIER"/>
    <s v="GN10 "/>
    <n v="65501"/>
    <n v="0"/>
    <n v="1665"/>
    <n v="0"/>
    <n v="67166"/>
    <n v="0"/>
    <n v="0"/>
    <n v="5010"/>
    <n v="5010"/>
    <n v="-172"/>
    <n v="72004"/>
    <n v="25617"/>
    <n v="0"/>
    <n v="0"/>
    <n v="0"/>
    <n v="0"/>
    <n v="25617"/>
    <n v="0"/>
    <n v="0"/>
    <n v="0"/>
    <n v="0"/>
    <n v="0"/>
    <n v="0"/>
    <n v="0"/>
    <n v="0"/>
    <n v="0"/>
    <n v="2966"/>
    <n v="28583"/>
    <n v="43421"/>
    <n v="72004"/>
  </r>
  <r>
    <x v="19"/>
    <s v="ACTIVITES INFORMATIQUES"/>
    <s v="GN21 "/>
    <n v="65201"/>
    <n v="0"/>
    <n v="1901"/>
    <n v="0"/>
    <n v="67102"/>
    <n v="0"/>
    <n v="0"/>
    <n v="1745"/>
    <n v="1745"/>
    <n v="0"/>
    <n v="68847"/>
    <n v="1444"/>
    <n v="0"/>
    <n v="0"/>
    <n v="0"/>
    <n v="0"/>
    <n v="1444"/>
    <n v="22654"/>
    <n v="0"/>
    <n v="2987"/>
    <n v="3546"/>
    <n v="0"/>
    <n v="29187"/>
    <n v="0"/>
    <n v="36"/>
    <n v="29223"/>
    <n v="1772"/>
    <n v="32439"/>
    <n v="36408"/>
    <n v="68847"/>
  </r>
  <r>
    <x v="19"/>
    <s v="SERVICES PROFESSIONNELS"/>
    <s v="GN22 "/>
    <n v="58797"/>
    <n v="0"/>
    <n v="2532"/>
    <n v="0"/>
    <n v="61329"/>
    <n v="0"/>
    <n v="0"/>
    <n v="14414"/>
    <n v="2858"/>
    <n v="0"/>
    <n v="75743"/>
    <n v="7817"/>
    <n v="0"/>
    <n v="0"/>
    <n v="0"/>
    <n v="0"/>
    <n v="7817"/>
    <n v="2815"/>
    <n v="10942"/>
    <n v="0"/>
    <n v="326"/>
    <n v="148"/>
    <n v="14231"/>
    <n v="0"/>
    <n v="100"/>
    <n v="14331"/>
    <n v="3260"/>
    <n v="25408"/>
    <n v="50335"/>
    <n v="75743"/>
  </r>
  <r>
    <x v="19"/>
    <s v="ADMINISTRATION D ENTREPRISES"/>
    <s v="GN23 "/>
    <n v="40168"/>
    <n v="0"/>
    <n v="0"/>
    <n v="0"/>
    <n v="40168"/>
    <n v="0"/>
    <n v="0"/>
    <n v="333"/>
    <n v="333"/>
    <n v="0"/>
    <n v="40501"/>
    <n v="0"/>
    <n v="0"/>
    <n v="0"/>
    <n v="0"/>
    <n v="0"/>
    <n v="0"/>
    <n v="0"/>
    <n v="0"/>
    <n v="0"/>
    <n v="0"/>
    <n v="0"/>
    <n v="0"/>
    <n v="0"/>
    <n v="0"/>
    <n v="0"/>
    <n v="0"/>
    <n v="0"/>
    <n v="40501"/>
    <n v="40501"/>
  </r>
  <r>
    <x v="19"/>
    <s v="PUBLICITE ET ETUDES DE MARCHE"/>
    <s v="GN24 "/>
    <n v="29397"/>
    <n v="0"/>
    <n v="0"/>
    <n v="0"/>
    <n v="29397"/>
    <n v="0"/>
    <n v="0"/>
    <n v="328"/>
    <n v="262"/>
    <n v="-4"/>
    <n v="29721"/>
    <n v="369"/>
    <n v="0"/>
    <n v="0"/>
    <n v="0"/>
    <n v="0"/>
    <n v="369"/>
    <n v="0"/>
    <n v="0"/>
    <n v="0"/>
    <n v="0"/>
    <n v="0"/>
    <n v="0"/>
    <n v="0"/>
    <n v="0"/>
    <n v="0"/>
    <n v="0"/>
    <n v="369"/>
    <n v="29352"/>
    <n v="29721"/>
  </r>
  <r>
    <x v="19"/>
    <s v="ARCHITECTURE  INGENIERIE  CONTROLE"/>
    <s v="GN25 "/>
    <n v="49737"/>
    <n v="0"/>
    <n v="9581"/>
    <n v="0"/>
    <n v="59318"/>
    <n v="0"/>
    <n v="0"/>
    <n v="1213"/>
    <n v="1213"/>
    <n v="0"/>
    <n v="60531"/>
    <n v="687"/>
    <n v="0"/>
    <n v="0"/>
    <n v="0"/>
    <n v="0"/>
    <n v="687"/>
    <n v="15326"/>
    <n v="2797"/>
    <n v="76"/>
    <n v="1306"/>
    <n v="0"/>
    <n v="19505"/>
    <n v="0"/>
    <n v="353"/>
    <n v="19858"/>
    <n v="8357"/>
    <n v="28902"/>
    <n v="31629"/>
    <n v="60531"/>
  </r>
  <r>
    <x v="19"/>
    <s v="LOCATION SANS OPERATEUR"/>
    <s v="GN31 "/>
    <n v="25425"/>
    <n v="0"/>
    <n v="0"/>
    <n v="0"/>
    <n v="25425"/>
    <n v="0"/>
    <n v="0"/>
    <n v="1696"/>
    <n v="1696"/>
    <n v="0"/>
    <n v="27121"/>
    <n v="3159"/>
    <n v="0"/>
    <n v="0"/>
    <n v="0"/>
    <n v="0"/>
    <n v="3159"/>
    <n v="0"/>
    <n v="0"/>
    <n v="0"/>
    <n v="0"/>
    <n v="0"/>
    <n v="0"/>
    <n v="0"/>
    <n v="0"/>
    <n v="0"/>
    <n v="0"/>
    <n v="3159"/>
    <n v="23962"/>
    <n v="27121"/>
  </r>
  <r>
    <x v="19"/>
    <s v="SELECTION ET FOURNITURE DE PERSONNEL"/>
    <s v="GN32 "/>
    <n v="28483"/>
    <n v="0"/>
    <n v="0"/>
    <n v="0"/>
    <n v="28483"/>
    <n v="0"/>
    <n v="0"/>
    <n v="411"/>
    <n v="411"/>
    <n v="0"/>
    <n v="28894"/>
    <n v="0"/>
    <n v="0"/>
    <n v="0"/>
    <n v="0"/>
    <n v="0"/>
    <n v="0"/>
    <n v="0"/>
    <n v="0"/>
    <n v="0"/>
    <n v="0"/>
    <n v="0"/>
    <n v="0"/>
    <n v="0"/>
    <n v="0"/>
    <n v="0"/>
    <n v="0"/>
    <n v="0"/>
    <n v="28894"/>
    <n v="28894"/>
  </r>
  <r>
    <x v="19"/>
    <s v="SECURITE  NETTOYAGE ET SERVICES DIVERS A"/>
    <s v="GN33 "/>
    <n v="101980"/>
    <n v="0"/>
    <n v="10403"/>
    <n v="0"/>
    <n v="112383"/>
    <n v="0"/>
    <n v="0"/>
    <n v="3762"/>
    <n v="3762"/>
    <n v="0"/>
    <n v="116145"/>
    <n v="2726"/>
    <n v="0"/>
    <n v="0"/>
    <n v="0"/>
    <n v="0"/>
    <n v="2726"/>
    <n v="0"/>
    <n v="0"/>
    <n v="0"/>
    <n v="0"/>
    <n v="0"/>
    <n v="0"/>
    <n v="0"/>
    <n v="0"/>
    <n v="0"/>
    <n v="8476"/>
    <n v="11202"/>
    <n v="104943"/>
    <n v="116145"/>
  </r>
  <r>
    <x v="19"/>
    <s v="ASSAINISSEMENT  VOIRIE ET GESTION DES DE"/>
    <s v="GN34 "/>
    <n v="22666"/>
    <n v="0"/>
    <n v="0"/>
    <n v="0"/>
    <n v="22666"/>
    <n v="0"/>
    <n v="0"/>
    <n v="2307"/>
    <n v="985"/>
    <n v="0"/>
    <n v="24973"/>
    <n v="7109"/>
    <n v="0"/>
    <n v="0"/>
    <n v="0"/>
    <n v="0"/>
    <n v="7109"/>
    <n v="0"/>
    <n v="0"/>
    <n v="0"/>
    <n v="0"/>
    <n v="0"/>
    <n v="0"/>
    <n v="0"/>
    <n v="0"/>
    <n v="0"/>
    <n v="0"/>
    <n v="7109"/>
    <n v="17864"/>
    <n v="24973"/>
  </r>
  <r>
    <x v="19"/>
    <s v="RECHERCHE ET DEVELOPPEMENT MARCHANDS"/>
    <s v="GN4A "/>
    <n v="26183"/>
    <n v="0"/>
    <n v="1874"/>
    <n v="0"/>
    <n v="28057"/>
    <n v="0"/>
    <n v="0"/>
    <n v="356"/>
    <n v="356"/>
    <n v="-15"/>
    <n v="28398"/>
    <n v="0"/>
    <n v="0"/>
    <n v="0"/>
    <n v="0"/>
    <n v="0"/>
    <n v="0"/>
    <n v="0"/>
    <n v="0"/>
    <n v="0"/>
    <n v="0"/>
    <n v="0"/>
    <n v="0"/>
    <n v="0"/>
    <n v="0"/>
    <n v="0"/>
    <n v="3378"/>
    <n v="3378"/>
    <n v="25020"/>
    <n v="28398"/>
  </r>
  <r>
    <x v="26"/>
    <s v="RECHERCHE ET DEVELOPPEMENT NON MARCHANDS"/>
    <s v="GN4B "/>
    <n v="8570"/>
    <n v="0"/>
    <n v="0"/>
    <n v="0"/>
    <n v="8570"/>
    <n v="0"/>
    <n v="0"/>
    <n v="0"/>
    <n v="0"/>
    <n v="0"/>
    <n v="8570"/>
    <n v="19"/>
    <n v="8551"/>
    <n v="0"/>
    <n v="8551"/>
    <n v="0"/>
    <n v="8570"/>
    <n v="0"/>
    <n v="0"/>
    <n v="0"/>
    <n v="0"/>
    <n v="0"/>
    <n v="0"/>
    <n v="0"/>
    <n v="0"/>
    <n v="0"/>
    <n v="0"/>
    <n v="8570"/>
    <n v="0"/>
    <n v="8570"/>
  </r>
  <r>
    <x v="19"/>
    <s v="HOTELS ET RESTAURANTS"/>
    <s v="GP10 "/>
    <n v="78516"/>
    <n v="0"/>
    <n v="0"/>
    <n v="0"/>
    <n v="78516"/>
    <n v="0"/>
    <n v="0"/>
    <n v="6298"/>
    <n v="6126"/>
    <n v="-262"/>
    <n v="84552"/>
    <n v="62254"/>
    <n v="0"/>
    <n v="429"/>
    <n v="429"/>
    <n v="0"/>
    <n v="62683"/>
    <n v="0"/>
    <n v="0"/>
    <n v="0"/>
    <n v="0"/>
    <n v="0"/>
    <n v="0"/>
    <n v="0"/>
    <n v="0"/>
    <n v="0"/>
    <n v="0"/>
    <n v="62683"/>
    <n v="21869"/>
    <n v="84552"/>
  </r>
  <r>
    <x v="19"/>
    <s v="ACTIVITES AUDIOVISUELLES"/>
    <s v="GP21 "/>
    <n v="20008"/>
    <n v="0"/>
    <n v="1475"/>
    <n v="0"/>
    <n v="21483"/>
    <n v="0"/>
    <n v="0"/>
    <n v="1158"/>
    <n v="681"/>
    <n v="0"/>
    <n v="22641"/>
    <n v="8884"/>
    <n v="0"/>
    <n v="512"/>
    <n v="512"/>
    <n v="0"/>
    <n v="9396"/>
    <n v="2355"/>
    <n v="0"/>
    <n v="0"/>
    <n v="0"/>
    <n v="0"/>
    <n v="2355"/>
    <n v="0"/>
    <n v="2"/>
    <n v="2357"/>
    <n v="867"/>
    <n v="12620"/>
    <n v="10021"/>
    <n v="22641"/>
  </r>
  <r>
    <x v="19"/>
    <s v="AUTRES ACTIVITES RECREATIVES  CULTURELLE"/>
    <s v="GP2A "/>
    <n v="20154"/>
    <n v="0"/>
    <n v="594"/>
    <n v="0"/>
    <n v="20748"/>
    <n v="0"/>
    <n v="0"/>
    <n v="5149"/>
    <n v="991"/>
    <n v="-22"/>
    <n v="25875"/>
    <n v="19915"/>
    <n v="0"/>
    <n v="14"/>
    <n v="14"/>
    <n v="0"/>
    <n v="19929"/>
    <n v="131"/>
    <n v="0"/>
    <n v="0"/>
    <n v="156"/>
    <n v="0"/>
    <n v="287"/>
    <n v="0"/>
    <n v="0"/>
    <n v="287"/>
    <n v="1098"/>
    <n v="21314"/>
    <n v="4561"/>
    <n v="25875"/>
  </r>
  <r>
    <x v="19"/>
    <s v="AUTRES ACTIVITES RECREATIVES  CULTURELLE"/>
    <s v="GP2B "/>
    <n v="23381"/>
    <n v="0"/>
    <n v="0"/>
    <n v="0"/>
    <n v="23381"/>
    <n v="0"/>
    <n v="0"/>
    <n v="0"/>
    <n v="0"/>
    <n v="0"/>
    <n v="23381"/>
    <n v="3770"/>
    <n v="0"/>
    <n v="15502"/>
    <n v="15502"/>
    <n v="4109"/>
    <n v="23381"/>
    <n v="0"/>
    <n v="0"/>
    <n v="0"/>
    <n v="0"/>
    <n v="0"/>
    <n v="0"/>
    <n v="0"/>
    <n v="0"/>
    <n v="0"/>
    <n v="0"/>
    <n v="23381"/>
    <n v="0"/>
    <n v="23381"/>
  </r>
  <r>
    <x v="19"/>
    <s v="SERVICES PERSONNELS"/>
    <s v="GP31 "/>
    <n v="13722"/>
    <n v="0"/>
    <n v="0"/>
    <n v="0"/>
    <n v="13722"/>
    <n v="0"/>
    <n v="0"/>
    <n v="1527"/>
    <n v="1516"/>
    <n v="0"/>
    <n v="15249"/>
    <n v="12383"/>
    <n v="0"/>
    <n v="236"/>
    <n v="236"/>
    <n v="0"/>
    <n v="12619"/>
    <n v="0"/>
    <n v="0"/>
    <n v="0"/>
    <n v="0"/>
    <n v="0"/>
    <n v="0"/>
    <n v="0"/>
    <n v="0"/>
    <n v="0"/>
    <n v="0"/>
    <n v="12619"/>
    <n v="2630"/>
    <n v="15249"/>
  </r>
  <r>
    <x v="19"/>
    <s v="SERVICES DOMESTIQUES"/>
    <s v="GP32 "/>
    <n v="9109"/>
    <n v="0"/>
    <n v="0"/>
    <n v="0"/>
    <n v="9109"/>
    <n v="0"/>
    <n v="0"/>
    <n v="0"/>
    <n v="0"/>
    <n v="0"/>
    <n v="9109"/>
    <n v="8320"/>
    <n v="0"/>
    <n v="0"/>
    <n v="0"/>
    <n v="0"/>
    <n v="8320"/>
    <n v="0"/>
    <n v="0"/>
    <n v="0"/>
    <n v="0"/>
    <n v="0"/>
    <n v="0"/>
    <n v="0"/>
    <n v="0"/>
    <n v="0"/>
    <n v="0"/>
    <n v="8320"/>
    <n v="789"/>
    <n v="9109"/>
  </r>
  <r>
    <x v="19"/>
    <s v="EDUCATION MARCHANDE"/>
    <s v="GQ1A "/>
    <n v="17471"/>
    <n v="0"/>
    <n v="0"/>
    <n v="0"/>
    <n v="17471"/>
    <n v="0"/>
    <n v="0"/>
    <n v="345"/>
    <n v="345"/>
    <n v="0"/>
    <n v="17816"/>
    <n v="6884"/>
    <n v="0"/>
    <n v="48"/>
    <n v="48"/>
    <n v="0"/>
    <n v="6932"/>
    <n v="0"/>
    <n v="0"/>
    <n v="0"/>
    <n v="0"/>
    <n v="0"/>
    <n v="0"/>
    <n v="0"/>
    <n v="0"/>
    <n v="0"/>
    <n v="0"/>
    <n v="6932"/>
    <n v="10884"/>
    <n v="17816"/>
  </r>
  <r>
    <x v="26"/>
    <s v="EDUCATION NON MARCHANDE"/>
    <s v="GQ1B "/>
    <n v="86310"/>
    <n v="0"/>
    <n v="0"/>
    <n v="0"/>
    <n v="86310"/>
    <n v="0"/>
    <n v="0"/>
    <n v="0"/>
    <n v="0"/>
    <n v="0"/>
    <n v="86310"/>
    <n v="1929"/>
    <n v="0"/>
    <n v="82940"/>
    <n v="82940"/>
    <n v="1441"/>
    <n v="86310"/>
    <n v="0"/>
    <n v="0"/>
    <n v="0"/>
    <n v="0"/>
    <n v="0"/>
    <n v="0"/>
    <n v="0"/>
    <n v="0"/>
    <n v="0"/>
    <n v="0"/>
    <n v="86310"/>
    <n v="0"/>
    <n v="86310"/>
  </r>
  <r>
    <x v="19"/>
    <s v="SANTE HUMAINE (PARTIE MARCHANDE)"/>
    <s v="GQ2A "/>
    <n v="64364"/>
    <n v="0"/>
    <n v="261"/>
    <n v="0"/>
    <n v="64625"/>
    <n v="0"/>
    <n v="0"/>
    <n v="5"/>
    <n v="0"/>
    <n v="0"/>
    <n v="64630"/>
    <n v="15570"/>
    <n v="0"/>
    <n v="42202"/>
    <n v="42202"/>
    <n v="0"/>
    <n v="57772"/>
    <n v="0"/>
    <n v="0"/>
    <n v="0"/>
    <n v="0"/>
    <n v="0"/>
    <n v="0"/>
    <n v="0"/>
    <n v="0"/>
    <n v="0"/>
    <n v="516"/>
    <n v="58288"/>
    <n v="6342"/>
    <n v="64630"/>
  </r>
  <r>
    <x v="26"/>
    <s v="SANTE NON MARCHANDE"/>
    <s v="GQ2B "/>
    <n v="55246"/>
    <n v="0"/>
    <n v="0"/>
    <n v="0"/>
    <n v="55246"/>
    <n v="0"/>
    <n v="0"/>
    <n v="0"/>
    <n v="0"/>
    <n v="0"/>
    <n v="55246"/>
    <n v="3624"/>
    <n v="0"/>
    <n v="51622"/>
    <n v="51622"/>
    <n v="0"/>
    <n v="55246"/>
    <n v="0"/>
    <n v="0"/>
    <n v="0"/>
    <n v="0"/>
    <n v="0"/>
    <n v="0"/>
    <n v="0"/>
    <n v="0"/>
    <n v="0"/>
    <n v="0"/>
    <n v="55246"/>
    <n v="0"/>
    <n v="55246"/>
  </r>
  <r>
    <x v="19"/>
    <s v="ACTIVITES VETERINAIRES"/>
    <s v="GQ2C "/>
    <n v="2255"/>
    <n v="0"/>
    <n v="0"/>
    <n v="0"/>
    <n v="2255"/>
    <n v="0"/>
    <n v="0"/>
    <n v="275"/>
    <n v="275"/>
    <n v="0"/>
    <n v="2530"/>
    <n v="1872"/>
    <n v="0"/>
    <n v="0"/>
    <n v="0"/>
    <n v="0"/>
    <n v="1872"/>
    <n v="0"/>
    <n v="0"/>
    <n v="0"/>
    <n v="0"/>
    <n v="0"/>
    <n v="0"/>
    <n v="0"/>
    <n v="0"/>
    <n v="0"/>
    <n v="0"/>
    <n v="1872"/>
    <n v="658"/>
    <n v="2530"/>
  </r>
  <r>
    <x v="19"/>
    <s v="ACTION SOCIALE (PARTIE MARCHANDE)"/>
    <s v="GQ2D "/>
    <n v="24045"/>
    <n v="0"/>
    <n v="0"/>
    <n v="0"/>
    <n v="24045"/>
    <n v="0"/>
    <n v="0"/>
    <n v="0"/>
    <n v="0"/>
    <n v="0"/>
    <n v="24045"/>
    <n v="13498"/>
    <n v="0"/>
    <n v="10547"/>
    <n v="10547"/>
    <n v="0"/>
    <n v="24045"/>
    <n v="0"/>
    <n v="0"/>
    <n v="0"/>
    <n v="0"/>
    <n v="0"/>
    <n v="0"/>
    <n v="0"/>
    <n v="0"/>
    <n v="0"/>
    <n v="0"/>
    <n v="24045"/>
    <n v="0"/>
    <n v="24045"/>
  </r>
  <r>
    <x v="26"/>
    <s v="ACTION SOCIALE NON MARCHANDE"/>
    <s v="GQ2E "/>
    <n v="33103"/>
    <n v="0"/>
    <n v="0"/>
    <n v="0"/>
    <n v="33103"/>
    <n v="0"/>
    <n v="0"/>
    <n v="0"/>
    <n v="0"/>
    <n v="0"/>
    <n v="33103"/>
    <n v="4296"/>
    <n v="0"/>
    <n v="14199"/>
    <n v="14199"/>
    <n v="14608"/>
    <n v="33103"/>
    <n v="0"/>
    <n v="0"/>
    <n v="0"/>
    <n v="0"/>
    <n v="0"/>
    <n v="0"/>
    <n v="0"/>
    <n v="0"/>
    <n v="0"/>
    <n v="0"/>
    <n v="33103"/>
    <n v="0"/>
    <n v="33103"/>
  </r>
  <r>
    <x v="26"/>
    <s v="ADMINISTRATION PUBLIQUE"/>
    <s v="GR10 "/>
    <n v="153084"/>
    <n v="0"/>
    <n v="0"/>
    <n v="0"/>
    <n v="153084"/>
    <n v="0"/>
    <n v="0"/>
    <n v="0"/>
    <n v="0"/>
    <n v="0"/>
    <n v="153084"/>
    <n v="406"/>
    <n v="137212"/>
    <n v="15466"/>
    <n v="152678"/>
    <n v="0"/>
    <n v="153084"/>
    <n v="0"/>
    <n v="0"/>
    <n v="0"/>
    <n v="0"/>
    <n v="0"/>
    <n v="0"/>
    <n v="0"/>
    <n v="0"/>
    <n v="0"/>
    <n v="0"/>
    <n v="153084"/>
    <n v="0"/>
    <n v="153084"/>
  </r>
  <r>
    <x v="26"/>
    <s v="ACTIVITES ASSOCIATIVES"/>
    <s v="GR20 "/>
    <n v="7359"/>
    <n v="0"/>
    <n v="0"/>
    <n v="0"/>
    <n v="7359"/>
    <n v="0"/>
    <n v="0"/>
    <n v="0"/>
    <n v="0"/>
    <n v="0"/>
    <n v="7359"/>
    <n v="0"/>
    <n v="1105"/>
    <n v="0"/>
    <n v="1105"/>
    <n v="3568"/>
    <n v="4673"/>
    <n v="0"/>
    <n v="0"/>
    <n v="0"/>
    <n v="0"/>
    <n v="0"/>
    <n v="0"/>
    <n v="0"/>
    <n v="0"/>
    <n v="0"/>
    <n v="0"/>
    <n v="4673"/>
    <n v="2686"/>
    <n v="7359"/>
  </r>
  <r>
    <x v="27"/>
    <s v="PRODUITS CONSOMMES HORS DU TERRITOIRE DE"/>
    <s v="PCHTR "/>
    <n v="0"/>
    <n v="0"/>
    <n v="25365"/>
    <n v="0"/>
    <n v="25365"/>
    <n v="0"/>
    <n v="0"/>
    <n v="0"/>
    <n v="0"/>
    <n v="0"/>
    <n v="25365"/>
    <n v="-10141"/>
    <n v="0"/>
    <n v="0"/>
    <n v="0"/>
    <n v="0"/>
    <n v="-10141"/>
    <n v="0"/>
    <n v="0"/>
    <n v="0"/>
    <n v="0"/>
    <n v="0"/>
    <n v="0"/>
    <n v="0"/>
    <n v="0"/>
    <n v="0"/>
    <n v="35506"/>
    <n v="25365"/>
    <n v="0"/>
    <n v="25365"/>
  </r>
  <r>
    <x v="28"/>
    <s v="Produit CORRECTION CAF/FAB"/>
    <s v="PCAFAB"/>
    <n v="0"/>
    <n v="-12871"/>
    <n v="0"/>
    <n v="12871"/>
    <n v="0"/>
    <n v="0"/>
    <n v="0"/>
    <n v="0"/>
    <n v="0"/>
    <n v="0"/>
    <n v="0"/>
    <n v="0"/>
    <n v="0"/>
    <n v="0"/>
    <n v="0"/>
    <n v="0"/>
    <n v="0"/>
    <n v="0"/>
    <n v="0"/>
    <n v="0"/>
    <n v="0"/>
    <n v="0"/>
    <n v="0"/>
    <n v="0"/>
    <n v="0"/>
    <n v="0"/>
    <n v="0"/>
    <n v="0"/>
    <n v="0"/>
    <n v="0"/>
  </r>
  <r>
    <x v="29"/>
    <s v="Total des produits"/>
    <s v="TOTAL"/>
    <n v="3276084"/>
    <n v="415740"/>
    <n v="91565"/>
    <n v="0"/>
    <n v="3783389"/>
    <n v="0"/>
    <n v="0"/>
    <n v="204741"/>
    <n v="131017"/>
    <n v="-11982"/>
    <n v="3976148"/>
    <n v="1002014"/>
    <n v="146868"/>
    <n v="275709"/>
    <n v="422577"/>
    <n v="23726"/>
    <n v="1448317"/>
    <n v="192772"/>
    <n v="107135"/>
    <n v="15529"/>
    <n v="58205"/>
    <n v="2396"/>
    <n v="376037"/>
    <n v="806"/>
    <n v="5062"/>
    <n v="381905"/>
    <n v="484545"/>
    <n v="2314767"/>
    <n v="1661381"/>
    <n v="3976148"/>
  </r>
  <r>
    <x v="30"/>
    <s v="PETROLE TOTAL"/>
    <m/>
    <n v="50376.336478262776"/>
    <n v="49515.781708331509"/>
    <n v="0"/>
    <n v="0"/>
    <n v="99892.118186594278"/>
    <n v="13219.039380937787"/>
    <n v="2504.9516439735562"/>
    <n v="34321.258723348365"/>
    <n v="9330"/>
    <n v="0"/>
    <n v="149937.367934854"/>
    <n v="43742"/>
    <n v="0"/>
    <n v="0"/>
    <n v="0"/>
    <n v="0"/>
    <n v="43742"/>
    <n v="0"/>
    <n v="0"/>
    <n v="0"/>
    <n v="0"/>
    <n v="0"/>
    <n v="0"/>
    <n v="0"/>
    <n v="-215.65129591524013"/>
    <n v="-215.65129591524013"/>
    <n v="14197.783361061249"/>
    <n v="57724.132065146012"/>
    <n v="92213.235869707976"/>
    <n v="149937.367934854"/>
  </r>
  <r>
    <x v="31"/>
    <s v="GAZ TOTAL"/>
    <m/>
    <n v="23989.663521737228"/>
    <n v="11284.218291668491"/>
    <n v="0"/>
    <n v="0"/>
    <n v="35273.881813405715"/>
    <n v="10.960619062212686"/>
    <n v="1639.0483560264436"/>
    <n v="2039.7412766516352"/>
    <n v="1827"/>
    <n v="0"/>
    <n v="38963.632065146012"/>
    <n v="10467"/>
    <n v="0"/>
    <n v="5"/>
    <n v="5"/>
    <n v="0"/>
    <n v="10472"/>
    <n v="0"/>
    <n v="0"/>
    <n v="0"/>
    <n v="0"/>
    <n v="0"/>
    <n v="0"/>
    <n v="0"/>
    <n v="-2.3487040847598615"/>
    <n v="-2.3487040847598615"/>
    <n v="463.21663893875046"/>
    <n v="10932.86793485399"/>
    <n v="28030.764130292016"/>
    <n v="38963.632065146012"/>
  </r>
  <r>
    <x v="32"/>
    <s v="TRANSPORTS FERROVIAIRES"/>
    <m/>
    <n v="10144.709689341518"/>
    <n v="0"/>
    <n v="1038.7094018848941"/>
    <n v="-119"/>
    <n v="11064.419091226413"/>
    <n v="0"/>
    <n v="-1632.5393712912962"/>
    <n v="291.27117426031253"/>
    <n v="291.27117426031253"/>
    <n v="-1794"/>
    <n v="7929.1508941954298"/>
    <n v="4179.7052337638343"/>
    <n v="0"/>
    <n v="190"/>
    <n v="190"/>
    <n v="0"/>
    <n v="4369.7052337638343"/>
    <n v="0"/>
    <n v="0"/>
    <n v="0"/>
    <n v="0"/>
    <n v="0"/>
    <n v="0"/>
    <n v="0"/>
    <n v="-4.4956162864710594"/>
    <n v="-4.4956162864710594"/>
    <n v="1351.3973677186211"/>
    <n v="5716.6069851959837"/>
    <n v="2212.5439089994456"/>
    <n v="7929.1508941954298"/>
  </r>
  <r>
    <x v="33"/>
    <s v="TRANSPORT ROUTIER (OU PAR CONDUITES) DE marchandises"/>
    <m/>
    <n v="51998.142604885004"/>
    <n v="0"/>
    <n v="8981.7359886894628"/>
    <n v="-3788"/>
    <n v="57191.878593574467"/>
    <n v="0"/>
    <n v="-33066.79393759845"/>
    <n v="243.4210271587846"/>
    <n v="243.4210271587846"/>
    <n v="0"/>
    <n v="24368.505683134805"/>
    <n v="678.12576813983299"/>
    <n v="0"/>
    <n v="4"/>
    <n v="4"/>
    <n v="0"/>
    <n v="682.12576813983299"/>
    <n v="0"/>
    <n v="0"/>
    <n v="0"/>
    <n v="0"/>
    <n v="0"/>
    <n v="0"/>
    <n v="0"/>
    <n v="-100.51338873228696"/>
    <n v="-100.51338873228696"/>
    <n v="4060.4969655726695"/>
    <n v="4642.1093449802156"/>
    <n v="19726.396338154587"/>
    <n v="24368.505683134805"/>
  </r>
  <r>
    <x v="34"/>
    <s v="TRANSPORTS PAR EAU"/>
    <m/>
    <n v="12381.120558721816"/>
    <n v="0"/>
    <n v="6131.2772460482047"/>
    <n v="-6704"/>
    <n v="11808.39780477002"/>
    <n v="0"/>
    <n v="-2539.100656750391"/>
    <n v="13.289932271699309"/>
    <n v="13.289932271699309"/>
    <n v="-130"/>
    <n v="9152.5870802913287"/>
    <n v="359.12064085227956"/>
    <n v="0"/>
    <n v="0"/>
    <n v="0"/>
    <n v="0"/>
    <n v="359.12064085227956"/>
    <n v="0"/>
    <n v="0"/>
    <n v="0"/>
    <n v="0"/>
    <n v="0"/>
    <n v="0"/>
    <n v="0"/>
    <n v="-29.31805315600975"/>
    <n v="-29.31805315600975"/>
    <n v="4431.6470531296109"/>
    <n v="4761.4496408258801"/>
    <n v="4391.1374394654486"/>
    <n v="9152.5870802913287"/>
  </r>
  <r>
    <x v="35"/>
    <s v="TRANSPORTS AERIENS"/>
    <m/>
    <n v="18849.027147051664"/>
    <n v="0"/>
    <n v="7701.2773633774395"/>
    <n v="-2151"/>
    <n v="24399.304510429101"/>
    <n v="0"/>
    <n v="-634.56603435986642"/>
    <n v="543.01786630920355"/>
    <n v="158.01786630920361"/>
    <n v="-67"/>
    <n v="24240.756342378441"/>
    <n v="7336.0483572440535"/>
    <n v="0"/>
    <n v="0"/>
    <n v="0"/>
    <n v="0"/>
    <n v="7336.0483572440535"/>
    <n v="0"/>
    <n v="0"/>
    <n v="0"/>
    <n v="0"/>
    <n v="0"/>
    <n v="0"/>
    <n v="0"/>
    <n v="-10.67294182523224"/>
    <n v="-10.67294182523224"/>
    <n v="7626.4586135790987"/>
    <n v="14951.834028997921"/>
    <n v="9288.922313380519"/>
    <n v="24240.756342378441"/>
  </r>
  <r>
    <x v="36"/>
    <s v="AUTOMOBILES (VOITURE + MOTOCYCLE)"/>
    <m/>
    <n v="89440.2"/>
    <n v="46716.800000000003"/>
    <n v="0"/>
    <n v="0"/>
    <n v="136157"/>
    <n v="20279.599999999999"/>
    <n v="2348"/>
    <n v="11161.3"/>
    <n v="10776.4"/>
    <n v="0"/>
    <n v="169945.9"/>
    <n v="58603.4"/>
    <n v="0"/>
    <n v="88.2"/>
    <n v="88.2"/>
    <n v="0"/>
    <n v="58691.6"/>
    <n v="21352.5"/>
    <n v="0"/>
    <n v="242"/>
    <n v="2198.3000000000002"/>
    <n v="267"/>
    <n v="24059.8"/>
    <n v="0"/>
    <n v="-215.3"/>
    <n v="23844.5"/>
    <n v="51651.9"/>
    <n v="134188"/>
    <n v="35757.9"/>
    <n v="169945.9"/>
  </r>
  <r>
    <x v="2"/>
    <s v="FABRICATION CYCLE"/>
    <m/>
    <n v="304.8"/>
    <n v="577.19999999999993"/>
    <n v="0"/>
    <n v="0"/>
    <n v="882"/>
    <n v="263.39999999999998"/>
    <n v="3"/>
    <n v="170.7"/>
    <n v="159.6"/>
    <n v="0"/>
    <n v="1319.1"/>
    <n v="939.59999999999991"/>
    <n v="0"/>
    <n v="37.799999999999997"/>
    <n v="37.799999999999997"/>
    <n v="0"/>
    <n v="977.4"/>
    <n v="7.5"/>
    <n v="0"/>
    <n v="0"/>
    <n v="59.699999999999996"/>
    <n v="0"/>
    <n v="67.2"/>
    <n v="0"/>
    <n v="-59.699999999999996"/>
    <n v="7.5"/>
    <n v="260.09999999999997"/>
    <n v="1245"/>
    <n v="74.099999999999994"/>
    <n v="1319.1"/>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pivotCacheRecords>
</file>

<file path=xl/pivotCache/pivotCacheRecords3.xml><?xml version="1.0" encoding="utf-8"?>
<pivotCacheRecords xmlns="http://schemas.openxmlformats.org/spreadsheetml/2006/main" xmlns:r="http://schemas.openxmlformats.org/officeDocument/2006/relationships" count="186">
  <r>
    <x v="0"/>
    <n v="40793"/>
    <n v="28259"/>
    <n v="69052"/>
    <n v="1"/>
    <n v="-8166"/>
    <n v="106"/>
    <n v="-8059"/>
    <n v="60993"/>
    <n v="7703"/>
    <n v="26326"/>
    <n v="1432"/>
    <n v="-7202"/>
    <n v="353.31299999999999"/>
  </r>
  <r>
    <x v="0"/>
    <n v="2659"/>
    <n v="3652"/>
    <n v="6311"/>
    <n v="-9"/>
    <n v="0"/>
    <n v="165"/>
    <n v="156"/>
    <n v="6467"/>
    <n v="744"/>
    <n v="2981"/>
    <n v="29"/>
    <n v="-102"/>
    <n v="22.591999999999999"/>
  </r>
  <r>
    <x v="0"/>
    <n v="721"/>
    <n v="1348"/>
    <n v="2069"/>
    <n v="0"/>
    <n v="0"/>
    <n v="2"/>
    <n v="2"/>
    <n v="2071"/>
    <n v="444"/>
    <n v="927"/>
    <n v="14"/>
    <n v="-37"/>
    <n v="14.284000000000001"/>
  </r>
  <r>
    <x v="1"/>
    <n v="23213"/>
    <n v="6011"/>
    <n v="29224"/>
    <n v="102"/>
    <n v="0"/>
    <n v="2"/>
    <n v="104"/>
    <n v="29328"/>
    <n v="4128"/>
    <n v="1468"/>
    <n v="439"/>
    <n v="-24"/>
    <n v="132.74600000000001"/>
  </r>
  <r>
    <x v="1"/>
    <n v="18484"/>
    <n v="3072"/>
    <n v="21556"/>
    <n v="0"/>
    <n v="0"/>
    <n v="1"/>
    <n v="1"/>
    <n v="21557"/>
    <n v="1897"/>
    <n v="899"/>
    <n v="324"/>
    <n v="-48"/>
    <n v="48.65"/>
  </r>
  <r>
    <x v="1"/>
    <n v="11701"/>
    <n v="4124"/>
    <n v="15825"/>
    <n v="0"/>
    <n v="8166"/>
    <n v="3"/>
    <n v="8169"/>
    <n v="23994"/>
    <n v="1879"/>
    <n v="1953"/>
    <n v="312"/>
    <n v="-20"/>
    <n v="23.965"/>
  </r>
  <r>
    <x v="1"/>
    <n v="10791"/>
    <n v="2452"/>
    <n v="13243"/>
    <n v="0"/>
    <n v="0"/>
    <n v="0"/>
    <n v="0"/>
    <n v="13243"/>
    <n v="1502"/>
    <n v="791"/>
    <n v="233"/>
    <n v="-74"/>
    <n v="29.5"/>
  </r>
  <r>
    <x v="1"/>
    <n v="28240"/>
    <n v="12489"/>
    <n v="40729"/>
    <n v="0"/>
    <n v="0"/>
    <n v="0"/>
    <n v="0"/>
    <n v="40729"/>
    <n v="7015"/>
    <n v="4778"/>
    <n v="741"/>
    <n v="-45"/>
    <n v="247.029"/>
  </r>
  <r>
    <x v="1"/>
    <n v="221"/>
    <n v="544"/>
    <n v="765"/>
    <n v="0"/>
    <n v="0"/>
    <n v="0"/>
    <n v="0"/>
    <n v="765"/>
    <n v="142"/>
    <n v="343"/>
    <n v="62"/>
    <n v="-3"/>
    <n v="2.1760000000000002"/>
  </r>
  <r>
    <x v="2"/>
    <n v="6674"/>
    <n v="3148"/>
    <n v="9822"/>
    <n v="0"/>
    <n v="0"/>
    <n v="25"/>
    <n v="25"/>
    <n v="9847"/>
    <n v="1848"/>
    <n v="1189"/>
    <n v="131"/>
    <n v="-20"/>
    <n v="50.554000000000002"/>
  </r>
  <r>
    <x v="2"/>
    <n v="2064"/>
    <n v="1230"/>
    <n v="3294"/>
    <n v="0"/>
    <n v="0"/>
    <n v="0"/>
    <n v="0"/>
    <n v="3294"/>
    <n v="832"/>
    <n v="347"/>
    <n v="60"/>
    <n v="-9"/>
    <n v="28.084"/>
  </r>
  <r>
    <x v="2"/>
    <n v="19606"/>
    <n v="11512"/>
    <n v="31118"/>
    <n v="-3974"/>
    <n v="0"/>
    <n v="1551"/>
    <n v="-2423"/>
    <n v="28695"/>
    <n v="8498"/>
    <n v="2601"/>
    <n v="515"/>
    <n v="-102"/>
    <n v="185.108"/>
  </r>
  <r>
    <x v="2"/>
    <n v="26506"/>
    <n v="9910"/>
    <n v="36416"/>
    <n v="0"/>
    <n v="0"/>
    <n v="1"/>
    <n v="1"/>
    <n v="36417"/>
    <n v="4255"/>
    <n v="5235"/>
    <n v="519"/>
    <n v="-99"/>
    <n v="48.085000000000001"/>
  </r>
  <r>
    <x v="2"/>
    <n v="12582"/>
    <n v="3589"/>
    <n v="16171"/>
    <n v="0"/>
    <n v="0"/>
    <n v="0"/>
    <n v="0"/>
    <n v="16171"/>
    <n v="1982"/>
    <n v="1408"/>
    <n v="217"/>
    <n v="-18"/>
    <n v="25.454999999999998"/>
  </r>
  <r>
    <x v="2"/>
    <n v="9027"/>
    <n v="4151"/>
    <n v="13178"/>
    <n v="0"/>
    <n v="0"/>
    <n v="5"/>
    <n v="5"/>
    <n v="13183"/>
    <n v="2968"/>
    <n v="974"/>
    <n v="234"/>
    <n v="-25"/>
    <n v="91.64"/>
  </r>
  <r>
    <x v="2"/>
    <n v="896"/>
    <n v="718"/>
    <n v="1614"/>
    <n v="0"/>
    <n v="0"/>
    <n v="8"/>
    <n v="8"/>
    <n v="1622"/>
    <n v="469"/>
    <n v="224"/>
    <n v="29"/>
    <n v="-4"/>
    <n v="12.933"/>
  </r>
  <r>
    <x v="2"/>
    <n v="2891"/>
    <n v="1230"/>
    <n v="4121"/>
    <n v="0"/>
    <n v="0"/>
    <n v="66"/>
    <n v="66"/>
    <n v="4187"/>
    <n v="894"/>
    <n v="263"/>
    <n v="81"/>
    <n v="-8"/>
    <n v="22.545999999999999"/>
  </r>
  <r>
    <x v="2"/>
    <n v="2030"/>
    <n v="856"/>
    <n v="2886"/>
    <n v="0"/>
    <n v="0"/>
    <n v="0"/>
    <n v="0"/>
    <n v="2886"/>
    <n v="647"/>
    <n v="146"/>
    <n v="68"/>
    <n v="-5"/>
    <n v="13.885"/>
  </r>
  <r>
    <x v="2"/>
    <n v="1574"/>
    <n v="167"/>
    <n v="1741"/>
    <n v="0"/>
    <n v="0"/>
    <n v="0"/>
    <n v="0"/>
    <n v="1741"/>
    <n v="310"/>
    <n v="-161"/>
    <n v="25"/>
    <n v="-7"/>
    <n v="11.855"/>
  </r>
  <r>
    <x v="2"/>
    <n v="1194"/>
    <n v="827"/>
    <n v="2021"/>
    <n v="0"/>
    <n v="0"/>
    <n v="0"/>
    <n v="0"/>
    <n v="2021"/>
    <n v="572"/>
    <n v="223"/>
    <n v="38"/>
    <n v="-6"/>
    <n v="13.815"/>
  </r>
  <r>
    <x v="3"/>
    <n v="55564"/>
    <n v="6869"/>
    <n v="62433"/>
    <n v="0"/>
    <n v="0"/>
    <n v="0"/>
    <n v="0"/>
    <n v="62433"/>
    <n v="5124"/>
    <n v="1275"/>
    <n v="553"/>
    <n v="-83"/>
    <n v="107.485"/>
  </r>
  <r>
    <x v="3"/>
    <n v="19795"/>
    <n v="6312"/>
    <n v="26107"/>
    <n v="189"/>
    <n v="0"/>
    <n v="0"/>
    <n v="189"/>
    <n v="26296"/>
    <n v="4594"/>
    <n v="1255"/>
    <n v="501"/>
    <n v="-38"/>
    <n v="102.479"/>
  </r>
  <r>
    <x v="2"/>
    <n v="2579"/>
    <n v="2075"/>
    <n v="4654"/>
    <n v="0"/>
    <n v="0"/>
    <n v="7"/>
    <n v="7"/>
    <n v="4661"/>
    <n v="1410"/>
    <n v="569"/>
    <n v="112"/>
    <n v="-16"/>
    <n v="30.154"/>
  </r>
  <r>
    <x v="2"/>
    <n v="2543"/>
    <n v="798"/>
    <n v="3341"/>
    <n v="0"/>
    <n v="0"/>
    <n v="0"/>
    <n v="0"/>
    <n v="3341"/>
    <n v="647"/>
    <n v="129"/>
    <n v="30"/>
    <n v="-8"/>
    <n v="12.608000000000001"/>
  </r>
  <r>
    <x v="2"/>
    <n v="39413"/>
    <n v="7801"/>
    <n v="47214"/>
    <n v="-727"/>
    <n v="0"/>
    <n v="0"/>
    <n v="-727"/>
    <n v="46487"/>
    <n v="4518"/>
    <n v="2854"/>
    <n v="497"/>
    <n v="-68"/>
    <n v="65.111000000000004"/>
  </r>
  <r>
    <x v="4"/>
    <n v="750"/>
    <n v="266"/>
    <n v="1016"/>
    <n v="0"/>
    <n v="0"/>
    <n v="0"/>
    <n v="0"/>
    <n v="1016"/>
    <n v="238"/>
    <n v="6"/>
    <n v="23"/>
    <n v="-1"/>
    <n v="5.5979999999999999"/>
  </r>
  <r>
    <x v="2"/>
    <n v="6534"/>
    <n v="2903"/>
    <n v="9437"/>
    <n v="0"/>
    <n v="0"/>
    <n v="0"/>
    <n v="0"/>
    <n v="9437"/>
    <n v="2183"/>
    <n v="589"/>
    <n v="156"/>
    <n v="-25"/>
    <n v="58.970999999999997"/>
  </r>
  <r>
    <x v="2"/>
    <n v="6352"/>
    <n v="3950"/>
    <n v="10302"/>
    <n v="0"/>
    <n v="0"/>
    <n v="0"/>
    <n v="0"/>
    <n v="10302"/>
    <n v="3205"/>
    <n v="594"/>
    <n v="179"/>
    <n v="-28"/>
    <n v="80.200999999999993"/>
  </r>
  <r>
    <x v="2"/>
    <n v="9413"/>
    <n v="4238"/>
    <n v="13651"/>
    <n v="0"/>
    <n v="0"/>
    <n v="44"/>
    <n v="44"/>
    <n v="13695"/>
    <n v="3432"/>
    <n v="526"/>
    <n v="308"/>
    <n v="-28"/>
    <n v="64.072999999999993"/>
  </r>
  <r>
    <x v="2"/>
    <n v="13842"/>
    <n v="7268"/>
    <n v="21110"/>
    <n v="0"/>
    <n v="0"/>
    <n v="0"/>
    <n v="0"/>
    <n v="21110"/>
    <n v="5212"/>
    <n v="1752"/>
    <n v="347"/>
    <n v="-43"/>
    <n v="109.467"/>
  </r>
  <r>
    <x v="2"/>
    <n v="3513"/>
    <n v="1288"/>
    <n v="4801"/>
    <n v="0"/>
    <n v="0"/>
    <n v="0"/>
    <n v="0"/>
    <n v="4801"/>
    <n v="939"/>
    <n v="284"/>
    <n v="74"/>
    <n v="-9"/>
    <n v="27.067"/>
  </r>
  <r>
    <x v="2"/>
    <n v="1377"/>
    <n v="819"/>
    <n v="2196"/>
    <n v="0"/>
    <n v="0"/>
    <n v="0"/>
    <n v="0"/>
    <n v="2196"/>
    <n v="666"/>
    <n v="115"/>
    <n v="45"/>
    <n v="-7"/>
    <n v="12.629"/>
  </r>
  <r>
    <x v="2"/>
    <n v="8743"/>
    <n v="3675"/>
    <n v="12418"/>
    <n v="0"/>
    <n v="0"/>
    <n v="0"/>
    <n v="0"/>
    <n v="12418"/>
    <n v="2873"/>
    <n v="599"/>
    <n v="226"/>
    <n v="-23"/>
    <n v="56.076999999999998"/>
  </r>
  <r>
    <x v="2"/>
    <n v="2281"/>
    <n v="741"/>
    <n v="3022"/>
    <n v="1331"/>
    <n v="0"/>
    <n v="0"/>
    <n v="1331"/>
    <n v="4353"/>
    <n v="758"/>
    <n v="-53"/>
    <n v="52"/>
    <n v="-16"/>
    <n v="15.015000000000001"/>
  </r>
  <r>
    <x v="2"/>
    <n v="1773"/>
    <n v="618"/>
    <n v="2391"/>
    <n v="0"/>
    <n v="0"/>
    <n v="0"/>
    <n v="0"/>
    <n v="2391"/>
    <n v="307"/>
    <n v="284"/>
    <n v="32"/>
    <n v="-5"/>
    <n v="7.5890000000000004"/>
  </r>
  <r>
    <x v="2"/>
    <n v="4181"/>
    <n v="2091"/>
    <n v="6272"/>
    <n v="0"/>
    <n v="0"/>
    <n v="0"/>
    <n v="0"/>
    <n v="6272"/>
    <n v="1566"/>
    <n v="431"/>
    <n v="114"/>
    <n v="-20"/>
    <n v="35.185000000000002"/>
  </r>
  <r>
    <x v="2"/>
    <n v="8137"/>
    <n v="1677"/>
    <n v="9814"/>
    <n v="-141"/>
    <n v="0"/>
    <n v="0"/>
    <n v="-141"/>
    <n v="9673"/>
    <n v="1720"/>
    <n v="-120"/>
    <n v="109"/>
    <n v="-32"/>
    <n v="26.698"/>
  </r>
  <r>
    <x v="2"/>
    <n v="3216"/>
    <n v="2526"/>
    <n v="5742"/>
    <n v="0"/>
    <n v="0"/>
    <n v="112"/>
    <n v="112"/>
    <n v="5854"/>
    <n v="1605"/>
    <n v="829"/>
    <n v="105"/>
    <n v="-13"/>
    <n v="39.393999999999998"/>
  </r>
  <r>
    <x v="2"/>
    <n v="8173"/>
    <n v="4559"/>
    <n v="12732"/>
    <n v="-141"/>
    <n v="0"/>
    <n v="21"/>
    <n v="-120"/>
    <n v="12612"/>
    <n v="3743"/>
    <n v="675"/>
    <n v="216"/>
    <n v="-75"/>
    <n v="65.481999999999999"/>
  </r>
  <r>
    <x v="2"/>
    <n v="31"/>
    <n v="-2"/>
    <n v="29"/>
    <n v="0"/>
    <n v="0"/>
    <n v="2"/>
    <n v="2"/>
    <n v="31"/>
    <n v="23"/>
    <n v="-25"/>
    <n v="0"/>
    <n v="0"/>
    <n v="0.497"/>
  </r>
  <r>
    <x v="2"/>
    <n v="3476"/>
    <n v="2012"/>
    <n v="5488"/>
    <n v="6"/>
    <n v="0"/>
    <n v="0"/>
    <n v="6"/>
    <n v="5494"/>
    <n v="1081"/>
    <n v="764"/>
    <n v="175"/>
    <n v="-8"/>
    <n v="26.667999999999999"/>
  </r>
  <r>
    <x v="5"/>
    <n v="4189"/>
    <n v="2463"/>
    <n v="6652"/>
    <n v="102"/>
    <n v="0"/>
    <n v="0"/>
    <n v="102"/>
    <n v="6754"/>
    <n v="1728"/>
    <n v="557"/>
    <n v="195"/>
    <n v="-17"/>
    <n v="37.597000000000001"/>
  </r>
  <r>
    <x v="6"/>
    <n v="13183"/>
    <n v="6438"/>
    <n v="19621"/>
    <n v="46"/>
    <n v="0"/>
    <n v="0"/>
    <n v="46"/>
    <n v="19667"/>
    <n v="3761"/>
    <n v="2204"/>
    <n v="502"/>
    <n v="-29"/>
    <n v="84.48"/>
  </r>
  <r>
    <x v="2"/>
    <n v="3819"/>
    <n v="1085"/>
    <n v="4904"/>
    <n v="268"/>
    <n v="0"/>
    <n v="0"/>
    <n v="268"/>
    <n v="5172"/>
    <n v="981"/>
    <n v="23"/>
    <n v="102"/>
    <n v="-21"/>
    <n v="23.879000000000001"/>
  </r>
  <r>
    <x v="2"/>
    <n v="3510"/>
    <n v="1564"/>
    <n v="5074"/>
    <n v="0"/>
    <n v="0"/>
    <n v="44"/>
    <n v="44"/>
    <n v="5118"/>
    <n v="1207"/>
    <n v="263"/>
    <n v="104"/>
    <n v="-10"/>
    <n v="35.274000000000001"/>
  </r>
  <r>
    <x v="2"/>
    <n v="904"/>
    <n v="532"/>
    <n v="1436"/>
    <n v="0"/>
    <n v="0"/>
    <n v="0"/>
    <n v="0"/>
    <n v="1436"/>
    <n v="423"/>
    <n v="77"/>
    <n v="35"/>
    <n v="-3"/>
    <n v="12.923"/>
  </r>
  <r>
    <x v="2"/>
    <n v="8418"/>
    <n v="3306"/>
    <n v="11724"/>
    <n v="103"/>
    <n v="0"/>
    <n v="44"/>
    <n v="147"/>
    <n v="11871"/>
    <n v="2444"/>
    <n v="649"/>
    <n v="237"/>
    <n v="-24"/>
    <n v="79.070999999999998"/>
  </r>
  <r>
    <x v="7"/>
    <n v="7213"/>
    <n v="1511"/>
    <n v="8724"/>
    <n v="652"/>
    <n v="0"/>
    <n v="0"/>
    <n v="652"/>
    <n v="9376"/>
    <n v="1125"/>
    <n v="203"/>
    <n v="190"/>
    <n v="-7"/>
    <n v="24.195"/>
  </r>
  <r>
    <x v="7"/>
    <n v="7488"/>
    <n v="3044"/>
    <n v="10532"/>
    <n v="0"/>
    <n v="0"/>
    <n v="0"/>
    <n v="0"/>
    <n v="10532"/>
    <n v="2150"/>
    <n v="652"/>
    <n v="256"/>
    <n v="-14"/>
    <n v="48.731999999999999"/>
  </r>
  <r>
    <x v="8"/>
    <n v="5150"/>
    <n v="825"/>
    <n v="5975"/>
    <n v="18"/>
    <n v="0"/>
    <n v="0"/>
    <n v="18"/>
    <n v="5993"/>
    <n v="1054"/>
    <n v="-362"/>
    <n v="148"/>
    <n v="-15"/>
    <n v="13.672000000000001"/>
  </r>
  <r>
    <x v="9"/>
    <n v="19416"/>
    <n v="3852"/>
    <n v="23268"/>
    <n v="496"/>
    <n v="0"/>
    <n v="0"/>
    <n v="496"/>
    <n v="23764"/>
    <n v="1763"/>
    <n v="1625"/>
    <n v="490"/>
    <n v="-26"/>
    <n v="18.657"/>
  </r>
  <r>
    <x v="2"/>
    <n v="8590"/>
    <n v="3617"/>
    <n v="12207"/>
    <n v="0"/>
    <n v="0"/>
    <n v="0"/>
    <n v="0"/>
    <n v="12207"/>
    <n v="2311"/>
    <n v="1069"/>
    <n v="258"/>
    <n v="-21"/>
    <n v="29.457000000000001"/>
  </r>
  <r>
    <x v="2"/>
    <n v="361"/>
    <n v="64"/>
    <n v="425"/>
    <n v="0"/>
    <n v="0"/>
    <n v="0"/>
    <n v="0"/>
    <n v="425"/>
    <n v="51"/>
    <n v="5"/>
    <n v="9"/>
    <n v="-1"/>
    <n v="1.6990000000000001"/>
  </r>
  <r>
    <x v="2"/>
    <n v="6590"/>
    <n v="3024"/>
    <n v="9614"/>
    <n v="0"/>
    <n v="0"/>
    <n v="0"/>
    <n v="0"/>
    <n v="9614"/>
    <n v="2658"/>
    <n v="120"/>
    <n v="261"/>
    <n v="-15"/>
    <n v="50.988"/>
  </r>
  <r>
    <x v="10"/>
    <n v="17661"/>
    <n v="7508"/>
    <n v="25169"/>
    <n v="0"/>
    <n v="0"/>
    <n v="0"/>
    <n v="0"/>
    <n v="25169"/>
    <n v="5672"/>
    <n v="1299"/>
    <n v="579"/>
    <n v="-42"/>
    <n v="153.96899999999999"/>
  </r>
  <r>
    <x v="11"/>
    <n v="19545"/>
    <n v="4651"/>
    <n v="24196"/>
    <n v="3200"/>
    <n v="0"/>
    <n v="0"/>
    <n v="3200"/>
    <n v="27396"/>
    <n v="2233"/>
    <n v="2073"/>
    <n v="364"/>
    <n v="-19"/>
    <n v="37.598999999999997"/>
  </r>
  <r>
    <x v="12"/>
    <n v="9493"/>
    <n v="2013"/>
    <n v="11506"/>
    <n v="1151"/>
    <n v="0"/>
    <n v="4"/>
    <n v="1155"/>
    <n v="12661"/>
    <n v="905"/>
    <n v="954"/>
    <n v="163"/>
    <n v="-9"/>
    <n v="14.268000000000001"/>
  </r>
  <r>
    <x v="2"/>
    <n v="3821"/>
    <n v="1726"/>
    <n v="5547"/>
    <n v="0"/>
    <n v="0"/>
    <n v="0"/>
    <n v="0"/>
    <n v="5547"/>
    <n v="1537"/>
    <n v="70"/>
    <n v="130"/>
    <n v="-11"/>
    <n v="41.384999999999998"/>
  </r>
  <r>
    <x v="2"/>
    <n v="17128"/>
    <n v="11642"/>
    <n v="28770"/>
    <n v="0"/>
    <n v="0"/>
    <n v="0"/>
    <n v="0"/>
    <n v="28770"/>
    <n v="8670"/>
    <n v="2366"/>
    <n v="698"/>
    <n v="-92"/>
    <n v="215.42099999999999"/>
  </r>
  <r>
    <x v="2"/>
    <n v="8545"/>
    <n v="4961"/>
    <n v="13506"/>
    <n v="0"/>
    <n v="0"/>
    <n v="0"/>
    <n v="0"/>
    <n v="13506"/>
    <n v="3663"/>
    <n v="988"/>
    <n v="335"/>
    <n v="-25"/>
    <n v="86.460999999999999"/>
  </r>
  <r>
    <x v="2"/>
    <n v="4010"/>
    <n v="2035"/>
    <n v="6045"/>
    <n v="-6045"/>
    <n v="0"/>
    <n v="0"/>
    <n v="-6045"/>
    <n v="0"/>
    <n v="775"/>
    <n v="1178"/>
    <n v="104"/>
    <n v="-22"/>
    <n v="26.324000000000002"/>
  </r>
  <r>
    <x v="2"/>
    <n v="16623"/>
    <n v="5842"/>
    <n v="22465"/>
    <n v="0"/>
    <n v="0"/>
    <n v="44"/>
    <n v="44"/>
    <n v="22509"/>
    <n v="5183"/>
    <n v="269"/>
    <n v="436"/>
    <n v="-46"/>
    <n v="97.492999999999995"/>
  </r>
  <r>
    <x v="2"/>
    <n v="7361"/>
    <n v="3281"/>
    <n v="10642"/>
    <n v="-322"/>
    <n v="0"/>
    <n v="44"/>
    <n v="-278"/>
    <n v="10364"/>
    <n v="2101"/>
    <n v="964"/>
    <n v="273"/>
    <n v="-57"/>
    <n v="43.68"/>
  </r>
  <r>
    <x v="13"/>
    <n v="35"/>
    <n v="0"/>
    <n v="35"/>
    <n v="0"/>
    <n v="0"/>
    <n v="96"/>
    <n v="96"/>
    <n v="131"/>
    <n v="21"/>
    <n v="-22"/>
    <n v="1"/>
    <n v="0"/>
    <n v="0.59899999999999998"/>
  </r>
  <r>
    <x v="14"/>
    <n v="201"/>
    <n v="401"/>
    <n v="602"/>
    <n v="-40"/>
    <n v="0"/>
    <n v="0"/>
    <n v="-40"/>
    <n v="562"/>
    <n v="91"/>
    <n v="316"/>
    <n v="2"/>
    <n v="-8"/>
    <n v="1.9510000000000001"/>
  </r>
  <r>
    <x v="2"/>
    <n v="2"/>
    <n v="-2"/>
    <n v="0"/>
    <n v="0"/>
    <n v="0"/>
    <n v="0"/>
    <n v="0"/>
    <n v="0"/>
    <n v="0"/>
    <n v="-2"/>
    <n v="0"/>
    <n v="0"/>
    <n v="0"/>
  </r>
  <r>
    <x v="2"/>
    <n v="2607"/>
    <n v="1598"/>
    <n v="4205"/>
    <n v="-156"/>
    <n v="0"/>
    <n v="0"/>
    <n v="-156"/>
    <n v="4049"/>
    <n v="839"/>
    <n v="601"/>
    <n v="192"/>
    <n v="-34"/>
    <n v="11.648"/>
  </r>
  <r>
    <x v="15"/>
    <n v="48116"/>
    <n v="2398"/>
    <n v="50514"/>
    <n v="-554"/>
    <n v="0"/>
    <n v="1"/>
    <n v="-553"/>
    <n v="49961"/>
    <n v="640"/>
    <n v="1321"/>
    <n v="469"/>
    <n v="-32"/>
    <n v="13.64"/>
  </r>
  <r>
    <x v="16"/>
    <n v="27203"/>
    <n v="18832"/>
    <n v="46035"/>
    <n v="-22"/>
    <n v="0"/>
    <n v="24"/>
    <n v="2"/>
    <n v="46037"/>
    <n v="6901"/>
    <n v="9892"/>
    <n v="2082"/>
    <n v="-43"/>
    <n v="95.290999999999997"/>
  </r>
  <r>
    <x v="17"/>
    <n v="18307"/>
    <n v="5049"/>
    <n v="23356"/>
    <n v="487"/>
    <n v="0"/>
    <n v="0"/>
    <n v="487"/>
    <n v="23843"/>
    <n v="1996"/>
    <n v="2747"/>
    <n v="328"/>
    <n v="-22"/>
    <n v="27.957999999999998"/>
  </r>
  <r>
    <x v="2"/>
    <n v="6868"/>
    <n v="2165"/>
    <n v="9033"/>
    <n v="-257"/>
    <n v="0"/>
    <n v="97"/>
    <n v="-160"/>
    <n v="8873"/>
    <n v="1061"/>
    <n v="1195"/>
    <n v="410"/>
    <n v="-501"/>
    <n v="36.735999999999997"/>
  </r>
  <r>
    <x v="18"/>
    <n v="97436"/>
    <n v="82520"/>
    <n v="179956"/>
    <n v="0"/>
    <n v="0"/>
    <n v="493"/>
    <n v="493"/>
    <n v="180449"/>
    <n v="41411"/>
    <n v="39453"/>
    <n v="1982"/>
    <n v="-326"/>
    <n v="1249.818"/>
  </r>
  <r>
    <x v="18"/>
    <n v="31670"/>
    <n v="17048"/>
    <n v="48718"/>
    <n v="-80"/>
    <n v="0"/>
    <n v="644"/>
    <n v="564"/>
    <n v="49282"/>
    <n v="12767"/>
    <n v="3548"/>
    <n v="847"/>
    <n v="-114"/>
    <n v="248.59299999999999"/>
  </r>
  <r>
    <x v="19"/>
    <n v="17783"/>
    <n v="25738"/>
    <n v="43521"/>
    <n v="0"/>
    <n v="0"/>
    <n v="0"/>
    <n v="0"/>
    <n v="43521"/>
    <n v="15036"/>
    <n v="9992"/>
    <n v="884"/>
    <n v="-174"/>
    <n v="474.21800000000002"/>
  </r>
  <r>
    <x v="19"/>
    <n v="96280"/>
    <n v="72397"/>
    <n v="168677"/>
    <n v="0"/>
    <n v="0"/>
    <n v="0"/>
    <n v="0"/>
    <n v="168677"/>
    <n v="52682"/>
    <n v="16773"/>
    <n v="3591"/>
    <n v="-649"/>
    <n v="995.87800000000004"/>
  </r>
  <r>
    <x v="19"/>
    <n v="45735"/>
    <n v="68257"/>
    <n v="113992"/>
    <n v="0"/>
    <n v="0"/>
    <n v="0"/>
    <n v="0"/>
    <n v="113992"/>
    <n v="41377"/>
    <n v="24524"/>
    <n v="2731"/>
    <n v="-375"/>
    <n v="1439.662"/>
  </r>
  <r>
    <x v="20"/>
    <n v="3528"/>
    <n v="6181"/>
    <n v="9709"/>
    <n v="-7"/>
    <n v="0"/>
    <n v="0"/>
    <n v="-7"/>
    <n v="9702"/>
    <n v="4910"/>
    <n v="950"/>
    <n v="416"/>
    <n v="-95"/>
    <n v="96.347999999999999"/>
  </r>
  <r>
    <x v="21"/>
    <n v="5528"/>
    <n v="11676"/>
    <n v="17204"/>
    <n v="18"/>
    <n v="0"/>
    <n v="486"/>
    <n v="504"/>
    <n v="17708"/>
    <n v="7674"/>
    <n v="3636"/>
    <n v="774"/>
    <n v="-408"/>
    <n v="184.85"/>
  </r>
  <r>
    <x v="22"/>
    <n v="24066"/>
    <n v="18034"/>
    <n v="42100"/>
    <n v="0"/>
    <n v="0"/>
    <n v="0"/>
    <n v="0"/>
    <n v="42100"/>
    <n v="11475"/>
    <n v="5822"/>
    <n v="833"/>
    <n v="-96"/>
    <n v="328.404"/>
  </r>
  <r>
    <x v="23"/>
    <n v="7526"/>
    <n v="1966"/>
    <n v="9492"/>
    <n v="0"/>
    <n v="0"/>
    <n v="2"/>
    <n v="2"/>
    <n v="9494"/>
    <n v="765"/>
    <n v="1129"/>
    <n v="79"/>
    <n v="-7"/>
    <n v="16.832999999999998"/>
  </r>
  <r>
    <x v="24"/>
    <n v="11163"/>
    <n v="6633"/>
    <n v="17796"/>
    <n v="0"/>
    <n v="0"/>
    <n v="2"/>
    <n v="2"/>
    <n v="17798"/>
    <n v="4904"/>
    <n v="1550"/>
    <n v="249"/>
    <n v="-70"/>
    <n v="66.244"/>
  </r>
  <r>
    <x v="19"/>
    <n v="14721"/>
    <n v="16086"/>
    <n v="30807"/>
    <n v="0"/>
    <n v="0"/>
    <n v="0"/>
    <n v="0"/>
    <n v="30807"/>
    <n v="7880"/>
    <n v="6763"/>
    <n v="1793"/>
    <n v="-350"/>
    <n v="154.94900000000001"/>
  </r>
  <r>
    <x v="19"/>
    <n v="5665"/>
    <n v="2063"/>
    <n v="7728"/>
    <n v="0"/>
    <n v="0"/>
    <n v="0"/>
    <n v="0"/>
    <n v="7728"/>
    <n v="1710"/>
    <n v="337"/>
    <n v="132"/>
    <n v="-116"/>
    <n v="58.631"/>
  </r>
  <r>
    <x v="25"/>
    <n v="7484"/>
    <n v="6795"/>
    <n v="14279"/>
    <n v="0"/>
    <n v="0"/>
    <n v="0"/>
    <n v="0"/>
    <n v="14279"/>
    <n v="5391"/>
    <n v="1056"/>
    <n v="384"/>
    <n v="-36"/>
    <n v="136.28399999999999"/>
  </r>
  <r>
    <x v="19"/>
    <n v="47850"/>
    <n v="46228"/>
    <n v="94078"/>
    <n v="1"/>
    <n v="0"/>
    <n v="1"/>
    <n v="2"/>
    <n v="94080"/>
    <n v="31218"/>
    <n v="11449"/>
    <n v="3561"/>
    <n v="0"/>
    <n v="436.971"/>
  </r>
  <r>
    <x v="19"/>
    <n v="25688"/>
    <n v="19808"/>
    <n v="45496"/>
    <n v="0"/>
    <n v="0"/>
    <n v="49"/>
    <n v="49"/>
    <n v="45545"/>
    <n v="10083"/>
    <n v="9113"/>
    <n v="1109"/>
    <n v="-497"/>
    <n v="158.16399999999999"/>
  </r>
  <r>
    <x v="19"/>
    <n v="17170"/>
    <n v="14028"/>
    <n v="31198"/>
    <n v="0"/>
    <n v="0"/>
    <n v="92"/>
    <n v="92"/>
    <n v="31290"/>
    <n v="7473"/>
    <n v="5479"/>
    <n v="1121"/>
    <n v="-45"/>
    <n v="129.94399999999999"/>
  </r>
  <r>
    <x v="19"/>
    <n v="16427"/>
    <n v="18537"/>
    <n v="34964"/>
    <n v="0"/>
    <n v="0"/>
    <n v="17"/>
    <n v="17"/>
    <n v="34981"/>
    <n v="7767"/>
    <n v="10078"/>
    <n v="857"/>
    <n v="-165"/>
    <n v="193.297"/>
  </r>
  <r>
    <x v="19"/>
    <n v="36454"/>
    <n v="208977"/>
    <n v="245431"/>
    <n v="29"/>
    <n v="0"/>
    <n v="3565"/>
    <n v="3594"/>
    <n v="249025"/>
    <n v="4805"/>
    <n v="188948"/>
    <n v="15628"/>
    <n v="-404"/>
    <n v="69.510999999999996"/>
  </r>
  <r>
    <x v="19"/>
    <n v="33296"/>
    <n v="32518"/>
    <n v="65814"/>
    <n v="-315"/>
    <n v="0"/>
    <n v="2"/>
    <n v="-313"/>
    <n v="65501"/>
    <n v="17625"/>
    <n v="14481"/>
    <n v="505"/>
    <n v="-93"/>
    <n v="444.56700000000001"/>
  </r>
  <r>
    <x v="19"/>
    <n v="24786"/>
    <n v="40005"/>
    <n v="64791"/>
    <n v="-271"/>
    <n v="0"/>
    <n v="681"/>
    <n v="410"/>
    <n v="65201"/>
    <n v="29395"/>
    <n v="9738"/>
    <n v="1180"/>
    <n v="-308"/>
    <n v="461.495"/>
  </r>
  <r>
    <x v="19"/>
    <n v="20445"/>
    <n v="35104"/>
    <n v="55549"/>
    <n v="93"/>
    <n v="0"/>
    <n v="3155"/>
    <n v="3248"/>
    <n v="58797"/>
    <n v="20475"/>
    <n v="13969"/>
    <n v="812"/>
    <n v="-152"/>
    <n v="323.52999999999997"/>
  </r>
  <r>
    <x v="19"/>
    <n v="28443"/>
    <n v="11725"/>
    <n v="40168"/>
    <n v="0"/>
    <n v="0"/>
    <n v="0"/>
    <n v="0"/>
    <n v="40168"/>
    <n v="11043"/>
    <n v="282"/>
    <n v="545"/>
    <n v="-145"/>
    <n v="124.883"/>
  </r>
  <r>
    <x v="19"/>
    <n v="10722"/>
    <n v="9475"/>
    <n v="20197"/>
    <n v="9199"/>
    <n v="0"/>
    <n v="1"/>
    <n v="9200"/>
    <n v="29397"/>
    <n v="6214"/>
    <n v="2994"/>
    <n v="352"/>
    <n v="-85"/>
    <n v="105.554"/>
  </r>
  <r>
    <x v="19"/>
    <n v="26341"/>
    <n v="22350"/>
    <n v="48691"/>
    <n v="397"/>
    <n v="0"/>
    <n v="649"/>
    <n v="1046"/>
    <n v="49737"/>
    <n v="15496"/>
    <n v="6453"/>
    <n v="761"/>
    <n v="-360"/>
    <n v="281.70400000000001"/>
  </r>
  <r>
    <x v="19"/>
    <n v="12039"/>
    <n v="13013"/>
    <n v="25052"/>
    <n v="107"/>
    <n v="0"/>
    <n v="266"/>
    <n v="373"/>
    <n v="25425"/>
    <n v="2945"/>
    <n v="9751"/>
    <n v="365"/>
    <n v="-48"/>
    <n v="71.793000000000006"/>
  </r>
  <r>
    <x v="19"/>
    <n v="2513"/>
    <n v="24733"/>
    <n v="27246"/>
    <n v="9"/>
    <n v="0"/>
    <n v="1228"/>
    <n v="1237"/>
    <n v="28483"/>
    <n v="24010"/>
    <n v="11"/>
    <n v="830"/>
    <n v="-118"/>
    <n v="786.846"/>
  </r>
  <r>
    <x v="19"/>
    <n v="47278"/>
    <n v="53099"/>
    <n v="100377"/>
    <n v="14"/>
    <n v="0"/>
    <n v="1589"/>
    <n v="1603"/>
    <n v="101980"/>
    <n v="35221"/>
    <n v="16699"/>
    <n v="1720"/>
    <n v="-541"/>
    <n v="953.875"/>
  </r>
  <r>
    <x v="19"/>
    <n v="6064"/>
    <n v="9658"/>
    <n v="15722"/>
    <n v="-196"/>
    <n v="0"/>
    <n v="7140"/>
    <n v="6944"/>
    <n v="22666"/>
    <n v="3473"/>
    <n v="6181"/>
    <n v="398"/>
    <n v="-394"/>
    <n v="86.91"/>
  </r>
  <r>
    <x v="19"/>
    <n v="16494"/>
    <n v="8688"/>
    <n v="25182"/>
    <n v="0"/>
    <n v="0"/>
    <n v="1001"/>
    <n v="1001"/>
    <n v="26183"/>
    <n v="9671"/>
    <n v="-1277"/>
    <n v="634"/>
    <n v="-340"/>
    <n v="136.553"/>
  </r>
  <r>
    <x v="26"/>
    <n v="4145"/>
    <n v="5867"/>
    <n v="10012"/>
    <n v="0"/>
    <n v="0"/>
    <n v="-1442"/>
    <n v="-1442"/>
    <n v="8570"/>
    <n v="4569"/>
    <n v="985"/>
    <n v="314"/>
    <n v="-1"/>
    <n v="85.28"/>
  </r>
  <r>
    <x v="19"/>
    <n v="39358"/>
    <n v="37961"/>
    <n v="77319"/>
    <n v="0"/>
    <n v="0"/>
    <n v="1197"/>
    <n v="1197"/>
    <n v="78516"/>
    <n v="24971"/>
    <n v="12721"/>
    <n v="1354"/>
    <n v="-1085"/>
    <n v="752.50699999999995"/>
  </r>
  <r>
    <x v="19"/>
    <n v="15198"/>
    <n v="8572"/>
    <n v="23770"/>
    <n v="-3764"/>
    <n v="0"/>
    <n v="2"/>
    <n v="-3762"/>
    <n v="20008"/>
    <n v="4527"/>
    <n v="4265"/>
    <n v="333"/>
    <n v="-553"/>
    <n v="69.141000000000005"/>
  </r>
  <r>
    <x v="19"/>
    <n v="10947"/>
    <n v="8772"/>
    <n v="19719"/>
    <n v="-918"/>
    <n v="0"/>
    <n v="1353"/>
    <n v="435"/>
    <n v="20154"/>
    <n v="4980"/>
    <n v="4486"/>
    <n v="320"/>
    <n v="-1014"/>
    <n v="147.227"/>
  </r>
  <r>
    <x v="19"/>
    <n v="9256"/>
    <n v="16016"/>
    <n v="25272"/>
    <n v="0"/>
    <n v="0"/>
    <n v="-1891"/>
    <n v="-1891"/>
    <n v="23381"/>
    <n v="11210"/>
    <n v="4763"/>
    <n v="294"/>
    <n v="-251"/>
    <n v="315.73700000000002"/>
  </r>
  <r>
    <x v="19"/>
    <n v="4299"/>
    <n v="9338"/>
    <n v="13637"/>
    <n v="-57"/>
    <n v="0"/>
    <n v="142"/>
    <n v="85"/>
    <n v="13722"/>
    <n v="3873"/>
    <n v="5351"/>
    <n v="172"/>
    <n v="-58"/>
    <n v="186.392"/>
  </r>
  <r>
    <x v="19"/>
    <n v="0"/>
    <n v="9109"/>
    <n v="9109"/>
    <n v="0"/>
    <n v="0"/>
    <n v="0"/>
    <n v="0"/>
    <n v="9109"/>
    <n v="9050"/>
    <n v="0"/>
    <n v="59"/>
    <n v="0"/>
    <n v="430.06"/>
  </r>
  <r>
    <x v="19"/>
    <n v="5414"/>
    <n v="7748"/>
    <n v="13162"/>
    <n v="1"/>
    <n v="0"/>
    <n v="4308"/>
    <n v="4309"/>
    <n v="17471"/>
    <n v="4635"/>
    <n v="3354"/>
    <n v="176"/>
    <n v="-417"/>
    <n v="94.537999999999997"/>
  </r>
  <r>
    <x v="26"/>
    <n v="12934"/>
    <n v="79196"/>
    <n v="92130"/>
    <n v="0"/>
    <n v="0"/>
    <n v="-5820"/>
    <n v="-5820"/>
    <n v="86310"/>
    <n v="72870"/>
    <n v="7257"/>
    <n v="745"/>
    <n v="-1676"/>
    <n v="1627.5409999999999"/>
  </r>
  <r>
    <x v="19"/>
    <n v="16856"/>
    <n v="43984"/>
    <n v="60840"/>
    <n v="-46"/>
    <n v="0"/>
    <n v="3570"/>
    <n v="3524"/>
    <n v="64364"/>
    <n v="12503"/>
    <n v="30813"/>
    <n v="767"/>
    <n v="-99"/>
    <n v="312.88600000000002"/>
  </r>
  <r>
    <x v="26"/>
    <n v="14626"/>
    <n v="45299"/>
    <n v="59925"/>
    <n v="0"/>
    <n v="0"/>
    <n v="-4679"/>
    <n v="-4679"/>
    <n v="55246"/>
    <n v="38531"/>
    <n v="4038"/>
    <n v="3127"/>
    <n v="-397"/>
    <n v="756.41099999999994"/>
  </r>
  <r>
    <x v="19"/>
    <n v="942"/>
    <n v="1313"/>
    <n v="2255"/>
    <n v="0"/>
    <n v="0"/>
    <n v="0"/>
    <n v="0"/>
    <n v="2255"/>
    <n v="344"/>
    <n v="953"/>
    <n v="16"/>
    <n v="0"/>
    <n v="10.882999999999999"/>
  </r>
  <r>
    <x v="19"/>
    <n v="7060"/>
    <n v="16156"/>
    <n v="23216"/>
    <n v="22"/>
    <n v="0"/>
    <n v="807"/>
    <n v="829"/>
    <n v="24045"/>
    <n v="13540"/>
    <n v="2255"/>
    <n v="449"/>
    <n v="-88"/>
    <n v="326.26799999999997"/>
  </r>
  <r>
    <x v="26"/>
    <n v="6526"/>
    <n v="28710"/>
    <n v="35236"/>
    <n v="0"/>
    <n v="0"/>
    <n v="-2133"/>
    <n v="-2133"/>
    <n v="33103"/>
    <n v="27420"/>
    <n v="911"/>
    <n v="591"/>
    <n v="-212"/>
    <n v="1160.0309999999999"/>
  </r>
  <r>
    <x v="26"/>
    <n v="48880"/>
    <n v="121442"/>
    <n v="170322"/>
    <n v="0"/>
    <n v="0"/>
    <n v="-17238"/>
    <n v="-17238"/>
    <n v="153084"/>
    <n v="95880"/>
    <n v="23969"/>
    <n v="2550"/>
    <n v="-957"/>
    <n v="2187.134"/>
  </r>
  <r>
    <x v="26"/>
    <n v="4435"/>
    <n v="4682"/>
    <n v="9117"/>
    <n v="0"/>
    <n v="0"/>
    <n v="-1758"/>
    <n v="-1758"/>
    <n v="7359"/>
    <n v="3355"/>
    <n v="1143"/>
    <n v="305"/>
    <n v="-121"/>
    <n v="106.129"/>
  </r>
  <r>
    <x v="27"/>
    <n v="1661381"/>
    <n v="1614703"/>
    <n v="3276084"/>
    <n v="0"/>
    <n v="0"/>
    <n v="0"/>
    <n v="0"/>
    <n v="3276084"/>
    <n v="935671"/>
    <n v="626687"/>
    <n v="75355"/>
    <n v="-23010"/>
    <n v="22476.184000000001"/>
  </r>
  <r>
    <x v="28"/>
    <n v="48264.545608773697"/>
    <n v="2694.3521846679218"/>
    <n v="50958.897793441618"/>
    <n v="-583.56131517884501"/>
    <n v="0"/>
    <n v="1"/>
    <n v="-582.56131517884501"/>
    <n v="50376.336478262776"/>
    <n v="707.25199203187253"/>
    <n v="1554.5343899128759"/>
    <n v="470.47806575894225"/>
    <n v="-37.912263035769016"/>
    <n v="15.081853147848168"/>
  </r>
  <r>
    <x v="29"/>
    <n v="18359.454391226303"/>
    <n v="5153.6478153320786"/>
    <n v="23513.102206558382"/>
    <n v="476.56131517884506"/>
    <n v="0"/>
    <n v="0"/>
    <n v="476.56131517884506"/>
    <n v="23989.663521737228"/>
    <n v="2019.7480079681275"/>
    <n v="2829.4656100871239"/>
    <n v="328.52193424105775"/>
    <n v="-24.087736964230988"/>
    <n v="28.467146852151831"/>
  </r>
  <r>
    <x v="30"/>
    <n v="3760.0358088824096"/>
    <n v="6391.6738804591096"/>
    <n v="10151.709689341518"/>
    <n v="-7"/>
    <n v="0"/>
    <n v="0"/>
    <n v="-7"/>
    <n v="10144.709689341518"/>
    <n v="5077.1439131059687"/>
    <n v="982.74048826560988"/>
    <n v="427.90563209658541"/>
    <n v="-96.116153009054884"/>
    <n v="100.57338324127878"/>
  </r>
  <r>
    <x v="31"/>
    <n v="29253.877250154728"/>
    <n v="22744.265354730276"/>
    <n v="51998.142604885004"/>
    <n v="0"/>
    <n v="0"/>
    <n v="0"/>
    <n v="0"/>
    <n v="51998.142604885004"/>
    <n v="15212.018473487993"/>
    <n v="6554.0147482847933"/>
    <n v="1099.1871811944702"/>
    <n v="-120.95504823698158"/>
    <n v="422.87549427579995"/>
  </r>
  <r>
    <x v="32"/>
    <n v="9039.2159297901853"/>
    <n v="3339.9046289316293"/>
    <n v="12379.120558721816"/>
    <n v="0"/>
    <n v="0"/>
    <n v="2"/>
    <n v="2"/>
    <n v="12381.120558721816"/>
    <n v="1855.0249969934384"/>
    <n v="1342.5163043637676"/>
    <n v="156.64229249591548"/>
    <n v="-14.278964921492076"/>
    <n v="44.388734871128499"/>
  </r>
  <r>
    <x v="33"/>
    <n v="11713.871011172676"/>
    <n v="7133.1561358789868"/>
    <n v="18847.027147051664"/>
    <n v="0"/>
    <n v="0"/>
    <n v="2"/>
    <n v="2"/>
    <n v="18849.027147051664"/>
    <n v="5300.8126164125997"/>
    <n v="1627.7284590858292"/>
    <n v="277.26489421302881"/>
    <n v="-72.649833832471458"/>
    <n v="76.275387611792766"/>
  </r>
  <r>
    <x v="34"/>
    <n v="75884"/>
    <n v="13367.2"/>
    <n v="89251.199999999997"/>
    <n v="189"/>
    <n v="0"/>
    <n v="0"/>
    <n v="189"/>
    <n v="89440.2"/>
    <n v="9884.6"/>
    <n v="2534.1999999999998"/>
    <n v="1070.0999999999999"/>
    <n v="-121.7"/>
    <n v="213.88260000000002"/>
  </r>
  <r>
    <x v="2"/>
    <n v="225"/>
    <n v="79.8"/>
    <n v="304.8"/>
    <n v="0"/>
    <n v="0"/>
    <n v="0"/>
    <n v="0"/>
    <n v="304.8"/>
    <n v="71.399999999999991"/>
    <n v="1.7999999999999998"/>
    <n v="6.8999999999999995"/>
    <n v="-0.3"/>
    <n v="1.6794"/>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1" applyNumberFormats="0" applyBorderFormats="0" applyFontFormats="0" applyPatternFormats="0" applyAlignmentFormats="0" applyWidthHeightFormats="1" dataCaption="Data" updatedVersion="3" showMemberPropertyTips="0" useAutoFormatting="1" itemPrintTitles="1" createdVersion="1" indent="0" showHeaders="0" compact="0" compactData="0" gridDropZones="1">
  <location ref="B3:AF32" firstHeaderRow="1" firstDataRow="2" firstDataCol="1"/>
  <pivotFields count="33">
    <pivotField axis="axisRow" compact="0" outline="0" subtotalTop="0" showAll="0" includeNewItemsInFilter="1">
      <items count="39">
        <item x="0"/>
        <item x="1"/>
        <item x="36"/>
        <item x="5"/>
        <item x="6"/>
        <item x="7"/>
        <item x="8"/>
        <item x="9"/>
        <item x="10"/>
        <item x="11"/>
        <item x="12"/>
        <item x="2"/>
        <item x="18"/>
        <item x="32"/>
        <item x="21"/>
        <item x="33"/>
        <item x="34"/>
        <item x="35"/>
        <item x="19"/>
        <item x="26"/>
        <item x="13"/>
        <item x="30"/>
        <item x="16"/>
        <item x="31"/>
        <item x="27"/>
        <item x="28"/>
        <item x="29"/>
        <item h="1" x="3"/>
        <item h="1" x="4"/>
        <item h="1" x="14"/>
        <item h="1" x="15"/>
        <item h="1" x="17"/>
        <item h="1" x="20"/>
        <item h="1" x="22"/>
        <item h="1" x="23"/>
        <item h="1" x="24"/>
        <item h="1" x="37"/>
        <item h="1" x="25"/>
        <item t="default"/>
      </items>
    </pivotField>
    <pivotField compact="0" outline="0" subtotalTop="0" showAll="0" includeNewItemsInFilter="1"/>
    <pivotField compact="0"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3" outline="0" subtotalTop="0" showAll="0" includeNewItemsInFilter="1"/>
    <pivotField dataField="1" compact="0" numFmtId="3" outline="0" subtotalTop="0" showAll="0" includeNewItemsInFilter="1"/>
    <pivotField dataField="1" compact="0" numFmtId="3" outline="0" subtotalTop="0" showAll="0" includeNewItemsInFilter="1"/>
  </pivotFields>
  <rowFields count="1">
    <field x="0"/>
  </rowFields>
  <rowItems count="28">
    <i>
      <x/>
    </i>
    <i>
      <x v="1"/>
    </i>
    <i>
      <x v="2"/>
    </i>
    <i>
      <x v="3"/>
    </i>
    <i>
      <x v="4"/>
    </i>
    <i>
      <x v="5"/>
    </i>
    <i>
      <x v="6"/>
    </i>
    <i>
      <x v="7"/>
    </i>
    <i>
      <x v="8"/>
    </i>
    <i>
      <x v="9"/>
    </i>
    <i>
      <x v="10"/>
    </i>
    <i>
      <x v="11"/>
    </i>
    <i>
      <x v="12"/>
    </i>
    <i>
      <x v="13"/>
    </i>
    <i>
      <x v="14"/>
    </i>
    <i>
      <x v="15"/>
    </i>
    <i>
      <x v="16"/>
    </i>
    <i>
      <x v="17"/>
    </i>
    <i>
      <x v="18"/>
    </i>
    <i>
      <x v="19"/>
    </i>
    <i>
      <x v="20"/>
    </i>
    <i>
      <x v="21"/>
    </i>
    <i>
      <x v="22"/>
    </i>
    <i>
      <x v="23"/>
    </i>
    <i>
      <x v="24"/>
    </i>
    <i>
      <x v="25"/>
    </i>
    <i>
      <x v="26"/>
    </i>
    <i t="grand">
      <x/>
    </i>
  </rowItems>
  <colFields count="1">
    <field x="-2"/>
  </colFields>
  <colItems count="30">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i i="22">
      <x v="22"/>
    </i>
    <i i="23">
      <x v="23"/>
    </i>
    <i i="24">
      <x v="24"/>
    </i>
    <i i="25">
      <x v="25"/>
    </i>
    <i i="26">
      <x v="26"/>
    </i>
    <i i="27">
      <x v="27"/>
    </i>
    <i i="28">
      <x v="28"/>
    </i>
    <i i="29">
      <x v="29"/>
    </i>
  </colItems>
  <dataFields count="30">
    <dataField name="Sum of Prod" fld="3" baseField="0" baseItem="0"/>
    <dataField name="Sum of ImportB" fld="4" baseField="0" baseItem="0"/>
    <dataField name="Sum of ImportS" fld="5" baseField="0" baseItem="0"/>
    <dataField name="Sum of CorrCAF_FAB" fld="6" baseField="0" baseItem="0"/>
    <dataField name="Sum of TOTAL_RES_2" fld="7" baseField="0" baseItem="0"/>
    <dataField name="Sum of MC" fld="8" baseField="0" baseItem="0"/>
    <dataField name="Sum of MT" fld="9" baseField="0" baseItem="0"/>
    <dataField name="Sum of IPTot" fld="10" baseField="0" baseItem="0"/>
    <dataField name="Sum of TVA" fld="11" baseField="0" baseItem="0"/>
    <dataField name="Sum of Subv" fld="12" baseField="0" baseItem="0"/>
    <dataField name="Sum of TOTAL_RES_3" fld="13" baseField="0" baseItem="0"/>
    <dataField name="Sum of C_MEN" fld="14" baseField="0" baseItem="0"/>
    <dataField name="Sum of C_CAPU" fld="15" baseField="0" baseItem="0"/>
    <dataField name="Sum of C_IAPU" fld="16" baseField="0" baseItem="0"/>
    <dataField name="Sum of C_APU" fld="17" baseField="0" baseItem="0"/>
    <dataField name="Sum of C_ISBLSM" fld="18" baseField="0" baseItem="0"/>
    <dataField name="Sum of DEPENSE TOTALE" fld="19" baseField="0" baseItem="0"/>
    <dataField name="Sum of FBCF_SNFEI" fld="20" baseField="0" baseItem="0"/>
    <dataField name="Sum of FBCF_MEN" fld="21" baseField="0" baseItem="0"/>
    <dataField name="Sum of FBCF_SF" fld="22" baseField="0" baseItem="0"/>
    <dataField name="Sum of FBCF_APU" fld="23" baseField="0" baseItem="0"/>
    <dataField name="Sum of FBCF_ISBLSM" fld="24" baseField="0" baseItem="0"/>
    <dataField name="Sum of FBCF_TOT" fld="25" baseField="0" baseItem="0"/>
    <dataField name="Sum of OV" fld="26" baseField="0" baseItem="0"/>
    <dataField name="Sum of VS" fld="27" baseField="0" baseItem="0"/>
    <dataField name="Sum of FBC_T" fld="28" baseField="0" baseItem="0"/>
    <dataField name="Sum of Export" fld="29" baseField="0" baseItem="0"/>
    <dataField name="Sum of TEF" fld="30" baseField="0" baseItem="0"/>
    <dataField name="Sum of CI" fld="31" baseField="0" baseItem="0"/>
    <dataField name="Sum of TE" fld="32" baseField="0" baseItem="0"/>
  </dataFields>
  <formats count="1">
    <format dxfId="8">
      <pivotArea type="all" dataOnly="0" outline="0" fieldPosition="0"/>
    </format>
  </formats>
  <pivotTableStyleInfo showRowHeaders="1" showColHeaders="1" showRowStripes="0" showColStripes="0" showLastColumn="1"/>
</pivotTableDefinition>
</file>

<file path=xl/pivotTables/pivotTable2.xml><?xml version="1.0" encoding="utf-8"?>
<pivotTableDefinition xmlns="http://schemas.openxmlformats.org/spreadsheetml/2006/main" name="PivotTable10" cacheId="2" applyNumberFormats="0" applyBorderFormats="0" applyFontFormats="0" applyPatternFormats="0" applyAlignmentFormats="0" applyWidthHeightFormats="1" dataCaption="Data" updatedVersion="3" showMemberPropertyTips="0" useAutoFormatting="1" itemPrintTitles="1" createdVersion="1" indent="0" compact="0" compactData="0" gridDropZones="1">
  <location ref="A2:K29" firstHeaderRow="1" firstDataRow="2" firstDataCol="1"/>
  <pivotFields count="14">
    <pivotField axis="axisRow" compact="0" outline="0" subtotalTop="0" showAll="0" includeNewItemsInFilter="1">
      <items count="37">
        <item x="0"/>
        <item x="1"/>
        <item x="34"/>
        <item x="5"/>
        <item x="6"/>
        <item x="7"/>
        <item x="8"/>
        <item x="9"/>
        <item x="10"/>
        <item x="11"/>
        <item x="12"/>
        <item x="2"/>
        <item x="18"/>
        <item x="30"/>
        <item x="21"/>
        <item x="31"/>
        <item x="32"/>
        <item x="33"/>
        <item x="19"/>
        <item x="26"/>
        <item x="13"/>
        <item x="28"/>
        <item x="16"/>
        <item x="29"/>
        <item x="27"/>
        <item h="1" x="35"/>
        <item h="1" x="3"/>
        <item h="1" x="20"/>
        <item h="1" x="22"/>
        <item h="1" x="23"/>
        <item h="1" x="24"/>
        <item h="1" x="15"/>
        <item h="1" x="17"/>
        <item h="1" x="4"/>
        <item h="1" x="25"/>
        <item h="1" x="14"/>
        <item t="default"/>
      </items>
    </pivotField>
    <pivotField dataField="1" compact="0" outline="0" subtotalTop="0" showAll="0" includeNewItemsInFilter="1"/>
    <pivotField dataField="1"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defaultSubtotal="0"/>
  </pivotFields>
  <rowFields count="1">
    <field x="0"/>
  </rowFields>
  <rowItems count="26">
    <i>
      <x/>
    </i>
    <i>
      <x v="1"/>
    </i>
    <i>
      <x v="2"/>
    </i>
    <i>
      <x v="3"/>
    </i>
    <i>
      <x v="4"/>
    </i>
    <i>
      <x v="5"/>
    </i>
    <i>
      <x v="6"/>
    </i>
    <i>
      <x v="7"/>
    </i>
    <i>
      <x v="8"/>
    </i>
    <i>
      <x v="9"/>
    </i>
    <i>
      <x v="10"/>
    </i>
    <i>
      <x v="11"/>
    </i>
    <i>
      <x v="12"/>
    </i>
    <i>
      <x v="13"/>
    </i>
    <i>
      <x v="14"/>
    </i>
    <i>
      <x v="15"/>
    </i>
    <i>
      <x v="16"/>
    </i>
    <i>
      <x v="17"/>
    </i>
    <i>
      <x v="18"/>
    </i>
    <i>
      <x v="19"/>
    </i>
    <i>
      <x v="20"/>
    </i>
    <i>
      <x v="21"/>
    </i>
    <i>
      <x v="22"/>
    </i>
    <i>
      <x v="23"/>
    </i>
    <i>
      <x v="24"/>
    </i>
    <i t="grand">
      <x/>
    </i>
  </rowItems>
  <colFields count="1">
    <field x="-2"/>
  </colFields>
  <colItems count="10">
    <i>
      <x/>
    </i>
    <i i="1">
      <x v="1"/>
    </i>
    <i i="2">
      <x v="2"/>
    </i>
    <i i="3">
      <x v="3"/>
    </i>
    <i i="4">
      <x v="4"/>
    </i>
    <i i="5">
      <x v="5"/>
    </i>
    <i i="6">
      <x v="6"/>
    </i>
    <i i="7">
      <x v="7"/>
    </i>
    <i i="8">
      <x v="8"/>
    </i>
    <i i="9">
      <x v="9"/>
    </i>
  </colItems>
  <dataFields count="10">
    <dataField name="Sum of PROD_PROD" fld="8" baseField="0" baseItem="0"/>
    <dataField name="Sum of TrTOT" fld="7" baseField="0" baseItem="0"/>
    <dataField name="Sum of PROD_BRANCHE" fld="3" baseField="0" baseItem="0"/>
    <dataField name="Sum of CI" fld="1" baseField="0" baseItem="0"/>
    <dataField name="Sum of VA" fld="2" baseField="0" baseItem="0"/>
    <dataField name="Sum of RS" fld="9" baseField="0" baseItem="0"/>
    <dataField name="Sum of EBE" fld="10" baseField="0" baseItem="0"/>
    <dataField name="Sum of IP" fld="11" baseField="0" baseItem="0"/>
    <dataField name="Sum of SE" fld="12" baseField="0" baseItem="0"/>
    <dataField name="Sum of LABOR" fld="13" baseField="0" baseItem="0"/>
  </dataFields>
  <formats count="4">
    <format dxfId="7">
      <pivotArea outline="0" fieldPosition="0">
        <references count="1">
          <reference field="4294967294" count="1" selected="0">
            <x v="2"/>
          </reference>
        </references>
      </pivotArea>
    </format>
    <format dxfId="6">
      <pivotArea dataOnly="0" labelOnly="1" outline="0" fieldPosition="0">
        <references count="1">
          <reference field="4294967294" count="1">
            <x v="2"/>
          </reference>
        </references>
      </pivotArea>
    </format>
    <format dxfId="5">
      <pivotArea outline="0" fieldPosition="0">
        <references count="1">
          <reference field="4294967294" count="4" selected="0">
            <x v="5"/>
            <x v="6"/>
            <x v="7"/>
            <x v="8"/>
          </reference>
        </references>
      </pivotArea>
    </format>
    <format dxfId="4">
      <pivotArea dataOnly="0" labelOnly="1" outline="0" fieldPosition="0">
        <references count="1">
          <reference field="4294967294" count="4">
            <x v="5"/>
            <x v="6"/>
            <x v="7"/>
            <x v="8"/>
          </reference>
        </references>
      </pivotArea>
    </format>
  </formats>
  <pivotTableStyleInfo showRowHeaders="1" showColHeaders="1" showRowStripes="0" showColStripes="0" showLastColumn="1"/>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Data" updatedVersion="3" showMemberPropertyTips="0" useAutoFormatting="1" itemPrintTitles="1" createdVersion="1" indent="0" compact="0" compactData="0" gridDropZones="1">
  <location ref="A3:Z30" firstHeaderRow="1" firstDataRow="2" firstDataCol="1"/>
  <pivotFields count="187">
    <pivotField axis="axisRow" compact="0" outline="0" subtotalTop="0" showAll="0" includeNewItemsInFilter="1">
      <items count="37">
        <item x="0"/>
        <item x="1"/>
        <item x="34"/>
        <item x="5"/>
        <item x="6"/>
        <item x="7"/>
        <item x="8"/>
        <item x="9"/>
        <item x="10"/>
        <item x="11"/>
        <item x="12"/>
        <item x="2"/>
        <item x="18"/>
        <item x="30"/>
        <item x="21"/>
        <item x="31"/>
        <item x="32"/>
        <item x="33"/>
        <item x="19"/>
        <item x="26"/>
        <item x="13"/>
        <item x="28"/>
        <item x="16"/>
        <item x="29"/>
        <item x="27"/>
        <item h="1" x="35"/>
        <item h="1" x="3"/>
        <item h="1" x="20"/>
        <item h="1" x="22"/>
        <item h="1" x="23"/>
        <item h="1" x="24"/>
        <item h="1" x="15"/>
        <item h="1" x="17"/>
        <item h="1" x="4"/>
        <item h="1" x="25"/>
        <item h="1" x="14"/>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0"/>
  </rowFields>
  <rowItems count="26">
    <i>
      <x/>
    </i>
    <i>
      <x v="1"/>
    </i>
    <i>
      <x v="2"/>
    </i>
    <i>
      <x v="3"/>
    </i>
    <i>
      <x v="4"/>
    </i>
    <i>
      <x v="5"/>
    </i>
    <i>
      <x v="6"/>
    </i>
    <i>
      <x v="7"/>
    </i>
    <i>
      <x v="8"/>
    </i>
    <i>
      <x v="9"/>
    </i>
    <i>
      <x v="10"/>
    </i>
    <i>
      <x v="11"/>
    </i>
    <i>
      <x v="12"/>
    </i>
    <i>
      <x v="13"/>
    </i>
    <i>
      <x v="14"/>
    </i>
    <i>
      <x v="15"/>
    </i>
    <i>
      <x v="16"/>
    </i>
    <i>
      <x v="17"/>
    </i>
    <i>
      <x v="18"/>
    </i>
    <i>
      <x v="19"/>
    </i>
    <i>
      <x v="20"/>
    </i>
    <i>
      <x v="21"/>
    </i>
    <i>
      <x v="22"/>
    </i>
    <i>
      <x v="23"/>
    </i>
    <i>
      <x v="24"/>
    </i>
    <i t="grand">
      <x/>
    </i>
  </rowItems>
  <colFields count="1">
    <field x="-2"/>
  </colFields>
  <colItems count="25">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i i="22">
      <x v="22"/>
    </i>
    <i i="23">
      <x v="23"/>
    </i>
    <i i="24">
      <x v="24"/>
    </i>
  </colItems>
  <dataFields count="25">
    <dataField name="Sum of 1" fld="118" baseField="0" baseItem="0"/>
    <dataField name="Sum of 2" fld="119" baseField="0" baseItem="0"/>
    <dataField name="Sum of 3" fld="120" baseField="0" baseItem="0"/>
    <dataField name="Sum of 4" fld="121" baseField="0" baseItem="0"/>
    <dataField name="Sum of 5" fld="122" baseField="0" baseItem="0"/>
    <dataField name="Sum of 6" fld="123" baseField="0" baseItem="0"/>
    <dataField name="Sum of 7" fld="124" baseField="0" baseItem="0"/>
    <dataField name="Sum of 8" fld="125" baseField="0" baseItem="0"/>
    <dataField name="Sum of 9" fld="126" baseField="0" baseItem="0"/>
    <dataField name="Sum of 10" fld="127" baseField="0" baseItem="0"/>
    <dataField name="Sum of 11" fld="128" baseField="0" baseItem="0"/>
    <dataField name="Sum of 12" fld="129" baseField="0" baseItem="0"/>
    <dataField name="Sum of 13" fld="130" baseField="0" baseItem="0"/>
    <dataField name="Sum of 14" fld="131" baseField="0" baseItem="0"/>
    <dataField name="Sum of 15" fld="132" baseField="0" baseItem="0"/>
    <dataField name="Sum of 16" fld="133" baseField="0" baseItem="0"/>
    <dataField name="Sum of 17" fld="134" baseField="0" baseItem="0"/>
    <dataField name="Sum of 18" fld="135" baseField="0" baseItem="0"/>
    <dataField name="Sum of 19" fld="136" baseField="0" baseItem="0"/>
    <dataField name="Sum of 20" fld="137" baseField="0" baseItem="0"/>
    <dataField name="Sum of 21" fld="138" baseField="0" baseItem="0"/>
    <dataField name="Sum of 22" fld="139" baseField="0" baseItem="0"/>
    <dataField name="Sum of 23" fld="140" baseField="0" baseItem="0"/>
    <dataField name="Sum of 24" fld="141" baseField="0" baseItem="0"/>
    <dataField name="Sum of CI_27" fld="117" baseField="0" baseItem="0"/>
  </dataFields>
  <formats count="4">
    <format dxfId="3">
      <pivotArea type="all" dataOnly="0" outline="0" fieldPosition="0"/>
    </format>
    <format dxfId="2">
      <pivotArea outline="0" fieldPosition="0">
        <references count="1">
          <reference field="4294967294" count="1" selected="0">
            <x v="24"/>
          </reference>
        </references>
      </pivotArea>
    </format>
    <format dxfId="1">
      <pivotArea type="topRight" dataOnly="0" labelOnly="1" outline="0" offset="X1" fieldPosition="0"/>
    </format>
    <format dxfId="0">
      <pivotArea dataOnly="0" labelOnly="1" outline="0" fieldPosition="0">
        <references count="1">
          <reference field="4294967294" count="1">
            <x v="24"/>
          </reference>
        </references>
      </pivotArea>
    </format>
  </formats>
  <pivotTableStyleInfo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tabColor rgb="FFFF0000"/>
  </sheetPr>
  <dimension ref="A1:CL172"/>
  <sheetViews>
    <sheetView zoomScale="90" zoomScaleNormal="90" workbookViewId="0">
      <pane xSplit="2" ySplit="2" topLeftCell="H117" activePane="bottomRight" state="frozen"/>
      <selection activeCell="P1" sqref="P1:P65536"/>
      <selection pane="topRight" activeCell="P1" sqref="P1:P65536"/>
      <selection pane="bottomLeft" activeCell="P1" sqref="P1:P65536"/>
      <selection pane="bottomRight" activeCell="I134" sqref="I134"/>
    </sheetView>
  </sheetViews>
  <sheetFormatPr baseColWidth="10" defaultColWidth="11.453125" defaultRowHeight="13" x14ac:dyDescent="0.3"/>
  <cols>
    <col min="1" max="1" width="36.1796875" style="702" customWidth="1"/>
    <col min="2" max="2" width="11.54296875" style="701" customWidth="1"/>
    <col min="3" max="5" width="8.54296875" style="699" bestFit="1" customWidth="1"/>
    <col min="6" max="6" width="7.54296875" style="699" bestFit="1" customWidth="1"/>
    <col min="7" max="8" width="8.54296875" style="699" bestFit="1" customWidth="1"/>
    <col min="9" max="9" width="7.54296875" style="699" bestFit="1" customWidth="1"/>
    <col min="10" max="12" width="8.54296875" style="699" bestFit="1" customWidth="1"/>
    <col min="13" max="13" width="7.54296875" style="699" bestFit="1" customWidth="1"/>
    <col min="14" max="15" width="9.54296875" style="699" bestFit="1" customWidth="1"/>
    <col min="16" max="17" width="7.54296875" style="699" bestFit="1" customWidth="1"/>
    <col min="18" max="18" width="8.54296875" style="699" bestFit="1" customWidth="1"/>
    <col min="19" max="19" width="7.54296875" style="699" bestFit="1" customWidth="1"/>
    <col min="20" max="20" width="8.54296875" style="699" bestFit="1" customWidth="1"/>
    <col min="21" max="21" width="9.54296875" style="699" bestFit="1" customWidth="1"/>
    <col min="22" max="22" width="8.54296875" style="699" bestFit="1" customWidth="1"/>
    <col min="23" max="23" width="6.453125" style="699" bestFit="1" customWidth="1"/>
    <col min="24" max="26" width="8.54296875" style="699" bestFit="1" customWidth="1"/>
    <col min="27" max="27" width="10.54296875" style="699" bestFit="1" customWidth="1"/>
    <col min="28" max="30" width="9.54296875" style="699" bestFit="1" customWidth="1"/>
    <col min="31" max="31" width="7.54296875" style="699" bestFit="1" customWidth="1"/>
    <col min="32" max="32" width="10.54296875" style="700" bestFit="1" customWidth="1"/>
    <col min="33" max="33" width="14.453125" style="699" bestFit="1" customWidth="1"/>
    <col min="34" max="34" width="8.54296875" style="699" bestFit="1" customWidth="1"/>
    <col min="35" max="35" width="13.1796875" style="699" bestFit="1" customWidth="1"/>
    <col min="36" max="36" width="14.81640625" style="699" customWidth="1"/>
    <col min="37" max="16384" width="11.453125" style="699"/>
  </cols>
  <sheetData>
    <row r="1" spans="1:90" x14ac:dyDescent="0.3">
      <c r="A1" s="748" t="s">
        <v>861</v>
      </c>
      <c r="C1" s="747"/>
      <c r="D1" s="747"/>
      <c r="E1" s="747"/>
      <c r="F1" s="747"/>
      <c r="G1" s="747"/>
      <c r="H1" s="747"/>
      <c r="I1" s="747"/>
      <c r="J1" s="747"/>
      <c r="K1" s="747"/>
      <c r="L1" s="747"/>
      <c r="M1" s="747"/>
      <c r="N1" s="747"/>
      <c r="O1" s="747"/>
      <c r="P1" s="747"/>
      <c r="Q1" s="747"/>
      <c r="R1" s="747"/>
      <c r="S1" s="747"/>
      <c r="T1" s="747"/>
      <c r="U1" s="747"/>
      <c r="V1" s="747"/>
      <c r="W1" s="747"/>
      <c r="X1" s="747"/>
      <c r="Y1" s="747"/>
      <c r="Z1" s="747"/>
      <c r="AA1" s="702" t="s">
        <v>860</v>
      </c>
      <c r="AB1" s="702" t="s">
        <v>860</v>
      </c>
      <c r="AG1" s="743" t="s">
        <v>859</v>
      </c>
      <c r="AH1" s="746"/>
      <c r="AI1" s="746"/>
      <c r="AJ1" s="746"/>
      <c r="AK1" s="746"/>
      <c r="AL1" s="746"/>
      <c r="AM1" s="746"/>
      <c r="AN1" s="746"/>
      <c r="AO1" s="746"/>
      <c r="AP1" s="746"/>
      <c r="AQ1" s="746"/>
      <c r="AR1" s="746"/>
      <c r="AS1" s="746"/>
      <c r="AT1" s="746"/>
      <c r="AU1" s="746"/>
      <c r="AV1" s="746"/>
      <c r="AW1" s="746"/>
      <c r="AX1" s="746"/>
      <c r="AY1" s="746"/>
      <c r="AZ1" s="746"/>
      <c r="BA1" s="746"/>
      <c r="BB1" s="746"/>
      <c r="BC1" s="746"/>
      <c r="BD1" s="746"/>
      <c r="BE1" s="746"/>
      <c r="BF1" s="746"/>
      <c r="BG1" s="746"/>
      <c r="BH1" s="746"/>
      <c r="BI1" s="746"/>
      <c r="BJ1" s="741" t="s">
        <v>858</v>
      </c>
      <c r="BK1" s="745"/>
      <c r="BL1" s="745"/>
      <c r="BM1" s="745"/>
      <c r="BN1" s="745"/>
      <c r="BO1" s="745"/>
      <c r="BP1" s="745"/>
      <c r="BQ1" s="745"/>
      <c r="BR1" s="745"/>
      <c r="BS1" s="745"/>
      <c r="BT1" s="745"/>
      <c r="BU1" s="745"/>
      <c r="BV1" s="745"/>
      <c r="BW1" s="745"/>
      <c r="BX1" s="745"/>
      <c r="BY1" s="745"/>
      <c r="BZ1" s="745"/>
      <c r="CA1" s="745"/>
      <c r="CB1" s="745"/>
      <c r="CC1" s="745"/>
      <c r="CD1" s="745"/>
      <c r="CE1" s="745"/>
      <c r="CF1" s="745"/>
      <c r="CG1" s="745"/>
      <c r="CH1" s="745"/>
      <c r="CI1" s="745"/>
      <c r="CJ1" s="745"/>
      <c r="CK1" s="745"/>
      <c r="CL1" s="745"/>
    </row>
    <row r="2" spans="1:90" x14ac:dyDescent="0.3">
      <c r="A2" s="56" t="s">
        <v>1</v>
      </c>
      <c r="B2" s="701" t="s">
        <v>842</v>
      </c>
      <c r="C2" s="56">
        <v>1</v>
      </c>
      <c r="D2" s="56">
        <v>2</v>
      </c>
      <c r="E2" s="56">
        <v>3</v>
      </c>
      <c r="F2" s="56">
        <v>4</v>
      </c>
      <c r="G2" s="56">
        <v>5</v>
      </c>
      <c r="H2" s="56">
        <v>6</v>
      </c>
      <c r="I2" s="56">
        <v>7</v>
      </c>
      <c r="J2" s="56">
        <v>8</v>
      </c>
      <c r="K2" s="56">
        <v>9</v>
      </c>
      <c r="L2" s="56">
        <v>10</v>
      </c>
      <c r="M2" s="56">
        <v>11</v>
      </c>
      <c r="N2" s="56">
        <v>12</v>
      </c>
      <c r="O2" s="56">
        <v>13</v>
      </c>
      <c r="P2" s="56">
        <v>14</v>
      </c>
      <c r="Q2" s="56">
        <v>15</v>
      </c>
      <c r="R2" s="56">
        <v>16</v>
      </c>
      <c r="S2" s="56">
        <v>17</v>
      </c>
      <c r="T2" s="56">
        <v>18</v>
      </c>
      <c r="U2" s="56">
        <v>19</v>
      </c>
      <c r="V2" s="56">
        <v>20</v>
      </c>
      <c r="W2" s="56">
        <v>21</v>
      </c>
      <c r="X2" s="56">
        <v>22</v>
      </c>
      <c r="Y2" s="56">
        <v>23</v>
      </c>
      <c r="Z2" s="56">
        <v>24</v>
      </c>
      <c r="AA2" s="702" t="s">
        <v>851</v>
      </c>
      <c r="AB2" s="702" t="s">
        <v>850</v>
      </c>
      <c r="AC2" s="702" t="s">
        <v>849</v>
      </c>
      <c r="AD2" s="702" t="s">
        <v>848</v>
      </c>
      <c r="AE2" s="702" t="s">
        <v>701</v>
      </c>
      <c r="AF2" s="703" t="s">
        <v>65</v>
      </c>
      <c r="AG2" s="744">
        <v>1</v>
      </c>
      <c r="AH2" s="744">
        <v>2</v>
      </c>
      <c r="AI2" s="744">
        <v>3</v>
      </c>
      <c r="AJ2" s="744">
        <v>4</v>
      </c>
      <c r="AK2" s="744">
        <v>5</v>
      </c>
      <c r="AL2" s="744">
        <v>6</v>
      </c>
      <c r="AM2" s="744">
        <v>7</v>
      </c>
      <c r="AN2" s="744">
        <v>8</v>
      </c>
      <c r="AO2" s="744">
        <v>9</v>
      </c>
      <c r="AP2" s="744">
        <v>10</v>
      </c>
      <c r="AQ2" s="744">
        <v>11</v>
      </c>
      <c r="AR2" s="744">
        <v>12</v>
      </c>
      <c r="AS2" s="744">
        <v>13</v>
      </c>
      <c r="AT2" s="744">
        <v>14</v>
      </c>
      <c r="AU2" s="744">
        <v>15</v>
      </c>
      <c r="AV2" s="744">
        <v>16</v>
      </c>
      <c r="AW2" s="744">
        <v>17</v>
      </c>
      <c r="AX2" s="744">
        <v>18</v>
      </c>
      <c r="AY2" s="744">
        <v>19</v>
      </c>
      <c r="AZ2" s="744">
        <v>20</v>
      </c>
      <c r="BA2" s="744">
        <v>21</v>
      </c>
      <c r="BB2" s="744">
        <v>22</v>
      </c>
      <c r="BC2" s="744">
        <v>23</v>
      </c>
      <c r="BD2" s="744">
        <v>24</v>
      </c>
      <c r="BE2" s="743" t="s">
        <v>851</v>
      </c>
      <c r="BF2" s="743" t="s">
        <v>850</v>
      </c>
      <c r="BG2" s="743" t="s">
        <v>849</v>
      </c>
      <c r="BH2" s="743" t="s">
        <v>848</v>
      </c>
      <c r="BI2" s="743" t="s">
        <v>701</v>
      </c>
      <c r="BJ2" s="742">
        <v>1</v>
      </c>
      <c r="BK2" s="742">
        <v>2</v>
      </c>
      <c r="BL2" s="742">
        <v>3</v>
      </c>
      <c r="BM2" s="742">
        <v>4</v>
      </c>
      <c r="BN2" s="742">
        <v>5</v>
      </c>
      <c r="BO2" s="742">
        <v>6</v>
      </c>
      <c r="BP2" s="742">
        <v>7</v>
      </c>
      <c r="BQ2" s="742">
        <v>8</v>
      </c>
      <c r="BR2" s="742">
        <v>9</v>
      </c>
      <c r="BS2" s="742">
        <v>10</v>
      </c>
      <c r="BT2" s="742">
        <v>11</v>
      </c>
      <c r="BU2" s="742">
        <v>12</v>
      </c>
      <c r="BV2" s="742">
        <v>13</v>
      </c>
      <c r="BW2" s="742">
        <v>14</v>
      </c>
      <c r="BX2" s="742">
        <v>15</v>
      </c>
      <c r="BY2" s="742">
        <v>16</v>
      </c>
      <c r="BZ2" s="742">
        <v>17</v>
      </c>
      <c r="CA2" s="742">
        <v>18</v>
      </c>
      <c r="CB2" s="742">
        <v>19</v>
      </c>
      <c r="CC2" s="742">
        <v>20</v>
      </c>
      <c r="CD2" s="742">
        <v>21</v>
      </c>
      <c r="CE2" s="742">
        <v>22</v>
      </c>
      <c r="CF2" s="742">
        <v>23</v>
      </c>
      <c r="CG2" s="742">
        <v>24</v>
      </c>
      <c r="CH2" s="741" t="s">
        <v>851</v>
      </c>
      <c r="CI2" s="741" t="s">
        <v>850</v>
      </c>
      <c r="CJ2" s="741" t="s">
        <v>849</v>
      </c>
      <c r="CK2" s="741" t="s">
        <v>848</v>
      </c>
      <c r="CL2" s="741" t="s">
        <v>701</v>
      </c>
    </row>
    <row r="3" spans="1:90" s="708" customFormat="1" x14ac:dyDescent="0.3">
      <c r="A3" s="740" t="s">
        <v>313</v>
      </c>
      <c r="B3" s="701">
        <v>1</v>
      </c>
      <c r="C3" s="811">
        <v>6.41429093132274E-2</v>
      </c>
      <c r="D3" s="811">
        <v>7.364749317010684E-2</v>
      </c>
      <c r="E3" s="811">
        <v>0</v>
      </c>
      <c r="F3" s="811">
        <v>0</v>
      </c>
      <c r="G3" s="811">
        <v>0</v>
      </c>
      <c r="H3" s="811">
        <v>6.9729937812201048E-2</v>
      </c>
      <c r="I3" s="811">
        <v>0</v>
      </c>
      <c r="J3" s="811">
        <v>0.34931534995176339</v>
      </c>
      <c r="K3" s="811">
        <v>0</v>
      </c>
      <c r="L3" s="811">
        <v>0</v>
      </c>
      <c r="M3" s="811">
        <v>0</v>
      </c>
      <c r="N3" s="811">
        <v>6.8756509215239001E-2</v>
      </c>
      <c r="O3" s="811">
        <v>6.3374538987976389E-2</v>
      </c>
      <c r="P3" s="811">
        <v>0</v>
      </c>
      <c r="Q3" s="811">
        <v>0</v>
      </c>
      <c r="R3" s="811">
        <v>0</v>
      </c>
      <c r="S3" s="811">
        <v>0.3922639066680822</v>
      </c>
      <c r="T3" s="811">
        <v>0</v>
      </c>
      <c r="U3" s="811">
        <v>0.15735701299161273</v>
      </c>
      <c r="V3" s="811">
        <v>5.5366515461025508E-2</v>
      </c>
      <c r="W3" s="811">
        <v>0</v>
      </c>
      <c r="X3" s="811">
        <v>0</v>
      </c>
      <c r="Y3" s="811">
        <v>6.3368683766470535E-2</v>
      </c>
      <c r="Z3" s="811">
        <v>0</v>
      </c>
      <c r="AA3" s="812">
        <v>0.37018412834320702</v>
      </c>
      <c r="AB3" s="812">
        <v>0</v>
      </c>
      <c r="AC3" s="812">
        <v>0.43928533546320458</v>
      </c>
      <c r="AD3" s="812">
        <v>0</v>
      </c>
      <c r="AE3" s="813">
        <f t="shared" ref="AE3:AE26" si="0">AI31/AG121</f>
        <v>0.11829475587666172</v>
      </c>
      <c r="AF3" s="709"/>
      <c r="AG3" s="739">
        <f t="shared" ref="AG3:AG26" si="1">C60/IF(C121=0,#N/A,C121)</f>
        <v>4.6154370369623735E-2</v>
      </c>
      <c r="AH3" s="739">
        <f t="shared" ref="AH3:AH26" si="2">D60/IF(D121=0,#N/A,D121)</f>
        <v>5.2993444060487602E-2</v>
      </c>
      <c r="AI3" s="739" t="e">
        <f t="shared" ref="AI3:AI26" si="3">E60/IF(E121=0,#N/A,E121)</f>
        <v>#N/A</v>
      </c>
      <c r="AJ3" s="739" t="e">
        <f t="shared" ref="AJ3:AJ26" si="4">F60/IF(F121=0,#N/A,F121)</f>
        <v>#N/A</v>
      </c>
      <c r="AK3" s="739" t="e">
        <f t="shared" ref="AK3:AK26" si="5">G60/IF(G121=0,#N/A,G121)</f>
        <v>#N/A</v>
      </c>
      <c r="AL3" s="739">
        <f t="shared" ref="AL3:AL26" si="6">H60/IF(H121=0,#N/A,H121)</f>
        <v>5.0174546338693733E-2</v>
      </c>
      <c r="AM3" s="739" t="e">
        <f t="shared" ref="AM3:AM26" si="7">I60/IF(I121=0,#N/A,I121)</f>
        <v>#N/A</v>
      </c>
      <c r="AN3" s="739">
        <f t="shared" ref="AN3:AN26" si="8">J60/IF(J121=0,#N/A,J121)</f>
        <v>0.25135171151558111</v>
      </c>
      <c r="AO3" s="739" t="e">
        <f t="shared" ref="AO3:AO26" si="9">K60/IF(K121=0,#N/A,K121)</f>
        <v>#N/A</v>
      </c>
      <c r="AP3" s="739" t="e">
        <f t="shared" ref="AP3:AP26" si="10">L60/IF(L121=0,#N/A,L121)</f>
        <v>#N/A</v>
      </c>
      <c r="AQ3" s="739" t="e">
        <f t="shared" ref="AQ3:AQ26" si="11">M60/IF(M121=0,#N/A,M121)</f>
        <v>#N/A</v>
      </c>
      <c r="AR3" s="739">
        <f t="shared" ref="AR3:AR26" si="12">N60/IF(N121=0,#N/A,N121)</f>
        <v>4.9474110632337247E-2</v>
      </c>
      <c r="AS3" s="739">
        <f t="shared" ref="AS3:AS26" si="13">O60/IF(O121=0,#N/A,O121)</f>
        <v>4.5601485429536522E-2</v>
      </c>
      <c r="AT3" s="739" t="e">
        <f t="shared" ref="AT3:AT26" si="14">P60/IF(P121=0,#N/A,P121)</f>
        <v>#N/A</v>
      </c>
      <c r="AU3" s="739" t="e">
        <f t="shared" ref="AU3:AU26" si="15">Q60/IF(Q121=0,#N/A,Q121)</f>
        <v>#N/A</v>
      </c>
      <c r="AV3" s="739" t="e">
        <f t="shared" ref="AV3:AV26" si="16">R60/IF(R121=0,#N/A,R121)</f>
        <v>#N/A</v>
      </c>
      <c r="AW3" s="739">
        <f t="shared" ref="AW3:AW26" si="17">S60/IF(S121=0,#N/A,S121)</f>
        <v>0.28225557313878613</v>
      </c>
      <c r="AX3" s="739" t="e">
        <f t="shared" ref="AX3:AX26" si="18">T60/IF(T121=0,#N/A,T121)</f>
        <v>#N/A</v>
      </c>
      <c r="AY3" s="739">
        <f t="shared" ref="AY3:AY26" si="19">U60/IF(U121=0,#N/A,U121)</f>
        <v>0.11322707272922042</v>
      </c>
      <c r="AZ3" s="739">
        <f t="shared" ref="AZ3:AZ26" si="20">V60/IF(V121=0,#N/A,V121)</f>
        <v>3.983926965621281E-2</v>
      </c>
      <c r="BA3" s="739" t="e">
        <f t="shared" ref="BA3:BA26" si="21">W60/IF(W121=0,#N/A,W121)</f>
        <v>#N/A</v>
      </c>
      <c r="BB3" s="739" t="e">
        <f t="shared" ref="BB3:BB26" si="22">X60/IF(X121=0,#N/A,X121)</f>
        <v>#N/A</v>
      </c>
      <c r="BC3" s="739">
        <f t="shared" ref="BC3:BC26" si="23">Y60/IF(Y121=0,#N/A,Y121)</f>
        <v>4.559727227386786E-2</v>
      </c>
      <c r="BD3" s="739" t="e">
        <f t="shared" ref="BD3:BD26" si="24">Z60/IF(Z121=0,#N/A,Z121)</f>
        <v>#N/A</v>
      </c>
      <c r="BE3" s="739">
        <f t="shared" ref="BE3:BE26" si="25">AA60/IF(AA121=0,#N/A,AA121)</f>
        <v>0.26636795161683363</v>
      </c>
      <c r="BF3" s="739" t="e">
        <f t="shared" ref="BF3:BF26" si="26">AB60/IF(AB121=0,#N/A,AB121)</f>
        <v>#N/A</v>
      </c>
      <c r="BG3" s="739">
        <f t="shared" ref="BG3:BG26" si="27">AC60/IF(AC121=0,#N/A,AC121)</f>
        <v>0.31609009145352412</v>
      </c>
      <c r="BH3" s="739">
        <f t="shared" ref="BH3:BH26" si="28">AD60/IF(AD121=0,#N/A,AD121)</f>
        <v>0</v>
      </c>
      <c r="BI3" s="739">
        <f t="shared" ref="BI3:BI26" si="29">AE60/IF(AE121=0,#N/A,AE121)</f>
        <v>8.5119618582529075E-2</v>
      </c>
      <c r="BJ3" s="738">
        <f t="shared" ref="BJ3:BJ26" si="30">IF(OR(AG3&gt;100%, AG3&lt;0%),"ERROR ! Higher than 100% or lower than 0%",C3-AG3)</f>
        <v>1.7988538943603666E-2</v>
      </c>
      <c r="BK3" s="738">
        <f t="shared" ref="BK3:BK26" si="31">IF(OR(AH3&gt;100%, AH3&lt;0%),"ERROR ! Higher than 100% or lower than 0%",D3-AH3)</f>
        <v>2.0654049109619238E-2</v>
      </c>
      <c r="BL3" s="738" t="e">
        <f t="shared" ref="BL3:BL26" si="32">IF(OR(AI3&gt;100%, AI3&lt;0%),"ERROR ! Higher than 100% or lower than 0%",E3-AI3)</f>
        <v>#N/A</v>
      </c>
      <c r="BM3" s="738" t="e">
        <f t="shared" ref="BM3:BM26" si="33">IF(OR(AJ3&gt;100%, AJ3&lt;0%),"ERROR ! Higher than 100% or lower than 0%",F3-AJ3)</f>
        <v>#N/A</v>
      </c>
      <c r="BN3" s="738" t="e">
        <f t="shared" ref="BN3:BN26" si="34">IF(OR(AK3&gt;100%, AK3&lt;0%),"ERROR ! Higher than 100% or lower than 0%",G3-AK3)</f>
        <v>#N/A</v>
      </c>
      <c r="BO3" s="738">
        <f t="shared" ref="BO3:BO26" si="35">IF(OR(AL3&gt;100%, AL3&lt;0%),"ERROR ! Higher than 100% or lower than 0%",H3-AL3)</f>
        <v>1.9555391473507315E-2</v>
      </c>
      <c r="BP3" s="738" t="e">
        <f t="shared" ref="BP3:BP26" si="36">IF(OR(AM3&gt;100%, AM3&lt;0%),"ERROR ! Higher than 100% or lower than 0%",I3-AM3)</f>
        <v>#N/A</v>
      </c>
      <c r="BQ3" s="738">
        <f t="shared" ref="BQ3:BQ26" si="37">IF(OR(AN3&gt;100%, AN3&lt;0%),"ERROR ! Higher than 100% or lower than 0%",J3-AN3)</f>
        <v>9.7963638436182277E-2</v>
      </c>
      <c r="BR3" s="738" t="e">
        <f t="shared" ref="BR3:BR26" si="38">IF(OR(AO3&gt;100%, AO3&lt;0%),"ERROR ! Higher than 100% or lower than 0%",K3-AO3)</f>
        <v>#N/A</v>
      </c>
      <c r="BS3" s="738" t="e">
        <f t="shared" ref="BS3:BS26" si="39">IF(OR(AP3&gt;100%, AP3&lt;0%),"ERROR ! Higher than 100% or lower than 0%",L3-AP3)</f>
        <v>#N/A</v>
      </c>
      <c r="BT3" s="738" t="e">
        <f t="shared" ref="BT3:BT26" si="40">IF(OR(AQ3&gt;100%, AQ3&lt;0%),"ERROR ! Higher than 100% or lower than 0%",M3-AQ3)</f>
        <v>#N/A</v>
      </c>
      <c r="BU3" s="738">
        <f t="shared" ref="BU3:BU26" si="41">IF(OR(AR3&gt;100%, AR3&lt;0%),"ERROR ! Higher than 100% or lower than 0%",N3-AR3)</f>
        <v>1.9282398582901754E-2</v>
      </c>
      <c r="BV3" s="738">
        <f t="shared" ref="BV3:BV26" si="42">IF(OR(AS3&gt;100%, AS3&lt;0%),"ERROR ! Higher than 100% or lower than 0%",O3-AS3)</f>
        <v>1.7773053558439868E-2</v>
      </c>
      <c r="BW3" s="738" t="e">
        <f t="shared" ref="BW3:BW26" si="43">IF(OR(AT3&gt;100%, AT3&lt;0%),"ERROR ! Higher than 100% or lower than 0%",P3-AT3)</f>
        <v>#N/A</v>
      </c>
      <c r="BX3" s="738" t="e">
        <f t="shared" ref="BX3:BX26" si="44">IF(OR(AU3&gt;100%, AU3&lt;0%),"ERROR ! Higher than 100% or lower than 0%",Q3-AU3)</f>
        <v>#N/A</v>
      </c>
      <c r="BY3" s="738" t="e">
        <f t="shared" ref="BY3:BY26" si="45">IF(OR(AV3&gt;100%, AV3&lt;0%),"ERROR ! Higher than 100% or lower than 0%",R3-AV3)</f>
        <v>#N/A</v>
      </c>
      <c r="BZ3" s="738">
        <f t="shared" ref="BZ3:BZ26" si="46">IF(OR(AW3&gt;100%, AW3&lt;0%),"ERROR ! Higher than 100% or lower than 0%",S3-AW3)</f>
        <v>0.11000833352929607</v>
      </c>
      <c r="CA3" s="738" t="e">
        <f t="shared" ref="CA3:CA26" si="47">IF(OR(AX3&gt;100%, AX3&lt;0%),"ERROR ! Higher than 100% or lower than 0%",T3-AX3)</f>
        <v>#N/A</v>
      </c>
      <c r="CB3" s="738">
        <f t="shared" ref="CB3:CB26" si="48">IF(OR(AY3&gt;100%, AY3&lt;0%),"ERROR ! Higher than 100% or lower than 0%",U3-AY3)</f>
        <v>4.4129940262392309E-2</v>
      </c>
      <c r="CC3" s="738">
        <f t="shared" ref="CC3:CC26" si="49">IF(OR(AZ3&gt;100%, AZ3&lt;0%),"ERROR ! Higher than 100% or lower than 0%",V3-AZ3)</f>
        <v>1.5527245804812698E-2</v>
      </c>
      <c r="CD3" s="738" t="e">
        <f t="shared" ref="CD3:CD26" si="50">IF(OR(BA3&gt;100%, BA3&lt;0%),"ERROR ! Higher than 100% or lower than 0%",W3-BA3)</f>
        <v>#N/A</v>
      </c>
      <c r="CE3" s="738" t="e">
        <f t="shared" ref="CE3:CE26" si="51">IF(OR(BB3&gt;100%, BB3&lt;0%),"ERROR ! Higher than 100% or lower than 0%",X3-BB3)</f>
        <v>#N/A</v>
      </c>
      <c r="CF3" s="738">
        <f t="shared" ref="CF3:CF26" si="52">IF(OR(BC3&gt;100%, BC3&lt;0%),"ERROR ! Higher than 100% or lower than 0%",Y3-BC3)</f>
        <v>1.7771411492602675E-2</v>
      </c>
      <c r="CG3" s="738" t="e">
        <f t="shared" ref="CG3:CG26" si="53">IF(OR(BD3&gt;100%, BD3&lt;0%),"ERROR ! Higher than 100% or lower than 0%",Z3-BD3)</f>
        <v>#N/A</v>
      </c>
      <c r="CH3" s="738">
        <f t="shared" ref="CH3:CH26" si="54">IF(OR(BE3&gt;100%, BE3&lt;0%),"ERROR ! Higher than 100% or lower than 0%",AA3-BE3)</f>
        <v>0.10381617672637339</v>
      </c>
      <c r="CI3" s="738" t="e">
        <f t="shared" ref="CI3:CI26" si="55">IF(OR(BF3&gt;100%, BF3&lt;0%),"ERROR ! Higher than 100% or lower than 0%",AB3-BF3)</f>
        <v>#N/A</v>
      </c>
      <c r="CJ3" s="738">
        <f t="shared" ref="CJ3:CJ26" si="56">IF(OR(BG3&gt;100%, BG3&lt;0%),"ERROR ! Higher than 100% or lower than 0%",AC3-BG3)</f>
        <v>0.12319524400968046</v>
      </c>
      <c r="CK3" s="738">
        <f t="shared" ref="CK3:CK26" si="57">IF(OR(BH3&gt;100%, BH3&lt;0%),"ERROR ! Higher than 100% or lower than 0%",AD3-BH3)</f>
        <v>0</v>
      </c>
      <c r="CL3" s="738">
        <f t="shared" ref="CL3:CL26" si="58">IF(OR(BI3&gt;100%, BI3&lt;0%),"ERROR ! Higher than 100% or lower than 0%",AE3-BI3)</f>
        <v>3.3175137294132642E-2</v>
      </c>
    </row>
    <row r="4" spans="1:90" s="708" customFormat="1" x14ac:dyDescent="0.3">
      <c r="A4" s="740" t="s">
        <v>314</v>
      </c>
      <c r="B4" s="701">
        <v>2</v>
      </c>
      <c r="C4" s="811">
        <v>8.5397582078265907E-2</v>
      </c>
      <c r="D4" s="811">
        <v>0.17485321647110819</v>
      </c>
      <c r="E4" s="811">
        <v>0.23136607194005179</v>
      </c>
      <c r="F4" s="811">
        <v>0.25579063412011854</v>
      </c>
      <c r="G4" s="811">
        <v>0.22889079869680271</v>
      </c>
      <c r="H4" s="811">
        <v>0.10650404998443493</v>
      </c>
      <c r="I4" s="811">
        <v>0.26052214378290434</v>
      </c>
      <c r="J4" s="811">
        <v>0.27999843890735049</v>
      </c>
      <c r="K4" s="811">
        <v>0.23704195253133892</v>
      </c>
      <c r="L4" s="811">
        <v>0.25169023381367372</v>
      </c>
      <c r="M4" s="811">
        <v>0.23762674279364476</v>
      </c>
      <c r="N4" s="811">
        <v>0.17735479191537989</v>
      </c>
      <c r="O4" s="811">
        <v>0.18193816839571553</v>
      </c>
      <c r="P4" s="811">
        <v>0.20541692317342652</v>
      </c>
      <c r="Q4" s="811">
        <v>0.15976512595746245</v>
      </c>
      <c r="R4" s="811">
        <v>0.14023216127898197</v>
      </c>
      <c r="S4" s="811">
        <v>0.12666225703791442</v>
      </c>
      <c r="T4" s="811">
        <v>0.19245148339546392</v>
      </c>
      <c r="U4" s="811">
        <v>0.19653473836005195</v>
      </c>
      <c r="V4" s="811">
        <v>0.18198625185832723</v>
      </c>
      <c r="W4" s="811">
        <v>0</v>
      </c>
      <c r="X4" s="811">
        <v>0.23964440840928017</v>
      </c>
      <c r="Y4" s="811">
        <v>0.25224378318087792</v>
      </c>
      <c r="Z4" s="811">
        <v>0.19997860570444534</v>
      </c>
      <c r="AA4" s="812">
        <v>0.19574938782516005</v>
      </c>
      <c r="AB4" s="812">
        <v>0</v>
      </c>
      <c r="AC4" s="812">
        <v>0</v>
      </c>
      <c r="AD4" s="812">
        <v>0</v>
      </c>
      <c r="AE4" s="813">
        <f t="shared" si="0"/>
        <v>0.16453094331540991</v>
      </c>
      <c r="AF4" s="709"/>
      <c r="AG4" s="739">
        <f t="shared" si="1"/>
        <v>8.5522426134134952E-2</v>
      </c>
      <c r="AH4" s="739">
        <f t="shared" si="2"/>
        <v>0.17510883711275577</v>
      </c>
      <c r="AI4" s="739">
        <f t="shared" si="3"/>
        <v>0.23170430960566873</v>
      </c>
      <c r="AJ4" s="739">
        <f t="shared" si="4"/>
        <v>0.25616457843375967</v>
      </c>
      <c r="AK4" s="739">
        <f t="shared" si="5"/>
        <v>0.22922541772189667</v>
      </c>
      <c r="AL4" s="739">
        <f t="shared" si="6"/>
        <v>0.106659749914608</v>
      </c>
      <c r="AM4" s="739">
        <f t="shared" si="7"/>
        <v>0.26090300516424586</v>
      </c>
      <c r="AN4" s="739">
        <f t="shared" si="8"/>
        <v>0.28040777298800579</v>
      </c>
      <c r="AO4" s="739">
        <f t="shared" si="9"/>
        <v>0.23738848785523142</v>
      </c>
      <c r="AP4" s="739">
        <f t="shared" si="10"/>
        <v>0.25205818368821614</v>
      </c>
      <c r="AQ4" s="739">
        <f t="shared" si="11"/>
        <v>0.23797413303153364</v>
      </c>
      <c r="AR4" s="739">
        <f t="shared" si="12"/>
        <v>0.17761406964914797</v>
      </c>
      <c r="AS4" s="739">
        <f t="shared" si="13"/>
        <v>0.18220414663897641</v>
      </c>
      <c r="AT4" s="739">
        <f t="shared" si="14"/>
        <v>0.20571722537413295</v>
      </c>
      <c r="AU4" s="739">
        <f t="shared" si="15"/>
        <v>0.15999868908449191</v>
      </c>
      <c r="AV4" s="739">
        <f t="shared" si="16"/>
        <v>0.14043716886059365</v>
      </c>
      <c r="AW4" s="739">
        <f t="shared" si="17"/>
        <v>0.12684742656507558</v>
      </c>
      <c r="AX4" s="739">
        <f t="shared" si="18"/>
        <v>0.19273283121773696</v>
      </c>
      <c r="AY4" s="739">
        <f t="shared" si="19"/>
        <v>0.19682205555638124</v>
      </c>
      <c r="AZ4" s="739">
        <f t="shared" si="20"/>
        <v>0.18225230039555132</v>
      </c>
      <c r="BA4" s="739" t="e">
        <f t="shared" si="21"/>
        <v>#N/A</v>
      </c>
      <c r="BB4" s="739">
        <f t="shared" si="22"/>
        <v>0.23999474830397097</v>
      </c>
      <c r="BC4" s="739">
        <f t="shared" si="23"/>
        <v>0.25261254229786545</v>
      </c>
      <c r="BD4" s="739">
        <f t="shared" si="24"/>
        <v>0.20027095754410629</v>
      </c>
      <c r="BE4" s="739">
        <f t="shared" si="25"/>
        <v>0.19603555690530539</v>
      </c>
      <c r="BF4" s="739" t="e">
        <f t="shared" si="26"/>
        <v>#N/A</v>
      </c>
      <c r="BG4" s="739" t="e">
        <f t="shared" si="27"/>
        <v>#N/A</v>
      </c>
      <c r="BH4" s="739">
        <f t="shared" si="28"/>
        <v>0</v>
      </c>
      <c r="BI4" s="739">
        <f t="shared" si="29"/>
        <v>0.16477147366509393</v>
      </c>
      <c r="BJ4" s="738">
        <f t="shared" si="30"/>
        <v>-1.2484405586904446E-4</v>
      </c>
      <c r="BK4" s="738">
        <f t="shared" si="31"/>
        <v>-2.5562064164758036E-4</v>
      </c>
      <c r="BL4" s="738">
        <f t="shared" si="32"/>
        <v>-3.3823766561694169E-4</v>
      </c>
      <c r="BM4" s="738">
        <f t="shared" si="33"/>
        <v>-3.7394431364112801E-4</v>
      </c>
      <c r="BN4" s="738">
        <f t="shared" si="34"/>
        <v>-3.3461902509396291E-4</v>
      </c>
      <c r="BO4" s="738">
        <f t="shared" si="35"/>
        <v>-1.5569993017307271E-4</v>
      </c>
      <c r="BP4" s="738">
        <f t="shared" si="36"/>
        <v>-3.8086138134152403E-4</v>
      </c>
      <c r="BQ4" s="738">
        <f t="shared" si="37"/>
        <v>-4.0933408065529919E-4</v>
      </c>
      <c r="BR4" s="738">
        <f t="shared" si="38"/>
        <v>-3.4653532389250508E-4</v>
      </c>
      <c r="BS4" s="738">
        <f t="shared" si="39"/>
        <v>-3.6794987454241701E-4</v>
      </c>
      <c r="BT4" s="738">
        <f t="shared" si="40"/>
        <v>-3.4739023788887824E-4</v>
      </c>
      <c r="BU4" s="738">
        <f t="shared" si="41"/>
        <v>-2.5927773376807628E-4</v>
      </c>
      <c r="BV4" s="738">
        <f t="shared" si="42"/>
        <v>-2.6597824326088371E-4</v>
      </c>
      <c r="BW4" s="738">
        <f t="shared" si="43"/>
        <v>-3.0030220070642599E-4</v>
      </c>
      <c r="BX4" s="738">
        <f t="shared" si="44"/>
        <v>-2.3356312702946247E-4</v>
      </c>
      <c r="BY4" s="738">
        <f t="shared" si="45"/>
        <v>-2.0500758161168253E-4</v>
      </c>
      <c r="BZ4" s="738">
        <f t="shared" si="46"/>
        <v>-1.8516952716116086E-4</v>
      </c>
      <c r="CA4" s="738">
        <f t="shared" si="47"/>
        <v>-2.8134782227304256E-4</v>
      </c>
      <c r="CB4" s="738">
        <f t="shared" si="48"/>
        <v>-2.8731719632929531E-4</v>
      </c>
      <c r="CC4" s="738">
        <f t="shared" si="49"/>
        <v>-2.660485372240895E-4</v>
      </c>
      <c r="CD4" s="738" t="e">
        <f t="shared" si="50"/>
        <v>#N/A</v>
      </c>
      <c r="CE4" s="738">
        <f t="shared" si="51"/>
        <v>-3.5033989469079874E-4</v>
      </c>
      <c r="CF4" s="738">
        <f t="shared" si="52"/>
        <v>-3.6875911698752706E-4</v>
      </c>
      <c r="CG4" s="738">
        <f t="shared" si="53"/>
        <v>-2.9235183966094813E-4</v>
      </c>
      <c r="CH4" s="738">
        <f t="shared" si="54"/>
        <v>-2.861690801453376E-4</v>
      </c>
      <c r="CI4" s="738" t="e">
        <f t="shared" si="55"/>
        <v>#N/A</v>
      </c>
      <c r="CJ4" s="738" t="e">
        <f t="shared" si="56"/>
        <v>#N/A</v>
      </c>
      <c r="CK4" s="738">
        <f t="shared" si="57"/>
        <v>0</v>
      </c>
      <c r="CL4" s="738">
        <f t="shared" si="58"/>
        <v>-2.4053034968402054E-4</v>
      </c>
    </row>
    <row r="5" spans="1:90" s="708" customFormat="1" x14ac:dyDescent="0.3">
      <c r="A5" s="740" t="s">
        <v>307</v>
      </c>
      <c r="B5" s="701">
        <v>3</v>
      </c>
      <c r="C5" s="811">
        <v>0.48268178191655176</v>
      </c>
      <c r="D5" s="811">
        <v>0.49424877913266979</v>
      </c>
      <c r="E5" s="811">
        <v>0.48960005219706398</v>
      </c>
      <c r="F5" s="811">
        <v>0.48383254750108323</v>
      </c>
      <c r="G5" s="811">
        <v>0.48986634204307461</v>
      </c>
      <c r="H5" s="811">
        <v>0.49071031571840723</v>
      </c>
      <c r="I5" s="811">
        <v>0.48853818527803744</v>
      </c>
      <c r="J5" s="811">
        <v>0.49146024511772535</v>
      </c>
      <c r="K5" s="811">
        <v>0.49041486479149471</v>
      </c>
      <c r="L5" s="811">
        <v>0.48328420180876902</v>
      </c>
      <c r="M5" s="811">
        <v>0.48559845179814998</v>
      </c>
      <c r="N5" s="811">
        <v>0.81938190196393423</v>
      </c>
      <c r="O5" s="811">
        <v>0.49244426481398479</v>
      </c>
      <c r="P5" s="811">
        <v>0.4910567416661919</v>
      </c>
      <c r="Q5" s="811">
        <v>0.49062254301629993</v>
      </c>
      <c r="R5" s="811">
        <v>0.49228213424625977</v>
      </c>
      <c r="S5" s="811">
        <v>0.49603249085483464</v>
      </c>
      <c r="T5" s="811">
        <v>0.49243125861978487</v>
      </c>
      <c r="U5" s="811">
        <v>0.47664042218048708</v>
      </c>
      <c r="V5" s="811">
        <v>0.38678296856436883</v>
      </c>
      <c r="W5" s="811">
        <v>0</v>
      </c>
      <c r="X5" s="811">
        <v>0.48349226869959355</v>
      </c>
      <c r="Y5" s="811">
        <v>0.48345687004218518</v>
      </c>
      <c r="Z5" s="811">
        <v>0.48973593166502527</v>
      </c>
      <c r="AA5" s="812">
        <v>0.52406653059592656</v>
      </c>
      <c r="AB5" s="812">
        <v>0</v>
      </c>
      <c r="AC5" s="812">
        <v>0.52949788128505937</v>
      </c>
      <c r="AD5" s="812">
        <v>0</v>
      </c>
      <c r="AE5" s="813">
        <f t="shared" si="0"/>
        <v>0.34237863317727535</v>
      </c>
      <c r="AF5" s="709"/>
      <c r="AG5" s="739">
        <f t="shared" si="1"/>
        <v>0.46035285816946592</v>
      </c>
      <c r="AH5" s="739">
        <f t="shared" si="2"/>
        <v>0.47138476454831235</v>
      </c>
      <c r="AI5" s="739">
        <f t="shared" si="3"/>
        <v>0.46695108834210014</v>
      </c>
      <c r="AJ5" s="739">
        <f t="shared" si="4"/>
        <v>0.46145038918424475</v>
      </c>
      <c r="AK5" s="739">
        <f t="shared" si="5"/>
        <v>0.4672050595842418</v>
      </c>
      <c r="AL5" s="739">
        <f t="shared" si="6"/>
        <v>0.46800999092454737</v>
      </c>
      <c r="AM5" s="739">
        <f t="shared" si="7"/>
        <v>0.46593834352867775</v>
      </c>
      <c r="AN5" s="739">
        <f t="shared" si="8"/>
        <v>0.4687252284896169</v>
      </c>
      <c r="AO5" s="739">
        <f t="shared" si="9"/>
        <v>0.46772820759700395</v>
      </c>
      <c r="AP5" s="739">
        <f t="shared" si="10"/>
        <v>0.46092741003694931</v>
      </c>
      <c r="AQ5" s="739">
        <f t="shared" si="11"/>
        <v>0.463134602512497</v>
      </c>
      <c r="AR5" s="739">
        <f t="shared" si="12"/>
        <v>0.7814771856598538</v>
      </c>
      <c r="AS5" s="739">
        <f t="shared" si="13"/>
        <v>0.46966372730320249</v>
      </c>
      <c r="AT5" s="739">
        <f t="shared" si="14"/>
        <v>0.46834039116168397</v>
      </c>
      <c r="AU5" s="739">
        <f t="shared" si="15"/>
        <v>0.46792627859937136</v>
      </c>
      <c r="AV5" s="739">
        <f t="shared" si="16"/>
        <v>0.46950909691721099</v>
      </c>
      <c r="AW5" s="739">
        <f t="shared" si="17"/>
        <v>0.47308596152779758</v>
      </c>
      <c r="AX5" s="739">
        <f t="shared" si="18"/>
        <v>0.46965132277728466</v>
      </c>
      <c r="AY5" s="739">
        <f t="shared" si="19"/>
        <v>0.45459097254228442</v>
      </c>
      <c r="AZ5" s="739">
        <f t="shared" si="20"/>
        <v>0.36889033674086569</v>
      </c>
      <c r="BA5" s="739" t="e">
        <f t="shared" si="21"/>
        <v>#N/A</v>
      </c>
      <c r="BB5" s="739">
        <f t="shared" si="22"/>
        <v>0.46112585172559384</v>
      </c>
      <c r="BC5" s="739">
        <f t="shared" si="23"/>
        <v>0.46109209061480866</v>
      </c>
      <c r="BD5" s="739">
        <f t="shared" si="24"/>
        <v>0.4670806820077118</v>
      </c>
      <c r="BE5" s="739">
        <f t="shared" si="25"/>
        <v>0.49982314284341484</v>
      </c>
      <c r="BF5" s="739">
        <f t="shared" si="26"/>
        <v>0</v>
      </c>
      <c r="BG5" s="739">
        <f t="shared" si="27"/>
        <v>0.50500323852370976</v>
      </c>
      <c r="BH5" s="739">
        <f t="shared" si="28"/>
        <v>0</v>
      </c>
      <c r="BI5" s="739">
        <f t="shared" si="29"/>
        <v>0.32654015184389745</v>
      </c>
      <c r="BJ5" s="738">
        <f t="shared" si="30"/>
        <v>2.2328923747085838E-2</v>
      </c>
      <c r="BK5" s="738">
        <f t="shared" si="31"/>
        <v>2.2864014584357439E-2</v>
      </c>
      <c r="BL5" s="738">
        <f t="shared" si="32"/>
        <v>2.2648963854963844E-2</v>
      </c>
      <c r="BM5" s="738">
        <f t="shared" si="33"/>
        <v>2.2382158316838485E-2</v>
      </c>
      <c r="BN5" s="738">
        <f t="shared" si="34"/>
        <v>2.266128245883281E-2</v>
      </c>
      <c r="BO5" s="738">
        <f t="shared" si="35"/>
        <v>2.2700324793859861E-2</v>
      </c>
      <c r="BP5" s="738">
        <f t="shared" si="36"/>
        <v>2.2599841749359695E-2</v>
      </c>
      <c r="BQ5" s="738">
        <f t="shared" si="37"/>
        <v>2.2735016628108451E-2</v>
      </c>
      <c r="BR5" s="738">
        <f t="shared" si="38"/>
        <v>2.2686657194490756E-2</v>
      </c>
      <c r="BS5" s="738">
        <f t="shared" si="39"/>
        <v>2.2356791771819706E-2</v>
      </c>
      <c r="BT5" s="738">
        <f t="shared" si="40"/>
        <v>2.2463849285652981E-2</v>
      </c>
      <c r="BU5" s="738">
        <f t="shared" si="41"/>
        <v>3.7904716304080432E-2</v>
      </c>
      <c r="BV5" s="738">
        <f t="shared" si="42"/>
        <v>2.2780537510782295E-2</v>
      </c>
      <c r="BW5" s="738">
        <f t="shared" si="43"/>
        <v>2.2716350504507932E-2</v>
      </c>
      <c r="BX5" s="738">
        <f t="shared" si="44"/>
        <v>2.2696264416928569E-2</v>
      </c>
      <c r="BY5" s="738">
        <f t="shared" si="45"/>
        <v>2.2773037329048784E-2</v>
      </c>
      <c r="BZ5" s="738">
        <f t="shared" si="46"/>
        <v>2.2946529327037057E-2</v>
      </c>
      <c r="CA5" s="738">
        <f t="shared" si="47"/>
        <v>2.277993584250021E-2</v>
      </c>
      <c r="CB5" s="738">
        <f t="shared" si="48"/>
        <v>2.2049449638202656E-2</v>
      </c>
      <c r="CC5" s="738">
        <f t="shared" si="49"/>
        <v>1.7892631823503147E-2</v>
      </c>
      <c r="CD5" s="738" t="e">
        <f t="shared" si="50"/>
        <v>#N/A</v>
      </c>
      <c r="CE5" s="738">
        <f t="shared" si="51"/>
        <v>2.2366416973999714E-2</v>
      </c>
      <c r="CF5" s="738">
        <f t="shared" si="52"/>
        <v>2.2364779427376524E-2</v>
      </c>
      <c r="CG5" s="738">
        <f t="shared" si="53"/>
        <v>2.265524965731347E-2</v>
      </c>
      <c r="CH5" s="738">
        <f t="shared" si="54"/>
        <v>2.4243387752511725E-2</v>
      </c>
      <c r="CI5" s="738">
        <f t="shared" si="55"/>
        <v>0</v>
      </c>
      <c r="CJ5" s="738">
        <f t="shared" si="56"/>
        <v>2.4494642761349605E-2</v>
      </c>
      <c r="CK5" s="738">
        <f t="shared" si="57"/>
        <v>0</v>
      </c>
      <c r="CL5" s="738">
        <f t="shared" si="58"/>
        <v>1.5838481333377896E-2</v>
      </c>
    </row>
    <row r="6" spans="1:90" s="708" customFormat="1" x14ac:dyDescent="0.3">
      <c r="A6" s="740" t="s">
        <v>122</v>
      </c>
      <c r="B6" s="701">
        <v>4</v>
      </c>
      <c r="C6" s="811">
        <v>0.36308045707240444</v>
      </c>
      <c r="D6" s="811">
        <v>0.36308045707240449</v>
      </c>
      <c r="E6" s="811">
        <v>0.36308045707240438</v>
      </c>
      <c r="F6" s="811">
        <v>0.36308045707240444</v>
      </c>
      <c r="G6" s="811">
        <v>0.36308045707240438</v>
      </c>
      <c r="H6" s="811">
        <v>0.36308045707240444</v>
      </c>
      <c r="I6" s="811">
        <v>0.36308045707240449</v>
      </c>
      <c r="J6" s="811">
        <v>0.36308045707240438</v>
      </c>
      <c r="K6" s="811">
        <v>0.36308045707240444</v>
      </c>
      <c r="L6" s="811">
        <v>0.36308045707240444</v>
      </c>
      <c r="M6" s="811">
        <v>0.36308045707240438</v>
      </c>
      <c r="N6" s="811">
        <v>0.36422722064623431</v>
      </c>
      <c r="O6" s="811">
        <v>0.36308045707240449</v>
      </c>
      <c r="P6" s="811">
        <v>0.36308045707240444</v>
      </c>
      <c r="Q6" s="811">
        <v>0</v>
      </c>
      <c r="R6" s="811">
        <v>0.36308045707240438</v>
      </c>
      <c r="S6" s="811">
        <v>0.36308045707240449</v>
      </c>
      <c r="T6" s="811">
        <v>0.36308045707240449</v>
      </c>
      <c r="U6" s="811">
        <v>0.30702799695703281</v>
      </c>
      <c r="V6" s="811">
        <v>0.6030949767670386</v>
      </c>
      <c r="W6" s="811">
        <v>0</v>
      </c>
      <c r="X6" s="811">
        <v>0</v>
      </c>
      <c r="Y6" s="811">
        <v>0</v>
      </c>
      <c r="Z6" s="811">
        <v>0</v>
      </c>
      <c r="AA6" s="812">
        <v>0.24629487165808872</v>
      </c>
      <c r="AB6" s="812">
        <v>0</v>
      </c>
      <c r="AC6" s="812">
        <v>0</v>
      </c>
      <c r="AD6" s="812">
        <v>7.0776242368285364E-2</v>
      </c>
      <c r="AE6" s="813">
        <f t="shared" si="0"/>
        <v>0.26122456794388066</v>
      </c>
      <c r="AF6" s="709"/>
      <c r="AG6" s="739">
        <f t="shared" si="1"/>
        <v>0.35494992787824214</v>
      </c>
      <c r="AH6" s="739">
        <f t="shared" si="2"/>
        <v>0.35494992787824214</v>
      </c>
      <c r="AI6" s="739">
        <f t="shared" si="3"/>
        <v>0.35494992787824209</v>
      </c>
      <c r="AJ6" s="739">
        <f t="shared" si="4"/>
        <v>0.35494992787824214</v>
      </c>
      <c r="AK6" s="739">
        <f t="shared" si="5"/>
        <v>0.35494992787824209</v>
      </c>
      <c r="AL6" s="739">
        <f t="shared" si="6"/>
        <v>0.3549499278782422</v>
      </c>
      <c r="AM6" s="739">
        <f t="shared" si="7"/>
        <v>0.3549499278782422</v>
      </c>
      <c r="AN6" s="739">
        <f t="shared" si="8"/>
        <v>0.35494992787824209</v>
      </c>
      <c r="AO6" s="739">
        <f t="shared" si="9"/>
        <v>0.35494992787824209</v>
      </c>
      <c r="AP6" s="739">
        <f t="shared" si="10"/>
        <v>0.35494992787824214</v>
      </c>
      <c r="AQ6" s="739">
        <f t="shared" si="11"/>
        <v>0.35494992787824209</v>
      </c>
      <c r="AR6" s="739">
        <f t="shared" si="12"/>
        <v>0.35607101175895112</v>
      </c>
      <c r="AS6" s="739">
        <f t="shared" si="13"/>
        <v>0.3549499278782422</v>
      </c>
      <c r="AT6" s="739">
        <f t="shared" si="14"/>
        <v>0.35494992787824214</v>
      </c>
      <c r="AU6" s="739" t="e">
        <f t="shared" si="15"/>
        <v>#N/A</v>
      </c>
      <c r="AV6" s="739">
        <f t="shared" si="16"/>
        <v>0.35494992787824214</v>
      </c>
      <c r="AW6" s="739">
        <f t="shared" si="17"/>
        <v>0.3549499278782422</v>
      </c>
      <c r="AX6" s="739">
        <f t="shared" si="18"/>
        <v>0.3549499278782422</v>
      </c>
      <c r="AY6" s="739">
        <f t="shared" si="19"/>
        <v>0.30015266108020666</v>
      </c>
      <c r="AZ6" s="739">
        <f t="shared" si="20"/>
        <v>0.5895897571388744</v>
      </c>
      <c r="BA6" s="739" t="e">
        <f t="shared" si="21"/>
        <v>#N/A</v>
      </c>
      <c r="BB6" s="739" t="e">
        <f t="shared" si="22"/>
        <v>#N/A</v>
      </c>
      <c r="BC6" s="739" t="e">
        <f t="shared" si="23"/>
        <v>#N/A</v>
      </c>
      <c r="BD6" s="739" t="e">
        <f t="shared" si="24"/>
        <v>#N/A</v>
      </c>
      <c r="BE6" s="739">
        <f t="shared" si="25"/>
        <v>0.24077954411736896</v>
      </c>
      <c r="BF6" s="739" t="e">
        <f t="shared" si="26"/>
        <v>#N/A</v>
      </c>
      <c r="BG6" s="739" t="e">
        <f t="shared" si="27"/>
        <v>#N/A</v>
      </c>
      <c r="BH6" s="739">
        <f t="shared" si="28"/>
        <v>6.9191336616352545E-2</v>
      </c>
      <c r="BI6" s="739" t="e">
        <f t="shared" si="29"/>
        <v>#N/A</v>
      </c>
      <c r="BJ6" s="738">
        <f t="shared" si="30"/>
        <v>8.1305291941622948E-3</v>
      </c>
      <c r="BK6" s="738">
        <f t="shared" si="31"/>
        <v>8.1305291941623503E-3</v>
      </c>
      <c r="BL6" s="738">
        <f t="shared" si="32"/>
        <v>8.1305291941622948E-3</v>
      </c>
      <c r="BM6" s="738">
        <f t="shared" si="33"/>
        <v>8.1305291941622948E-3</v>
      </c>
      <c r="BN6" s="738">
        <f t="shared" si="34"/>
        <v>8.1305291941622948E-3</v>
      </c>
      <c r="BO6" s="738">
        <f t="shared" si="35"/>
        <v>8.1305291941622393E-3</v>
      </c>
      <c r="BP6" s="738">
        <f t="shared" si="36"/>
        <v>8.1305291941622948E-3</v>
      </c>
      <c r="BQ6" s="738">
        <f t="shared" si="37"/>
        <v>8.1305291941622948E-3</v>
      </c>
      <c r="BR6" s="738">
        <f t="shared" si="38"/>
        <v>8.1305291941623503E-3</v>
      </c>
      <c r="BS6" s="738">
        <f t="shared" si="39"/>
        <v>8.1305291941622948E-3</v>
      </c>
      <c r="BT6" s="738">
        <f t="shared" si="40"/>
        <v>8.1305291941622948E-3</v>
      </c>
      <c r="BU6" s="738">
        <f t="shared" si="41"/>
        <v>8.1562088872831895E-3</v>
      </c>
      <c r="BV6" s="738">
        <f t="shared" si="42"/>
        <v>8.1305291941622948E-3</v>
      </c>
      <c r="BW6" s="738">
        <f t="shared" si="43"/>
        <v>8.1305291941622948E-3</v>
      </c>
      <c r="BX6" s="738" t="e">
        <f t="shared" si="44"/>
        <v>#N/A</v>
      </c>
      <c r="BY6" s="738">
        <f t="shared" si="45"/>
        <v>8.1305291941622393E-3</v>
      </c>
      <c r="BZ6" s="738">
        <f t="shared" si="46"/>
        <v>8.1305291941622948E-3</v>
      </c>
      <c r="CA6" s="738">
        <f t="shared" si="47"/>
        <v>8.1305291941622948E-3</v>
      </c>
      <c r="CB6" s="738">
        <f t="shared" si="48"/>
        <v>6.8753358768261497E-3</v>
      </c>
      <c r="CC6" s="738">
        <f t="shared" si="49"/>
        <v>1.35052196281642E-2</v>
      </c>
      <c r="CD6" s="738" t="e">
        <f t="shared" si="50"/>
        <v>#N/A</v>
      </c>
      <c r="CE6" s="738" t="e">
        <f t="shared" si="51"/>
        <v>#N/A</v>
      </c>
      <c r="CF6" s="738" t="e">
        <f t="shared" si="52"/>
        <v>#N/A</v>
      </c>
      <c r="CG6" s="738" t="e">
        <f t="shared" si="53"/>
        <v>#N/A</v>
      </c>
      <c r="CH6" s="738">
        <f t="shared" si="54"/>
        <v>5.5153275407197611E-3</v>
      </c>
      <c r="CI6" s="738" t="e">
        <f t="shared" si="55"/>
        <v>#N/A</v>
      </c>
      <c r="CJ6" s="738" t="e">
        <f t="shared" si="56"/>
        <v>#N/A</v>
      </c>
      <c r="CK6" s="738">
        <f t="shared" si="57"/>
        <v>1.5849057519328191E-3</v>
      </c>
      <c r="CL6" s="738" t="e">
        <f t="shared" si="58"/>
        <v>#N/A</v>
      </c>
    </row>
    <row r="7" spans="1:90" s="708" customFormat="1" x14ac:dyDescent="0.3">
      <c r="A7" s="740" t="s">
        <v>123</v>
      </c>
      <c r="B7" s="701">
        <v>5</v>
      </c>
      <c r="C7" s="811">
        <v>0.15890641946463685</v>
      </c>
      <c r="D7" s="811">
        <v>0.15890641946463691</v>
      </c>
      <c r="E7" s="811">
        <v>0.15890641946463691</v>
      </c>
      <c r="F7" s="811">
        <v>0.15890641946463693</v>
      </c>
      <c r="G7" s="811">
        <v>0.15890641946463679</v>
      </c>
      <c r="H7" s="811">
        <v>0.15890641946463696</v>
      </c>
      <c r="I7" s="811">
        <v>0.15890641946463682</v>
      </c>
      <c r="J7" s="811">
        <v>0.15890641946463696</v>
      </c>
      <c r="K7" s="811">
        <v>0.15890641946463693</v>
      </c>
      <c r="L7" s="811">
        <v>0.15890641946463682</v>
      </c>
      <c r="M7" s="811">
        <v>0.15890641946463679</v>
      </c>
      <c r="N7" s="811">
        <v>0.17457322410861545</v>
      </c>
      <c r="O7" s="811">
        <v>0.15890641946463696</v>
      </c>
      <c r="P7" s="811">
        <v>0.15890641946463688</v>
      </c>
      <c r="Q7" s="811">
        <v>0.15890641946463696</v>
      </c>
      <c r="R7" s="811">
        <v>0.15890641946463685</v>
      </c>
      <c r="S7" s="811">
        <v>0.15890641946463693</v>
      </c>
      <c r="T7" s="811">
        <v>0</v>
      </c>
      <c r="U7" s="811">
        <v>0.14929647826324918</v>
      </c>
      <c r="V7" s="811">
        <v>0.15890641946463691</v>
      </c>
      <c r="W7" s="811">
        <v>0</v>
      </c>
      <c r="X7" s="811">
        <v>0.15890641946463682</v>
      </c>
      <c r="Y7" s="811">
        <v>0.15890641946463685</v>
      </c>
      <c r="Z7" s="811">
        <v>0</v>
      </c>
      <c r="AA7" s="812">
        <v>0.35905758712162089</v>
      </c>
      <c r="AB7" s="812">
        <v>0</v>
      </c>
      <c r="AC7" s="812">
        <v>0.13441825656635731</v>
      </c>
      <c r="AD7" s="812">
        <v>4.3857468750097002E-2</v>
      </c>
      <c r="AE7" s="813">
        <f t="shared" si="0"/>
        <v>0.15555799342395432</v>
      </c>
      <c r="AF7" s="709"/>
      <c r="AG7" s="739">
        <f t="shared" si="1"/>
        <v>0.1529735373360171</v>
      </c>
      <c r="AH7" s="739">
        <f t="shared" si="2"/>
        <v>0.15297353733601715</v>
      </c>
      <c r="AI7" s="739">
        <f t="shared" si="3"/>
        <v>0.15297353733601718</v>
      </c>
      <c r="AJ7" s="739">
        <f t="shared" si="4"/>
        <v>0.15297353733601718</v>
      </c>
      <c r="AK7" s="739">
        <f t="shared" si="5"/>
        <v>0.15297353733601704</v>
      </c>
      <c r="AL7" s="739">
        <f t="shared" si="6"/>
        <v>0.15297353733601721</v>
      </c>
      <c r="AM7" s="739">
        <f t="shared" si="7"/>
        <v>0.1529735373360171</v>
      </c>
      <c r="AN7" s="739">
        <f t="shared" si="8"/>
        <v>0.15297353733601723</v>
      </c>
      <c r="AO7" s="739">
        <f t="shared" si="9"/>
        <v>0.15297353733601721</v>
      </c>
      <c r="AP7" s="739">
        <f t="shared" si="10"/>
        <v>0.1529735373360171</v>
      </c>
      <c r="AQ7" s="739">
        <f t="shared" si="11"/>
        <v>0.15297353733601707</v>
      </c>
      <c r="AR7" s="739">
        <f t="shared" si="12"/>
        <v>0.16805541088911852</v>
      </c>
      <c r="AS7" s="739">
        <f t="shared" si="13"/>
        <v>0.15297353733601723</v>
      </c>
      <c r="AT7" s="739">
        <f t="shared" si="14"/>
        <v>0.15297353733601715</v>
      </c>
      <c r="AU7" s="739">
        <f t="shared" si="15"/>
        <v>0.15297353733601723</v>
      </c>
      <c r="AV7" s="739">
        <f t="shared" si="16"/>
        <v>0.15297353733601712</v>
      </c>
      <c r="AW7" s="739">
        <f t="shared" si="17"/>
        <v>0.15297353733601721</v>
      </c>
      <c r="AX7" s="739">
        <f t="shared" si="18"/>
        <v>0</v>
      </c>
      <c r="AY7" s="739">
        <f t="shared" si="19"/>
        <v>0.1437223899996154</v>
      </c>
      <c r="AZ7" s="739">
        <f t="shared" si="20"/>
        <v>0.15297353733601715</v>
      </c>
      <c r="BA7" s="739" t="e">
        <f t="shared" si="21"/>
        <v>#N/A</v>
      </c>
      <c r="BB7" s="739">
        <f t="shared" si="22"/>
        <v>0.1529735373360171</v>
      </c>
      <c r="BC7" s="739">
        <f t="shared" si="23"/>
        <v>0.15297353733601712</v>
      </c>
      <c r="BD7" s="739" t="e">
        <f t="shared" si="24"/>
        <v>#N/A</v>
      </c>
      <c r="BE7" s="739">
        <f t="shared" si="25"/>
        <v>0.34565192139108536</v>
      </c>
      <c r="BF7" s="739" t="e">
        <f t="shared" si="26"/>
        <v>#N/A</v>
      </c>
      <c r="BG7" s="739">
        <f t="shared" si="27"/>
        <v>0.12939965709863574</v>
      </c>
      <c r="BH7" s="739">
        <f t="shared" si="28"/>
        <v>4.2220019530420545E-2</v>
      </c>
      <c r="BI7" s="739">
        <f t="shared" si="29"/>
        <v>0.14975012711963356</v>
      </c>
      <c r="BJ7" s="738">
        <f t="shared" si="30"/>
        <v>5.9328821286197542E-3</v>
      </c>
      <c r="BK7" s="738">
        <f t="shared" si="31"/>
        <v>5.9328821286197542E-3</v>
      </c>
      <c r="BL7" s="738">
        <f t="shared" si="32"/>
        <v>5.9328821286197264E-3</v>
      </c>
      <c r="BM7" s="738">
        <f t="shared" si="33"/>
        <v>5.9328821286197542E-3</v>
      </c>
      <c r="BN7" s="738">
        <f t="shared" si="34"/>
        <v>5.9328821286197542E-3</v>
      </c>
      <c r="BO7" s="738">
        <f t="shared" si="35"/>
        <v>5.9328821286197542E-3</v>
      </c>
      <c r="BP7" s="738">
        <f t="shared" si="36"/>
        <v>5.9328821286197264E-3</v>
      </c>
      <c r="BQ7" s="738">
        <f t="shared" si="37"/>
        <v>5.9328821286197264E-3</v>
      </c>
      <c r="BR7" s="738">
        <f t="shared" si="38"/>
        <v>5.9328821286197264E-3</v>
      </c>
      <c r="BS7" s="738">
        <f t="shared" si="39"/>
        <v>5.9328821286197264E-3</v>
      </c>
      <c r="BT7" s="738">
        <f t="shared" si="40"/>
        <v>5.9328821286197264E-3</v>
      </c>
      <c r="BU7" s="738">
        <f t="shared" si="41"/>
        <v>6.5178132194969318E-3</v>
      </c>
      <c r="BV7" s="738">
        <f t="shared" si="42"/>
        <v>5.9328821286197264E-3</v>
      </c>
      <c r="BW7" s="738">
        <f t="shared" si="43"/>
        <v>5.9328821286197264E-3</v>
      </c>
      <c r="BX7" s="738">
        <f t="shared" si="44"/>
        <v>5.9328821286197264E-3</v>
      </c>
      <c r="BY7" s="738">
        <f t="shared" si="45"/>
        <v>5.9328821286197264E-3</v>
      </c>
      <c r="BZ7" s="738">
        <f t="shared" si="46"/>
        <v>5.9328821286197264E-3</v>
      </c>
      <c r="CA7" s="738">
        <f t="shared" si="47"/>
        <v>0</v>
      </c>
      <c r="CB7" s="738">
        <f t="shared" si="48"/>
        <v>5.5740882636337863E-3</v>
      </c>
      <c r="CC7" s="738">
        <f t="shared" si="49"/>
        <v>5.9328821286197542E-3</v>
      </c>
      <c r="CD7" s="738" t="e">
        <f t="shared" si="50"/>
        <v>#N/A</v>
      </c>
      <c r="CE7" s="738">
        <f t="shared" si="51"/>
        <v>5.9328821286197264E-3</v>
      </c>
      <c r="CF7" s="738">
        <f t="shared" si="52"/>
        <v>5.9328821286197264E-3</v>
      </c>
      <c r="CG7" s="738" t="e">
        <f t="shared" si="53"/>
        <v>#N/A</v>
      </c>
      <c r="CH7" s="738">
        <f t="shared" si="54"/>
        <v>1.3405665730535532E-2</v>
      </c>
      <c r="CI7" s="738" t="e">
        <f t="shared" si="55"/>
        <v>#N/A</v>
      </c>
      <c r="CJ7" s="738">
        <f t="shared" si="56"/>
        <v>5.0185994677215684E-3</v>
      </c>
      <c r="CK7" s="738">
        <f t="shared" si="57"/>
        <v>1.6374492196764567E-3</v>
      </c>
      <c r="CL7" s="738">
        <f t="shared" si="58"/>
        <v>5.8078663043207579E-3</v>
      </c>
    </row>
    <row r="8" spans="1:90" s="708" customFormat="1" x14ac:dyDescent="0.3">
      <c r="A8" s="740" t="s">
        <v>308</v>
      </c>
      <c r="B8" s="701">
        <v>6</v>
      </c>
      <c r="C8" s="811">
        <v>0.20717528238177713</v>
      </c>
      <c r="D8" s="811">
        <v>0.30946410765422949</v>
      </c>
      <c r="E8" s="811">
        <v>0.4320565856363317</v>
      </c>
      <c r="F8" s="811">
        <v>0.37858391874704389</v>
      </c>
      <c r="G8" s="811">
        <v>0.39713300869364881</v>
      </c>
      <c r="H8" s="811">
        <v>0.4533580958692689</v>
      </c>
      <c r="I8" s="811">
        <v>0.37731419302185987</v>
      </c>
      <c r="J8" s="811">
        <v>0.3923618752907006</v>
      </c>
      <c r="K8" s="811">
        <v>0.25402523911672958</v>
      </c>
      <c r="L8" s="811">
        <v>0</v>
      </c>
      <c r="M8" s="811">
        <v>0.37204492890312341</v>
      </c>
      <c r="N8" s="811">
        <v>0.3655950764403903</v>
      </c>
      <c r="O8" s="811">
        <v>0.36564860970150526</v>
      </c>
      <c r="P8" s="811">
        <v>0</v>
      </c>
      <c r="Q8" s="811">
        <v>0.41731484201900976</v>
      </c>
      <c r="R8" s="811">
        <v>0.48353819955848337</v>
      </c>
      <c r="S8" s="811">
        <v>0.4707325963881156</v>
      </c>
      <c r="T8" s="811">
        <v>0.20717313676386734</v>
      </c>
      <c r="U8" s="811">
        <v>0.38473634780629179</v>
      </c>
      <c r="V8" s="811">
        <v>0.19672683915505659</v>
      </c>
      <c r="W8" s="811">
        <v>0</v>
      </c>
      <c r="X8" s="811">
        <v>0.3988479890366679</v>
      </c>
      <c r="Y8" s="811">
        <v>0.44091201844393069</v>
      </c>
      <c r="Z8" s="811">
        <v>0.49003414503087517</v>
      </c>
      <c r="AA8" s="812">
        <v>0.33123271560032402</v>
      </c>
      <c r="AB8" s="812">
        <v>0</v>
      </c>
      <c r="AC8" s="812">
        <v>0</v>
      </c>
      <c r="AD8" s="812">
        <v>0</v>
      </c>
      <c r="AE8" s="813">
        <f t="shared" si="0"/>
        <v>0.29980257945269806</v>
      </c>
      <c r="AF8" s="709"/>
      <c r="AG8" s="739">
        <f t="shared" si="1"/>
        <v>0.20708374808577376</v>
      </c>
      <c r="AH8" s="739">
        <f t="shared" si="2"/>
        <v>0.30932738005378035</v>
      </c>
      <c r="AI8" s="739">
        <f t="shared" si="3"/>
        <v>0.43186569416054765</v>
      </c>
      <c r="AJ8" s="739">
        <f t="shared" si="4"/>
        <v>0.37841665259404383</v>
      </c>
      <c r="AK8" s="739">
        <f t="shared" si="5"/>
        <v>0.39695754717163445</v>
      </c>
      <c r="AL8" s="739">
        <f t="shared" si="6"/>
        <v>0.45315779294864178</v>
      </c>
      <c r="AM8" s="739">
        <f t="shared" si="7"/>
        <v>0.37714748785977065</v>
      </c>
      <c r="AN8" s="739">
        <f t="shared" si="8"/>
        <v>0.39218852175344276</v>
      </c>
      <c r="AO8" s="739">
        <f t="shared" si="9"/>
        <v>0.25391300554734664</v>
      </c>
      <c r="AP8" s="739" t="e">
        <f t="shared" si="10"/>
        <v>#N/A</v>
      </c>
      <c r="AQ8" s="739">
        <f t="shared" si="11"/>
        <v>0.3718805518101746</v>
      </c>
      <c r="AR8" s="739">
        <f t="shared" si="12"/>
        <v>0.36543354902476644</v>
      </c>
      <c r="AS8" s="739">
        <f t="shared" si="13"/>
        <v>0.36548705863378689</v>
      </c>
      <c r="AT8" s="739">
        <f t="shared" si="14"/>
        <v>0</v>
      </c>
      <c r="AU8" s="739">
        <f t="shared" si="15"/>
        <v>0.41713046374841295</v>
      </c>
      <c r="AV8" s="739">
        <f t="shared" si="16"/>
        <v>0.4833245624480208</v>
      </c>
      <c r="AW8" s="739">
        <f t="shared" si="17"/>
        <v>0.47052461705621434</v>
      </c>
      <c r="AX8" s="739">
        <f t="shared" si="18"/>
        <v>0.20708160341584206</v>
      </c>
      <c r="AY8" s="739">
        <f t="shared" si="19"/>
        <v>0.38456636338373673</v>
      </c>
      <c r="AZ8" s="739">
        <f t="shared" si="20"/>
        <v>0.19663992119592555</v>
      </c>
      <c r="BA8" s="739" t="e">
        <f t="shared" si="21"/>
        <v>#N/A</v>
      </c>
      <c r="BB8" s="739">
        <f t="shared" si="22"/>
        <v>0.39867176980110508</v>
      </c>
      <c r="BC8" s="739">
        <f t="shared" si="23"/>
        <v>0.44071721445600459</v>
      </c>
      <c r="BD8" s="739">
        <f t="shared" si="24"/>
        <v>0.489817637878249</v>
      </c>
      <c r="BE8" s="739">
        <f t="shared" si="25"/>
        <v>0.33108637018166598</v>
      </c>
      <c r="BF8" s="739" t="e">
        <f t="shared" si="26"/>
        <v>#N/A</v>
      </c>
      <c r="BG8" s="739" t="e">
        <f t="shared" si="27"/>
        <v>#N/A</v>
      </c>
      <c r="BH8" s="739">
        <f t="shared" si="28"/>
        <v>0</v>
      </c>
      <c r="BI8" s="739">
        <f t="shared" si="29"/>
        <v>0.29967012051389658</v>
      </c>
      <c r="BJ8" s="738">
        <f t="shared" si="30"/>
        <v>9.1534296003364934E-5</v>
      </c>
      <c r="BK8" s="738">
        <f t="shared" si="31"/>
        <v>1.3672760044913801E-4</v>
      </c>
      <c r="BL8" s="738">
        <f t="shared" si="32"/>
        <v>1.9089147578404964E-4</v>
      </c>
      <c r="BM8" s="738">
        <f t="shared" si="33"/>
        <v>1.6726615300005632E-4</v>
      </c>
      <c r="BN8" s="738">
        <f t="shared" si="34"/>
        <v>1.7546152201436405E-4</v>
      </c>
      <c r="BO8" s="738">
        <f t="shared" si="35"/>
        <v>2.0030292062711563E-4</v>
      </c>
      <c r="BP8" s="738">
        <f t="shared" si="36"/>
        <v>1.6670516208922015E-4</v>
      </c>
      <c r="BQ8" s="738">
        <f t="shared" si="37"/>
        <v>1.7335353725783653E-4</v>
      </c>
      <c r="BR8" s="738">
        <f t="shared" si="38"/>
        <v>1.1223356938294682E-4</v>
      </c>
      <c r="BS8" s="738" t="e">
        <f t="shared" si="39"/>
        <v>#N/A</v>
      </c>
      <c r="BT8" s="738">
        <f t="shared" si="40"/>
        <v>1.6437709294880865E-4</v>
      </c>
      <c r="BU8" s="738">
        <f t="shared" si="41"/>
        <v>1.615274156238633E-4</v>
      </c>
      <c r="BV8" s="738">
        <f t="shared" si="42"/>
        <v>1.6155106771836847E-4</v>
      </c>
      <c r="BW8" s="738">
        <f t="shared" si="43"/>
        <v>0</v>
      </c>
      <c r="BX8" s="738">
        <f t="shared" si="44"/>
        <v>1.8437827059680778E-4</v>
      </c>
      <c r="BY8" s="738">
        <f t="shared" si="45"/>
        <v>2.1363711046257228E-4</v>
      </c>
      <c r="BZ8" s="738">
        <f t="shared" si="46"/>
        <v>2.0797933190125351E-4</v>
      </c>
      <c r="CA8" s="738">
        <f t="shared" si="47"/>
        <v>9.1533348025280015E-5</v>
      </c>
      <c r="CB8" s="738">
        <f t="shared" si="48"/>
        <v>1.6998442255505841E-4</v>
      </c>
      <c r="CC8" s="738">
        <f t="shared" si="49"/>
        <v>8.6917959131044276E-5</v>
      </c>
      <c r="CD8" s="738" t="e">
        <f t="shared" si="50"/>
        <v>#N/A</v>
      </c>
      <c r="CE8" s="738">
        <f t="shared" si="51"/>
        <v>1.7621923556282448E-4</v>
      </c>
      <c r="CF8" s="738">
        <f t="shared" si="52"/>
        <v>1.9480398792609543E-4</v>
      </c>
      <c r="CG8" s="738">
        <f t="shared" si="53"/>
        <v>2.1650715262616638E-4</v>
      </c>
      <c r="CH8" s="738">
        <f t="shared" si="54"/>
        <v>1.4634541865804485E-4</v>
      </c>
      <c r="CI8" s="738" t="e">
        <f t="shared" si="55"/>
        <v>#N/A</v>
      </c>
      <c r="CJ8" s="738" t="e">
        <f t="shared" si="56"/>
        <v>#N/A</v>
      </c>
      <c r="CK8" s="738">
        <f t="shared" si="57"/>
        <v>0</v>
      </c>
      <c r="CL8" s="738">
        <f t="shared" si="58"/>
        <v>1.3245893880148296E-4</v>
      </c>
    </row>
    <row r="9" spans="1:90" s="708" customFormat="1" x14ac:dyDescent="0.3">
      <c r="A9" s="740" t="s">
        <v>130</v>
      </c>
      <c r="B9" s="701">
        <v>7</v>
      </c>
      <c r="C9" s="811">
        <v>0.50879723128812615</v>
      </c>
      <c r="D9" s="811">
        <v>0.50879723128812615</v>
      </c>
      <c r="E9" s="811">
        <v>0.50879723128812626</v>
      </c>
      <c r="F9" s="811">
        <v>0.50879723128812615</v>
      </c>
      <c r="G9" s="811">
        <v>0.50879723128812626</v>
      </c>
      <c r="H9" s="811">
        <v>0.50879723128812615</v>
      </c>
      <c r="I9" s="811">
        <v>0.50879723128812626</v>
      </c>
      <c r="J9" s="811">
        <v>0.50879723128812615</v>
      </c>
      <c r="K9" s="811">
        <v>0.50879723128812615</v>
      </c>
      <c r="L9" s="811">
        <v>0.50879723128812626</v>
      </c>
      <c r="M9" s="811">
        <v>0.50879723128812615</v>
      </c>
      <c r="N9" s="811">
        <v>0.5098789116558996</v>
      </c>
      <c r="O9" s="811">
        <v>0.50879723128812626</v>
      </c>
      <c r="P9" s="811">
        <v>0.50879723128812626</v>
      </c>
      <c r="Q9" s="811">
        <v>0.50879723128812626</v>
      </c>
      <c r="R9" s="811">
        <v>0.50879723128812626</v>
      </c>
      <c r="S9" s="811">
        <v>0.50879723128812626</v>
      </c>
      <c r="T9" s="811">
        <v>0.50879723128812626</v>
      </c>
      <c r="U9" s="811">
        <v>0.48252578811400287</v>
      </c>
      <c r="V9" s="811">
        <v>0.93387163022749231</v>
      </c>
      <c r="W9" s="811">
        <v>0</v>
      </c>
      <c r="X9" s="811">
        <v>0.50879723128812615</v>
      </c>
      <c r="Y9" s="811">
        <v>0</v>
      </c>
      <c r="Z9" s="811">
        <v>0.50879723128812615</v>
      </c>
      <c r="AA9" s="812">
        <v>0.4998805632417615</v>
      </c>
      <c r="AB9" s="812">
        <v>0</v>
      </c>
      <c r="AC9" s="812">
        <v>0</v>
      </c>
      <c r="AD9" s="812">
        <v>0</v>
      </c>
      <c r="AE9" s="813">
        <f t="shared" si="0"/>
        <v>0.42265418490555834</v>
      </c>
      <c r="AF9" s="709"/>
      <c r="AG9" s="739">
        <f t="shared" si="1"/>
        <v>0.53716101651709214</v>
      </c>
      <c r="AH9" s="739">
        <f t="shared" si="2"/>
        <v>0.53716101651709203</v>
      </c>
      <c r="AI9" s="739">
        <f t="shared" si="3"/>
        <v>0.53716101651709214</v>
      </c>
      <c r="AJ9" s="739">
        <f t="shared" si="4"/>
        <v>0.53716101651709203</v>
      </c>
      <c r="AK9" s="739">
        <f t="shared" si="5"/>
        <v>0.53716101651709214</v>
      </c>
      <c r="AL9" s="739">
        <f t="shared" si="6"/>
        <v>0.53716101651709203</v>
      </c>
      <c r="AM9" s="739">
        <f t="shared" si="7"/>
        <v>0.53716101651709214</v>
      </c>
      <c r="AN9" s="739">
        <f t="shared" si="8"/>
        <v>0.53716101651709203</v>
      </c>
      <c r="AO9" s="739">
        <f t="shared" si="9"/>
        <v>0.53716101651709203</v>
      </c>
      <c r="AP9" s="739">
        <f t="shared" si="10"/>
        <v>0.53716101651709214</v>
      </c>
      <c r="AQ9" s="739">
        <f t="shared" si="11"/>
        <v>0.53716101651709203</v>
      </c>
      <c r="AR9" s="739">
        <f t="shared" si="12"/>
        <v>0.53830299703539941</v>
      </c>
      <c r="AS9" s="739">
        <f t="shared" si="13"/>
        <v>0.53716101651709214</v>
      </c>
      <c r="AT9" s="739">
        <f t="shared" si="14"/>
        <v>0.53716101651709214</v>
      </c>
      <c r="AU9" s="739">
        <f t="shared" si="15"/>
        <v>0.53716101651709214</v>
      </c>
      <c r="AV9" s="739">
        <f t="shared" si="16"/>
        <v>0.53716101651709214</v>
      </c>
      <c r="AW9" s="739">
        <f t="shared" si="17"/>
        <v>0.53716101651709225</v>
      </c>
      <c r="AX9" s="739">
        <f t="shared" si="18"/>
        <v>0.53716101651709214</v>
      </c>
      <c r="AY9" s="739">
        <f t="shared" si="19"/>
        <v>0.50942502612057272</v>
      </c>
      <c r="AZ9" s="739">
        <f t="shared" si="20"/>
        <v>0.98593192600413515</v>
      </c>
      <c r="BA9" s="739" t="e">
        <f t="shared" si="21"/>
        <v>#N/A</v>
      </c>
      <c r="BB9" s="739">
        <f t="shared" si="22"/>
        <v>0.53716101651709203</v>
      </c>
      <c r="BC9" s="739" t="e">
        <f t="shared" si="23"/>
        <v>#N/A</v>
      </c>
      <c r="BD9" s="739">
        <f t="shared" si="24"/>
        <v>0.53716101651709203</v>
      </c>
      <c r="BE9" s="739">
        <f t="shared" si="25"/>
        <v>0.52774727332591032</v>
      </c>
      <c r="BF9" s="739" t="e">
        <f t="shared" si="26"/>
        <v>#N/A</v>
      </c>
      <c r="BG9" s="739" t="e">
        <f t="shared" si="27"/>
        <v>#N/A</v>
      </c>
      <c r="BH9" s="739">
        <f t="shared" si="28"/>
        <v>0</v>
      </c>
      <c r="BI9" s="739" t="e">
        <f t="shared" si="29"/>
        <v>#N/A</v>
      </c>
      <c r="BJ9" s="738">
        <f t="shared" si="30"/>
        <v>-2.8363785228965988E-2</v>
      </c>
      <c r="BK9" s="738">
        <f t="shared" si="31"/>
        <v>-2.8363785228965877E-2</v>
      </c>
      <c r="BL9" s="738">
        <f t="shared" si="32"/>
        <v>-2.8363785228965877E-2</v>
      </c>
      <c r="BM9" s="738">
        <f t="shared" si="33"/>
        <v>-2.8363785228965877E-2</v>
      </c>
      <c r="BN9" s="738">
        <f t="shared" si="34"/>
        <v>-2.8363785228965877E-2</v>
      </c>
      <c r="BO9" s="738">
        <f t="shared" si="35"/>
        <v>-2.8363785228965877E-2</v>
      </c>
      <c r="BP9" s="738">
        <f t="shared" si="36"/>
        <v>-2.8363785228965877E-2</v>
      </c>
      <c r="BQ9" s="738">
        <f t="shared" si="37"/>
        <v>-2.8363785228965877E-2</v>
      </c>
      <c r="BR9" s="738">
        <f t="shared" si="38"/>
        <v>-2.8363785228965877E-2</v>
      </c>
      <c r="BS9" s="738">
        <f t="shared" si="39"/>
        <v>-2.8363785228965877E-2</v>
      </c>
      <c r="BT9" s="738">
        <f t="shared" si="40"/>
        <v>-2.8363785228965877E-2</v>
      </c>
      <c r="BU9" s="738">
        <f t="shared" si="41"/>
        <v>-2.8424085379499808E-2</v>
      </c>
      <c r="BV9" s="738">
        <f t="shared" si="42"/>
        <v>-2.8363785228965877E-2</v>
      </c>
      <c r="BW9" s="738">
        <f t="shared" si="43"/>
        <v>-2.8363785228965877E-2</v>
      </c>
      <c r="BX9" s="738">
        <f t="shared" si="44"/>
        <v>-2.8363785228965877E-2</v>
      </c>
      <c r="BY9" s="738">
        <f t="shared" si="45"/>
        <v>-2.8363785228965877E-2</v>
      </c>
      <c r="BZ9" s="738">
        <f t="shared" si="46"/>
        <v>-2.8363785228965988E-2</v>
      </c>
      <c r="CA9" s="738">
        <f t="shared" si="47"/>
        <v>-2.8363785228965877E-2</v>
      </c>
      <c r="CB9" s="738">
        <f t="shared" si="48"/>
        <v>-2.6899238006569848E-2</v>
      </c>
      <c r="CC9" s="738">
        <f t="shared" si="49"/>
        <v>-5.206029577664284E-2</v>
      </c>
      <c r="CD9" s="738" t="e">
        <f t="shared" si="50"/>
        <v>#N/A</v>
      </c>
      <c r="CE9" s="738">
        <f t="shared" si="51"/>
        <v>-2.8363785228965877E-2</v>
      </c>
      <c r="CF9" s="738" t="e">
        <f t="shared" si="52"/>
        <v>#N/A</v>
      </c>
      <c r="CG9" s="738">
        <f t="shared" si="53"/>
        <v>-2.8363785228965877E-2</v>
      </c>
      <c r="CH9" s="738">
        <f t="shared" si="54"/>
        <v>-2.7866710084148816E-2</v>
      </c>
      <c r="CI9" s="738" t="e">
        <f t="shared" si="55"/>
        <v>#N/A</v>
      </c>
      <c r="CJ9" s="738" t="e">
        <f t="shared" si="56"/>
        <v>#N/A</v>
      </c>
      <c r="CK9" s="738">
        <f t="shared" si="57"/>
        <v>0</v>
      </c>
      <c r="CL9" s="738" t="e">
        <f t="shared" si="58"/>
        <v>#N/A</v>
      </c>
    </row>
    <row r="10" spans="1:90" s="708" customFormat="1" x14ac:dyDescent="0.3">
      <c r="A10" s="740" t="s">
        <v>131</v>
      </c>
      <c r="B10" s="701">
        <v>8</v>
      </c>
      <c r="C10" s="811">
        <v>0</v>
      </c>
      <c r="D10" s="811">
        <v>0.72131955661099578</v>
      </c>
      <c r="E10" s="811">
        <v>0.72131955661099578</v>
      </c>
      <c r="F10" s="811">
        <v>0.72131955661099578</v>
      </c>
      <c r="G10" s="811">
        <v>0.72131955661099567</v>
      </c>
      <c r="H10" s="811">
        <v>0.72131955661099578</v>
      </c>
      <c r="I10" s="811">
        <v>0.72131955661099578</v>
      </c>
      <c r="J10" s="811">
        <v>0.72131955661099578</v>
      </c>
      <c r="K10" s="811">
        <v>0.72131955661099567</v>
      </c>
      <c r="L10" s="811">
        <v>0.72131955661099578</v>
      </c>
      <c r="M10" s="811">
        <v>0.72131955661099578</v>
      </c>
      <c r="N10" s="811">
        <v>0.72157089660819029</v>
      </c>
      <c r="O10" s="811">
        <v>0.72131955661099578</v>
      </c>
      <c r="P10" s="811">
        <v>0.72131955661099578</v>
      </c>
      <c r="Q10" s="811">
        <v>0.72131955661099578</v>
      </c>
      <c r="R10" s="811">
        <v>0.72131955661099589</v>
      </c>
      <c r="S10" s="811">
        <v>0.72131955661099578</v>
      </c>
      <c r="T10" s="811">
        <v>0.72131955661099578</v>
      </c>
      <c r="U10" s="811">
        <v>0.70608782859512242</v>
      </c>
      <c r="V10" s="811">
        <v>0.78823532457007761</v>
      </c>
      <c r="W10" s="811">
        <v>0</v>
      </c>
      <c r="X10" s="811">
        <v>0.72131955661099578</v>
      </c>
      <c r="Y10" s="811">
        <v>0.72131955661099578</v>
      </c>
      <c r="Z10" s="811">
        <v>0.72131955661099578</v>
      </c>
      <c r="AA10" s="812">
        <v>0.68202975989159242</v>
      </c>
      <c r="AB10" s="812">
        <v>0</v>
      </c>
      <c r="AC10" s="812">
        <v>0</v>
      </c>
      <c r="AD10" s="812">
        <v>0</v>
      </c>
      <c r="AE10" s="813">
        <f t="shared" si="0"/>
        <v>0.42717438386334911</v>
      </c>
      <c r="AF10" s="709"/>
      <c r="AG10" s="739" t="e">
        <f t="shared" si="1"/>
        <v>#N/A</v>
      </c>
      <c r="AH10" s="739">
        <f t="shared" si="2"/>
        <v>0.73614724383638319</v>
      </c>
      <c r="AI10" s="739">
        <f t="shared" si="3"/>
        <v>0.7361472438363833</v>
      </c>
      <c r="AJ10" s="739">
        <f t="shared" si="4"/>
        <v>0.73614724383638308</v>
      </c>
      <c r="AK10" s="739">
        <f t="shared" si="5"/>
        <v>0.73614724383638319</v>
      </c>
      <c r="AL10" s="739">
        <f t="shared" si="6"/>
        <v>0.7361472438363833</v>
      </c>
      <c r="AM10" s="739">
        <f t="shared" si="7"/>
        <v>0.73614724383638319</v>
      </c>
      <c r="AN10" s="739">
        <f t="shared" si="8"/>
        <v>0.7361472438363833</v>
      </c>
      <c r="AO10" s="739">
        <f t="shared" si="9"/>
        <v>0.73614724383638308</v>
      </c>
      <c r="AP10" s="739">
        <f t="shared" si="10"/>
        <v>0.73614724383638319</v>
      </c>
      <c r="AQ10" s="739">
        <f t="shared" si="11"/>
        <v>0.73614724383638319</v>
      </c>
      <c r="AR10" s="739">
        <f t="shared" si="12"/>
        <v>0.73640375046302997</v>
      </c>
      <c r="AS10" s="739">
        <f t="shared" si="13"/>
        <v>0.73614724383638308</v>
      </c>
      <c r="AT10" s="739">
        <f t="shared" si="14"/>
        <v>0.73614724383638319</v>
      </c>
      <c r="AU10" s="739">
        <f t="shared" si="15"/>
        <v>0.7361472438363833</v>
      </c>
      <c r="AV10" s="739">
        <f t="shared" si="16"/>
        <v>0.7361472438363833</v>
      </c>
      <c r="AW10" s="739">
        <f t="shared" si="17"/>
        <v>0.73614724383638319</v>
      </c>
      <c r="AX10" s="739">
        <f t="shared" si="18"/>
        <v>0.73614724383638319</v>
      </c>
      <c r="AY10" s="739">
        <f t="shared" si="19"/>
        <v>0.72060240730036562</v>
      </c>
      <c r="AZ10" s="739">
        <f t="shared" si="20"/>
        <v>0.80443855481055482</v>
      </c>
      <c r="BA10" s="739" t="e">
        <f t="shared" si="21"/>
        <v>#N/A</v>
      </c>
      <c r="BB10" s="739">
        <f t="shared" si="22"/>
        <v>0.73614724383638319</v>
      </c>
      <c r="BC10" s="739">
        <f t="shared" si="23"/>
        <v>0.7361472438363833</v>
      </c>
      <c r="BD10" s="739">
        <f t="shared" si="24"/>
        <v>0.73614724383638319</v>
      </c>
      <c r="BE10" s="739">
        <f t="shared" si="25"/>
        <v>0.6960497928511763</v>
      </c>
      <c r="BF10" s="739" t="e">
        <f t="shared" si="26"/>
        <v>#N/A</v>
      </c>
      <c r="BG10" s="739" t="e">
        <f t="shared" si="27"/>
        <v>#N/A</v>
      </c>
      <c r="BH10" s="739">
        <f t="shared" si="28"/>
        <v>0</v>
      </c>
      <c r="BI10" s="739" t="e">
        <f t="shared" si="29"/>
        <v>#N/A</v>
      </c>
      <c r="BJ10" s="738" t="e">
        <f t="shared" si="30"/>
        <v>#N/A</v>
      </c>
      <c r="BK10" s="738">
        <f t="shared" si="31"/>
        <v>-1.4827687225387409E-2</v>
      </c>
      <c r="BL10" s="738">
        <f t="shared" si="32"/>
        <v>-1.482768722538752E-2</v>
      </c>
      <c r="BM10" s="738">
        <f t="shared" si="33"/>
        <v>-1.4827687225387298E-2</v>
      </c>
      <c r="BN10" s="738">
        <f t="shared" si="34"/>
        <v>-1.482768722538752E-2</v>
      </c>
      <c r="BO10" s="738">
        <f t="shared" si="35"/>
        <v>-1.482768722538752E-2</v>
      </c>
      <c r="BP10" s="738">
        <f t="shared" si="36"/>
        <v>-1.4827687225387409E-2</v>
      </c>
      <c r="BQ10" s="738">
        <f t="shared" si="37"/>
        <v>-1.482768722538752E-2</v>
      </c>
      <c r="BR10" s="738">
        <f t="shared" si="38"/>
        <v>-1.4827687225387409E-2</v>
      </c>
      <c r="BS10" s="738">
        <f t="shared" si="39"/>
        <v>-1.4827687225387409E-2</v>
      </c>
      <c r="BT10" s="738">
        <f t="shared" si="40"/>
        <v>-1.4827687225387409E-2</v>
      </c>
      <c r="BU10" s="738">
        <f t="shared" si="41"/>
        <v>-1.4832853854839678E-2</v>
      </c>
      <c r="BV10" s="738">
        <f t="shared" si="42"/>
        <v>-1.4827687225387298E-2</v>
      </c>
      <c r="BW10" s="738">
        <f t="shared" si="43"/>
        <v>-1.4827687225387409E-2</v>
      </c>
      <c r="BX10" s="738">
        <f t="shared" si="44"/>
        <v>-1.482768722538752E-2</v>
      </c>
      <c r="BY10" s="738">
        <f t="shared" si="45"/>
        <v>-1.4827687225387409E-2</v>
      </c>
      <c r="BZ10" s="738">
        <f t="shared" si="46"/>
        <v>-1.4827687225387409E-2</v>
      </c>
      <c r="CA10" s="738">
        <f t="shared" si="47"/>
        <v>-1.4827687225387409E-2</v>
      </c>
      <c r="CB10" s="738">
        <f t="shared" si="48"/>
        <v>-1.4514578705243197E-2</v>
      </c>
      <c r="CC10" s="738">
        <f t="shared" si="49"/>
        <v>-1.6203230240477207E-2</v>
      </c>
      <c r="CD10" s="738" t="e">
        <f t="shared" si="50"/>
        <v>#N/A</v>
      </c>
      <c r="CE10" s="738">
        <f t="shared" si="51"/>
        <v>-1.4827687225387409E-2</v>
      </c>
      <c r="CF10" s="738">
        <f t="shared" si="52"/>
        <v>-1.482768722538752E-2</v>
      </c>
      <c r="CG10" s="738">
        <f t="shared" si="53"/>
        <v>-1.4827687225387409E-2</v>
      </c>
      <c r="CH10" s="738">
        <f t="shared" si="54"/>
        <v>-1.4020032959583872E-2</v>
      </c>
      <c r="CI10" s="738" t="e">
        <f t="shared" si="55"/>
        <v>#N/A</v>
      </c>
      <c r="CJ10" s="738" t="e">
        <f t="shared" si="56"/>
        <v>#N/A</v>
      </c>
      <c r="CK10" s="738">
        <f t="shared" si="57"/>
        <v>0</v>
      </c>
      <c r="CL10" s="738" t="e">
        <f t="shared" si="58"/>
        <v>#N/A</v>
      </c>
    </row>
    <row r="11" spans="1:90" s="708" customFormat="1" x14ac:dyDescent="0.3">
      <c r="A11" s="740" t="s">
        <v>135</v>
      </c>
      <c r="B11" s="701">
        <v>9</v>
      </c>
      <c r="C11" s="811">
        <v>0.26608583601952618</v>
      </c>
      <c r="D11" s="811">
        <v>0.26608583601952623</v>
      </c>
      <c r="E11" s="811">
        <v>0.26608583601952618</v>
      </c>
      <c r="F11" s="811">
        <v>0.26608583601952612</v>
      </c>
      <c r="G11" s="811">
        <v>0.26608583601952607</v>
      </c>
      <c r="H11" s="811">
        <v>0.26608583601952623</v>
      </c>
      <c r="I11" s="811">
        <v>0.26608583601952612</v>
      </c>
      <c r="J11" s="811">
        <v>0.26608583601952618</v>
      </c>
      <c r="K11" s="811">
        <v>0.26608583601952612</v>
      </c>
      <c r="L11" s="811">
        <v>0.26608583601952618</v>
      </c>
      <c r="M11" s="811">
        <v>0.26608583601952607</v>
      </c>
      <c r="N11" s="811">
        <v>0.26722972326948546</v>
      </c>
      <c r="O11" s="811">
        <v>0.26608583601952623</v>
      </c>
      <c r="P11" s="811">
        <v>0.26608583601952623</v>
      </c>
      <c r="Q11" s="811">
        <v>0.26608583601952618</v>
      </c>
      <c r="R11" s="811">
        <v>0.26608583601952607</v>
      </c>
      <c r="S11" s="811">
        <v>0.26608583601952618</v>
      </c>
      <c r="T11" s="811">
        <v>0.26608583601952618</v>
      </c>
      <c r="U11" s="811">
        <v>0.26392310716218981</v>
      </c>
      <c r="V11" s="811">
        <v>0.26608583601952612</v>
      </c>
      <c r="W11" s="811">
        <v>0</v>
      </c>
      <c r="X11" s="811">
        <v>0.26608583601952629</v>
      </c>
      <c r="Y11" s="811">
        <v>0.26608583601952623</v>
      </c>
      <c r="Z11" s="811">
        <v>0.26608583601952623</v>
      </c>
      <c r="AA11" s="812">
        <v>0.65535677487535393</v>
      </c>
      <c r="AB11" s="812">
        <v>0</v>
      </c>
      <c r="AC11" s="812">
        <v>0</v>
      </c>
      <c r="AD11" s="812">
        <v>1.8100903318662737E-3</v>
      </c>
      <c r="AE11" s="813">
        <f t="shared" si="0"/>
        <v>0.26371106859951138</v>
      </c>
      <c r="AF11" s="709"/>
      <c r="AG11" s="739">
        <f t="shared" si="1"/>
        <v>0.26087781309202501</v>
      </c>
      <c r="AH11" s="739">
        <f t="shared" si="2"/>
        <v>0.26087781309202507</v>
      </c>
      <c r="AI11" s="739">
        <f t="shared" si="3"/>
        <v>0.26087781309202501</v>
      </c>
      <c r="AJ11" s="739">
        <f t="shared" si="4"/>
        <v>0.26087781309202496</v>
      </c>
      <c r="AK11" s="739">
        <f t="shared" si="5"/>
        <v>0.2608778130920249</v>
      </c>
      <c r="AL11" s="739">
        <f t="shared" si="6"/>
        <v>0.26087781309202507</v>
      </c>
      <c r="AM11" s="739">
        <f t="shared" si="7"/>
        <v>0.26087781309202496</v>
      </c>
      <c r="AN11" s="739">
        <f t="shared" si="8"/>
        <v>0.26087781309202501</v>
      </c>
      <c r="AO11" s="739">
        <f t="shared" si="9"/>
        <v>0.26087781309202496</v>
      </c>
      <c r="AP11" s="739">
        <f t="shared" si="10"/>
        <v>0.26087781309202501</v>
      </c>
      <c r="AQ11" s="739">
        <f t="shared" si="11"/>
        <v>0.2608778130920249</v>
      </c>
      <c r="AR11" s="739">
        <f t="shared" si="12"/>
        <v>0.26199931135986715</v>
      </c>
      <c r="AS11" s="739">
        <f t="shared" si="13"/>
        <v>0.26087781309202507</v>
      </c>
      <c r="AT11" s="739">
        <f t="shared" si="14"/>
        <v>0.26087781309202512</v>
      </c>
      <c r="AU11" s="739">
        <f t="shared" si="15"/>
        <v>0.26087781309202501</v>
      </c>
      <c r="AV11" s="739">
        <f t="shared" si="16"/>
        <v>0.2608778130920249</v>
      </c>
      <c r="AW11" s="739">
        <f t="shared" si="17"/>
        <v>0.26087781309202501</v>
      </c>
      <c r="AX11" s="739">
        <f t="shared" si="18"/>
        <v>0.26087781309202501</v>
      </c>
      <c r="AY11" s="739">
        <f t="shared" si="19"/>
        <v>0.25875741471587277</v>
      </c>
      <c r="AZ11" s="739">
        <f t="shared" si="20"/>
        <v>0.26087781309202496</v>
      </c>
      <c r="BA11" s="739" t="e">
        <f t="shared" si="21"/>
        <v>#N/A</v>
      </c>
      <c r="BB11" s="739">
        <f t="shared" si="22"/>
        <v>0.26087781309202512</v>
      </c>
      <c r="BC11" s="739">
        <f t="shared" si="23"/>
        <v>0.26087781309202507</v>
      </c>
      <c r="BD11" s="739">
        <f t="shared" si="24"/>
        <v>0.26087781309202507</v>
      </c>
      <c r="BE11" s="739">
        <f t="shared" si="25"/>
        <v>0.64252966178920834</v>
      </c>
      <c r="BF11" s="739" t="e">
        <f t="shared" si="26"/>
        <v>#N/A</v>
      </c>
      <c r="BG11" s="739" t="e">
        <f t="shared" si="27"/>
        <v>#N/A</v>
      </c>
      <c r="BH11" s="739">
        <f t="shared" si="28"/>
        <v>1.7746619449583892E-3</v>
      </c>
      <c r="BI11" s="739" t="e">
        <f t="shared" si="29"/>
        <v>#N/A</v>
      </c>
      <c r="BJ11" s="738">
        <f t="shared" si="30"/>
        <v>5.2080229275011658E-3</v>
      </c>
      <c r="BK11" s="738">
        <f t="shared" si="31"/>
        <v>5.2080229275011658E-3</v>
      </c>
      <c r="BL11" s="738">
        <f t="shared" si="32"/>
        <v>5.2080229275011658E-3</v>
      </c>
      <c r="BM11" s="738">
        <f t="shared" si="33"/>
        <v>5.2080229275011658E-3</v>
      </c>
      <c r="BN11" s="738">
        <f t="shared" si="34"/>
        <v>5.2080229275011658E-3</v>
      </c>
      <c r="BO11" s="738">
        <f t="shared" si="35"/>
        <v>5.2080229275011658E-3</v>
      </c>
      <c r="BP11" s="738">
        <f t="shared" si="36"/>
        <v>5.2080229275011658E-3</v>
      </c>
      <c r="BQ11" s="738">
        <f t="shared" si="37"/>
        <v>5.2080229275011658E-3</v>
      </c>
      <c r="BR11" s="738">
        <f t="shared" si="38"/>
        <v>5.2080229275011658E-3</v>
      </c>
      <c r="BS11" s="738">
        <f t="shared" si="39"/>
        <v>5.2080229275011658E-3</v>
      </c>
      <c r="BT11" s="738">
        <f t="shared" si="40"/>
        <v>5.2080229275011658E-3</v>
      </c>
      <c r="BU11" s="738">
        <f t="shared" si="41"/>
        <v>5.2304119096183155E-3</v>
      </c>
      <c r="BV11" s="738">
        <f t="shared" si="42"/>
        <v>5.2080229275011658E-3</v>
      </c>
      <c r="BW11" s="738">
        <f t="shared" si="43"/>
        <v>5.2080229275011103E-3</v>
      </c>
      <c r="BX11" s="738">
        <f t="shared" si="44"/>
        <v>5.2080229275011658E-3</v>
      </c>
      <c r="BY11" s="738">
        <f t="shared" si="45"/>
        <v>5.2080229275011658E-3</v>
      </c>
      <c r="BZ11" s="738">
        <f t="shared" si="46"/>
        <v>5.2080229275011658E-3</v>
      </c>
      <c r="CA11" s="738">
        <f t="shared" si="47"/>
        <v>5.2080229275011658E-3</v>
      </c>
      <c r="CB11" s="738">
        <f t="shared" si="48"/>
        <v>5.1656924463170384E-3</v>
      </c>
      <c r="CC11" s="738">
        <f t="shared" si="49"/>
        <v>5.2080229275011658E-3</v>
      </c>
      <c r="CD11" s="738" t="e">
        <f t="shared" si="50"/>
        <v>#N/A</v>
      </c>
      <c r="CE11" s="738">
        <f t="shared" si="51"/>
        <v>5.2080229275011658E-3</v>
      </c>
      <c r="CF11" s="738">
        <f t="shared" si="52"/>
        <v>5.2080229275011658E-3</v>
      </c>
      <c r="CG11" s="738">
        <f t="shared" si="53"/>
        <v>5.2080229275011658E-3</v>
      </c>
      <c r="CH11" s="738">
        <f t="shared" si="54"/>
        <v>1.2827113086145592E-2</v>
      </c>
      <c r="CI11" s="738" t="e">
        <f t="shared" si="55"/>
        <v>#N/A</v>
      </c>
      <c r="CJ11" s="738" t="e">
        <f t="shared" si="56"/>
        <v>#N/A</v>
      </c>
      <c r="CK11" s="738">
        <f t="shared" si="57"/>
        <v>3.5428386907884529E-5</v>
      </c>
      <c r="CL11" s="738" t="e">
        <f t="shared" si="58"/>
        <v>#N/A</v>
      </c>
    </row>
    <row r="12" spans="1:90" s="708" customFormat="1" x14ac:dyDescent="0.3">
      <c r="A12" s="740" t="s">
        <v>136</v>
      </c>
      <c r="B12" s="701">
        <v>10</v>
      </c>
      <c r="C12" s="811">
        <v>0.45889558705746497</v>
      </c>
      <c r="D12" s="811">
        <v>0</v>
      </c>
      <c r="E12" s="811">
        <v>0.45889558705746486</v>
      </c>
      <c r="F12" s="811">
        <v>0.45889558705746486</v>
      </c>
      <c r="G12" s="811">
        <v>0.45889558705746503</v>
      </c>
      <c r="H12" s="811">
        <v>0</v>
      </c>
      <c r="I12" s="811">
        <v>0</v>
      </c>
      <c r="J12" s="811">
        <v>0.45889558705746492</v>
      </c>
      <c r="K12" s="811">
        <v>0.45889558705746492</v>
      </c>
      <c r="L12" s="811">
        <v>0.45889558705746497</v>
      </c>
      <c r="M12" s="811">
        <v>0.45889558705746492</v>
      </c>
      <c r="N12" s="811">
        <v>0.45936897597638493</v>
      </c>
      <c r="O12" s="811">
        <v>0.45889558705746497</v>
      </c>
      <c r="P12" s="811">
        <v>0.45889558705746497</v>
      </c>
      <c r="Q12" s="811">
        <v>0</v>
      </c>
      <c r="R12" s="811">
        <v>0.45889558705746497</v>
      </c>
      <c r="S12" s="811">
        <v>0.45889558705746497</v>
      </c>
      <c r="T12" s="811">
        <v>0.45889558705746492</v>
      </c>
      <c r="U12" s="811">
        <v>0.44815288512358564</v>
      </c>
      <c r="V12" s="811">
        <v>0</v>
      </c>
      <c r="W12" s="811">
        <v>0</v>
      </c>
      <c r="X12" s="811">
        <v>0.45889558705746497</v>
      </c>
      <c r="Y12" s="811">
        <v>0.45889558705746497</v>
      </c>
      <c r="Z12" s="811">
        <v>0.45889558705746497</v>
      </c>
      <c r="AA12" s="812">
        <v>0</v>
      </c>
      <c r="AB12" s="812">
        <v>0</v>
      </c>
      <c r="AC12" s="812">
        <v>0</v>
      </c>
      <c r="AD12" s="812">
        <v>8.1810663761335667E-2</v>
      </c>
      <c r="AE12" s="813">
        <f t="shared" si="0"/>
        <v>0.34867024245563599</v>
      </c>
      <c r="AF12" s="709"/>
      <c r="AG12" s="739">
        <f t="shared" si="1"/>
        <v>0.49694182313837842</v>
      </c>
      <c r="AH12" s="739" t="e">
        <f t="shared" si="2"/>
        <v>#N/A</v>
      </c>
      <c r="AI12" s="739">
        <f t="shared" si="3"/>
        <v>0.49694182313837831</v>
      </c>
      <c r="AJ12" s="739">
        <f t="shared" si="4"/>
        <v>0.49694182313837831</v>
      </c>
      <c r="AK12" s="739">
        <f t="shared" si="5"/>
        <v>0.49694182313837842</v>
      </c>
      <c r="AL12" s="739" t="e">
        <f t="shared" si="6"/>
        <v>#N/A</v>
      </c>
      <c r="AM12" s="739" t="e">
        <f t="shared" si="7"/>
        <v>#N/A</v>
      </c>
      <c r="AN12" s="739">
        <f t="shared" si="8"/>
        <v>0.49694182313837837</v>
      </c>
      <c r="AO12" s="739">
        <f t="shared" si="9"/>
        <v>0.49694182313837837</v>
      </c>
      <c r="AP12" s="739">
        <f t="shared" si="10"/>
        <v>0.49694182313837842</v>
      </c>
      <c r="AQ12" s="739">
        <f t="shared" si="11"/>
        <v>0.49694182313837837</v>
      </c>
      <c r="AR12" s="739">
        <f t="shared" si="12"/>
        <v>0.49745445991035098</v>
      </c>
      <c r="AS12" s="739">
        <f t="shared" si="13"/>
        <v>0.49694182313837831</v>
      </c>
      <c r="AT12" s="739">
        <f t="shared" si="14"/>
        <v>0.49694182313837837</v>
      </c>
      <c r="AU12" s="739" t="e">
        <f t="shared" si="15"/>
        <v>#N/A</v>
      </c>
      <c r="AV12" s="739">
        <f t="shared" si="16"/>
        <v>0.49694182313837848</v>
      </c>
      <c r="AW12" s="739">
        <f t="shared" si="17"/>
        <v>0.49694182313837842</v>
      </c>
      <c r="AX12" s="739">
        <f t="shared" si="18"/>
        <v>0.49694182313837831</v>
      </c>
      <c r="AY12" s="739">
        <f t="shared" si="19"/>
        <v>0.48530846244583886</v>
      </c>
      <c r="AZ12" s="739" t="e">
        <f t="shared" si="20"/>
        <v>#N/A</v>
      </c>
      <c r="BA12" s="739" t="e">
        <f t="shared" si="21"/>
        <v>#N/A</v>
      </c>
      <c r="BB12" s="739">
        <f t="shared" si="22"/>
        <v>0.49694182313837842</v>
      </c>
      <c r="BC12" s="739">
        <f t="shared" si="23"/>
        <v>0.49694182313837842</v>
      </c>
      <c r="BD12" s="739">
        <f t="shared" si="24"/>
        <v>0.49694182313837842</v>
      </c>
      <c r="BE12" s="739" t="e">
        <f t="shared" si="25"/>
        <v>#N/A</v>
      </c>
      <c r="BF12" s="739" t="e">
        <f t="shared" si="26"/>
        <v>#N/A</v>
      </c>
      <c r="BG12" s="739" t="e">
        <f t="shared" si="27"/>
        <v>#N/A</v>
      </c>
      <c r="BH12" s="739">
        <f t="shared" si="28"/>
        <v>8.8593443799292834E-2</v>
      </c>
      <c r="BI12" s="739">
        <f t="shared" si="29"/>
        <v>0.37757788666271636</v>
      </c>
      <c r="BJ12" s="738">
        <f t="shared" si="30"/>
        <v>-3.8046236080913454E-2</v>
      </c>
      <c r="BK12" s="738" t="e">
        <f t="shared" si="31"/>
        <v>#N/A</v>
      </c>
      <c r="BL12" s="738">
        <f t="shared" si="32"/>
        <v>-3.8046236080913454E-2</v>
      </c>
      <c r="BM12" s="738">
        <f t="shared" si="33"/>
        <v>-3.8046236080913454E-2</v>
      </c>
      <c r="BN12" s="738">
        <f t="shared" si="34"/>
        <v>-3.8046236080913398E-2</v>
      </c>
      <c r="BO12" s="738" t="e">
        <f t="shared" si="35"/>
        <v>#N/A</v>
      </c>
      <c r="BP12" s="738" t="e">
        <f t="shared" si="36"/>
        <v>#N/A</v>
      </c>
      <c r="BQ12" s="738">
        <f t="shared" si="37"/>
        <v>-3.8046236080913454E-2</v>
      </c>
      <c r="BR12" s="738">
        <f t="shared" si="38"/>
        <v>-3.8046236080913454E-2</v>
      </c>
      <c r="BS12" s="738">
        <f t="shared" si="39"/>
        <v>-3.8046236080913454E-2</v>
      </c>
      <c r="BT12" s="738">
        <f t="shared" si="40"/>
        <v>-3.8046236080913454E-2</v>
      </c>
      <c r="BU12" s="738">
        <f t="shared" si="41"/>
        <v>-3.8085483933966047E-2</v>
      </c>
      <c r="BV12" s="738">
        <f t="shared" si="42"/>
        <v>-3.8046236080913343E-2</v>
      </c>
      <c r="BW12" s="738">
        <f t="shared" si="43"/>
        <v>-3.8046236080913398E-2</v>
      </c>
      <c r="BX12" s="738" t="e">
        <f t="shared" si="44"/>
        <v>#N/A</v>
      </c>
      <c r="BY12" s="738">
        <f t="shared" si="45"/>
        <v>-3.8046236080913509E-2</v>
      </c>
      <c r="BZ12" s="738">
        <f t="shared" si="46"/>
        <v>-3.8046236080913454E-2</v>
      </c>
      <c r="CA12" s="738">
        <f t="shared" si="47"/>
        <v>-3.8046236080913398E-2</v>
      </c>
      <c r="CB12" s="738">
        <f t="shared" si="48"/>
        <v>-3.7155577322253219E-2</v>
      </c>
      <c r="CC12" s="738" t="e">
        <f t="shared" si="49"/>
        <v>#N/A</v>
      </c>
      <c r="CD12" s="738" t="e">
        <f t="shared" si="50"/>
        <v>#N/A</v>
      </c>
      <c r="CE12" s="738">
        <f t="shared" si="51"/>
        <v>-3.8046236080913454E-2</v>
      </c>
      <c r="CF12" s="738">
        <f t="shared" si="52"/>
        <v>-3.8046236080913454E-2</v>
      </c>
      <c r="CG12" s="738">
        <f t="shared" si="53"/>
        <v>-3.8046236080913454E-2</v>
      </c>
      <c r="CH12" s="738" t="e">
        <f t="shared" si="54"/>
        <v>#N/A</v>
      </c>
      <c r="CI12" s="738" t="e">
        <f t="shared" si="55"/>
        <v>#N/A</v>
      </c>
      <c r="CJ12" s="738" t="e">
        <f t="shared" si="56"/>
        <v>#N/A</v>
      </c>
      <c r="CK12" s="738">
        <f t="shared" si="57"/>
        <v>-6.7827800379571673E-3</v>
      </c>
      <c r="CL12" s="738">
        <f t="shared" si="58"/>
        <v>-2.8907644207080363E-2</v>
      </c>
    </row>
    <row r="13" spans="1:90" s="708" customFormat="1" x14ac:dyDescent="0.3">
      <c r="A13" s="740" t="s">
        <v>137</v>
      </c>
      <c r="B13" s="701">
        <v>11</v>
      </c>
      <c r="C13" s="811">
        <v>0</v>
      </c>
      <c r="D13" s="811">
        <v>0.69748631742016132</v>
      </c>
      <c r="E13" s="811">
        <v>0.69748631742016143</v>
      </c>
      <c r="F13" s="811">
        <v>0.69748631742016132</v>
      </c>
      <c r="G13" s="811">
        <v>0.69748631742016143</v>
      </c>
      <c r="H13" s="811">
        <v>0.69748631742016143</v>
      </c>
      <c r="I13" s="811">
        <v>0.69748631742016143</v>
      </c>
      <c r="J13" s="811">
        <v>0.69748631742016132</v>
      </c>
      <c r="K13" s="811">
        <v>0.69748631742016143</v>
      </c>
      <c r="L13" s="811">
        <v>0.69748631742016132</v>
      </c>
      <c r="M13" s="811">
        <v>0.69748631742016143</v>
      </c>
      <c r="N13" s="811">
        <v>0.69748631742016165</v>
      </c>
      <c r="O13" s="811">
        <v>0.69748631742016132</v>
      </c>
      <c r="P13" s="811">
        <v>0</v>
      </c>
      <c r="Q13" s="811">
        <v>0</v>
      </c>
      <c r="R13" s="811">
        <v>0</v>
      </c>
      <c r="S13" s="811">
        <v>0</v>
      </c>
      <c r="T13" s="811">
        <v>0</v>
      </c>
      <c r="U13" s="811">
        <v>0.69748631742016132</v>
      </c>
      <c r="V13" s="811">
        <v>0</v>
      </c>
      <c r="W13" s="811">
        <v>0</v>
      </c>
      <c r="X13" s="811">
        <v>0.69748631742016132</v>
      </c>
      <c r="Y13" s="811">
        <v>0</v>
      </c>
      <c r="Z13" s="811">
        <v>0</v>
      </c>
      <c r="AA13" s="812">
        <v>0.68034463791725264</v>
      </c>
      <c r="AB13" s="812">
        <v>0</v>
      </c>
      <c r="AC13" s="812">
        <v>0</v>
      </c>
      <c r="AD13" s="812">
        <v>0</v>
      </c>
      <c r="AE13" s="813">
        <f t="shared" si="0"/>
        <v>0.49515469271083734</v>
      </c>
      <c r="AF13" s="709"/>
      <c r="AG13" s="739" t="e">
        <f t="shared" si="1"/>
        <v>#N/A</v>
      </c>
      <c r="AH13" s="739">
        <f t="shared" si="2"/>
        <v>0.75873226917910619</v>
      </c>
      <c r="AI13" s="739">
        <f t="shared" si="3"/>
        <v>0.75873226917910619</v>
      </c>
      <c r="AJ13" s="739">
        <f t="shared" si="4"/>
        <v>0.75873226917910619</v>
      </c>
      <c r="AK13" s="739">
        <f t="shared" si="5"/>
        <v>0.75873226917910619</v>
      </c>
      <c r="AL13" s="739">
        <f t="shared" si="6"/>
        <v>0.7587322691791063</v>
      </c>
      <c r="AM13" s="739">
        <f t="shared" si="7"/>
        <v>0.75873226917910619</v>
      </c>
      <c r="AN13" s="739">
        <f t="shared" si="8"/>
        <v>0.75873226917910619</v>
      </c>
      <c r="AO13" s="739">
        <f t="shared" si="9"/>
        <v>0.75873226917910619</v>
      </c>
      <c r="AP13" s="739">
        <f t="shared" si="10"/>
        <v>0.75873226917910619</v>
      </c>
      <c r="AQ13" s="739">
        <f t="shared" si="11"/>
        <v>0.75873226917910619</v>
      </c>
      <c r="AR13" s="739">
        <f t="shared" si="12"/>
        <v>0.75873226917910641</v>
      </c>
      <c r="AS13" s="739">
        <f t="shared" si="13"/>
        <v>0.75873226917910608</v>
      </c>
      <c r="AT13" s="739" t="e">
        <f t="shared" si="14"/>
        <v>#N/A</v>
      </c>
      <c r="AU13" s="739" t="e">
        <f t="shared" si="15"/>
        <v>#N/A</v>
      </c>
      <c r="AV13" s="739" t="e">
        <f t="shared" si="16"/>
        <v>#N/A</v>
      </c>
      <c r="AW13" s="739" t="e">
        <f t="shared" si="17"/>
        <v>#N/A</v>
      </c>
      <c r="AX13" s="739" t="e">
        <f t="shared" si="18"/>
        <v>#N/A</v>
      </c>
      <c r="AY13" s="739">
        <f t="shared" si="19"/>
        <v>0.75873226917910619</v>
      </c>
      <c r="AZ13" s="739" t="e">
        <f t="shared" si="20"/>
        <v>#N/A</v>
      </c>
      <c r="BA13" s="739" t="e">
        <f t="shared" si="21"/>
        <v>#N/A</v>
      </c>
      <c r="BB13" s="739">
        <f t="shared" si="22"/>
        <v>0.75873226917910619</v>
      </c>
      <c r="BC13" s="739" t="e">
        <f t="shared" si="23"/>
        <v>#N/A</v>
      </c>
      <c r="BD13" s="739" t="e">
        <f t="shared" si="24"/>
        <v>#N/A</v>
      </c>
      <c r="BE13" s="739">
        <f t="shared" si="25"/>
        <v>0.74008538670707591</v>
      </c>
      <c r="BF13" s="739" t="e">
        <f t="shared" si="26"/>
        <v>#N/A</v>
      </c>
      <c r="BG13" s="739" t="e">
        <f t="shared" si="27"/>
        <v>#N/A</v>
      </c>
      <c r="BH13" s="739">
        <f t="shared" si="28"/>
        <v>0</v>
      </c>
      <c r="BI13" s="739">
        <f t="shared" si="29"/>
        <v>0.53863399784638843</v>
      </c>
      <c r="BJ13" s="738" t="e">
        <f t="shared" si="30"/>
        <v>#N/A</v>
      </c>
      <c r="BK13" s="738">
        <f t="shared" si="31"/>
        <v>-6.1245951758944872E-2</v>
      </c>
      <c r="BL13" s="738">
        <f t="shared" si="32"/>
        <v>-6.1245951758944761E-2</v>
      </c>
      <c r="BM13" s="738">
        <f t="shared" si="33"/>
        <v>-6.1245951758944872E-2</v>
      </c>
      <c r="BN13" s="738">
        <f t="shared" si="34"/>
        <v>-6.1245951758944761E-2</v>
      </c>
      <c r="BO13" s="738">
        <f t="shared" si="35"/>
        <v>-6.1245951758944872E-2</v>
      </c>
      <c r="BP13" s="738">
        <f t="shared" si="36"/>
        <v>-6.1245951758944761E-2</v>
      </c>
      <c r="BQ13" s="738">
        <f t="shared" si="37"/>
        <v>-6.1245951758944872E-2</v>
      </c>
      <c r="BR13" s="738">
        <f t="shared" si="38"/>
        <v>-6.1245951758944761E-2</v>
      </c>
      <c r="BS13" s="738">
        <f t="shared" si="39"/>
        <v>-6.1245951758944872E-2</v>
      </c>
      <c r="BT13" s="738">
        <f t="shared" si="40"/>
        <v>-6.1245951758944761E-2</v>
      </c>
      <c r="BU13" s="738">
        <f t="shared" si="41"/>
        <v>-6.1245951758944761E-2</v>
      </c>
      <c r="BV13" s="738">
        <f t="shared" si="42"/>
        <v>-6.1245951758944761E-2</v>
      </c>
      <c r="BW13" s="738" t="e">
        <f t="shared" si="43"/>
        <v>#N/A</v>
      </c>
      <c r="BX13" s="738" t="e">
        <f t="shared" si="44"/>
        <v>#N/A</v>
      </c>
      <c r="BY13" s="738" t="e">
        <f t="shared" si="45"/>
        <v>#N/A</v>
      </c>
      <c r="BZ13" s="738" t="e">
        <f t="shared" si="46"/>
        <v>#N/A</v>
      </c>
      <c r="CA13" s="738" t="e">
        <f t="shared" si="47"/>
        <v>#N/A</v>
      </c>
      <c r="CB13" s="738">
        <f t="shared" si="48"/>
        <v>-6.1245951758944872E-2</v>
      </c>
      <c r="CC13" s="738" t="e">
        <f t="shared" si="49"/>
        <v>#N/A</v>
      </c>
      <c r="CD13" s="738" t="e">
        <f t="shared" si="50"/>
        <v>#N/A</v>
      </c>
      <c r="CE13" s="738">
        <f t="shared" si="51"/>
        <v>-6.1245951758944872E-2</v>
      </c>
      <c r="CF13" s="738" t="e">
        <f t="shared" si="52"/>
        <v>#N/A</v>
      </c>
      <c r="CG13" s="738" t="e">
        <f t="shared" si="53"/>
        <v>#N/A</v>
      </c>
      <c r="CH13" s="738">
        <f t="shared" si="54"/>
        <v>-5.9740748789823273E-2</v>
      </c>
      <c r="CI13" s="738" t="e">
        <f t="shared" si="55"/>
        <v>#N/A</v>
      </c>
      <c r="CJ13" s="738" t="e">
        <f t="shared" si="56"/>
        <v>#N/A</v>
      </c>
      <c r="CK13" s="738">
        <f t="shared" si="57"/>
        <v>0</v>
      </c>
      <c r="CL13" s="738">
        <f t="shared" si="58"/>
        <v>-4.3479305135551094E-2</v>
      </c>
    </row>
    <row r="14" spans="1:90" s="708" customFormat="1" x14ac:dyDescent="0.3">
      <c r="A14" s="740" t="s">
        <v>309</v>
      </c>
      <c r="B14" s="701">
        <v>12</v>
      </c>
      <c r="C14" s="811">
        <v>0.41859434850866206</v>
      </c>
      <c r="D14" s="811">
        <v>0.28019591927505971</v>
      </c>
      <c r="E14" s="811">
        <v>0.3149152328572421</v>
      </c>
      <c r="F14" s="811">
        <v>0.30886365665795074</v>
      </c>
      <c r="G14" s="811">
        <v>0.25457940397049283</v>
      </c>
      <c r="H14" s="811">
        <v>0.32095969357196164</v>
      </c>
      <c r="I14" s="811">
        <v>0.24309051620831684</v>
      </c>
      <c r="J14" s="811">
        <v>0.38547790306766688</v>
      </c>
      <c r="K14" s="811">
        <v>0.45000652983608491</v>
      </c>
      <c r="L14" s="811">
        <v>0.37194634747620403</v>
      </c>
      <c r="M14" s="811">
        <v>0.5479398227239447</v>
      </c>
      <c r="N14" s="811">
        <v>0.36868981083025254</v>
      </c>
      <c r="O14" s="811">
        <v>0.309382328041791</v>
      </c>
      <c r="P14" s="811">
        <v>0.34392142453167263</v>
      </c>
      <c r="Q14" s="811">
        <v>0.37805615577201018</v>
      </c>
      <c r="R14" s="811">
        <v>0.30029724707077404</v>
      </c>
      <c r="S14" s="811">
        <v>0.15551386939310435</v>
      </c>
      <c r="T14" s="811">
        <v>0.34185527606242128</v>
      </c>
      <c r="U14" s="811">
        <v>0.34612557905907809</v>
      </c>
      <c r="V14" s="811">
        <v>0.30104718039392475</v>
      </c>
      <c r="W14" s="811">
        <v>0</v>
      </c>
      <c r="X14" s="811">
        <v>0.33010019862681389</v>
      </c>
      <c r="Y14" s="811">
        <v>0.17907854333137971</v>
      </c>
      <c r="Z14" s="811">
        <v>0.27987214319952114</v>
      </c>
      <c r="AA14" s="812">
        <v>0.50762739394355605</v>
      </c>
      <c r="AB14" s="812">
        <v>0.40427801477786157</v>
      </c>
      <c r="AC14" s="812">
        <v>0.46162569668494202</v>
      </c>
      <c r="AD14" s="812">
        <v>0.10309686446754589</v>
      </c>
      <c r="AE14" s="813">
        <f t="shared" si="0"/>
        <v>0.32564197282894258</v>
      </c>
      <c r="AF14" s="709"/>
      <c r="AG14" s="739">
        <f t="shared" si="1"/>
        <v>0.41062976985575411</v>
      </c>
      <c r="AH14" s="739">
        <f t="shared" si="2"/>
        <v>0.27486464223980878</v>
      </c>
      <c r="AI14" s="739">
        <f t="shared" si="3"/>
        <v>0.3089233527708859</v>
      </c>
      <c r="AJ14" s="739">
        <f t="shared" si="4"/>
        <v>0.30298691968039432</v>
      </c>
      <c r="AK14" s="739">
        <f t="shared" si="5"/>
        <v>0.24973553139180835</v>
      </c>
      <c r="AL14" s="739">
        <f t="shared" si="6"/>
        <v>0.31485280576285823</v>
      </c>
      <c r="AM14" s="739">
        <f t="shared" si="7"/>
        <v>0.23846524225749791</v>
      </c>
      <c r="AN14" s="739">
        <f t="shared" si="8"/>
        <v>0.37814342975507048</v>
      </c>
      <c r="AO14" s="739">
        <f t="shared" si="9"/>
        <v>0.44144427281094617</v>
      </c>
      <c r="AP14" s="739">
        <f t="shared" si="10"/>
        <v>0.36486933855410492</v>
      </c>
      <c r="AQ14" s="739">
        <f t="shared" si="11"/>
        <v>0.53751419268213119</v>
      </c>
      <c r="AR14" s="739">
        <f t="shared" si="12"/>
        <v>0.36167476390631509</v>
      </c>
      <c r="AS14" s="739">
        <f t="shared" si="13"/>
        <v>0.30349572232365957</v>
      </c>
      <c r="AT14" s="739">
        <f t="shared" si="14"/>
        <v>0.33737764474615561</v>
      </c>
      <c r="AU14" s="739">
        <f t="shared" si="15"/>
        <v>0.37086289576123893</v>
      </c>
      <c r="AV14" s="739">
        <f t="shared" si="16"/>
        <v>0.2945835028406667</v>
      </c>
      <c r="AW14" s="739">
        <f t="shared" si="17"/>
        <v>0.15255491295039977</v>
      </c>
      <c r="AX14" s="739">
        <f t="shared" si="18"/>
        <v>0.33535080880477419</v>
      </c>
      <c r="AY14" s="739">
        <f t="shared" si="19"/>
        <v>0.33953986090970301</v>
      </c>
      <c r="AZ14" s="739">
        <f t="shared" si="20"/>
        <v>0.29531916721117163</v>
      </c>
      <c r="BA14" s="739" t="e">
        <f t="shared" si="21"/>
        <v>#N/A</v>
      </c>
      <c r="BB14" s="739">
        <f t="shared" si="22"/>
        <v>0.32381939477776389</v>
      </c>
      <c r="BC14" s="739">
        <f t="shared" si="23"/>
        <v>0.17567122273927802</v>
      </c>
      <c r="BD14" s="739">
        <f t="shared" si="24"/>
        <v>0.27454702663927122</v>
      </c>
      <c r="BE14" s="739">
        <f t="shared" si="25"/>
        <v>0.49796878694172153</v>
      </c>
      <c r="BF14" s="739">
        <f t="shared" si="26"/>
        <v>0.39658583245908108</v>
      </c>
      <c r="BG14" s="739">
        <f t="shared" si="27"/>
        <v>0.45284236221674012</v>
      </c>
      <c r="BH14" s="739">
        <f t="shared" si="28"/>
        <v>0.10113524437199181</v>
      </c>
      <c r="BI14" s="739">
        <f t="shared" si="29"/>
        <v>0.31944599547156899</v>
      </c>
      <c r="BJ14" s="738">
        <f t="shared" si="30"/>
        <v>7.9645786529079499E-3</v>
      </c>
      <c r="BK14" s="738">
        <f t="shared" si="31"/>
        <v>5.3312770352509364E-3</v>
      </c>
      <c r="BL14" s="738">
        <f t="shared" si="32"/>
        <v>5.9918800863562049E-3</v>
      </c>
      <c r="BM14" s="738">
        <f t="shared" si="33"/>
        <v>5.8767369775564182E-3</v>
      </c>
      <c r="BN14" s="738">
        <f t="shared" si="34"/>
        <v>4.8438725786844883E-3</v>
      </c>
      <c r="BO14" s="738">
        <f t="shared" si="35"/>
        <v>6.1068878091034007E-3</v>
      </c>
      <c r="BP14" s="738">
        <f t="shared" si="36"/>
        <v>4.6252739508189367E-3</v>
      </c>
      <c r="BQ14" s="738">
        <f t="shared" si="37"/>
        <v>7.3344733125964012E-3</v>
      </c>
      <c r="BR14" s="738">
        <f t="shared" si="38"/>
        <v>8.562257025138742E-3</v>
      </c>
      <c r="BS14" s="738">
        <f t="shared" si="39"/>
        <v>7.077008922099115E-3</v>
      </c>
      <c r="BT14" s="738">
        <f t="shared" si="40"/>
        <v>1.0425630041813516E-2</v>
      </c>
      <c r="BU14" s="738">
        <f t="shared" si="41"/>
        <v>7.0150469239374513E-3</v>
      </c>
      <c r="BV14" s="738">
        <f t="shared" si="42"/>
        <v>5.8866057181314324E-3</v>
      </c>
      <c r="BW14" s="738">
        <f t="shared" si="43"/>
        <v>6.5437797855170121E-3</v>
      </c>
      <c r="BX14" s="738">
        <f t="shared" si="44"/>
        <v>7.1932600107712519E-3</v>
      </c>
      <c r="BY14" s="738">
        <f t="shared" si="45"/>
        <v>5.7137442301073427E-3</v>
      </c>
      <c r="BZ14" s="738">
        <f t="shared" si="46"/>
        <v>2.95895644270458E-3</v>
      </c>
      <c r="CA14" s="738">
        <f t="shared" si="47"/>
        <v>6.5044672576470841E-3</v>
      </c>
      <c r="CB14" s="738">
        <f t="shared" si="48"/>
        <v>6.585718149375086E-3</v>
      </c>
      <c r="CC14" s="738">
        <f t="shared" si="49"/>
        <v>5.7280131827531222E-3</v>
      </c>
      <c r="CD14" s="738" t="e">
        <f t="shared" si="50"/>
        <v>#N/A</v>
      </c>
      <c r="CE14" s="738">
        <f t="shared" si="51"/>
        <v>6.2808038490499984E-3</v>
      </c>
      <c r="CF14" s="738">
        <f t="shared" si="52"/>
        <v>3.4073205921016925E-3</v>
      </c>
      <c r="CG14" s="738">
        <f t="shared" si="53"/>
        <v>5.3251165602499206E-3</v>
      </c>
      <c r="CH14" s="738">
        <f t="shared" si="54"/>
        <v>9.6586070018345183E-3</v>
      </c>
      <c r="CI14" s="738">
        <f t="shared" si="55"/>
        <v>7.6921823187804939E-3</v>
      </c>
      <c r="CJ14" s="738">
        <f t="shared" si="56"/>
        <v>8.7833344682018977E-3</v>
      </c>
      <c r="CK14" s="738">
        <f t="shared" si="57"/>
        <v>1.9616200955540758E-3</v>
      </c>
      <c r="CL14" s="738">
        <f t="shared" si="58"/>
        <v>6.1959773573735943E-3</v>
      </c>
    </row>
    <row r="15" spans="1:90" s="708" customFormat="1" x14ac:dyDescent="0.3">
      <c r="A15" s="740" t="s">
        <v>310</v>
      </c>
      <c r="B15" s="701">
        <v>13</v>
      </c>
      <c r="C15" s="811">
        <v>0</v>
      </c>
      <c r="D15" s="811">
        <v>0</v>
      </c>
      <c r="E15" s="811">
        <v>0</v>
      </c>
      <c r="F15" s="811">
        <v>0</v>
      </c>
      <c r="G15" s="811">
        <v>0</v>
      </c>
      <c r="H15" s="811">
        <v>0</v>
      </c>
      <c r="I15" s="811">
        <v>0</v>
      </c>
      <c r="J15" s="811">
        <v>0</v>
      </c>
      <c r="K15" s="811">
        <v>0</v>
      </c>
      <c r="L15" s="811">
        <v>0</v>
      </c>
      <c r="M15" s="811">
        <v>0</v>
      </c>
      <c r="N15" s="811">
        <v>0</v>
      </c>
      <c r="O15" s="811">
        <v>0</v>
      </c>
      <c r="P15" s="811">
        <v>0</v>
      </c>
      <c r="Q15" s="811">
        <v>0</v>
      </c>
      <c r="R15" s="811">
        <v>0</v>
      </c>
      <c r="S15" s="811">
        <v>0</v>
      </c>
      <c r="T15" s="811">
        <v>0</v>
      </c>
      <c r="U15" s="811">
        <v>0</v>
      </c>
      <c r="V15" s="811">
        <v>0</v>
      </c>
      <c r="W15" s="811">
        <v>0</v>
      </c>
      <c r="X15" s="811">
        <v>0</v>
      </c>
      <c r="Y15" s="811">
        <v>0</v>
      </c>
      <c r="Z15" s="811">
        <v>0</v>
      </c>
      <c r="AA15" s="812">
        <v>0</v>
      </c>
      <c r="AB15" s="812">
        <v>0</v>
      </c>
      <c r="AC15" s="812">
        <v>0</v>
      </c>
      <c r="AD15" s="812">
        <v>0</v>
      </c>
      <c r="AE15" s="813">
        <f t="shared" si="0"/>
        <v>0</v>
      </c>
      <c r="AF15" s="709"/>
      <c r="AG15" s="739">
        <f t="shared" si="1"/>
        <v>0</v>
      </c>
      <c r="AH15" s="739">
        <f t="shared" si="2"/>
        <v>0</v>
      </c>
      <c r="AI15" s="739">
        <f t="shared" si="3"/>
        <v>0</v>
      </c>
      <c r="AJ15" s="739">
        <f t="shared" si="4"/>
        <v>0</v>
      </c>
      <c r="AK15" s="739">
        <f t="shared" si="5"/>
        <v>0</v>
      </c>
      <c r="AL15" s="739">
        <f t="shared" si="6"/>
        <v>0</v>
      </c>
      <c r="AM15" s="739">
        <f t="shared" si="7"/>
        <v>0</v>
      </c>
      <c r="AN15" s="739">
        <f t="shared" si="8"/>
        <v>0</v>
      </c>
      <c r="AO15" s="739">
        <f t="shared" si="9"/>
        <v>0</v>
      </c>
      <c r="AP15" s="739">
        <f t="shared" si="10"/>
        <v>0</v>
      </c>
      <c r="AQ15" s="739">
        <f t="shared" si="11"/>
        <v>0</v>
      </c>
      <c r="AR15" s="739">
        <f t="shared" si="12"/>
        <v>0</v>
      </c>
      <c r="AS15" s="739">
        <f t="shared" si="13"/>
        <v>0</v>
      </c>
      <c r="AT15" s="739">
        <f t="shared" si="14"/>
        <v>0</v>
      </c>
      <c r="AU15" s="739">
        <f t="shared" si="15"/>
        <v>0</v>
      </c>
      <c r="AV15" s="739">
        <f t="shared" si="16"/>
        <v>0</v>
      </c>
      <c r="AW15" s="739">
        <f t="shared" si="17"/>
        <v>0</v>
      </c>
      <c r="AX15" s="739">
        <f t="shared" si="18"/>
        <v>0</v>
      </c>
      <c r="AY15" s="739">
        <f t="shared" si="19"/>
        <v>0</v>
      </c>
      <c r="AZ15" s="739">
        <f t="shared" si="20"/>
        <v>0</v>
      </c>
      <c r="BA15" s="739" t="e">
        <f t="shared" si="21"/>
        <v>#N/A</v>
      </c>
      <c r="BB15" s="739">
        <f t="shared" si="22"/>
        <v>0</v>
      </c>
      <c r="BC15" s="739">
        <f t="shared" si="23"/>
        <v>0</v>
      </c>
      <c r="BD15" s="739">
        <f t="shared" si="24"/>
        <v>0</v>
      </c>
      <c r="BE15" s="739">
        <f t="shared" si="25"/>
        <v>0</v>
      </c>
      <c r="BF15" s="739" t="e">
        <f t="shared" si="26"/>
        <v>#N/A</v>
      </c>
      <c r="BG15" s="739">
        <f t="shared" si="27"/>
        <v>0</v>
      </c>
      <c r="BH15" s="739" t="e">
        <f t="shared" si="28"/>
        <v>#N/A</v>
      </c>
      <c r="BI15" s="739" t="e">
        <f t="shared" si="29"/>
        <v>#N/A</v>
      </c>
      <c r="BJ15" s="738">
        <f t="shared" si="30"/>
        <v>0</v>
      </c>
      <c r="BK15" s="738">
        <f t="shared" si="31"/>
        <v>0</v>
      </c>
      <c r="BL15" s="738">
        <f t="shared" si="32"/>
        <v>0</v>
      </c>
      <c r="BM15" s="738">
        <f t="shared" si="33"/>
        <v>0</v>
      </c>
      <c r="BN15" s="738">
        <f t="shared" si="34"/>
        <v>0</v>
      </c>
      <c r="BO15" s="738">
        <f t="shared" si="35"/>
        <v>0</v>
      </c>
      <c r="BP15" s="738">
        <f t="shared" si="36"/>
        <v>0</v>
      </c>
      <c r="BQ15" s="738">
        <f t="shared" si="37"/>
        <v>0</v>
      </c>
      <c r="BR15" s="738">
        <f t="shared" si="38"/>
        <v>0</v>
      </c>
      <c r="BS15" s="738">
        <f t="shared" si="39"/>
        <v>0</v>
      </c>
      <c r="BT15" s="738">
        <f t="shared" si="40"/>
        <v>0</v>
      </c>
      <c r="BU15" s="738">
        <f t="shared" si="41"/>
        <v>0</v>
      </c>
      <c r="BV15" s="738">
        <f t="shared" si="42"/>
        <v>0</v>
      </c>
      <c r="BW15" s="738">
        <f t="shared" si="43"/>
        <v>0</v>
      </c>
      <c r="BX15" s="738">
        <f t="shared" si="44"/>
        <v>0</v>
      </c>
      <c r="BY15" s="738">
        <f t="shared" si="45"/>
        <v>0</v>
      </c>
      <c r="BZ15" s="738">
        <f t="shared" si="46"/>
        <v>0</v>
      </c>
      <c r="CA15" s="738">
        <f t="shared" si="47"/>
        <v>0</v>
      </c>
      <c r="CB15" s="738">
        <f t="shared" si="48"/>
        <v>0</v>
      </c>
      <c r="CC15" s="738">
        <f t="shared" si="49"/>
        <v>0</v>
      </c>
      <c r="CD15" s="738" t="e">
        <f t="shared" si="50"/>
        <v>#N/A</v>
      </c>
      <c r="CE15" s="738">
        <f t="shared" si="51"/>
        <v>0</v>
      </c>
      <c r="CF15" s="738">
        <f t="shared" si="52"/>
        <v>0</v>
      </c>
      <c r="CG15" s="738">
        <f t="shared" si="53"/>
        <v>0</v>
      </c>
      <c r="CH15" s="738">
        <f t="shared" si="54"/>
        <v>0</v>
      </c>
      <c r="CI15" s="738" t="e">
        <f t="shared" si="55"/>
        <v>#N/A</v>
      </c>
      <c r="CJ15" s="738">
        <f t="shared" si="56"/>
        <v>0</v>
      </c>
      <c r="CK15" s="738" t="e">
        <f t="shared" si="57"/>
        <v>#N/A</v>
      </c>
      <c r="CL15" s="738" t="e">
        <f t="shared" si="58"/>
        <v>#N/A</v>
      </c>
    </row>
    <row r="16" spans="1:90" s="708" customFormat="1" x14ac:dyDescent="0.3">
      <c r="A16" s="740" t="s">
        <v>152</v>
      </c>
      <c r="B16" s="701">
        <v>14</v>
      </c>
      <c r="C16" s="811">
        <v>0.13165795292053073</v>
      </c>
      <c r="D16" s="811">
        <v>0.1316579529205307</v>
      </c>
      <c r="E16" s="811">
        <v>0.13165795292053073</v>
      </c>
      <c r="F16" s="811">
        <v>0.13165795292053067</v>
      </c>
      <c r="G16" s="811">
        <v>0.1316579529205307</v>
      </c>
      <c r="H16" s="811">
        <v>0.13165795292053081</v>
      </c>
      <c r="I16" s="811">
        <v>0.13165795292053084</v>
      </c>
      <c r="J16" s="811">
        <v>0.13165795292053073</v>
      </c>
      <c r="K16" s="811">
        <v>0.13165795292053079</v>
      </c>
      <c r="L16" s="811">
        <v>0.13165795292053067</v>
      </c>
      <c r="M16" s="811">
        <v>0.13165795292053073</v>
      </c>
      <c r="N16" s="811">
        <v>0.14900424301852805</v>
      </c>
      <c r="O16" s="811">
        <v>0.13165795292053081</v>
      </c>
      <c r="P16" s="811">
        <v>0.13165795292053076</v>
      </c>
      <c r="Q16" s="811">
        <v>0.13165795292053073</v>
      </c>
      <c r="R16" s="811">
        <v>0.13165795292053076</v>
      </c>
      <c r="S16" s="811">
        <v>0.13165795292053079</v>
      </c>
      <c r="T16" s="811">
        <v>0.13165795292053081</v>
      </c>
      <c r="U16" s="811">
        <v>0.12314893337482549</v>
      </c>
      <c r="V16" s="811">
        <v>0.13893716899761296</v>
      </c>
      <c r="W16" s="811">
        <v>0</v>
      </c>
      <c r="X16" s="811">
        <v>0.13165795292053073</v>
      </c>
      <c r="Y16" s="811">
        <v>0.13165795292053079</v>
      </c>
      <c r="Z16" s="811">
        <v>0.13165795292053081</v>
      </c>
      <c r="AA16" s="812">
        <v>7.7497007425033182E-2</v>
      </c>
      <c r="AB16" s="812">
        <v>7.7497007425033321E-2</v>
      </c>
      <c r="AC16" s="812">
        <v>0</v>
      </c>
      <c r="AD16" s="812">
        <v>0</v>
      </c>
      <c r="AE16" s="813">
        <f t="shared" si="0"/>
        <v>0.11389372718405052</v>
      </c>
      <c r="AF16" s="709"/>
      <c r="AG16" s="739">
        <f t="shared" si="1"/>
        <v>0.18903655275960574</v>
      </c>
      <c r="AH16" s="739">
        <f t="shared" si="2"/>
        <v>0.18903655275960568</v>
      </c>
      <c r="AI16" s="739">
        <f t="shared" si="3"/>
        <v>0.18903655275960574</v>
      </c>
      <c r="AJ16" s="739">
        <f t="shared" si="4"/>
        <v>0.18903655275960562</v>
      </c>
      <c r="AK16" s="739">
        <f t="shared" si="5"/>
        <v>0.18903655275960568</v>
      </c>
      <c r="AL16" s="739">
        <f t="shared" si="6"/>
        <v>0.18903655275960587</v>
      </c>
      <c r="AM16" s="739">
        <f t="shared" si="7"/>
        <v>0.1890365527596059</v>
      </c>
      <c r="AN16" s="739">
        <f t="shared" si="8"/>
        <v>0.18903655275960574</v>
      </c>
      <c r="AO16" s="739">
        <f t="shared" si="9"/>
        <v>0.18903655275960582</v>
      </c>
      <c r="AP16" s="739">
        <f t="shared" si="10"/>
        <v>0.18903655275960562</v>
      </c>
      <c r="AQ16" s="739">
        <f t="shared" si="11"/>
        <v>0.18903655275960571</v>
      </c>
      <c r="AR16" s="739">
        <f t="shared" si="12"/>
        <v>0.21394262801411593</v>
      </c>
      <c r="AS16" s="739">
        <f t="shared" si="13"/>
        <v>0.18903655275960587</v>
      </c>
      <c r="AT16" s="739">
        <f t="shared" si="14"/>
        <v>0.18903655275960576</v>
      </c>
      <c r="AU16" s="739">
        <f t="shared" si="15"/>
        <v>0.18903655275960574</v>
      </c>
      <c r="AV16" s="739">
        <f t="shared" si="16"/>
        <v>0.18903655275960576</v>
      </c>
      <c r="AW16" s="739">
        <f t="shared" si="17"/>
        <v>0.18903655275960579</v>
      </c>
      <c r="AX16" s="739">
        <f t="shared" si="18"/>
        <v>0.18903655275960585</v>
      </c>
      <c r="AY16" s="739">
        <f t="shared" si="19"/>
        <v>0.17681916910291823</v>
      </c>
      <c r="AZ16" s="739">
        <f t="shared" si="20"/>
        <v>0.19948816531683963</v>
      </c>
      <c r="BA16" s="739" t="e">
        <f t="shared" si="21"/>
        <v>#N/A</v>
      </c>
      <c r="BB16" s="739">
        <f t="shared" si="22"/>
        <v>0.18903655275960574</v>
      </c>
      <c r="BC16" s="739">
        <f t="shared" si="23"/>
        <v>0.18903655275960582</v>
      </c>
      <c r="BD16" s="739">
        <f t="shared" si="24"/>
        <v>0.18903655275960587</v>
      </c>
      <c r="BE16" s="739">
        <f t="shared" si="25"/>
        <v>0.11127141815471263</v>
      </c>
      <c r="BF16" s="739">
        <f t="shared" si="26"/>
        <v>0.11127141815471282</v>
      </c>
      <c r="BG16" s="739" t="e">
        <f t="shared" si="27"/>
        <v>#N/A</v>
      </c>
      <c r="BH16" s="739">
        <f t="shared" si="28"/>
        <v>0</v>
      </c>
      <c r="BI16" s="739">
        <f t="shared" si="29"/>
        <v>0.16353039896352903</v>
      </c>
      <c r="BJ16" s="738">
        <f t="shared" si="30"/>
        <v>-5.7378599839075006E-2</v>
      </c>
      <c r="BK16" s="738">
        <f t="shared" si="31"/>
        <v>-5.7378599839074979E-2</v>
      </c>
      <c r="BL16" s="738">
        <f t="shared" si="32"/>
        <v>-5.7378599839075006E-2</v>
      </c>
      <c r="BM16" s="738">
        <f t="shared" si="33"/>
        <v>-5.7378599839074951E-2</v>
      </c>
      <c r="BN16" s="738">
        <f t="shared" si="34"/>
        <v>-5.7378599839074979E-2</v>
      </c>
      <c r="BO16" s="738">
        <f t="shared" si="35"/>
        <v>-5.7378599839075062E-2</v>
      </c>
      <c r="BP16" s="738">
        <f t="shared" si="36"/>
        <v>-5.7378599839075062E-2</v>
      </c>
      <c r="BQ16" s="738">
        <f t="shared" si="37"/>
        <v>-5.7378599839075006E-2</v>
      </c>
      <c r="BR16" s="738">
        <f t="shared" si="38"/>
        <v>-5.7378599839075034E-2</v>
      </c>
      <c r="BS16" s="738">
        <f t="shared" si="39"/>
        <v>-5.7378599839074951E-2</v>
      </c>
      <c r="BT16" s="738">
        <f t="shared" si="40"/>
        <v>-5.7378599839074979E-2</v>
      </c>
      <c r="BU16" s="738">
        <f t="shared" si="41"/>
        <v>-6.4938384995587878E-2</v>
      </c>
      <c r="BV16" s="738">
        <f t="shared" si="42"/>
        <v>-5.7378599839075062E-2</v>
      </c>
      <c r="BW16" s="738">
        <f t="shared" si="43"/>
        <v>-5.7378599839075006E-2</v>
      </c>
      <c r="BX16" s="738">
        <f t="shared" si="44"/>
        <v>-5.7378599839075006E-2</v>
      </c>
      <c r="BY16" s="738">
        <f t="shared" si="45"/>
        <v>-5.7378599839075006E-2</v>
      </c>
      <c r="BZ16" s="738">
        <f t="shared" si="46"/>
        <v>-5.7378599839075006E-2</v>
      </c>
      <c r="CA16" s="738">
        <f t="shared" si="47"/>
        <v>-5.7378599839075034E-2</v>
      </c>
      <c r="CB16" s="738">
        <f t="shared" si="48"/>
        <v>-5.3670235728092736E-2</v>
      </c>
      <c r="CC16" s="738">
        <f t="shared" si="49"/>
        <v>-6.0550996319226669E-2</v>
      </c>
      <c r="CD16" s="738" t="e">
        <f t="shared" si="50"/>
        <v>#N/A</v>
      </c>
      <c r="CE16" s="738">
        <f t="shared" si="51"/>
        <v>-5.7378599839075006E-2</v>
      </c>
      <c r="CF16" s="738">
        <f t="shared" si="52"/>
        <v>-5.7378599839075034E-2</v>
      </c>
      <c r="CG16" s="738">
        <f t="shared" si="53"/>
        <v>-5.7378599839075062E-2</v>
      </c>
      <c r="CH16" s="738">
        <f t="shared" si="54"/>
        <v>-3.3774410729679447E-2</v>
      </c>
      <c r="CI16" s="738">
        <f t="shared" si="55"/>
        <v>-3.3774410729679502E-2</v>
      </c>
      <c r="CJ16" s="738" t="e">
        <f t="shared" si="56"/>
        <v>#N/A</v>
      </c>
      <c r="CK16" s="738">
        <f t="shared" si="57"/>
        <v>0</v>
      </c>
      <c r="CL16" s="738">
        <f t="shared" si="58"/>
        <v>-4.9636671779478503E-2</v>
      </c>
    </row>
    <row r="17" spans="1:90" s="708" customFormat="1" x14ac:dyDescent="0.3">
      <c r="A17" s="740" t="s">
        <v>153</v>
      </c>
      <c r="B17" s="701">
        <v>15</v>
      </c>
      <c r="C17" s="811">
        <v>0</v>
      </c>
      <c r="D17" s="811">
        <v>0</v>
      </c>
      <c r="E17" s="811">
        <v>0</v>
      </c>
      <c r="F17" s="811">
        <v>0</v>
      </c>
      <c r="G17" s="811">
        <v>0</v>
      </c>
      <c r="H17" s="811">
        <v>0</v>
      </c>
      <c r="I17" s="811">
        <v>0</v>
      </c>
      <c r="J17" s="811">
        <v>0</v>
      </c>
      <c r="K17" s="811">
        <v>0</v>
      </c>
      <c r="L17" s="811">
        <v>0</v>
      </c>
      <c r="M17" s="811">
        <v>0</v>
      </c>
      <c r="N17" s="811">
        <v>0</v>
      </c>
      <c r="O17" s="811">
        <v>0</v>
      </c>
      <c r="P17" s="811">
        <v>0</v>
      </c>
      <c r="Q17" s="811">
        <v>0</v>
      </c>
      <c r="R17" s="811">
        <v>0</v>
      </c>
      <c r="S17" s="811">
        <v>0</v>
      </c>
      <c r="T17" s="811">
        <v>0</v>
      </c>
      <c r="U17" s="811">
        <v>0</v>
      </c>
      <c r="V17" s="811">
        <v>0</v>
      </c>
      <c r="W17" s="811">
        <v>0</v>
      </c>
      <c r="X17" s="811">
        <v>0</v>
      </c>
      <c r="Y17" s="811">
        <v>0</v>
      </c>
      <c r="Z17" s="811">
        <v>0</v>
      </c>
      <c r="AA17" s="812">
        <v>0</v>
      </c>
      <c r="AB17" s="812">
        <v>0</v>
      </c>
      <c r="AC17" s="812">
        <v>0</v>
      </c>
      <c r="AD17" s="812">
        <v>0</v>
      </c>
      <c r="AE17" s="813">
        <f t="shared" si="0"/>
        <v>0</v>
      </c>
      <c r="AF17" s="709"/>
      <c r="AG17" s="739" t="e">
        <f t="shared" si="1"/>
        <v>#N/A</v>
      </c>
      <c r="AH17" s="739">
        <f t="shared" si="2"/>
        <v>0</v>
      </c>
      <c r="AI17" s="739">
        <f t="shared" si="3"/>
        <v>0</v>
      </c>
      <c r="AJ17" s="739">
        <f t="shared" si="4"/>
        <v>0</v>
      </c>
      <c r="AK17" s="739">
        <f t="shared" si="5"/>
        <v>0</v>
      </c>
      <c r="AL17" s="739">
        <f t="shared" si="6"/>
        <v>0</v>
      </c>
      <c r="AM17" s="739">
        <f t="shared" si="7"/>
        <v>0</v>
      </c>
      <c r="AN17" s="739">
        <f t="shared" si="8"/>
        <v>0</v>
      </c>
      <c r="AO17" s="739">
        <f t="shared" si="9"/>
        <v>0</v>
      </c>
      <c r="AP17" s="739">
        <f t="shared" si="10"/>
        <v>0</v>
      </c>
      <c r="AQ17" s="739">
        <f t="shared" si="11"/>
        <v>0</v>
      </c>
      <c r="AR17" s="739">
        <f t="shared" si="12"/>
        <v>0</v>
      </c>
      <c r="AS17" s="739">
        <f t="shared" si="13"/>
        <v>0</v>
      </c>
      <c r="AT17" s="739">
        <f t="shared" si="14"/>
        <v>0</v>
      </c>
      <c r="AU17" s="739">
        <f t="shared" si="15"/>
        <v>0</v>
      </c>
      <c r="AV17" s="739">
        <f t="shared" si="16"/>
        <v>0</v>
      </c>
      <c r="AW17" s="739">
        <f t="shared" si="17"/>
        <v>0</v>
      </c>
      <c r="AX17" s="739">
        <f t="shared" si="18"/>
        <v>0</v>
      </c>
      <c r="AY17" s="739">
        <f t="shared" si="19"/>
        <v>0</v>
      </c>
      <c r="AZ17" s="739">
        <f t="shared" si="20"/>
        <v>0</v>
      </c>
      <c r="BA17" s="739" t="e">
        <f t="shared" si="21"/>
        <v>#N/A</v>
      </c>
      <c r="BB17" s="739">
        <f t="shared" si="22"/>
        <v>0</v>
      </c>
      <c r="BC17" s="739">
        <f t="shared" si="23"/>
        <v>0</v>
      </c>
      <c r="BD17" s="739">
        <f t="shared" si="24"/>
        <v>0</v>
      </c>
      <c r="BE17" s="739">
        <f t="shared" si="25"/>
        <v>0</v>
      </c>
      <c r="BF17" s="739">
        <f t="shared" si="26"/>
        <v>0</v>
      </c>
      <c r="BG17" s="739" t="e">
        <f t="shared" si="27"/>
        <v>#N/A</v>
      </c>
      <c r="BH17" s="739" t="e">
        <f t="shared" si="28"/>
        <v>#N/A</v>
      </c>
      <c r="BI17" s="739" t="e">
        <f t="shared" si="29"/>
        <v>#N/A</v>
      </c>
      <c r="BJ17" s="738" t="e">
        <f t="shared" si="30"/>
        <v>#N/A</v>
      </c>
      <c r="BK17" s="738">
        <f t="shared" si="31"/>
        <v>0</v>
      </c>
      <c r="BL17" s="738">
        <f t="shared" si="32"/>
        <v>0</v>
      </c>
      <c r="BM17" s="738">
        <f t="shared" si="33"/>
        <v>0</v>
      </c>
      <c r="BN17" s="738">
        <f t="shared" si="34"/>
        <v>0</v>
      </c>
      <c r="BO17" s="738">
        <f t="shared" si="35"/>
        <v>0</v>
      </c>
      <c r="BP17" s="738">
        <f t="shared" si="36"/>
        <v>0</v>
      </c>
      <c r="BQ17" s="738">
        <f t="shared" si="37"/>
        <v>0</v>
      </c>
      <c r="BR17" s="738">
        <f t="shared" si="38"/>
        <v>0</v>
      </c>
      <c r="BS17" s="738">
        <f t="shared" si="39"/>
        <v>0</v>
      </c>
      <c r="BT17" s="738">
        <f t="shared" si="40"/>
        <v>0</v>
      </c>
      <c r="BU17" s="738">
        <f t="shared" si="41"/>
        <v>0</v>
      </c>
      <c r="BV17" s="738">
        <f t="shared" si="42"/>
        <v>0</v>
      </c>
      <c r="BW17" s="738">
        <f t="shared" si="43"/>
        <v>0</v>
      </c>
      <c r="BX17" s="738">
        <f t="shared" si="44"/>
        <v>0</v>
      </c>
      <c r="BY17" s="738">
        <f t="shared" si="45"/>
        <v>0</v>
      </c>
      <c r="BZ17" s="738">
        <f t="shared" si="46"/>
        <v>0</v>
      </c>
      <c r="CA17" s="738">
        <f t="shared" si="47"/>
        <v>0</v>
      </c>
      <c r="CB17" s="738">
        <f t="shared" si="48"/>
        <v>0</v>
      </c>
      <c r="CC17" s="738">
        <f t="shared" si="49"/>
        <v>0</v>
      </c>
      <c r="CD17" s="738" t="e">
        <f t="shared" si="50"/>
        <v>#N/A</v>
      </c>
      <c r="CE17" s="738">
        <f t="shared" si="51"/>
        <v>0</v>
      </c>
      <c r="CF17" s="738">
        <f t="shared" si="52"/>
        <v>0</v>
      </c>
      <c r="CG17" s="738">
        <f t="shared" si="53"/>
        <v>0</v>
      </c>
      <c r="CH17" s="738">
        <f t="shared" si="54"/>
        <v>0</v>
      </c>
      <c r="CI17" s="738">
        <f t="shared" si="55"/>
        <v>0</v>
      </c>
      <c r="CJ17" s="738" t="e">
        <f t="shared" si="56"/>
        <v>#N/A</v>
      </c>
      <c r="CK17" s="738" t="e">
        <f t="shared" si="57"/>
        <v>#N/A</v>
      </c>
      <c r="CL17" s="738" t="e">
        <f t="shared" si="58"/>
        <v>#N/A</v>
      </c>
    </row>
    <row r="18" spans="1:90" s="708" customFormat="1" x14ac:dyDescent="0.3">
      <c r="A18" s="740" t="s">
        <v>154</v>
      </c>
      <c r="B18" s="701">
        <v>16</v>
      </c>
      <c r="C18" s="811">
        <v>0.1</v>
      </c>
      <c r="D18" s="811">
        <v>0.1</v>
      </c>
      <c r="E18" s="811">
        <v>0.1</v>
      </c>
      <c r="F18" s="811">
        <v>0.1</v>
      </c>
      <c r="G18" s="811">
        <v>0.1</v>
      </c>
      <c r="H18" s="811">
        <v>0.1</v>
      </c>
      <c r="I18" s="811">
        <v>0.1</v>
      </c>
      <c r="J18" s="811">
        <v>0.1</v>
      </c>
      <c r="K18" s="811">
        <v>0.1</v>
      </c>
      <c r="L18" s="811">
        <v>0.1</v>
      </c>
      <c r="M18" s="811">
        <v>0.1</v>
      </c>
      <c r="N18" s="811">
        <v>0.3</v>
      </c>
      <c r="O18" s="811">
        <v>0.1</v>
      </c>
      <c r="P18" s="811">
        <v>0.1</v>
      </c>
      <c r="Q18" s="811">
        <v>0.1</v>
      </c>
      <c r="R18" s="811">
        <v>0.1</v>
      </c>
      <c r="S18" s="811">
        <v>0</v>
      </c>
      <c r="T18" s="811">
        <v>0.1</v>
      </c>
      <c r="U18" s="811">
        <v>0.1</v>
      </c>
      <c r="V18" s="811">
        <v>0.1</v>
      </c>
      <c r="W18" s="811">
        <v>0</v>
      </c>
      <c r="X18" s="811">
        <v>0.1</v>
      </c>
      <c r="Y18" s="811">
        <v>0.1</v>
      </c>
      <c r="Z18" s="811">
        <v>0.1</v>
      </c>
      <c r="AA18" s="811">
        <v>0.1</v>
      </c>
      <c r="AB18" s="811">
        <v>0.1</v>
      </c>
      <c r="AC18" s="812">
        <v>0</v>
      </c>
      <c r="AD18" s="812">
        <v>0</v>
      </c>
      <c r="AE18" s="813">
        <f t="shared" si="0"/>
        <v>0.14729015858742425</v>
      </c>
      <c r="AF18" s="709"/>
      <c r="AG18" s="739">
        <f t="shared" si="1"/>
        <v>0.16458382702764324</v>
      </c>
      <c r="AH18" s="739">
        <f t="shared" si="2"/>
        <v>0.16458382702764324</v>
      </c>
      <c r="AI18" s="739">
        <f t="shared" si="3"/>
        <v>0.16458382702764321</v>
      </c>
      <c r="AJ18" s="739">
        <f t="shared" si="4"/>
        <v>0.16458382702764324</v>
      </c>
      <c r="AK18" s="739">
        <f t="shared" si="5"/>
        <v>0.16458382702764324</v>
      </c>
      <c r="AL18" s="739">
        <f t="shared" si="6"/>
        <v>0.16458382702764324</v>
      </c>
      <c r="AM18" s="739">
        <f t="shared" si="7"/>
        <v>0.16458382702764324</v>
      </c>
      <c r="AN18" s="739">
        <f t="shared" si="8"/>
        <v>0.16458382702764324</v>
      </c>
      <c r="AO18" s="739">
        <f t="shared" si="9"/>
        <v>0.16458382702764324</v>
      </c>
      <c r="AP18" s="739">
        <f t="shared" si="10"/>
        <v>0.16458382702764324</v>
      </c>
      <c r="AQ18" s="739">
        <f t="shared" si="11"/>
        <v>0.16458382702764324</v>
      </c>
      <c r="AR18" s="739">
        <f t="shared" si="12"/>
        <v>0.4937514810829296</v>
      </c>
      <c r="AS18" s="739">
        <f t="shared" si="13"/>
        <v>0.16458382702764324</v>
      </c>
      <c r="AT18" s="739">
        <f t="shared" si="14"/>
        <v>0.16458382702764324</v>
      </c>
      <c r="AU18" s="739">
        <f t="shared" si="15"/>
        <v>0.16458382702764324</v>
      </c>
      <c r="AV18" s="739">
        <f t="shared" si="16"/>
        <v>0.16458382702764324</v>
      </c>
      <c r="AW18" s="739">
        <f t="shared" si="17"/>
        <v>0</v>
      </c>
      <c r="AX18" s="739">
        <f t="shared" si="18"/>
        <v>0.16458382702764326</v>
      </c>
      <c r="AY18" s="739">
        <f t="shared" si="19"/>
        <v>0.16458382702764324</v>
      </c>
      <c r="AZ18" s="739">
        <f t="shared" si="20"/>
        <v>0.16458382702764324</v>
      </c>
      <c r="BA18" s="739" t="e">
        <f t="shared" si="21"/>
        <v>#N/A</v>
      </c>
      <c r="BB18" s="739">
        <f t="shared" si="22"/>
        <v>0.16458382702764324</v>
      </c>
      <c r="BC18" s="739">
        <f t="shared" si="23"/>
        <v>0.16458382702764321</v>
      </c>
      <c r="BD18" s="739">
        <f t="shared" si="24"/>
        <v>0.16458382702764324</v>
      </c>
      <c r="BE18" s="739">
        <f t="shared" si="25"/>
        <v>0.16458382702764324</v>
      </c>
      <c r="BF18" s="739">
        <f t="shared" si="26"/>
        <v>0.16458382702764324</v>
      </c>
      <c r="BG18" s="739" t="e">
        <f t="shared" si="27"/>
        <v>#N/A</v>
      </c>
      <c r="BH18" s="739">
        <f t="shared" si="28"/>
        <v>0</v>
      </c>
      <c r="BI18" s="739">
        <f t="shared" si="29"/>
        <v>0.24241577983826773</v>
      </c>
      <c r="BJ18" s="738">
        <f t="shared" si="30"/>
        <v>-6.4583827027643231E-2</v>
      </c>
      <c r="BK18" s="738">
        <f t="shared" si="31"/>
        <v>-6.4583827027643231E-2</v>
      </c>
      <c r="BL18" s="738">
        <f t="shared" si="32"/>
        <v>-6.4583827027643204E-2</v>
      </c>
      <c r="BM18" s="738">
        <f t="shared" si="33"/>
        <v>-6.4583827027643231E-2</v>
      </c>
      <c r="BN18" s="738">
        <f t="shared" si="34"/>
        <v>-6.4583827027643231E-2</v>
      </c>
      <c r="BO18" s="738">
        <f t="shared" si="35"/>
        <v>-6.4583827027643231E-2</v>
      </c>
      <c r="BP18" s="738">
        <f t="shared" si="36"/>
        <v>-6.4583827027643231E-2</v>
      </c>
      <c r="BQ18" s="738">
        <f t="shared" si="37"/>
        <v>-6.4583827027643231E-2</v>
      </c>
      <c r="BR18" s="738">
        <f t="shared" si="38"/>
        <v>-6.4583827027643231E-2</v>
      </c>
      <c r="BS18" s="738">
        <f t="shared" si="39"/>
        <v>-6.4583827027643231E-2</v>
      </c>
      <c r="BT18" s="738">
        <f t="shared" si="40"/>
        <v>-6.4583827027643231E-2</v>
      </c>
      <c r="BU18" s="738">
        <f t="shared" si="41"/>
        <v>-0.19375148108292961</v>
      </c>
      <c r="BV18" s="738">
        <f t="shared" si="42"/>
        <v>-6.4583827027643231E-2</v>
      </c>
      <c r="BW18" s="738">
        <f t="shared" si="43"/>
        <v>-6.4583827027643231E-2</v>
      </c>
      <c r="BX18" s="738">
        <f t="shared" si="44"/>
        <v>-6.4583827027643231E-2</v>
      </c>
      <c r="BY18" s="738">
        <f t="shared" si="45"/>
        <v>-6.4583827027643231E-2</v>
      </c>
      <c r="BZ18" s="738">
        <f t="shared" si="46"/>
        <v>0</v>
      </c>
      <c r="CA18" s="738">
        <f t="shared" si="47"/>
        <v>-6.4583827027643259E-2</v>
      </c>
      <c r="CB18" s="738">
        <f t="shared" si="48"/>
        <v>-6.4583827027643231E-2</v>
      </c>
      <c r="CC18" s="738">
        <f t="shared" si="49"/>
        <v>-6.4583827027643231E-2</v>
      </c>
      <c r="CD18" s="738" t="e">
        <f t="shared" si="50"/>
        <v>#N/A</v>
      </c>
      <c r="CE18" s="738">
        <f t="shared" si="51"/>
        <v>-6.4583827027643231E-2</v>
      </c>
      <c r="CF18" s="738">
        <f t="shared" si="52"/>
        <v>-6.4583827027643204E-2</v>
      </c>
      <c r="CG18" s="738">
        <f t="shared" si="53"/>
        <v>-6.4583827027643231E-2</v>
      </c>
      <c r="CH18" s="738">
        <f t="shared" si="54"/>
        <v>-6.4583827027643231E-2</v>
      </c>
      <c r="CI18" s="738">
        <f t="shared" si="55"/>
        <v>-6.4583827027643231E-2</v>
      </c>
      <c r="CJ18" s="738" t="e">
        <f t="shared" si="56"/>
        <v>#N/A</v>
      </c>
      <c r="CK18" s="738">
        <f t="shared" si="57"/>
        <v>0</v>
      </c>
      <c r="CL18" s="738">
        <f t="shared" si="58"/>
        <v>-9.5125621250843478E-2</v>
      </c>
    </row>
    <row r="19" spans="1:90" s="708" customFormat="1" x14ac:dyDescent="0.3">
      <c r="A19" s="740" t="s">
        <v>155</v>
      </c>
      <c r="B19" s="701">
        <v>17</v>
      </c>
      <c r="C19" s="811">
        <v>0</v>
      </c>
      <c r="D19" s="811">
        <v>0</v>
      </c>
      <c r="E19" s="811">
        <v>0</v>
      </c>
      <c r="F19" s="811">
        <v>0</v>
      </c>
      <c r="G19" s="811">
        <v>0</v>
      </c>
      <c r="H19" s="811">
        <v>0</v>
      </c>
      <c r="I19" s="811">
        <v>0</v>
      </c>
      <c r="J19" s="811">
        <v>0</v>
      </c>
      <c r="K19" s="811">
        <v>0</v>
      </c>
      <c r="L19" s="811">
        <v>0</v>
      </c>
      <c r="M19" s="811">
        <v>0</v>
      </c>
      <c r="N19" s="811">
        <v>0</v>
      </c>
      <c r="O19" s="811">
        <v>0</v>
      </c>
      <c r="P19" s="811">
        <v>0</v>
      </c>
      <c r="Q19" s="811">
        <v>0</v>
      </c>
      <c r="R19" s="811">
        <v>0</v>
      </c>
      <c r="S19" s="811">
        <v>0.12033899044080838</v>
      </c>
      <c r="T19" s="811">
        <v>0</v>
      </c>
      <c r="U19" s="811">
        <v>2.7874869676212288E-2</v>
      </c>
      <c r="V19" s="811">
        <v>0.11070192560594393</v>
      </c>
      <c r="W19" s="811">
        <v>0</v>
      </c>
      <c r="X19" s="811">
        <v>0</v>
      </c>
      <c r="Y19" s="811">
        <v>0</v>
      </c>
      <c r="Z19" s="811">
        <v>0</v>
      </c>
      <c r="AA19" s="812">
        <v>0.27957775353698877</v>
      </c>
      <c r="AB19" s="812">
        <v>0</v>
      </c>
      <c r="AC19" s="812">
        <v>0</v>
      </c>
      <c r="AD19" s="813">
        <v>0.2</v>
      </c>
      <c r="AE19" s="813">
        <f t="shared" si="0"/>
        <v>0.33590266002079788</v>
      </c>
      <c r="AF19" s="709"/>
      <c r="AG19" s="739" t="e">
        <f t="shared" si="1"/>
        <v>#N/A</v>
      </c>
      <c r="AH19" s="739">
        <f t="shared" si="2"/>
        <v>0</v>
      </c>
      <c r="AI19" s="739">
        <f t="shared" si="3"/>
        <v>0</v>
      </c>
      <c r="AJ19" s="739">
        <f t="shared" si="4"/>
        <v>0</v>
      </c>
      <c r="AK19" s="739">
        <f t="shared" si="5"/>
        <v>0</v>
      </c>
      <c r="AL19" s="739">
        <f t="shared" si="6"/>
        <v>0</v>
      </c>
      <c r="AM19" s="739">
        <f t="shared" si="7"/>
        <v>0</v>
      </c>
      <c r="AN19" s="739">
        <f t="shared" si="8"/>
        <v>0</v>
      </c>
      <c r="AO19" s="739">
        <f t="shared" si="9"/>
        <v>0</v>
      </c>
      <c r="AP19" s="739">
        <f t="shared" si="10"/>
        <v>0</v>
      </c>
      <c r="AQ19" s="739">
        <f t="shared" si="11"/>
        <v>0</v>
      </c>
      <c r="AR19" s="739">
        <f t="shared" si="12"/>
        <v>0</v>
      </c>
      <c r="AS19" s="739">
        <f t="shared" si="13"/>
        <v>0</v>
      </c>
      <c r="AT19" s="739">
        <f t="shared" si="14"/>
        <v>0</v>
      </c>
      <c r="AU19" s="739">
        <f t="shared" si="15"/>
        <v>0</v>
      </c>
      <c r="AV19" s="739">
        <f t="shared" si="16"/>
        <v>0</v>
      </c>
      <c r="AW19" s="739">
        <f t="shared" si="17"/>
        <v>0.30168516354615466</v>
      </c>
      <c r="AX19" s="739">
        <f t="shared" si="18"/>
        <v>0</v>
      </c>
      <c r="AY19" s="739">
        <f t="shared" si="19"/>
        <v>6.9881212949282914E-2</v>
      </c>
      <c r="AZ19" s="739">
        <f t="shared" si="20"/>
        <v>0.27752541723150503</v>
      </c>
      <c r="BA19" s="739" t="e">
        <f t="shared" si="21"/>
        <v>#N/A</v>
      </c>
      <c r="BB19" s="739">
        <f t="shared" si="22"/>
        <v>0</v>
      </c>
      <c r="BC19" s="739">
        <f t="shared" si="23"/>
        <v>0</v>
      </c>
      <c r="BD19" s="739">
        <f t="shared" si="24"/>
        <v>0</v>
      </c>
      <c r="BE19" s="739">
        <f t="shared" si="25"/>
        <v>0.70089054254746974</v>
      </c>
      <c r="BF19" s="739" t="e">
        <f t="shared" si="26"/>
        <v>#N/A</v>
      </c>
      <c r="BG19" s="739" t="e">
        <f t="shared" si="27"/>
        <v>#N/A</v>
      </c>
      <c r="BH19" s="739">
        <f t="shared" si="28"/>
        <v>0.50139221284982571</v>
      </c>
      <c r="BI19" s="739">
        <f t="shared" si="29"/>
        <v>0.84209489004985261</v>
      </c>
      <c r="BJ19" s="738" t="e">
        <f t="shared" si="30"/>
        <v>#N/A</v>
      </c>
      <c r="BK19" s="738">
        <f t="shared" si="31"/>
        <v>0</v>
      </c>
      <c r="BL19" s="738">
        <f t="shared" si="32"/>
        <v>0</v>
      </c>
      <c r="BM19" s="738">
        <f t="shared" si="33"/>
        <v>0</v>
      </c>
      <c r="BN19" s="738">
        <f t="shared" si="34"/>
        <v>0</v>
      </c>
      <c r="BO19" s="738">
        <f t="shared" si="35"/>
        <v>0</v>
      </c>
      <c r="BP19" s="738">
        <f t="shared" si="36"/>
        <v>0</v>
      </c>
      <c r="BQ19" s="738">
        <f t="shared" si="37"/>
        <v>0</v>
      </c>
      <c r="BR19" s="738">
        <f t="shared" si="38"/>
        <v>0</v>
      </c>
      <c r="BS19" s="738">
        <f t="shared" si="39"/>
        <v>0</v>
      </c>
      <c r="BT19" s="738">
        <f t="shared" si="40"/>
        <v>0</v>
      </c>
      <c r="BU19" s="738">
        <f t="shared" si="41"/>
        <v>0</v>
      </c>
      <c r="BV19" s="738">
        <f t="shared" si="42"/>
        <v>0</v>
      </c>
      <c r="BW19" s="738">
        <f t="shared" si="43"/>
        <v>0</v>
      </c>
      <c r="BX19" s="738">
        <f t="shared" si="44"/>
        <v>0</v>
      </c>
      <c r="BY19" s="738">
        <f t="shared" si="45"/>
        <v>0</v>
      </c>
      <c r="BZ19" s="738">
        <f t="shared" si="46"/>
        <v>-0.18134617310534629</v>
      </c>
      <c r="CA19" s="738">
        <f t="shared" si="47"/>
        <v>0</v>
      </c>
      <c r="CB19" s="738">
        <f t="shared" si="48"/>
        <v>-4.2006343273070623E-2</v>
      </c>
      <c r="CC19" s="738">
        <f t="shared" si="49"/>
        <v>-0.16682349162556109</v>
      </c>
      <c r="CD19" s="738" t="e">
        <f t="shared" si="50"/>
        <v>#N/A</v>
      </c>
      <c r="CE19" s="738">
        <f t="shared" si="51"/>
        <v>0</v>
      </c>
      <c r="CF19" s="738">
        <f t="shared" si="52"/>
        <v>0</v>
      </c>
      <c r="CG19" s="738">
        <f t="shared" si="53"/>
        <v>0</v>
      </c>
      <c r="CH19" s="738">
        <f t="shared" si="54"/>
        <v>-0.42131278901048097</v>
      </c>
      <c r="CI19" s="738" t="e">
        <f t="shared" si="55"/>
        <v>#N/A</v>
      </c>
      <c r="CJ19" s="738" t="e">
        <f t="shared" si="56"/>
        <v>#N/A</v>
      </c>
      <c r="CK19" s="738">
        <f t="shared" si="57"/>
        <v>-0.3013922128498257</v>
      </c>
      <c r="CL19" s="738">
        <f t="shared" si="58"/>
        <v>-0.50619223002905467</v>
      </c>
    </row>
    <row r="20" spans="1:90" s="708" customFormat="1" x14ac:dyDescent="0.3">
      <c r="A20" s="740" t="s">
        <v>156</v>
      </c>
      <c r="B20" s="701">
        <v>18</v>
      </c>
      <c r="C20" s="811">
        <v>0.42528297452934222</v>
      </c>
      <c r="D20" s="811">
        <v>0.42528297452934222</v>
      </c>
      <c r="E20" s="811">
        <v>0.42528297452934222</v>
      </c>
      <c r="F20" s="811">
        <v>0.42528297452934216</v>
      </c>
      <c r="G20" s="811">
        <v>0.42528297452934222</v>
      </c>
      <c r="H20" s="811">
        <v>0.42528297452934216</v>
      </c>
      <c r="I20" s="811">
        <v>0.42528297452934211</v>
      </c>
      <c r="J20" s="811">
        <v>0.42528297452934216</v>
      </c>
      <c r="K20" s="811">
        <v>0.42528297452934211</v>
      </c>
      <c r="L20" s="811">
        <v>0.42528297452934222</v>
      </c>
      <c r="M20" s="811">
        <v>0.42528297452934211</v>
      </c>
      <c r="N20" s="811">
        <v>0.18473234051310061</v>
      </c>
      <c r="O20" s="811">
        <v>0.42528297452934216</v>
      </c>
      <c r="P20" s="811">
        <v>0.42528297452934211</v>
      </c>
      <c r="Q20" s="811">
        <v>0.42528297452934222</v>
      </c>
      <c r="R20" s="811">
        <v>0.42528297452934222</v>
      </c>
      <c r="S20" s="811">
        <v>0.42528297452934216</v>
      </c>
      <c r="T20" s="811">
        <v>0.42528297452934216</v>
      </c>
      <c r="U20" s="811">
        <v>0.32968470068425776</v>
      </c>
      <c r="V20" s="811">
        <v>0.49010173896656045</v>
      </c>
      <c r="W20" s="811">
        <v>0</v>
      </c>
      <c r="X20" s="811">
        <v>0.42528297452934211</v>
      </c>
      <c r="Y20" s="811">
        <v>0.42528297452934211</v>
      </c>
      <c r="Z20" s="811">
        <v>0.42528297452934211</v>
      </c>
      <c r="AA20" s="812">
        <v>0.37428631109141081</v>
      </c>
      <c r="AB20" s="812">
        <v>0</v>
      </c>
      <c r="AC20" s="812">
        <v>0</v>
      </c>
      <c r="AD20" s="812">
        <v>0</v>
      </c>
      <c r="AE20" s="813">
        <f t="shared" si="0"/>
        <v>0.29086533565532241</v>
      </c>
      <c r="AF20" s="709"/>
      <c r="AG20" s="739">
        <f t="shared" si="1"/>
        <v>0.49028502435652832</v>
      </c>
      <c r="AH20" s="739">
        <f t="shared" si="2"/>
        <v>0.49028502435652832</v>
      </c>
      <c r="AI20" s="739">
        <f t="shared" si="3"/>
        <v>0.49028502435652832</v>
      </c>
      <c r="AJ20" s="739">
        <f t="shared" si="4"/>
        <v>0.49028502435652827</v>
      </c>
      <c r="AK20" s="739">
        <f t="shared" si="5"/>
        <v>0.49028502435652827</v>
      </c>
      <c r="AL20" s="739">
        <f t="shared" si="6"/>
        <v>0.49028502435652827</v>
      </c>
      <c r="AM20" s="739">
        <f t="shared" si="7"/>
        <v>0.49028502435652827</v>
      </c>
      <c r="AN20" s="739">
        <f t="shared" si="8"/>
        <v>0.49028502435652827</v>
      </c>
      <c r="AO20" s="739">
        <f t="shared" si="9"/>
        <v>0.49028502435652821</v>
      </c>
      <c r="AP20" s="739">
        <f t="shared" si="10"/>
        <v>0.49028502435652832</v>
      </c>
      <c r="AQ20" s="739">
        <f t="shared" si="11"/>
        <v>0.49028502435652827</v>
      </c>
      <c r="AR20" s="739">
        <f t="shared" si="12"/>
        <v>0.21296761331238073</v>
      </c>
      <c r="AS20" s="739">
        <f t="shared" si="13"/>
        <v>0.49028502435652827</v>
      </c>
      <c r="AT20" s="739">
        <f t="shared" si="14"/>
        <v>0.49028502435652821</v>
      </c>
      <c r="AU20" s="739">
        <f t="shared" si="15"/>
        <v>0.49028502435652838</v>
      </c>
      <c r="AV20" s="739">
        <f t="shared" si="16"/>
        <v>0.49028502435652838</v>
      </c>
      <c r="AW20" s="739">
        <f t="shared" si="17"/>
        <v>0.49028502435652832</v>
      </c>
      <c r="AX20" s="739">
        <f t="shared" si="18"/>
        <v>0.49028502435652827</v>
      </c>
      <c r="AY20" s="739">
        <f t="shared" si="19"/>
        <v>0.38007510571953035</v>
      </c>
      <c r="AZ20" s="739">
        <f t="shared" si="20"/>
        <v>0.56501096309421694</v>
      </c>
      <c r="BA20" s="739" t="e">
        <f t="shared" si="21"/>
        <v>#N/A</v>
      </c>
      <c r="BB20" s="739">
        <f t="shared" si="22"/>
        <v>0.49028502435652821</v>
      </c>
      <c r="BC20" s="739">
        <f t="shared" si="23"/>
        <v>0.49028502435652815</v>
      </c>
      <c r="BD20" s="739">
        <f t="shared" si="24"/>
        <v>0.49028502435652821</v>
      </c>
      <c r="BE20" s="739">
        <f t="shared" si="25"/>
        <v>0.4314938150365728</v>
      </c>
      <c r="BF20" s="739" t="e">
        <f t="shared" si="26"/>
        <v>#N/A</v>
      </c>
      <c r="BG20" s="739" t="e">
        <f t="shared" si="27"/>
        <v>#N/A</v>
      </c>
      <c r="BH20" s="739">
        <f t="shared" si="28"/>
        <v>0</v>
      </c>
      <c r="BI20" s="739">
        <f t="shared" si="29"/>
        <v>0.33532242463752904</v>
      </c>
      <c r="BJ20" s="738">
        <f t="shared" si="30"/>
        <v>-6.5002049827186104E-2</v>
      </c>
      <c r="BK20" s="738">
        <f t="shared" si="31"/>
        <v>-6.5002049827186104E-2</v>
      </c>
      <c r="BL20" s="738">
        <f t="shared" si="32"/>
        <v>-6.5002049827186104E-2</v>
      </c>
      <c r="BM20" s="738">
        <f t="shared" si="33"/>
        <v>-6.5002049827186104E-2</v>
      </c>
      <c r="BN20" s="738">
        <f t="shared" si="34"/>
        <v>-6.5002049827186048E-2</v>
      </c>
      <c r="BO20" s="738">
        <f t="shared" si="35"/>
        <v>-6.5002049827186104E-2</v>
      </c>
      <c r="BP20" s="738">
        <f t="shared" si="36"/>
        <v>-6.5002049827186159E-2</v>
      </c>
      <c r="BQ20" s="738">
        <f t="shared" si="37"/>
        <v>-6.5002049827186104E-2</v>
      </c>
      <c r="BR20" s="738">
        <f t="shared" si="38"/>
        <v>-6.5002049827186104E-2</v>
      </c>
      <c r="BS20" s="738">
        <f t="shared" si="39"/>
        <v>-6.5002049827186104E-2</v>
      </c>
      <c r="BT20" s="738">
        <f t="shared" si="40"/>
        <v>-6.5002049827186159E-2</v>
      </c>
      <c r="BU20" s="738">
        <f t="shared" si="41"/>
        <v>-2.823527279928012E-2</v>
      </c>
      <c r="BV20" s="738">
        <f t="shared" si="42"/>
        <v>-6.5002049827186104E-2</v>
      </c>
      <c r="BW20" s="738">
        <f t="shared" si="43"/>
        <v>-6.5002049827186104E-2</v>
      </c>
      <c r="BX20" s="738">
        <f t="shared" si="44"/>
        <v>-6.5002049827186159E-2</v>
      </c>
      <c r="BY20" s="738">
        <f t="shared" si="45"/>
        <v>-6.5002049827186159E-2</v>
      </c>
      <c r="BZ20" s="738">
        <f t="shared" si="46"/>
        <v>-6.5002049827186159E-2</v>
      </c>
      <c r="CA20" s="738">
        <f t="shared" si="47"/>
        <v>-6.5002049827186104E-2</v>
      </c>
      <c r="CB20" s="738">
        <f t="shared" si="48"/>
        <v>-5.039040503527259E-2</v>
      </c>
      <c r="CC20" s="738">
        <f t="shared" si="49"/>
        <v>-7.4909224127656493E-2</v>
      </c>
      <c r="CD20" s="738" t="e">
        <f t="shared" si="50"/>
        <v>#N/A</v>
      </c>
      <c r="CE20" s="738">
        <f t="shared" si="51"/>
        <v>-6.5002049827186104E-2</v>
      </c>
      <c r="CF20" s="738">
        <f t="shared" si="52"/>
        <v>-6.5002049827186048E-2</v>
      </c>
      <c r="CG20" s="738">
        <f t="shared" si="53"/>
        <v>-6.5002049827186104E-2</v>
      </c>
      <c r="CH20" s="738">
        <f t="shared" si="54"/>
        <v>-5.7207503945161997E-2</v>
      </c>
      <c r="CI20" s="738" t="e">
        <f t="shared" si="55"/>
        <v>#N/A</v>
      </c>
      <c r="CJ20" s="738" t="e">
        <f t="shared" si="56"/>
        <v>#N/A</v>
      </c>
      <c r="CK20" s="738">
        <f t="shared" si="57"/>
        <v>0</v>
      </c>
      <c r="CL20" s="738">
        <f t="shared" si="58"/>
        <v>-4.4457088982206627E-2</v>
      </c>
    </row>
    <row r="21" spans="1:90" s="708" customFormat="1" x14ac:dyDescent="0.3">
      <c r="A21" s="740" t="s">
        <v>311</v>
      </c>
      <c r="B21" s="701">
        <v>19</v>
      </c>
      <c r="C21" s="811">
        <v>4.0598485965857599E-2</v>
      </c>
      <c r="D21" s="811">
        <v>4.1453870710550317E-2</v>
      </c>
      <c r="E21" s="811">
        <v>4.5658424876860122E-2</v>
      </c>
      <c r="F21" s="811">
        <v>5.4979302613293063E-2</v>
      </c>
      <c r="G21" s="811">
        <v>4.8988502850653572E-2</v>
      </c>
      <c r="H21" s="811">
        <v>4.5637520683080683E-2</v>
      </c>
      <c r="I21" s="811">
        <v>4.7790077273475881E-2</v>
      </c>
      <c r="J21" s="811">
        <v>4.2357649223597027E-2</v>
      </c>
      <c r="K21" s="811">
        <v>4.0028904164227649E-2</v>
      </c>
      <c r="L21" s="811">
        <v>5.0342366271594066E-2</v>
      </c>
      <c r="M21" s="811">
        <v>4.5917540493436243E-2</v>
      </c>
      <c r="N21" s="811">
        <v>5.9800947040223013E-2</v>
      </c>
      <c r="O21" s="811">
        <v>5.0543314206361059E-2</v>
      </c>
      <c r="P21" s="811">
        <v>4.6905428810514148E-2</v>
      </c>
      <c r="Q21" s="811">
        <v>3.8773474235574708E-2</v>
      </c>
      <c r="R21" s="811">
        <v>4.1114077866384539E-2</v>
      </c>
      <c r="S21" s="811">
        <v>6.334688690823928E-2</v>
      </c>
      <c r="T21" s="811">
        <v>5.3763233640487011E-2</v>
      </c>
      <c r="U21" s="811">
        <v>4.3239637354229192E-2</v>
      </c>
      <c r="V21" s="811">
        <v>4.5847211553107649E-2</v>
      </c>
      <c r="W21" s="811">
        <v>2.2288039361413298E-2</v>
      </c>
      <c r="X21" s="811">
        <v>5.7190179738492407E-2</v>
      </c>
      <c r="Y21" s="811">
        <v>5.6793295315963901E-2</v>
      </c>
      <c r="Z21" s="811">
        <v>4.7587220710584702E-2</v>
      </c>
      <c r="AA21" s="812">
        <v>5.9078207354120961E-3</v>
      </c>
      <c r="AB21" s="812">
        <v>2.6263577553963893E-3</v>
      </c>
      <c r="AC21" s="812">
        <v>4.4389157002078274E-2</v>
      </c>
      <c r="AD21" s="812">
        <v>0</v>
      </c>
      <c r="AE21" s="813">
        <f t="shared" si="0"/>
        <v>4.0489437587552038E-2</v>
      </c>
      <c r="AF21" s="709"/>
      <c r="AG21" s="739">
        <f t="shared" si="1"/>
        <v>5.8155809483622693E-2</v>
      </c>
      <c r="AH21" s="739">
        <f t="shared" si="2"/>
        <v>5.9381116069917118E-2</v>
      </c>
      <c r="AI21" s="739">
        <f t="shared" si="3"/>
        <v>6.5403982323233065E-2</v>
      </c>
      <c r="AJ21" s="739">
        <f t="shared" si="4"/>
        <v>7.8755790327009301E-2</v>
      </c>
      <c r="AK21" s="739">
        <f t="shared" si="5"/>
        <v>7.017419420680937E-2</v>
      </c>
      <c r="AL21" s="739">
        <f t="shared" si="6"/>
        <v>6.5374037849149275E-2</v>
      </c>
      <c r="AM21" s="739">
        <f t="shared" si="7"/>
        <v>6.8457494485414383E-2</v>
      </c>
      <c r="AN21" s="739">
        <f t="shared" si="8"/>
        <v>6.0675744915542985E-2</v>
      </c>
      <c r="AO21" s="739">
        <f t="shared" si="9"/>
        <v>5.7339904901151643E-2</v>
      </c>
      <c r="AP21" s="739">
        <f t="shared" si="10"/>
        <v>7.2113552813464696E-2</v>
      </c>
      <c r="AQ21" s="739">
        <f t="shared" si="11"/>
        <v>6.5775155732125834E-2</v>
      </c>
      <c r="AR21" s="739">
        <f t="shared" si="12"/>
        <v>8.5662615249646176E-2</v>
      </c>
      <c r="AS21" s="739">
        <f t="shared" si="13"/>
        <v>7.2401403198335323E-2</v>
      </c>
      <c r="AT21" s="739">
        <f t="shared" si="14"/>
        <v>6.7190268719526255E-2</v>
      </c>
      <c r="AU21" s="739">
        <f t="shared" si="15"/>
        <v>5.5541548582835269E-2</v>
      </c>
      <c r="AV21" s="739">
        <f t="shared" si="16"/>
        <v>5.889437555634669E-2</v>
      </c>
      <c r="AW21" s="739">
        <f t="shared" si="17"/>
        <v>9.0742041206026927E-2</v>
      </c>
      <c r="AX21" s="739">
        <f t="shared" si="18"/>
        <v>7.7013817102664708E-2</v>
      </c>
      <c r="AY21" s="739">
        <f t="shared" si="19"/>
        <v>6.1939159855080306E-2</v>
      </c>
      <c r="AZ21" s="739">
        <f t="shared" si="20"/>
        <v>6.5674412161087867E-2</v>
      </c>
      <c r="BA21" s="739">
        <f t="shared" si="21"/>
        <v>3.1926781012373028E-2</v>
      </c>
      <c r="BB21" s="739">
        <f t="shared" si="22"/>
        <v>8.1922788943482872E-2</v>
      </c>
      <c r="BC21" s="739">
        <f t="shared" si="23"/>
        <v>8.1354266883744072E-2</v>
      </c>
      <c r="BD21" s="739">
        <f t="shared" si="24"/>
        <v>6.816691006229271E-2</v>
      </c>
      <c r="BE21" s="739">
        <f t="shared" si="25"/>
        <v>8.4627317738144112E-3</v>
      </c>
      <c r="BF21" s="739">
        <f t="shared" si="26"/>
        <v>3.7621590466973692E-3</v>
      </c>
      <c r="BG21" s="739">
        <f t="shared" si="27"/>
        <v>6.3585803665743901E-2</v>
      </c>
      <c r="BH21" s="739">
        <f t="shared" si="28"/>
        <v>0</v>
      </c>
      <c r="BI21" s="739">
        <f t="shared" si="29"/>
        <v>5.7999601768917039E-2</v>
      </c>
      <c r="BJ21" s="738">
        <f t="shared" si="30"/>
        <v>-1.7557323517765094E-2</v>
      </c>
      <c r="BK21" s="738">
        <f t="shared" si="31"/>
        <v>-1.7927245359366802E-2</v>
      </c>
      <c r="BL21" s="738">
        <f t="shared" si="32"/>
        <v>-1.9745557446372942E-2</v>
      </c>
      <c r="BM21" s="738">
        <f t="shared" si="33"/>
        <v>-2.3776487713716238E-2</v>
      </c>
      <c r="BN21" s="738">
        <f t="shared" si="34"/>
        <v>-2.1185691356155799E-2</v>
      </c>
      <c r="BO21" s="738">
        <f t="shared" si="35"/>
        <v>-1.9736517166068591E-2</v>
      </c>
      <c r="BP21" s="738">
        <f t="shared" si="36"/>
        <v>-2.0667417211938502E-2</v>
      </c>
      <c r="BQ21" s="738">
        <f t="shared" si="37"/>
        <v>-1.8318095691945958E-2</v>
      </c>
      <c r="BR21" s="738">
        <f t="shared" si="38"/>
        <v>-1.7311000736923994E-2</v>
      </c>
      <c r="BS21" s="738">
        <f t="shared" si="39"/>
        <v>-2.177118654187063E-2</v>
      </c>
      <c r="BT21" s="738">
        <f t="shared" si="40"/>
        <v>-1.9857615238689591E-2</v>
      </c>
      <c r="BU21" s="738">
        <f t="shared" si="41"/>
        <v>-2.5861668209423164E-2</v>
      </c>
      <c r="BV21" s="738">
        <f t="shared" si="42"/>
        <v>-2.1858088991974264E-2</v>
      </c>
      <c r="BW21" s="738">
        <f t="shared" si="43"/>
        <v>-2.0284839909012108E-2</v>
      </c>
      <c r="BX21" s="738">
        <f t="shared" si="44"/>
        <v>-1.6768074347260561E-2</v>
      </c>
      <c r="BY21" s="738">
        <f t="shared" si="45"/>
        <v>-1.778029768996215E-2</v>
      </c>
      <c r="BZ21" s="738">
        <f t="shared" si="46"/>
        <v>-2.7395154297787647E-2</v>
      </c>
      <c r="CA21" s="738">
        <f t="shared" si="47"/>
        <v>-2.3250583462177697E-2</v>
      </c>
      <c r="CB21" s="738">
        <f t="shared" si="48"/>
        <v>-1.8699522500851114E-2</v>
      </c>
      <c r="CC21" s="738">
        <f t="shared" si="49"/>
        <v>-1.9827200607980218E-2</v>
      </c>
      <c r="CD21" s="738">
        <f t="shared" si="50"/>
        <v>-9.6387416509597298E-3</v>
      </c>
      <c r="CE21" s="738">
        <f t="shared" si="51"/>
        <v>-2.4732609204990465E-2</v>
      </c>
      <c r="CF21" s="738">
        <f t="shared" si="52"/>
        <v>-2.4560971567780171E-2</v>
      </c>
      <c r="CG21" s="738">
        <f t="shared" si="53"/>
        <v>-2.0579689351708008E-2</v>
      </c>
      <c r="CH21" s="738">
        <f t="shared" si="54"/>
        <v>-2.5549110384023152E-3</v>
      </c>
      <c r="CI21" s="738">
        <f t="shared" si="55"/>
        <v>-1.13580129130098E-3</v>
      </c>
      <c r="CJ21" s="738">
        <f t="shared" si="56"/>
        <v>-1.9196646663665627E-2</v>
      </c>
      <c r="CK21" s="738">
        <f t="shared" si="57"/>
        <v>0</v>
      </c>
      <c r="CL21" s="738">
        <f t="shared" si="58"/>
        <v>-1.7510164181365001E-2</v>
      </c>
    </row>
    <row r="22" spans="1:90" s="708" customFormat="1" x14ac:dyDescent="0.3">
      <c r="A22" s="740" t="s">
        <v>312</v>
      </c>
      <c r="B22" s="701">
        <v>20</v>
      </c>
      <c r="C22" s="811">
        <v>0</v>
      </c>
      <c r="D22" s="811">
        <v>0</v>
      </c>
      <c r="E22" s="811">
        <v>0</v>
      </c>
      <c r="F22" s="811">
        <v>0</v>
      </c>
      <c r="G22" s="811">
        <v>0</v>
      </c>
      <c r="H22" s="811">
        <v>0</v>
      </c>
      <c r="I22" s="811">
        <v>0</v>
      </c>
      <c r="J22" s="811">
        <v>0</v>
      </c>
      <c r="K22" s="811">
        <v>0</v>
      </c>
      <c r="L22" s="811">
        <v>0</v>
      </c>
      <c r="M22" s="811">
        <v>0</v>
      </c>
      <c r="N22" s="811">
        <v>0</v>
      </c>
      <c r="O22" s="811">
        <v>0</v>
      </c>
      <c r="P22" s="811">
        <v>0</v>
      </c>
      <c r="Q22" s="811">
        <v>0</v>
      </c>
      <c r="R22" s="811">
        <v>0</v>
      </c>
      <c r="S22" s="811">
        <v>0</v>
      </c>
      <c r="T22" s="811">
        <v>0</v>
      </c>
      <c r="U22" s="811">
        <v>0</v>
      </c>
      <c r="V22" s="811">
        <v>0</v>
      </c>
      <c r="W22" s="811">
        <v>0</v>
      </c>
      <c r="X22" s="811">
        <v>0</v>
      </c>
      <c r="Y22" s="811">
        <v>0</v>
      </c>
      <c r="Z22" s="811">
        <v>0</v>
      </c>
      <c r="AA22" s="812">
        <v>0</v>
      </c>
      <c r="AB22" s="812">
        <v>0</v>
      </c>
      <c r="AC22" s="812">
        <v>0</v>
      </c>
      <c r="AD22" s="812">
        <v>0</v>
      </c>
      <c r="AE22" s="813">
        <f t="shared" si="0"/>
        <v>0</v>
      </c>
      <c r="AF22" s="709"/>
      <c r="AG22" s="739">
        <f t="shared" si="1"/>
        <v>0</v>
      </c>
      <c r="AH22" s="739">
        <f t="shared" si="2"/>
        <v>0</v>
      </c>
      <c r="AI22" s="739">
        <f t="shared" si="3"/>
        <v>0</v>
      </c>
      <c r="AJ22" s="739">
        <f t="shared" si="4"/>
        <v>0</v>
      </c>
      <c r="AK22" s="739">
        <f t="shared" si="5"/>
        <v>0</v>
      </c>
      <c r="AL22" s="739">
        <f t="shared" si="6"/>
        <v>0</v>
      </c>
      <c r="AM22" s="739">
        <f t="shared" si="7"/>
        <v>0</v>
      </c>
      <c r="AN22" s="739">
        <f t="shared" si="8"/>
        <v>0</v>
      </c>
      <c r="AO22" s="739">
        <f t="shared" si="9"/>
        <v>0</v>
      </c>
      <c r="AP22" s="739">
        <f t="shared" si="10"/>
        <v>0</v>
      </c>
      <c r="AQ22" s="739">
        <f t="shared" si="11"/>
        <v>0</v>
      </c>
      <c r="AR22" s="739">
        <f t="shared" si="12"/>
        <v>0</v>
      </c>
      <c r="AS22" s="739">
        <f t="shared" si="13"/>
        <v>0</v>
      </c>
      <c r="AT22" s="739">
        <f t="shared" si="14"/>
        <v>0</v>
      </c>
      <c r="AU22" s="739">
        <f t="shared" si="15"/>
        <v>0</v>
      </c>
      <c r="AV22" s="739">
        <f t="shared" si="16"/>
        <v>0</v>
      </c>
      <c r="AW22" s="739">
        <f t="shared" si="17"/>
        <v>0</v>
      </c>
      <c r="AX22" s="739">
        <f t="shared" si="18"/>
        <v>0</v>
      </c>
      <c r="AY22" s="739">
        <f t="shared" si="19"/>
        <v>0</v>
      </c>
      <c r="AZ22" s="739" t="e">
        <f t="shared" si="20"/>
        <v>#N/A</v>
      </c>
      <c r="BA22" s="739" t="e">
        <f t="shared" si="21"/>
        <v>#N/A</v>
      </c>
      <c r="BB22" s="739">
        <f t="shared" si="22"/>
        <v>0</v>
      </c>
      <c r="BC22" s="739">
        <f t="shared" si="23"/>
        <v>0</v>
      </c>
      <c r="BD22" s="739">
        <f t="shared" si="24"/>
        <v>0</v>
      </c>
      <c r="BE22" s="739">
        <f t="shared" si="25"/>
        <v>0</v>
      </c>
      <c r="BF22" s="739">
        <f t="shared" si="26"/>
        <v>0</v>
      </c>
      <c r="BG22" s="739" t="e">
        <f t="shared" si="27"/>
        <v>#N/A</v>
      </c>
      <c r="BH22" s="739" t="e">
        <f t="shared" si="28"/>
        <v>#N/A</v>
      </c>
      <c r="BI22" s="739" t="e">
        <f t="shared" si="29"/>
        <v>#N/A</v>
      </c>
      <c r="BJ22" s="738">
        <f t="shared" si="30"/>
        <v>0</v>
      </c>
      <c r="BK22" s="738">
        <f t="shared" si="31"/>
        <v>0</v>
      </c>
      <c r="BL22" s="738">
        <f t="shared" si="32"/>
        <v>0</v>
      </c>
      <c r="BM22" s="738">
        <f t="shared" si="33"/>
        <v>0</v>
      </c>
      <c r="BN22" s="738">
        <f t="shared" si="34"/>
        <v>0</v>
      </c>
      <c r="BO22" s="738">
        <f t="shared" si="35"/>
        <v>0</v>
      </c>
      <c r="BP22" s="738">
        <f t="shared" si="36"/>
        <v>0</v>
      </c>
      <c r="BQ22" s="738">
        <f t="shared" si="37"/>
        <v>0</v>
      </c>
      <c r="BR22" s="738">
        <f t="shared" si="38"/>
        <v>0</v>
      </c>
      <c r="BS22" s="738">
        <f t="shared" si="39"/>
        <v>0</v>
      </c>
      <c r="BT22" s="738">
        <f t="shared" si="40"/>
        <v>0</v>
      </c>
      <c r="BU22" s="738">
        <f t="shared" si="41"/>
        <v>0</v>
      </c>
      <c r="BV22" s="738">
        <f t="shared" si="42"/>
        <v>0</v>
      </c>
      <c r="BW22" s="738">
        <f t="shared" si="43"/>
        <v>0</v>
      </c>
      <c r="BX22" s="738">
        <f t="shared" si="44"/>
        <v>0</v>
      </c>
      <c r="BY22" s="738">
        <f t="shared" si="45"/>
        <v>0</v>
      </c>
      <c r="BZ22" s="738">
        <f t="shared" si="46"/>
        <v>0</v>
      </c>
      <c r="CA22" s="738">
        <f t="shared" si="47"/>
        <v>0</v>
      </c>
      <c r="CB22" s="738">
        <f t="shared" si="48"/>
        <v>0</v>
      </c>
      <c r="CC22" s="738" t="e">
        <f t="shared" si="49"/>
        <v>#N/A</v>
      </c>
      <c r="CD22" s="738" t="e">
        <f t="shared" si="50"/>
        <v>#N/A</v>
      </c>
      <c r="CE22" s="738">
        <f t="shared" si="51"/>
        <v>0</v>
      </c>
      <c r="CF22" s="738">
        <f t="shared" si="52"/>
        <v>0</v>
      </c>
      <c r="CG22" s="738">
        <f t="shared" si="53"/>
        <v>0</v>
      </c>
      <c r="CH22" s="738">
        <f t="shared" si="54"/>
        <v>0</v>
      </c>
      <c r="CI22" s="738">
        <f t="shared" si="55"/>
        <v>0</v>
      </c>
      <c r="CJ22" s="738" t="e">
        <f t="shared" si="56"/>
        <v>#N/A</v>
      </c>
      <c r="CK22" s="738" t="e">
        <f t="shared" si="57"/>
        <v>#N/A</v>
      </c>
      <c r="CL22" s="738" t="e">
        <f t="shared" si="58"/>
        <v>#N/A</v>
      </c>
    </row>
    <row r="23" spans="1:90" s="708" customFormat="1" x14ac:dyDescent="0.3">
      <c r="A23" s="740" t="s">
        <v>144</v>
      </c>
      <c r="B23" s="701">
        <v>21</v>
      </c>
      <c r="C23" s="811">
        <v>0</v>
      </c>
      <c r="D23" s="811">
        <v>0</v>
      </c>
      <c r="E23" s="811">
        <v>0</v>
      </c>
      <c r="F23" s="811">
        <v>0</v>
      </c>
      <c r="G23" s="811">
        <v>0.92503176620076244</v>
      </c>
      <c r="H23" s="811">
        <v>0.92503176620076233</v>
      </c>
      <c r="I23" s="811">
        <v>0.92503176620076233</v>
      </c>
      <c r="J23" s="811">
        <v>0.92503176620076233</v>
      </c>
      <c r="K23" s="811">
        <v>0</v>
      </c>
      <c r="L23" s="811">
        <v>0.92503176620076233</v>
      </c>
      <c r="M23" s="811">
        <v>0</v>
      </c>
      <c r="N23" s="811">
        <v>0.92508535635978673</v>
      </c>
      <c r="O23" s="811">
        <v>0</v>
      </c>
      <c r="P23" s="811">
        <v>0</v>
      </c>
      <c r="Q23" s="811">
        <v>0</v>
      </c>
      <c r="R23" s="811">
        <v>0</v>
      </c>
      <c r="S23" s="811">
        <v>0</v>
      </c>
      <c r="T23" s="811">
        <v>0</v>
      </c>
      <c r="U23" s="811">
        <v>0.9245054762621242</v>
      </c>
      <c r="V23" s="811">
        <v>0.92503176620076244</v>
      </c>
      <c r="W23" s="811">
        <v>0.92503176620076244</v>
      </c>
      <c r="X23" s="811">
        <v>0</v>
      </c>
      <c r="Y23" s="811">
        <v>0.92503176620076244</v>
      </c>
      <c r="Z23" s="811">
        <v>0.92503176620076244</v>
      </c>
      <c r="AA23" s="812">
        <v>0.92503176620076244</v>
      </c>
      <c r="AB23" s="812">
        <v>0</v>
      </c>
      <c r="AC23" s="812">
        <v>0</v>
      </c>
      <c r="AD23" s="812">
        <v>0</v>
      </c>
      <c r="AE23" s="813">
        <f t="shared" si="0"/>
        <v>0.92229753652677837</v>
      </c>
      <c r="AF23" s="709"/>
      <c r="AG23" s="739" t="e">
        <f t="shared" si="1"/>
        <v>#N/A</v>
      </c>
      <c r="AH23" s="739" t="e">
        <f t="shared" si="2"/>
        <v>#N/A</v>
      </c>
      <c r="AI23" s="739" t="e">
        <f t="shared" si="3"/>
        <v>#N/A</v>
      </c>
      <c r="AJ23" s="739" t="e">
        <f t="shared" si="4"/>
        <v>#N/A</v>
      </c>
      <c r="AK23" s="739">
        <f t="shared" si="5"/>
        <v>0.92825075327847673</v>
      </c>
      <c r="AL23" s="739">
        <f t="shared" si="6"/>
        <v>0.92825075327847661</v>
      </c>
      <c r="AM23" s="739">
        <f t="shared" si="7"/>
        <v>0.92825075327847661</v>
      </c>
      <c r="AN23" s="739">
        <f t="shared" si="8"/>
        <v>0.92825075327847673</v>
      </c>
      <c r="AO23" s="739" t="e">
        <f t="shared" si="9"/>
        <v>#N/A</v>
      </c>
      <c r="AP23" s="739">
        <f t="shared" si="10"/>
        <v>0.92825075327847661</v>
      </c>
      <c r="AQ23" s="739" t="e">
        <f t="shared" si="11"/>
        <v>#N/A</v>
      </c>
      <c r="AR23" s="739">
        <f t="shared" si="12"/>
        <v>0.92830452992410151</v>
      </c>
      <c r="AS23" s="739" t="e">
        <f t="shared" si="13"/>
        <v>#N/A</v>
      </c>
      <c r="AT23" s="739" t="e">
        <f t="shared" si="14"/>
        <v>#N/A</v>
      </c>
      <c r="AU23" s="739" t="e">
        <f t="shared" si="15"/>
        <v>#N/A</v>
      </c>
      <c r="AV23" s="739" t="e">
        <f t="shared" si="16"/>
        <v>#N/A</v>
      </c>
      <c r="AW23" s="739" t="e">
        <f t="shared" si="17"/>
        <v>#N/A</v>
      </c>
      <c r="AX23" s="739" t="e">
        <f t="shared" si="18"/>
        <v>#N/A</v>
      </c>
      <c r="AY23" s="739">
        <f t="shared" si="19"/>
        <v>0.92772263192109861</v>
      </c>
      <c r="AZ23" s="739">
        <f t="shared" si="20"/>
        <v>0.92825075327847684</v>
      </c>
      <c r="BA23" s="739">
        <f t="shared" si="21"/>
        <v>0.92825075327847684</v>
      </c>
      <c r="BB23" s="739" t="e">
        <f t="shared" si="22"/>
        <v>#N/A</v>
      </c>
      <c r="BC23" s="739">
        <f t="shared" si="23"/>
        <v>0.92825075327847673</v>
      </c>
      <c r="BD23" s="739">
        <f t="shared" si="24"/>
        <v>0.92825075327847673</v>
      </c>
      <c r="BE23" s="739">
        <f t="shared" si="25"/>
        <v>0.92825075327847673</v>
      </c>
      <c r="BF23" s="739" t="e">
        <f t="shared" si="26"/>
        <v>#N/A</v>
      </c>
      <c r="BG23" s="739" t="e">
        <f t="shared" si="27"/>
        <v>#N/A</v>
      </c>
      <c r="BH23" s="739">
        <f t="shared" si="28"/>
        <v>0</v>
      </c>
      <c r="BI23" s="739">
        <f t="shared" si="29"/>
        <v>0.92550700885017867</v>
      </c>
      <c r="BJ23" s="738" t="e">
        <f t="shared" si="30"/>
        <v>#N/A</v>
      </c>
      <c r="BK23" s="738" t="e">
        <f t="shared" si="31"/>
        <v>#N/A</v>
      </c>
      <c r="BL23" s="738" t="e">
        <f t="shared" si="32"/>
        <v>#N/A</v>
      </c>
      <c r="BM23" s="738" t="e">
        <f t="shared" si="33"/>
        <v>#N/A</v>
      </c>
      <c r="BN23" s="738">
        <f t="shared" si="34"/>
        <v>-3.2189870777142859E-3</v>
      </c>
      <c r="BO23" s="738">
        <f t="shared" si="35"/>
        <v>-3.2189870777142859E-3</v>
      </c>
      <c r="BP23" s="738">
        <f t="shared" si="36"/>
        <v>-3.2189870777142859E-3</v>
      </c>
      <c r="BQ23" s="738">
        <f t="shared" si="37"/>
        <v>-3.218987077714397E-3</v>
      </c>
      <c r="BR23" s="738" t="e">
        <f t="shared" si="38"/>
        <v>#N/A</v>
      </c>
      <c r="BS23" s="738">
        <f t="shared" si="39"/>
        <v>-3.2189870777142859E-3</v>
      </c>
      <c r="BT23" s="738" t="e">
        <f t="shared" si="40"/>
        <v>#N/A</v>
      </c>
      <c r="BU23" s="738">
        <f t="shared" si="41"/>
        <v>-3.2191735643147812E-3</v>
      </c>
      <c r="BV23" s="738" t="e">
        <f t="shared" si="42"/>
        <v>#N/A</v>
      </c>
      <c r="BW23" s="738" t="e">
        <f t="shared" si="43"/>
        <v>#N/A</v>
      </c>
      <c r="BX23" s="738" t="e">
        <f t="shared" si="44"/>
        <v>#N/A</v>
      </c>
      <c r="BY23" s="738" t="e">
        <f t="shared" si="45"/>
        <v>#N/A</v>
      </c>
      <c r="BZ23" s="738" t="e">
        <f t="shared" si="46"/>
        <v>#N/A</v>
      </c>
      <c r="CA23" s="738" t="e">
        <f t="shared" si="47"/>
        <v>#N/A</v>
      </c>
      <c r="CB23" s="738">
        <f t="shared" si="48"/>
        <v>-3.2171556589744021E-3</v>
      </c>
      <c r="CC23" s="738">
        <f t="shared" si="49"/>
        <v>-3.218987077714397E-3</v>
      </c>
      <c r="CD23" s="738">
        <f t="shared" si="50"/>
        <v>-3.218987077714397E-3</v>
      </c>
      <c r="CE23" s="738" t="e">
        <f t="shared" si="51"/>
        <v>#N/A</v>
      </c>
      <c r="CF23" s="738">
        <f t="shared" si="52"/>
        <v>-3.2189870777142859E-3</v>
      </c>
      <c r="CG23" s="738">
        <f t="shared" si="53"/>
        <v>-3.2189870777142859E-3</v>
      </c>
      <c r="CH23" s="738">
        <f t="shared" si="54"/>
        <v>-3.2189870777142859E-3</v>
      </c>
      <c r="CI23" s="738" t="e">
        <f t="shared" si="55"/>
        <v>#N/A</v>
      </c>
      <c r="CJ23" s="738" t="e">
        <f t="shared" si="56"/>
        <v>#N/A</v>
      </c>
      <c r="CK23" s="738">
        <f t="shared" si="57"/>
        <v>0</v>
      </c>
      <c r="CL23" s="738">
        <f t="shared" si="58"/>
        <v>-3.2094723234002975E-3</v>
      </c>
    </row>
    <row r="24" spans="1:90" s="708" customFormat="1" x14ac:dyDescent="0.3">
      <c r="A24" s="740" t="s">
        <v>148</v>
      </c>
      <c r="B24" s="701">
        <v>22</v>
      </c>
      <c r="C24" s="811">
        <v>0.3</v>
      </c>
      <c r="D24" s="811">
        <v>0.3</v>
      </c>
      <c r="E24" s="811">
        <v>0.3</v>
      </c>
      <c r="F24" s="811">
        <v>0.3</v>
      </c>
      <c r="G24" s="811">
        <v>0.3</v>
      </c>
      <c r="H24" s="811">
        <v>0.3</v>
      </c>
      <c r="I24" s="811">
        <v>0.33867811828997751</v>
      </c>
      <c r="J24" s="811">
        <v>0.34337061148418979</v>
      </c>
      <c r="K24" s="811">
        <v>0.3</v>
      </c>
      <c r="L24" s="811">
        <v>0</v>
      </c>
      <c r="M24" s="811">
        <v>0</v>
      </c>
      <c r="N24" s="811">
        <v>0.3</v>
      </c>
      <c r="O24" s="811">
        <v>0.3</v>
      </c>
      <c r="P24" s="811">
        <v>0.3</v>
      </c>
      <c r="Q24" s="811">
        <v>0.3</v>
      </c>
      <c r="R24" s="811">
        <v>0.3</v>
      </c>
      <c r="S24" s="811">
        <v>0.3</v>
      </c>
      <c r="T24" s="811">
        <v>0.3</v>
      </c>
      <c r="U24" s="811">
        <v>0.3</v>
      </c>
      <c r="V24" s="811">
        <v>0.3</v>
      </c>
      <c r="W24" s="811">
        <v>0</v>
      </c>
      <c r="X24" s="811">
        <v>0.9</v>
      </c>
      <c r="Y24" s="811">
        <v>0.3</v>
      </c>
      <c r="Z24" s="811">
        <v>0.8</v>
      </c>
      <c r="AA24" s="812">
        <v>0.3</v>
      </c>
      <c r="AB24" s="812">
        <v>0</v>
      </c>
      <c r="AC24" s="812">
        <v>0</v>
      </c>
      <c r="AD24" s="812">
        <v>6.7411424996324174E-2</v>
      </c>
      <c r="AE24" s="813">
        <f t="shared" si="0"/>
        <v>0.49211316433345875</v>
      </c>
      <c r="AF24" s="709"/>
      <c r="AG24" s="739">
        <f t="shared" si="1"/>
        <v>0.39253379126363847</v>
      </c>
      <c r="AH24" s="739">
        <f t="shared" si="2"/>
        <v>0.39253379126363847</v>
      </c>
      <c r="AI24" s="739">
        <f t="shared" si="3"/>
        <v>0.39253379126363847</v>
      </c>
      <c r="AJ24" s="739">
        <f t="shared" si="4"/>
        <v>0.39253379126363852</v>
      </c>
      <c r="AK24" s="739">
        <f t="shared" si="5"/>
        <v>0.39253379126363847</v>
      </c>
      <c r="AL24" s="739">
        <f t="shared" si="6"/>
        <v>0.39253379126363847</v>
      </c>
      <c r="AM24" s="739">
        <f t="shared" si="7"/>
        <v>0.44314201930133296</v>
      </c>
      <c r="AN24" s="739">
        <f t="shared" si="8"/>
        <v>0.4492818931146762</v>
      </c>
      <c r="AO24" s="739">
        <f t="shared" si="9"/>
        <v>0.39253379126363847</v>
      </c>
      <c r="AP24" s="739" t="e">
        <f t="shared" si="10"/>
        <v>#N/A</v>
      </c>
      <c r="AQ24" s="739" t="e">
        <f t="shared" si="11"/>
        <v>#N/A</v>
      </c>
      <c r="AR24" s="739">
        <f t="shared" si="12"/>
        <v>0.39253379126363847</v>
      </c>
      <c r="AS24" s="739">
        <f t="shared" si="13"/>
        <v>0.39253379126363841</v>
      </c>
      <c r="AT24" s="739">
        <f t="shared" si="14"/>
        <v>0.39253379126363841</v>
      </c>
      <c r="AU24" s="739">
        <f t="shared" si="15"/>
        <v>0.39253379126363847</v>
      </c>
      <c r="AV24" s="739">
        <f t="shared" si="16"/>
        <v>0.39253379126363847</v>
      </c>
      <c r="AW24" s="739">
        <f t="shared" si="17"/>
        <v>0.39253379126363852</v>
      </c>
      <c r="AX24" s="739">
        <f t="shared" si="18"/>
        <v>0.39253379126363847</v>
      </c>
      <c r="AY24" s="739">
        <f t="shared" si="19"/>
        <v>0.39253379126363847</v>
      </c>
      <c r="AZ24" s="739">
        <f t="shared" si="20"/>
        <v>0.39253379126363852</v>
      </c>
      <c r="BA24" s="739" t="e">
        <f t="shared" si="21"/>
        <v>#N/A</v>
      </c>
      <c r="BB24" s="739">
        <f t="shared" si="22"/>
        <v>0.9</v>
      </c>
      <c r="BC24" s="739">
        <f t="shared" si="23"/>
        <v>0.39253379126363847</v>
      </c>
      <c r="BD24" s="739">
        <f t="shared" si="24"/>
        <v>0.8</v>
      </c>
      <c r="BE24" s="739">
        <f t="shared" si="25"/>
        <v>0.39253379126363847</v>
      </c>
      <c r="BF24" s="739" t="e">
        <f t="shared" si="26"/>
        <v>#N/A</v>
      </c>
      <c r="BG24" s="739" t="e">
        <f t="shared" si="27"/>
        <v>#N/A</v>
      </c>
      <c r="BH24" s="739">
        <f t="shared" si="28"/>
        <v>8.8204207427638445E-2</v>
      </c>
      <c r="BI24" s="739">
        <f t="shared" si="29"/>
        <v>0.6439034870885284</v>
      </c>
      <c r="BJ24" s="738">
        <f t="shared" si="30"/>
        <v>-9.2533791263638476E-2</v>
      </c>
      <c r="BK24" s="738">
        <f t="shared" si="31"/>
        <v>-9.2533791263638476E-2</v>
      </c>
      <c r="BL24" s="738">
        <f t="shared" si="32"/>
        <v>-9.2533791263638476E-2</v>
      </c>
      <c r="BM24" s="738">
        <f t="shared" si="33"/>
        <v>-9.2533791263638532E-2</v>
      </c>
      <c r="BN24" s="738">
        <f t="shared" si="34"/>
        <v>-9.2533791263638476E-2</v>
      </c>
      <c r="BO24" s="738">
        <f t="shared" si="35"/>
        <v>-9.2533791263638476E-2</v>
      </c>
      <c r="BP24" s="738">
        <f t="shared" si="36"/>
        <v>-0.10446390101135544</v>
      </c>
      <c r="BQ24" s="738">
        <f t="shared" si="37"/>
        <v>-0.10591128163048641</v>
      </c>
      <c r="BR24" s="738">
        <f t="shared" si="38"/>
        <v>-9.2533791263638476E-2</v>
      </c>
      <c r="BS24" s="738" t="e">
        <f t="shared" si="39"/>
        <v>#N/A</v>
      </c>
      <c r="BT24" s="738" t="e">
        <f t="shared" si="40"/>
        <v>#N/A</v>
      </c>
      <c r="BU24" s="738">
        <f t="shared" si="41"/>
        <v>-9.2533791263638476E-2</v>
      </c>
      <c r="BV24" s="738">
        <f t="shared" si="42"/>
        <v>-9.2533791263638421E-2</v>
      </c>
      <c r="BW24" s="738">
        <f t="shared" si="43"/>
        <v>-9.2533791263638421E-2</v>
      </c>
      <c r="BX24" s="738">
        <f t="shared" si="44"/>
        <v>-9.2533791263638476E-2</v>
      </c>
      <c r="BY24" s="738">
        <f t="shared" si="45"/>
        <v>-9.2533791263638476E-2</v>
      </c>
      <c r="BZ24" s="738">
        <f t="shared" si="46"/>
        <v>-9.2533791263638532E-2</v>
      </c>
      <c r="CA24" s="738">
        <f t="shared" si="47"/>
        <v>-9.2533791263638476E-2</v>
      </c>
      <c r="CB24" s="738">
        <f t="shared" si="48"/>
        <v>-9.2533791263638476E-2</v>
      </c>
      <c r="CC24" s="738">
        <f t="shared" si="49"/>
        <v>-9.2533791263638532E-2</v>
      </c>
      <c r="CD24" s="738" t="e">
        <f t="shared" si="50"/>
        <v>#N/A</v>
      </c>
      <c r="CE24" s="738">
        <f t="shared" si="51"/>
        <v>0</v>
      </c>
      <c r="CF24" s="738">
        <f t="shared" si="52"/>
        <v>-9.2533791263638476E-2</v>
      </c>
      <c r="CG24" s="738">
        <f t="shared" si="53"/>
        <v>0</v>
      </c>
      <c r="CH24" s="738">
        <f t="shared" si="54"/>
        <v>-9.2533791263638476E-2</v>
      </c>
      <c r="CI24" s="738" t="e">
        <f t="shared" si="55"/>
        <v>#N/A</v>
      </c>
      <c r="CJ24" s="738" t="e">
        <f t="shared" si="56"/>
        <v>#N/A</v>
      </c>
      <c r="CK24" s="738">
        <f t="shared" si="57"/>
        <v>-2.0792782431314272E-2</v>
      </c>
      <c r="CL24" s="738">
        <f t="shared" si="58"/>
        <v>-0.15179032275506965</v>
      </c>
    </row>
    <row r="25" spans="1:90" s="708" customFormat="1" x14ac:dyDescent="0.3">
      <c r="A25" s="740" t="s">
        <v>149</v>
      </c>
      <c r="B25" s="701">
        <v>23</v>
      </c>
      <c r="C25" s="811">
        <v>0</v>
      </c>
      <c r="D25" s="811">
        <v>0</v>
      </c>
      <c r="E25" s="811">
        <v>0</v>
      </c>
      <c r="F25" s="811">
        <v>0</v>
      </c>
      <c r="G25" s="811">
        <v>0</v>
      </c>
      <c r="H25" s="811">
        <v>0</v>
      </c>
      <c r="I25" s="811">
        <v>0</v>
      </c>
      <c r="J25" s="811">
        <v>0</v>
      </c>
      <c r="K25" s="811">
        <v>0</v>
      </c>
      <c r="L25" s="811">
        <v>0</v>
      </c>
      <c r="M25" s="811">
        <v>0</v>
      </c>
      <c r="N25" s="811">
        <v>0</v>
      </c>
      <c r="O25" s="811">
        <v>0</v>
      </c>
      <c r="P25" s="811">
        <v>0</v>
      </c>
      <c r="Q25" s="811">
        <v>0</v>
      </c>
      <c r="R25" s="811">
        <v>0</v>
      </c>
      <c r="S25" s="811">
        <v>0</v>
      </c>
      <c r="T25" s="811">
        <v>0</v>
      </c>
      <c r="U25" s="811">
        <v>0</v>
      </c>
      <c r="V25" s="811">
        <v>0</v>
      </c>
      <c r="W25" s="811">
        <v>0</v>
      </c>
      <c r="X25" s="811">
        <v>0</v>
      </c>
      <c r="Y25" s="811">
        <v>0</v>
      </c>
      <c r="Z25" s="811">
        <v>0</v>
      </c>
      <c r="AA25" s="812">
        <v>7.5139421132192942E-3</v>
      </c>
      <c r="AB25" s="812">
        <v>0</v>
      </c>
      <c r="AC25" s="812">
        <v>0</v>
      </c>
      <c r="AD25" s="812">
        <v>3.8543599318189986E-3</v>
      </c>
      <c r="AE25" s="813">
        <f t="shared" si="0"/>
        <v>1.2112773508187043E-2</v>
      </c>
      <c r="AF25" s="709"/>
      <c r="AG25" s="739">
        <f t="shared" si="1"/>
        <v>0</v>
      </c>
      <c r="AH25" s="739">
        <f t="shared" si="2"/>
        <v>0</v>
      </c>
      <c r="AI25" s="739">
        <f t="shared" si="3"/>
        <v>0</v>
      </c>
      <c r="AJ25" s="739">
        <f t="shared" si="4"/>
        <v>0</v>
      </c>
      <c r="AK25" s="739">
        <f t="shared" si="5"/>
        <v>0</v>
      </c>
      <c r="AL25" s="739">
        <f t="shared" si="6"/>
        <v>0</v>
      </c>
      <c r="AM25" s="739">
        <f t="shared" si="7"/>
        <v>0</v>
      </c>
      <c r="AN25" s="739">
        <f t="shared" si="8"/>
        <v>0</v>
      </c>
      <c r="AO25" s="739">
        <f t="shared" si="9"/>
        <v>0</v>
      </c>
      <c r="AP25" s="739">
        <f t="shared" si="10"/>
        <v>0</v>
      </c>
      <c r="AQ25" s="739">
        <f t="shared" si="11"/>
        <v>0</v>
      </c>
      <c r="AR25" s="739">
        <f t="shared" si="12"/>
        <v>0</v>
      </c>
      <c r="AS25" s="739">
        <f t="shared" si="13"/>
        <v>0</v>
      </c>
      <c r="AT25" s="739">
        <f t="shared" si="14"/>
        <v>0</v>
      </c>
      <c r="AU25" s="739">
        <f t="shared" si="15"/>
        <v>0</v>
      </c>
      <c r="AV25" s="739">
        <f t="shared" si="16"/>
        <v>0</v>
      </c>
      <c r="AW25" s="739">
        <f t="shared" si="17"/>
        <v>0</v>
      </c>
      <c r="AX25" s="739">
        <f t="shared" si="18"/>
        <v>0</v>
      </c>
      <c r="AY25" s="739">
        <f t="shared" si="19"/>
        <v>0</v>
      </c>
      <c r="AZ25" s="739">
        <f t="shared" si="20"/>
        <v>0</v>
      </c>
      <c r="BA25" s="739">
        <f t="shared" si="21"/>
        <v>0</v>
      </c>
      <c r="BB25" s="739">
        <f t="shared" si="22"/>
        <v>0</v>
      </c>
      <c r="BC25" s="739">
        <f t="shared" si="23"/>
        <v>0</v>
      </c>
      <c r="BD25" s="739">
        <f t="shared" si="24"/>
        <v>0</v>
      </c>
      <c r="BE25" s="739">
        <f t="shared" si="25"/>
        <v>3.2198215782510739E-2</v>
      </c>
      <c r="BF25" s="739" t="e">
        <f t="shared" si="26"/>
        <v>#N/A</v>
      </c>
      <c r="BG25" s="739" t="e">
        <f t="shared" si="27"/>
        <v>#N/A</v>
      </c>
      <c r="BH25" s="739">
        <f t="shared" si="28"/>
        <v>1.6516431843390963E-2</v>
      </c>
      <c r="BI25" s="739" t="e">
        <f t="shared" si="29"/>
        <v>#N/A</v>
      </c>
      <c r="BJ25" s="738">
        <f t="shared" si="30"/>
        <v>0</v>
      </c>
      <c r="BK25" s="738">
        <f t="shared" si="31"/>
        <v>0</v>
      </c>
      <c r="BL25" s="738">
        <f t="shared" si="32"/>
        <v>0</v>
      </c>
      <c r="BM25" s="738">
        <f t="shared" si="33"/>
        <v>0</v>
      </c>
      <c r="BN25" s="738">
        <f t="shared" si="34"/>
        <v>0</v>
      </c>
      <c r="BO25" s="738">
        <f t="shared" si="35"/>
        <v>0</v>
      </c>
      <c r="BP25" s="738">
        <f t="shared" si="36"/>
        <v>0</v>
      </c>
      <c r="BQ25" s="738">
        <f t="shared" si="37"/>
        <v>0</v>
      </c>
      <c r="BR25" s="738">
        <f t="shared" si="38"/>
        <v>0</v>
      </c>
      <c r="BS25" s="738">
        <f t="shared" si="39"/>
        <v>0</v>
      </c>
      <c r="BT25" s="738">
        <f t="shared" si="40"/>
        <v>0</v>
      </c>
      <c r="BU25" s="738">
        <f t="shared" si="41"/>
        <v>0</v>
      </c>
      <c r="BV25" s="738">
        <f t="shared" si="42"/>
        <v>0</v>
      </c>
      <c r="BW25" s="738">
        <f t="shared" si="43"/>
        <v>0</v>
      </c>
      <c r="BX25" s="738">
        <f t="shared" si="44"/>
        <v>0</v>
      </c>
      <c r="BY25" s="738">
        <f t="shared" si="45"/>
        <v>0</v>
      </c>
      <c r="BZ25" s="738">
        <f t="shared" si="46"/>
        <v>0</v>
      </c>
      <c r="CA25" s="738">
        <f t="shared" si="47"/>
        <v>0</v>
      </c>
      <c r="CB25" s="738">
        <f t="shared" si="48"/>
        <v>0</v>
      </c>
      <c r="CC25" s="738">
        <f t="shared" si="49"/>
        <v>0</v>
      </c>
      <c r="CD25" s="738">
        <f t="shared" si="50"/>
        <v>0</v>
      </c>
      <c r="CE25" s="738">
        <f t="shared" si="51"/>
        <v>0</v>
      </c>
      <c r="CF25" s="738">
        <f t="shared" si="52"/>
        <v>0</v>
      </c>
      <c r="CG25" s="738">
        <f t="shared" si="53"/>
        <v>0</v>
      </c>
      <c r="CH25" s="738">
        <f t="shared" si="54"/>
        <v>-2.4684273669291445E-2</v>
      </c>
      <c r="CI25" s="738" t="e">
        <f t="shared" si="55"/>
        <v>#N/A</v>
      </c>
      <c r="CJ25" s="738" t="e">
        <f t="shared" si="56"/>
        <v>#N/A</v>
      </c>
      <c r="CK25" s="738">
        <f t="shared" si="57"/>
        <v>-1.2662071911571964E-2</v>
      </c>
      <c r="CL25" s="738" t="e">
        <f t="shared" si="58"/>
        <v>#N/A</v>
      </c>
    </row>
    <row r="26" spans="1:90" s="708" customFormat="1" x14ac:dyDescent="0.3">
      <c r="A26" s="740" t="s">
        <v>150</v>
      </c>
      <c r="B26" s="701">
        <v>24</v>
      </c>
      <c r="C26" s="811">
        <v>0</v>
      </c>
      <c r="D26" s="811">
        <v>0</v>
      </c>
      <c r="E26" s="811">
        <v>0</v>
      </c>
      <c r="F26" s="811">
        <v>0</v>
      </c>
      <c r="G26" s="811">
        <v>0</v>
      </c>
      <c r="H26" s="811">
        <v>0</v>
      </c>
      <c r="I26" s="811">
        <v>6.6519285632454989E-2</v>
      </c>
      <c r="J26" s="811">
        <v>7.3142916303455277E-2</v>
      </c>
      <c r="K26" s="811">
        <v>0</v>
      </c>
      <c r="L26" s="811">
        <v>0</v>
      </c>
      <c r="M26" s="811">
        <v>0</v>
      </c>
      <c r="N26" s="811">
        <v>0</v>
      </c>
      <c r="O26" s="811">
        <v>0</v>
      </c>
      <c r="P26" s="811">
        <v>0</v>
      </c>
      <c r="Q26" s="811">
        <v>0</v>
      </c>
      <c r="R26" s="811">
        <v>0</v>
      </c>
      <c r="S26" s="811">
        <v>0</v>
      </c>
      <c r="T26" s="811">
        <v>0</v>
      </c>
      <c r="U26" s="811">
        <v>0</v>
      </c>
      <c r="V26" s="811">
        <v>0</v>
      </c>
      <c r="W26" s="811">
        <v>0</v>
      </c>
      <c r="X26" s="811">
        <v>0.86334302018727149</v>
      </c>
      <c r="Y26" s="811">
        <v>0</v>
      </c>
      <c r="Z26" s="811">
        <v>0.61233562906465666</v>
      </c>
      <c r="AA26" s="812">
        <v>0</v>
      </c>
      <c r="AB26" s="812">
        <v>0</v>
      </c>
      <c r="AC26" s="812">
        <v>0</v>
      </c>
      <c r="AD26" s="812">
        <v>0</v>
      </c>
      <c r="AE26" s="813">
        <f t="shared" si="0"/>
        <v>0.3189477502889605</v>
      </c>
      <c r="AF26" s="709"/>
      <c r="AG26" s="739">
        <f t="shared" si="1"/>
        <v>0</v>
      </c>
      <c r="AH26" s="739">
        <f t="shared" si="2"/>
        <v>0</v>
      </c>
      <c r="AI26" s="739">
        <f t="shared" si="3"/>
        <v>0</v>
      </c>
      <c r="AJ26" s="739">
        <f t="shared" si="4"/>
        <v>0</v>
      </c>
      <c r="AK26" s="739">
        <f t="shared" si="5"/>
        <v>0</v>
      </c>
      <c r="AL26" s="739">
        <f t="shared" si="6"/>
        <v>0</v>
      </c>
      <c r="AM26" s="739">
        <f t="shared" si="7"/>
        <v>6.3264468048488065E-2</v>
      </c>
      <c r="AN26" s="739">
        <f t="shared" si="8"/>
        <v>6.9564001589269689E-2</v>
      </c>
      <c r="AO26" s="739">
        <f t="shared" si="9"/>
        <v>0</v>
      </c>
      <c r="AP26" s="739">
        <f t="shared" si="10"/>
        <v>0</v>
      </c>
      <c r="AQ26" s="739">
        <f t="shared" si="11"/>
        <v>0</v>
      </c>
      <c r="AR26" s="739">
        <f t="shared" si="12"/>
        <v>0</v>
      </c>
      <c r="AS26" s="739">
        <f t="shared" si="13"/>
        <v>0</v>
      </c>
      <c r="AT26" s="739">
        <f t="shared" si="14"/>
        <v>0</v>
      </c>
      <c r="AU26" s="739">
        <f t="shared" si="15"/>
        <v>0</v>
      </c>
      <c r="AV26" s="739">
        <f t="shared" si="16"/>
        <v>0</v>
      </c>
      <c r="AW26" s="739">
        <f t="shared" si="17"/>
        <v>0</v>
      </c>
      <c r="AX26" s="739">
        <f t="shared" si="18"/>
        <v>0</v>
      </c>
      <c r="AY26" s="739">
        <f t="shared" si="19"/>
        <v>0</v>
      </c>
      <c r="AZ26" s="739">
        <f t="shared" si="20"/>
        <v>0</v>
      </c>
      <c r="BA26" s="739" t="e">
        <f t="shared" si="21"/>
        <v>#N/A</v>
      </c>
      <c r="BB26" s="739">
        <f t="shared" si="22"/>
        <v>0.82109927062827703</v>
      </c>
      <c r="BC26" s="739">
        <f t="shared" si="23"/>
        <v>0</v>
      </c>
      <c r="BD26" s="739">
        <f t="shared" si="24"/>
        <v>0.58237378034936182</v>
      </c>
      <c r="BE26" s="739">
        <f t="shared" si="25"/>
        <v>0</v>
      </c>
      <c r="BF26" s="739">
        <f t="shared" si="26"/>
        <v>0</v>
      </c>
      <c r="BG26" s="739" t="e">
        <f t="shared" si="27"/>
        <v>#N/A</v>
      </c>
      <c r="BH26" s="739">
        <f t="shared" si="28"/>
        <v>0</v>
      </c>
      <c r="BI26" s="739">
        <f t="shared" si="29"/>
        <v>0.30334149811506916</v>
      </c>
      <c r="BJ26" s="738">
        <f t="shared" si="30"/>
        <v>0</v>
      </c>
      <c r="BK26" s="738">
        <f t="shared" si="31"/>
        <v>0</v>
      </c>
      <c r="BL26" s="738">
        <f t="shared" si="32"/>
        <v>0</v>
      </c>
      <c r="BM26" s="738">
        <f t="shared" si="33"/>
        <v>0</v>
      </c>
      <c r="BN26" s="738">
        <f t="shared" si="34"/>
        <v>0</v>
      </c>
      <c r="BO26" s="738">
        <f t="shared" si="35"/>
        <v>0</v>
      </c>
      <c r="BP26" s="738">
        <f t="shared" si="36"/>
        <v>3.2548175839669236E-3</v>
      </c>
      <c r="BQ26" s="738">
        <f t="shared" si="37"/>
        <v>3.5789147141855882E-3</v>
      </c>
      <c r="BR26" s="738">
        <f t="shared" si="38"/>
        <v>0</v>
      </c>
      <c r="BS26" s="738">
        <f t="shared" si="39"/>
        <v>0</v>
      </c>
      <c r="BT26" s="738">
        <f t="shared" si="40"/>
        <v>0</v>
      </c>
      <c r="BU26" s="738">
        <f t="shared" si="41"/>
        <v>0</v>
      </c>
      <c r="BV26" s="738">
        <f t="shared" si="42"/>
        <v>0</v>
      </c>
      <c r="BW26" s="738">
        <f t="shared" si="43"/>
        <v>0</v>
      </c>
      <c r="BX26" s="738">
        <f t="shared" si="44"/>
        <v>0</v>
      </c>
      <c r="BY26" s="738">
        <f t="shared" si="45"/>
        <v>0</v>
      </c>
      <c r="BZ26" s="738">
        <f t="shared" si="46"/>
        <v>0</v>
      </c>
      <c r="CA26" s="738">
        <f t="shared" si="47"/>
        <v>0</v>
      </c>
      <c r="CB26" s="738">
        <f t="shared" si="48"/>
        <v>0</v>
      </c>
      <c r="CC26" s="738">
        <f t="shared" si="49"/>
        <v>0</v>
      </c>
      <c r="CD26" s="738" t="e">
        <f t="shared" si="50"/>
        <v>#N/A</v>
      </c>
      <c r="CE26" s="738">
        <f t="shared" si="51"/>
        <v>4.2243749558994459E-2</v>
      </c>
      <c r="CF26" s="738">
        <f t="shared" si="52"/>
        <v>0</v>
      </c>
      <c r="CG26" s="738">
        <f t="shared" si="53"/>
        <v>2.9961848715294837E-2</v>
      </c>
      <c r="CH26" s="738">
        <f t="shared" si="54"/>
        <v>0</v>
      </c>
      <c r="CI26" s="738">
        <f t="shared" si="55"/>
        <v>0</v>
      </c>
      <c r="CJ26" s="738" t="e">
        <f t="shared" si="56"/>
        <v>#N/A</v>
      </c>
      <c r="CK26" s="738">
        <f t="shared" si="57"/>
        <v>0</v>
      </c>
      <c r="CL26" s="738">
        <f t="shared" si="58"/>
        <v>1.5606252173891333E-2</v>
      </c>
    </row>
    <row r="28" spans="1:90" x14ac:dyDescent="0.3">
      <c r="AI28" s="737"/>
      <c r="AJ28" s="737"/>
    </row>
    <row r="29" spans="1:90" x14ac:dyDescent="0.3">
      <c r="A29" s="734" t="s">
        <v>857</v>
      </c>
      <c r="AI29" s="737"/>
      <c r="AJ29" s="737"/>
    </row>
    <row r="30" spans="1:90" s="702" customFormat="1" x14ac:dyDescent="0.3">
      <c r="A30" s="702" t="s">
        <v>852</v>
      </c>
      <c r="B30" s="701" t="s">
        <v>842</v>
      </c>
      <c r="C30" s="702">
        <v>1</v>
      </c>
      <c r="D30" s="702">
        <v>2</v>
      </c>
      <c r="E30" s="702">
        <v>3</v>
      </c>
      <c r="F30" s="702">
        <v>4</v>
      </c>
      <c r="G30" s="702">
        <v>5</v>
      </c>
      <c r="H30" s="702">
        <v>6</v>
      </c>
      <c r="I30" s="702">
        <v>7</v>
      </c>
      <c r="J30" s="702">
        <v>8</v>
      </c>
      <c r="K30" s="702">
        <v>9</v>
      </c>
      <c r="L30" s="702">
        <v>10</v>
      </c>
      <c r="M30" s="702">
        <v>11</v>
      </c>
      <c r="N30" s="702">
        <v>12</v>
      </c>
      <c r="O30" s="702">
        <v>13</v>
      </c>
      <c r="P30" s="702">
        <v>14</v>
      </c>
      <c r="Q30" s="702">
        <v>15</v>
      </c>
      <c r="R30" s="702">
        <v>16</v>
      </c>
      <c r="S30" s="702">
        <v>17</v>
      </c>
      <c r="T30" s="702">
        <v>18</v>
      </c>
      <c r="U30" s="702">
        <v>19</v>
      </c>
      <c r="V30" s="702">
        <v>20</v>
      </c>
      <c r="W30" s="702">
        <v>21</v>
      </c>
      <c r="X30" s="702">
        <v>22</v>
      </c>
      <c r="Y30" s="702">
        <v>23</v>
      </c>
      <c r="Z30" s="702">
        <v>24</v>
      </c>
      <c r="AA30" s="702" t="s">
        <v>851</v>
      </c>
      <c r="AB30" s="702" t="s">
        <v>850</v>
      </c>
      <c r="AC30" s="702" t="s">
        <v>849</v>
      </c>
      <c r="AD30" s="702" t="s">
        <v>848</v>
      </c>
      <c r="AE30" s="702" t="s">
        <v>847</v>
      </c>
      <c r="AF30" s="703" t="s">
        <v>330</v>
      </c>
      <c r="AG30" s="736" t="s">
        <v>856</v>
      </c>
      <c r="AH30" s="702" t="s">
        <v>855</v>
      </c>
      <c r="AI30" s="735" t="s">
        <v>854</v>
      </c>
      <c r="AJ30" s="734"/>
      <c r="AK30" s="734"/>
    </row>
    <row r="31" spans="1:90" s="708" customFormat="1" x14ac:dyDescent="0.3">
      <c r="A31" s="711" t="s">
        <v>313</v>
      </c>
      <c r="B31" s="701">
        <v>1</v>
      </c>
      <c r="C31" s="708">
        <f t="shared" ref="C31:AE31" si="59">C121*C3</f>
        <v>912.7535995272259</v>
      </c>
      <c r="D31" s="708">
        <f t="shared" si="59"/>
        <v>2243.5235844409644</v>
      </c>
      <c r="E31" s="708">
        <f t="shared" si="59"/>
        <v>0</v>
      </c>
      <c r="F31" s="708">
        <f t="shared" si="59"/>
        <v>0</v>
      </c>
      <c r="G31" s="708">
        <f t="shared" si="59"/>
        <v>0</v>
      </c>
      <c r="H31" s="708">
        <f t="shared" si="59"/>
        <v>15.758965945557437</v>
      </c>
      <c r="I31" s="708">
        <f t="shared" si="59"/>
        <v>0</v>
      </c>
      <c r="J31" s="708">
        <f t="shared" si="59"/>
        <v>18.513713547443459</v>
      </c>
      <c r="K31" s="708">
        <f t="shared" si="59"/>
        <v>0</v>
      </c>
      <c r="L31" s="708">
        <f t="shared" si="59"/>
        <v>0</v>
      </c>
      <c r="M31" s="708">
        <f t="shared" si="59"/>
        <v>0</v>
      </c>
      <c r="N31" s="708">
        <f t="shared" si="59"/>
        <v>197.88123352145783</v>
      </c>
      <c r="O31" s="708">
        <f t="shared" si="59"/>
        <v>117.94001705662406</v>
      </c>
      <c r="P31" s="708">
        <f t="shared" si="59"/>
        <v>0</v>
      </c>
      <c r="Q31" s="708">
        <f t="shared" si="59"/>
        <v>0</v>
      </c>
      <c r="R31" s="708">
        <f t="shared" si="59"/>
        <v>0</v>
      </c>
      <c r="S31" s="708">
        <f t="shared" si="59"/>
        <v>8.6298059466978074</v>
      </c>
      <c r="T31" s="708">
        <f t="shared" si="59"/>
        <v>0</v>
      </c>
      <c r="U31" s="708">
        <f t="shared" si="59"/>
        <v>362.86527195865892</v>
      </c>
      <c r="V31" s="708">
        <f t="shared" si="59"/>
        <v>29.787185318031725</v>
      </c>
      <c r="W31" s="708">
        <f t="shared" si="59"/>
        <v>0</v>
      </c>
      <c r="X31" s="708">
        <f t="shared" si="59"/>
        <v>0</v>
      </c>
      <c r="Y31" s="708">
        <f t="shared" si="59"/>
        <v>15.842170941617633</v>
      </c>
      <c r="Z31" s="708">
        <f t="shared" si="59"/>
        <v>0</v>
      </c>
      <c r="AA31" s="708">
        <f t="shared" si="59"/>
        <v>11266.183761997163</v>
      </c>
      <c r="AB31" s="708">
        <f t="shared" si="59"/>
        <v>0</v>
      </c>
      <c r="AC31" s="708">
        <f t="shared" si="59"/>
        <v>652.77800849832204</v>
      </c>
      <c r="AD31" s="708">
        <f t="shared" si="59"/>
        <v>0</v>
      </c>
      <c r="AE31" s="708">
        <f t="shared" si="59"/>
        <v>346.48533996274216</v>
      </c>
      <c r="AF31" s="709">
        <f t="shared" ref="AF31:AF54" si="60">SUM(C31:AE31)</f>
        <v>16188.942658662507</v>
      </c>
      <c r="AG31" s="732">
        <f t="shared" ref="AG31:AG54" si="61">AI31</f>
        <v>11648.839495442509</v>
      </c>
      <c r="AH31" s="708">
        <f t="shared" ref="AH31:AH54" si="62">AG31-AF31</f>
        <v>-4540.1031632199974</v>
      </c>
      <c r="AI31" s="731">
        <f>TRP_Simple!$AI68</f>
        <v>11648.839495442509</v>
      </c>
      <c r="AJ31" s="705">
        <f t="shared" ref="AJ31:AJ54" si="63">AG31-AI31</f>
        <v>0</v>
      </c>
      <c r="AK31" s="722"/>
    </row>
    <row r="32" spans="1:90" s="708" customFormat="1" x14ac:dyDescent="0.3">
      <c r="A32" s="711" t="s">
        <v>314</v>
      </c>
      <c r="B32" s="701">
        <v>2</v>
      </c>
      <c r="C32" s="708">
        <f t="shared" ref="C32:AE32" si="64">C122*C4</f>
        <v>536.63840577982296</v>
      </c>
      <c r="D32" s="708">
        <f t="shared" si="64"/>
        <v>4881.0275377909848</v>
      </c>
      <c r="E32" s="708">
        <f t="shared" si="64"/>
        <v>14.599199139417269</v>
      </c>
      <c r="F32" s="708">
        <f t="shared" si="64"/>
        <v>1.2789531706005928</v>
      </c>
      <c r="G32" s="708">
        <f t="shared" si="64"/>
        <v>1.6022355908776189</v>
      </c>
      <c r="H32" s="708">
        <f t="shared" si="64"/>
        <v>21.40731404687142</v>
      </c>
      <c r="I32" s="708">
        <f t="shared" si="64"/>
        <v>3.1262657253948518</v>
      </c>
      <c r="J32" s="708">
        <f t="shared" si="64"/>
        <v>122.91931468032686</v>
      </c>
      <c r="K32" s="708">
        <f t="shared" si="64"/>
        <v>13.274349341754979</v>
      </c>
      <c r="L32" s="708">
        <f t="shared" si="64"/>
        <v>9.8159191187332748</v>
      </c>
      <c r="M32" s="708">
        <f t="shared" si="64"/>
        <v>4.99016159866654</v>
      </c>
      <c r="N32" s="708">
        <f t="shared" si="64"/>
        <v>508.28109815028728</v>
      </c>
      <c r="O32" s="708">
        <f t="shared" si="64"/>
        <v>25.835219912191604</v>
      </c>
      <c r="P32" s="708">
        <f t="shared" si="64"/>
        <v>1.2308861420100801</v>
      </c>
      <c r="Q32" s="708">
        <f t="shared" si="64"/>
        <v>3.0355373931917864</v>
      </c>
      <c r="R32" s="708">
        <f t="shared" si="64"/>
        <v>8.8601855894099728</v>
      </c>
      <c r="S32" s="708">
        <f t="shared" si="64"/>
        <v>7.7859531378461746</v>
      </c>
      <c r="T32" s="708">
        <f t="shared" si="64"/>
        <v>40.483210281199263</v>
      </c>
      <c r="U32" s="708">
        <f t="shared" si="64"/>
        <v>5274.4027733687144</v>
      </c>
      <c r="V32" s="708">
        <f t="shared" si="64"/>
        <v>600.73661738433816</v>
      </c>
      <c r="W32" s="708">
        <f t="shared" si="64"/>
        <v>0</v>
      </c>
      <c r="X32" s="708">
        <f t="shared" si="64"/>
        <v>11.023642786826887</v>
      </c>
      <c r="Y32" s="708">
        <f t="shared" si="64"/>
        <v>6.8105821458837035</v>
      </c>
      <c r="Z32" s="708">
        <f t="shared" si="64"/>
        <v>1.199871634226672</v>
      </c>
      <c r="AA32" s="708">
        <f t="shared" si="64"/>
        <v>28451.586272223536</v>
      </c>
      <c r="AB32" s="708">
        <f t="shared" si="64"/>
        <v>0</v>
      </c>
      <c r="AC32" s="708">
        <f t="shared" si="64"/>
        <v>0</v>
      </c>
      <c r="AD32" s="708">
        <f t="shared" si="64"/>
        <v>0</v>
      </c>
      <c r="AE32" s="708">
        <f t="shared" si="64"/>
        <v>-42.613514318691166</v>
      </c>
      <c r="AF32" s="709">
        <f t="shared" si="60"/>
        <v>40509.33799181442</v>
      </c>
      <c r="AG32" s="732">
        <f t="shared" si="61"/>
        <v>40568.559224223936</v>
      </c>
      <c r="AH32" s="708">
        <f t="shared" si="62"/>
        <v>59.221232409516233</v>
      </c>
      <c r="AI32" s="731">
        <f>TRP_Simple!$AI69</f>
        <v>40568.559224223936</v>
      </c>
      <c r="AJ32" s="705">
        <f t="shared" si="63"/>
        <v>0</v>
      </c>
      <c r="AK32" s="722"/>
    </row>
    <row r="33" spans="1:37" s="708" customFormat="1" x14ac:dyDescent="0.3">
      <c r="A33" s="711" t="s">
        <v>307</v>
      </c>
      <c r="B33" s="701">
        <v>3</v>
      </c>
      <c r="C33" s="708">
        <f t="shared" ref="C33:AE33" si="65">C123*C5</f>
        <v>85.917357181146215</v>
      </c>
      <c r="D33" s="708">
        <f t="shared" si="65"/>
        <v>111.25540018276396</v>
      </c>
      <c r="E33" s="708">
        <f t="shared" si="65"/>
        <v>12555.210714531591</v>
      </c>
      <c r="F33" s="708">
        <f t="shared" si="65"/>
        <v>6.144673353263757</v>
      </c>
      <c r="G33" s="708">
        <f t="shared" si="65"/>
        <v>34.192670674606603</v>
      </c>
      <c r="H33" s="708">
        <f t="shared" si="65"/>
        <v>9.5197801249370997</v>
      </c>
      <c r="I33" s="708">
        <f t="shared" si="65"/>
        <v>2.9312291116682245</v>
      </c>
      <c r="J33" s="708">
        <f t="shared" si="65"/>
        <v>9.0428685101661461</v>
      </c>
      <c r="K33" s="708">
        <f t="shared" si="65"/>
        <v>4.9531901343940961</v>
      </c>
      <c r="L33" s="708">
        <f t="shared" si="65"/>
        <v>9.8589977168988874</v>
      </c>
      <c r="M33" s="708">
        <f t="shared" si="65"/>
        <v>7.7695752287703996</v>
      </c>
      <c r="N33" s="708">
        <f t="shared" si="65"/>
        <v>623.4594953853383</v>
      </c>
      <c r="O33" s="708">
        <f t="shared" si="65"/>
        <v>42.103984641595702</v>
      </c>
      <c r="P33" s="708">
        <f t="shared" si="65"/>
        <v>2.4125432297583256</v>
      </c>
      <c r="Q33" s="708">
        <f t="shared" si="65"/>
        <v>24.383940387910108</v>
      </c>
      <c r="R33" s="708">
        <f t="shared" si="65"/>
        <v>240.51437088781381</v>
      </c>
      <c r="S33" s="708">
        <f t="shared" si="65"/>
        <v>26.525504661787398</v>
      </c>
      <c r="T33" s="708">
        <f t="shared" si="65"/>
        <v>36.214143630075419</v>
      </c>
      <c r="U33" s="708">
        <f t="shared" si="65"/>
        <v>3620.1316705030167</v>
      </c>
      <c r="V33" s="708">
        <f t="shared" si="65"/>
        <v>114.64247188247892</v>
      </c>
      <c r="W33" s="708">
        <f t="shared" si="65"/>
        <v>0</v>
      </c>
      <c r="X33" s="708">
        <f t="shared" si="65"/>
        <v>29.347980710065329</v>
      </c>
      <c r="Y33" s="708">
        <f t="shared" si="65"/>
        <v>31.763116361771569</v>
      </c>
      <c r="Z33" s="708">
        <f t="shared" si="65"/>
        <v>1.8120229471605935</v>
      </c>
      <c r="AA33" s="708">
        <f t="shared" si="65"/>
        <v>30712.080519125324</v>
      </c>
      <c r="AB33" s="708">
        <f t="shared" si="65"/>
        <v>0</v>
      </c>
      <c r="AC33" s="708">
        <f t="shared" si="65"/>
        <v>12739.613124142272</v>
      </c>
      <c r="AD33" s="708">
        <f t="shared" si="65"/>
        <v>0</v>
      </c>
      <c r="AE33" s="708">
        <f t="shared" si="65"/>
        <v>-73.714119723067384</v>
      </c>
      <c r="AF33" s="709">
        <f t="shared" si="60"/>
        <v>61008.087225523508</v>
      </c>
      <c r="AG33" s="732">
        <f t="shared" si="61"/>
        <v>58185.844956081921</v>
      </c>
      <c r="AH33" s="708">
        <f t="shared" si="62"/>
        <v>-2822.2422694415873</v>
      </c>
      <c r="AI33" s="731">
        <f>TRP_Simple!$AI70</f>
        <v>58185.844956081921</v>
      </c>
      <c r="AJ33" s="705">
        <f t="shared" si="63"/>
        <v>0</v>
      </c>
      <c r="AK33" s="722"/>
    </row>
    <row r="34" spans="1:37" s="708" customFormat="1" x14ac:dyDescent="0.3">
      <c r="A34" s="711" t="s">
        <v>122</v>
      </c>
      <c r="B34" s="701">
        <v>4</v>
      </c>
      <c r="C34" s="708">
        <f t="shared" ref="C34:AE34" si="66">C124*C6</f>
        <v>117.27498763438663</v>
      </c>
      <c r="D34" s="708">
        <f t="shared" si="66"/>
        <v>305.35066439789216</v>
      </c>
      <c r="E34" s="708">
        <f t="shared" si="66"/>
        <v>271.0395612045499</v>
      </c>
      <c r="F34" s="708">
        <f t="shared" si="66"/>
        <v>123.44735540461751</v>
      </c>
      <c r="G34" s="708">
        <f t="shared" si="66"/>
        <v>26.504873366285519</v>
      </c>
      <c r="H34" s="708">
        <f t="shared" si="66"/>
        <v>16.3386205682582</v>
      </c>
      <c r="I34" s="708">
        <f t="shared" si="66"/>
        <v>2.1784827424344271</v>
      </c>
      <c r="J34" s="708">
        <f t="shared" si="66"/>
        <v>12.344735540461748</v>
      </c>
      <c r="K34" s="708">
        <f t="shared" si="66"/>
        <v>34.492643421878419</v>
      </c>
      <c r="L34" s="708">
        <f t="shared" si="66"/>
        <v>2.5415631995068311</v>
      </c>
      <c r="M34" s="708">
        <f t="shared" si="66"/>
        <v>0.72616091414480877</v>
      </c>
      <c r="N34" s="708">
        <f t="shared" si="66"/>
        <v>600.06434601467106</v>
      </c>
      <c r="O34" s="708">
        <f t="shared" si="66"/>
        <v>222.56832018538395</v>
      </c>
      <c r="P34" s="708">
        <f t="shared" si="66"/>
        <v>1.108900184130174</v>
      </c>
      <c r="Q34" s="708">
        <f t="shared" si="66"/>
        <v>0</v>
      </c>
      <c r="R34" s="708">
        <f t="shared" si="66"/>
        <v>8.9203990927669583</v>
      </c>
      <c r="S34" s="708">
        <f t="shared" si="66"/>
        <v>3.5852662868871472</v>
      </c>
      <c r="T34" s="708">
        <f t="shared" si="66"/>
        <v>1.6348136332567065</v>
      </c>
      <c r="U34" s="708">
        <f t="shared" si="66"/>
        <v>175.92704225637979</v>
      </c>
      <c r="V34" s="708">
        <f t="shared" si="66"/>
        <v>201.43372224019089</v>
      </c>
      <c r="W34" s="708">
        <f t="shared" si="66"/>
        <v>0</v>
      </c>
      <c r="X34" s="708">
        <f t="shared" si="66"/>
        <v>0</v>
      </c>
      <c r="Y34" s="708">
        <f t="shared" si="66"/>
        <v>0</v>
      </c>
      <c r="Z34" s="708">
        <f t="shared" si="66"/>
        <v>0</v>
      </c>
      <c r="AA34" s="708">
        <f t="shared" si="66"/>
        <v>462.54176897389061</v>
      </c>
      <c r="AB34" s="708">
        <f t="shared" si="66"/>
        <v>0</v>
      </c>
      <c r="AC34" s="708">
        <f t="shared" si="66"/>
        <v>0</v>
      </c>
      <c r="AD34" s="708">
        <f t="shared" si="66"/>
        <v>201.49996202250844</v>
      </c>
      <c r="AE34" s="708">
        <f t="shared" si="66"/>
        <v>0</v>
      </c>
      <c r="AF34" s="709">
        <f t="shared" si="60"/>
        <v>2791.524189284482</v>
      </c>
      <c r="AG34" s="732">
        <f t="shared" si="61"/>
        <v>2729.0130613097213</v>
      </c>
      <c r="AH34" s="708">
        <f t="shared" si="62"/>
        <v>-62.511127974760711</v>
      </c>
      <c r="AI34" s="731">
        <f>TRP_Simple!$AI71</f>
        <v>2729.0130613097213</v>
      </c>
      <c r="AJ34" s="705">
        <f t="shared" si="63"/>
        <v>0</v>
      </c>
      <c r="AK34" s="722"/>
    </row>
    <row r="35" spans="1:37" s="708" customFormat="1" x14ac:dyDescent="0.3">
      <c r="A35" s="711" t="s">
        <v>123</v>
      </c>
      <c r="B35" s="701">
        <v>5</v>
      </c>
      <c r="C35" s="708">
        <f t="shared" ref="C35:AE35" si="67">C125*C7</f>
        <v>9.6932915873428485</v>
      </c>
      <c r="D35" s="708">
        <f t="shared" si="67"/>
        <v>8.1042273926964814</v>
      </c>
      <c r="E35" s="708">
        <f t="shared" si="67"/>
        <v>80.279523113534566</v>
      </c>
      <c r="F35" s="708">
        <f t="shared" si="67"/>
        <v>77.387426279278188</v>
      </c>
      <c r="G35" s="708">
        <f t="shared" si="67"/>
        <v>612.26643419724553</v>
      </c>
      <c r="H35" s="708">
        <f t="shared" si="67"/>
        <v>13.824858493423415</v>
      </c>
      <c r="I35" s="708">
        <f t="shared" si="67"/>
        <v>6.5151631980501099</v>
      </c>
      <c r="J35" s="708">
        <f t="shared" si="67"/>
        <v>12.553607137706321</v>
      </c>
      <c r="K35" s="708">
        <f t="shared" si="67"/>
        <v>13.98376491288805</v>
      </c>
      <c r="L35" s="708">
        <f t="shared" si="67"/>
        <v>17.00298688271614</v>
      </c>
      <c r="M35" s="708">
        <f t="shared" si="67"/>
        <v>4.1315669060805567</v>
      </c>
      <c r="N35" s="708">
        <f t="shared" si="67"/>
        <v>329.90847892046145</v>
      </c>
      <c r="O35" s="708">
        <f t="shared" si="67"/>
        <v>2785.3117203761567</v>
      </c>
      <c r="P35" s="708">
        <f t="shared" si="67"/>
        <v>0.38678768046844841</v>
      </c>
      <c r="Q35" s="708">
        <f t="shared" si="67"/>
        <v>6.8329760369793897</v>
      </c>
      <c r="R35" s="708">
        <f t="shared" si="67"/>
        <v>26.17264065814884</v>
      </c>
      <c r="S35" s="708">
        <f t="shared" si="67"/>
        <v>0.76763060401710637</v>
      </c>
      <c r="T35" s="708">
        <f t="shared" si="67"/>
        <v>0</v>
      </c>
      <c r="U35" s="708">
        <f t="shared" si="67"/>
        <v>381.15390900607514</v>
      </c>
      <c r="V35" s="708">
        <f t="shared" si="67"/>
        <v>69.283198886581687</v>
      </c>
      <c r="W35" s="708">
        <f t="shared" si="67"/>
        <v>0</v>
      </c>
      <c r="X35" s="708">
        <f t="shared" si="67"/>
        <v>3.9726604866159207</v>
      </c>
      <c r="Y35" s="708">
        <f t="shared" si="67"/>
        <v>4.1315669060805584</v>
      </c>
      <c r="Z35" s="708">
        <f t="shared" si="67"/>
        <v>0</v>
      </c>
      <c r="AA35" s="708">
        <f t="shared" si="67"/>
        <v>650.97140545149864</v>
      </c>
      <c r="AB35" s="708">
        <f t="shared" si="67"/>
        <v>0</v>
      </c>
      <c r="AC35" s="708">
        <f t="shared" si="67"/>
        <v>0.80650953939814385</v>
      </c>
      <c r="AD35" s="708">
        <f t="shared" si="67"/>
        <v>106.61750653148582</v>
      </c>
      <c r="AE35" s="708">
        <f t="shared" si="67"/>
        <v>31.267156678214818</v>
      </c>
      <c r="AF35" s="709">
        <f t="shared" si="60"/>
        <v>5253.3269978631452</v>
      </c>
      <c r="AG35" s="732">
        <f t="shared" si="61"/>
        <v>5057.1903662127552</v>
      </c>
      <c r="AH35" s="708">
        <f t="shared" si="62"/>
        <v>-196.13663165038997</v>
      </c>
      <c r="AI35" s="731">
        <f>TRP_Simple!$AI72</f>
        <v>5057.1903662127552</v>
      </c>
      <c r="AJ35" s="705">
        <f t="shared" si="63"/>
        <v>0</v>
      </c>
      <c r="AK35" s="722"/>
    </row>
    <row r="36" spans="1:37" s="708" customFormat="1" x14ac:dyDescent="0.3">
      <c r="A36" s="711" t="s">
        <v>308</v>
      </c>
      <c r="B36" s="701">
        <v>6</v>
      </c>
      <c r="C36" s="708">
        <f t="shared" ref="C36:AE36" si="68">C126*C8</f>
        <v>27.139961992012804</v>
      </c>
      <c r="D36" s="708">
        <f t="shared" si="68"/>
        <v>634.71088479882474</v>
      </c>
      <c r="E36" s="708">
        <f t="shared" si="68"/>
        <v>48.779188518341847</v>
      </c>
      <c r="F36" s="708">
        <f t="shared" si="68"/>
        <v>76.852535505649911</v>
      </c>
      <c r="G36" s="708">
        <f t="shared" si="68"/>
        <v>45.670295999769614</v>
      </c>
      <c r="H36" s="708">
        <f t="shared" si="68"/>
        <v>2903.3052459467981</v>
      </c>
      <c r="I36" s="708">
        <f t="shared" si="68"/>
        <v>11.319425790655796</v>
      </c>
      <c r="J36" s="708">
        <f t="shared" si="68"/>
        <v>82.003631935756431</v>
      </c>
      <c r="K36" s="708">
        <f t="shared" si="68"/>
        <v>124.98041764543096</v>
      </c>
      <c r="L36" s="708">
        <f t="shared" si="68"/>
        <v>0</v>
      </c>
      <c r="M36" s="708">
        <f t="shared" si="68"/>
        <v>14.13770729831869</v>
      </c>
      <c r="N36" s="708">
        <f t="shared" si="68"/>
        <v>2813.6562677928878</v>
      </c>
      <c r="O36" s="708">
        <f t="shared" si="68"/>
        <v>140.04341751567651</v>
      </c>
      <c r="P36" s="708">
        <f t="shared" si="68"/>
        <v>0</v>
      </c>
      <c r="Q36" s="708">
        <f t="shared" si="68"/>
        <v>5.0077781042281169</v>
      </c>
      <c r="R36" s="708">
        <f t="shared" si="68"/>
        <v>31.161192573306788</v>
      </c>
      <c r="S36" s="708">
        <f t="shared" si="68"/>
        <v>15.79164875515961</v>
      </c>
      <c r="T36" s="708">
        <f t="shared" si="68"/>
        <v>1.436048604844423</v>
      </c>
      <c r="U36" s="708">
        <f t="shared" si="68"/>
        <v>1750.9351188664339</v>
      </c>
      <c r="V36" s="708">
        <f t="shared" si="68"/>
        <v>167.2178132817981</v>
      </c>
      <c r="W36" s="708">
        <f t="shared" si="68"/>
        <v>0</v>
      </c>
      <c r="X36" s="708">
        <f t="shared" si="68"/>
        <v>6.3815678245866865</v>
      </c>
      <c r="Y36" s="708">
        <f t="shared" si="68"/>
        <v>11.463712479542197</v>
      </c>
      <c r="Z36" s="708">
        <f t="shared" si="68"/>
        <v>1.4701024350926255</v>
      </c>
      <c r="AA36" s="708">
        <f t="shared" si="68"/>
        <v>1298.4322451532701</v>
      </c>
      <c r="AB36" s="708">
        <f t="shared" si="68"/>
        <v>0</v>
      </c>
      <c r="AC36" s="708">
        <f t="shared" si="68"/>
        <v>0</v>
      </c>
      <c r="AD36" s="708">
        <f t="shared" si="68"/>
        <v>0</v>
      </c>
      <c r="AE36" s="708">
        <f t="shared" si="68"/>
        <v>13.491116075371412</v>
      </c>
      <c r="AF36" s="709">
        <f t="shared" si="60"/>
        <v>10225.387324893756</v>
      </c>
      <c r="AG36" s="732">
        <f t="shared" si="61"/>
        <v>10220.869538701381</v>
      </c>
      <c r="AH36" s="708">
        <f t="shared" si="62"/>
        <v>-4.5177861923748424</v>
      </c>
      <c r="AI36" s="731">
        <f>TRP_Simple!$AI73</f>
        <v>10220.869538701381</v>
      </c>
      <c r="AJ36" s="705">
        <f t="shared" si="63"/>
        <v>0</v>
      </c>
      <c r="AK36" s="722"/>
    </row>
    <row r="37" spans="1:37" s="708" customFormat="1" x14ac:dyDescent="0.3">
      <c r="A37" s="711" t="s">
        <v>130</v>
      </c>
      <c r="B37" s="701">
        <v>7</v>
      </c>
      <c r="C37" s="708">
        <f t="shared" ref="C37:AE37" si="69">C127*C9</f>
        <v>1505.0222101502773</v>
      </c>
      <c r="D37" s="708">
        <f t="shared" si="69"/>
        <v>8.1407557006100184</v>
      </c>
      <c r="E37" s="708">
        <f t="shared" si="69"/>
        <v>111.27395448271321</v>
      </c>
      <c r="F37" s="708">
        <f t="shared" si="69"/>
        <v>103.28583795148961</v>
      </c>
      <c r="G37" s="708">
        <f t="shared" si="69"/>
        <v>22.387078176677555</v>
      </c>
      <c r="H37" s="708">
        <f t="shared" si="69"/>
        <v>89.548312706710206</v>
      </c>
      <c r="I37" s="708">
        <f t="shared" si="69"/>
        <v>882.25439905361088</v>
      </c>
      <c r="J37" s="708">
        <f t="shared" si="69"/>
        <v>603.43351630771758</v>
      </c>
      <c r="K37" s="708">
        <f t="shared" si="69"/>
        <v>50.370925897524486</v>
      </c>
      <c r="L37" s="708">
        <f t="shared" si="69"/>
        <v>106.33862133921839</v>
      </c>
      <c r="M37" s="708">
        <f t="shared" si="69"/>
        <v>27.475050489558811</v>
      </c>
      <c r="N37" s="708">
        <f t="shared" si="69"/>
        <v>1233.0401720574621</v>
      </c>
      <c r="O37" s="708">
        <f t="shared" si="69"/>
        <v>66.652437298744545</v>
      </c>
      <c r="P37" s="708">
        <f t="shared" si="69"/>
        <v>0.55612186134654595</v>
      </c>
      <c r="Q37" s="708">
        <f t="shared" si="69"/>
        <v>1.0175944625762525</v>
      </c>
      <c r="R37" s="708">
        <f t="shared" si="69"/>
        <v>2.0756827500460746</v>
      </c>
      <c r="S37" s="708">
        <f t="shared" si="69"/>
        <v>1.8350181270892592</v>
      </c>
      <c r="T37" s="708">
        <f t="shared" si="69"/>
        <v>1.129946805687509</v>
      </c>
      <c r="U37" s="708">
        <f t="shared" si="69"/>
        <v>150.5480458915689</v>
      </c>
      <c r="V37" s="708">
        <f t="shared" si="69"/>
        <v>25.214534016142292</v>
      </c>
      <c r="W37" s="708">
        <f t="shared" si="69"/>
        <v>0</v>
      </c>
      <c r="X37" s="708">
        <f t="shared" si="69"/>
        <v>12.211133550915028</v>
      </c>
      <c r="Y37" s="708">
        <f t="shared" si="69"/>
        <v>0</v>
      </c>
      <c r="Z37" s="708">
        <f t="shared" si="69"/>
        <v>3.0527833877287569</v>
      </c>
      <c r="AA37" s="708">
        <f t="shared" si="69"/>
        <v>48.988295197692629</v>
      </c>
      <c r="AB37" s="708">
        <f t="shared" si="69"/>
        <v>0</v>
      </c>
      <c r="AC37" s="708">
        <f t="shared" si="69"/>
        <v>0</v>
      </c>
      <c r="AD37" s="708">
        <f t="shared" si="69"/>
        <v>0</v>
      </c>
      <c r="AE37" s="708">
        <f t="shared" si="69"/>
        <v>0</v>
      </c>
      <c r="AF37" s="709">
        <f t="shared" si="60"/>
        <v>5055.8524276631078</v>
      </c>
      <c r="AG37" s="732">
        <f t="shared" si="61"/>
        <v>5337.699701172296</v>
      </c>
      <c r="AH37" s="708">
        <f t="shared" si="62"/>
        <v>281.8472735091882</v>
      </c>
      <c r="AI37" s="731">
        <f>TRP_Simple!$AI74</f>
        <v>5337.699701172296</v>
      </c>
      <c r="AJ37" s="705">
        <f t="shared" si="63"/>
        <v>0</v>
      </c>
      <c r="AK37" s="722"/>
    </row>
    <row r="38" spans="1:37" s="708" customFormat="1" x14ac:dyDescent="0.3">
      <c r="A38" s="711" t="s">
        <v>131</v>
      </c>
      <c r="B38" s="701">
        <v>8</v>
      </c>
      <c r="C38" s="708">
        <f t="shared" ref="C38:AE38" si="70">C128*C10</f>
        <v>0</v>
      </c>
      <c r="D38" s="708">
        <f t="shared" si="70"/>
        <v>119.0177268408143</v>
      </c>
      <c r="E38" s="708">
        <f t="shared" si="70"/>
        <v>278.50148080750552</v>
      </c>
      <c r="F38" s="708">
        <f t="shared" si="70"/>
        <v>43.279173396659743</v>
      </c>
      <c r="G38" s="708">
        <f t="shared" si="70"/>
        <v>76.45987300076554</v>
      </c>
      <c r="H38" s="708">
        <f t="shared" si="70"/>
        <v>518.628761203306</v>
      </c>
      <c r="I38" s="708">
        <f t="shared" si="70"/>
        <v>77.902512113987541</v>
      </c>
      <c r="J38" s="708">
        <f t="shared" si="70"/>
        <v>3181.7405642111025</v>
      </c>
      <c r="K38" s="708">
        <f t="shared" si="70"/>
        <v>6042.4939257303104</v>
      </c>
      <c r="L38" s="708">
        <f t="shared" si="70"/>
        <v>33.902019160716804</v>
      </c>
      <c r="M38" s="708">
        <f t="shared" si="70"/>
        <v>28.852782264439831</v>
      </c>
      <c r="N38" s="708">
        <f t="shared" si="70"/>
        <v>6537.3601661805433</v>
      </c>
      <c r="O38" s="708">
        <f t="shared" si="70"/>
        <v>46.885771179714723</v>
      </c>
      <c r="P38" s="708">
        <f t="shared" si="70"/>
        <v>0.81077544478893993</v>
      </c>
      <c r="Q38" s="708">
        <f t="shared" si="70"/>
        <v>2.1639586698329873</v>
      </c>
      <c r="R38" s="708">
        <f t="shared" si="70"/>
        <v>3.4427018165003891</v>
      </c>
      <c r="S38" s="708">
        <f t="shared" si="70"/>
        <v>2.7473430864727266</v>
      </c>
      <c r="T38" s="708">
        <f t="shared" si="70"/>
        <v>1.6550143315698942</v>
      </c>
      <c r="U38" s="708">
        <f t="shared" si="70"/>
        <v>828.9471107706737</v>
      </c>
      <c r="V38" s="708">
        <f t="shared" si="70"/>
        <v>167.10588880885646</v>
      </c>
      <c r="W38" s="708">
        <f t="shared" si="70"/>
        <v>0</v>
      </c>
      <c r="X38" s="708">
        <f t="shared" si="70"/>
        <v>768.2053277907105</v>
      </c>
      <c r="Y38" s="708">
        <f t="shared" si="70"/>
        <v>12.262432462386929</v>
      </c>
      <c r="Z38" s="708">
        <f t="shared" si="70"/>
        <v>3.6065977830549789</v>
      </c>
      <c r="AA38" s="708">
        <f t="shared" si="70"/>
        <v>13.640595197831848</v>
      </c>
      <c r="AB38" s="708">
        <f t="shared" si="70"/>
        <v>0</v>
      </c>
      <c r="AC38" s="708">
        <f t="shared" si="70"/>
        <v>0</v>
      </c>
      <c r="AD38" s="708">
        <f t="shared" si="70"/>
        <v>0</v>
      </c>
      <c r="AE38" s="708">
        <f t="shared" si="70"/>
        <v>0</v>
      </c>
      <c r="AF38" s="709">
        <f t="shared" si="60"/>
        <v>18789.612502252541</v>
      </c>
      <c r="AG38" s="732">
        <f t="shared" si="61"/>
        <v>19175.858091625742</v>
      </c>
      <c r="AH38" s="708">
        <f t="shared" si="62"/>
        <v>386.24558937320035</v>
      </c>
      <c r="AI38" s="731">
        <f>TRP_Simple!$AI75</f>
        <v>19175.858091625742</v>
      </c>
      <c r="AJ38" s="705">
        <f t="shared" si="63"/>
        <v>0</v>
      </c>
      <c r="AK38" s="722"/>
    </row>
    <row r="39" spans="1:37" s="708" customFormat="1" x14ac:dyDescent="0.3">
      <c r="A39" s="711" t="s">
        <v>135</v>
      </c>
      <c r="B39" s="701">
        <v>9</v>
      </c>
      <c r="C39" s="708">
        <f t="shared" ref="C39:AE39" si="71">C129*C11</f>
        <v>66.255373168862022</v>
      </c>
      <c r="D39" s="708">
        <f t="shared" si="71"/>
        <v>712.31178302427168</v>
      </c>
      <c r="E39" s="708">
        <f t="shared" si="71"/>
        <v>944.81758653813358</v>
      </c>
      <c r="F39" s="708">
        <f t="shared" si="71"/>
        <v>10.909519276800571</v>
      </c>
      <c r="G39" s="708">
        <f t="shared" si="71"/>
        <v>39.380703730889856</v>
      </c>
      <c r="H39" s="708">
        <f t="shared" si="71"/>
        <v>71.577089889252562</v>
      </c>
      <c r="I39" s="708">
        <f t="shared" si="71"/>
        <v>36.719845370694607</v>
      </c>
      <c r="J39" s="708">
        <f t="shared" si="71"/>
        <v>83.018780838092169</v>
      </c>
      <c r="K39" s="708">
        <f t="shared" si="71"/>
        <v>470.17367224650263</v>
      </c>
      <c r="L39" s="708">
        <f t="shared" si="71"/>
        <v>22.88338189767925</v>
      </c>
      <c r="M39" s="708">
        <f t="shared" si="71"/>
        <v>23.415553569718295</v>
      </c>
      <c r="N39" s="708">
        <f t="shared" si="71"/>
        <v>2167.2865016601809</v>
      </c>
      <c r="O39" s="708">
        <f t="shared" si="71"/>
        <v>949.66034875368916</v>
      </c>
      <c r="P39" s="708">
        <f t="shared" si="71"/>
        <v>0.51357959146959176</v>
      </c>
      <c r="Q39" s="708">
        <f t="shared" si="71"/>
        <v>0.26608583601952618</v>
      </c>
      <c r="R39" s="708">
        <f t="shared" si="71"/>
        <v>7.6621740823602478</v>
      </c>
      <c r="S39" s="708">
        <f t="shared" si="71"/>
        <v>4.807054587644334</v>
      </c>
      <c r="T39" s="708">
        <f t="shared" si="71"/>
        <v>8.0379727840683923</v>
      </c>
      <c r="U39" s="708">
        <f t="shared" si="71"/>
        <v>1124.0485134037665</v>
      </c>
      <c r="V39" s="708">
        <f t="shared" si="71"/>
        <v>0.26608583601952612</v>
      </c>
      <c r="W39" s="708">
        <f t="shared" si="71"/>
        <v>0</v>
      </c>
      <c r="X39" s="708">
        <f t="shared" si="71"/>
        <v>146.61329564675898</v>
      </c>
      <c r="Y39" s="708">
        <f t="shared" si="71"/>
        <v>89.404840902560821</v>
      </c>
      <c r="Z39" s="708">
        <f t="shared" si="71"/>
        <v>1.0643433440781049</v>
      </c>
      <c r="AA39" s="708">
        <f t="shared" si="71"/>
        <v>3308.2409995707867</v>
      </c>
      <c r="AB39" s="708">
        <f t="shared" si="71"/>
        <v>0</v>
      </c>
      <c r="AC39" s="708">
        <f t="shared" si="71"/>
        <v>0</v>
      </c>
      <c r="AD39" s="708">
        <f t="shared" si="71"/>
        <v>12.701403858705643</v>
      </c>
      <c r="AE39" s="708">
        <f t="shared" si="71"/>
        <v>0</v>
      </c>
      <c r="AF39" s="709">
        <f t="shared" si="60"/>
        <v>10302.036489409005</v>
      </c>
      <c r="AG39" s="732">
        <f t="shared" si="61"/>
        <v>10100.397638429886</v>
      </c>
      <c r="AH39" s="708">
        <f t="shared" si="62"/>
        <v>-201.63885097911952</v>
      </c>
      <c r="AI39" s="731">
        <f>TRP_Simple!$AI76</f>
        <v>10100.397638429886</v>
      </c>
      <c r="AJ39" s="705">
        <f t="shared" si="63"/>
        <v>0</v>
      </c>
      <c r="AK39" s="722"/>
    </row>
    <row r="40" spans="1:37" s="708" customFormat="1" x14ac:dyDescent="0.3">
      <c r="A40" s="711" t="s">
        <v>136</v>
      </c>
      <c r="B40" s="701">
        <v>10</v>
      </c>
      <c r="C40" s="708">
        <f t="shared" ref="C40:AE40" si="72">C130*C12</f>
        <v>11.93128526349409</v>
      </c>
      <c r="D40" s="708">
        <f t="shared" si="72"/>
        <v>0</v>
      </c>
      <c r="E40" s="708">
        <f t="shared" si="72"/>
        <v>1665.3779749902458</v>
      </c>
      <c r="F40" s="708">
        <f t="shared" si="72"/>
        <v>6.8834338058619728</v>
      </c>
      <c r="G40" s="708">
        <f t="shared" si="72"/>
        <v>129.86745113726261</v>
      </c>
      <c r="H40" s="708">
        <f t="shared" si="72"/>
        <v>0</v>
      </c>
      <c r="I40" s="708">
        <f t="shared" si="72"/>
        <v>0</v>
      </c>
      <c r="J40" s="708">
        <f t="shared" si="72"/>
        <v>44.053976357516632</v>
      </c>
      <c r="K40" s="708">
        <f t="shared" si="72"/>
        <v>61.033113078642835</v>
      </c>
      <c r="L40" s="708">
        <f t="shared" si="72"/>
        <v>3632.1585715598353</v>
      </c>
      <c r="M40" s="708">
        <f t="shared" si="72"/>
        <v>0.45889558705746492</v>
      </c>
      <c r="N40" s="708">
        <f t="shared" si="72"/>
        <v>6357.6206906155694</v>
      </c>
      <c r="O40" s="708">
        <f t="shared" si="72"/>
        <v>1048.1175208392499</v>
      </c>
      <c r="P40" s="708">
        <f t="shared" si="72"/>
        <v>4.6564856874738307</v>
      </c>
      <c r="Q40" s="708">
        <f t="shared" si="72"/>
        <v>0</v>
      </c>
      <c r="R40" s="708">
        <f t="shared" si="72"/>
        <v>14.982135106569197</v>
      </c>
      <c r="S40" s="708">
        <f t="shared" si="72"/>
        <v>5.7275485072399812</v>
      </c>
      <c r="T40" s="708">
        <f t="shared" si="72"/>
        <v>1.7086703351074264</v>
      </c>
      <c r="U40" s="708">
        <f t="shared" si="72"/>
        <v>220.04306659568056</v>
      </c>
      <c r="V40" s="708">
        <f t="shared" si="72"/>
        <v>0</v>
      </c>
      <c r="W40" s="708">
        <f t="shared" si="72"/>
        <v>0</v>
      </c>
      <c r="X40" s="708">
        <f t="shared" si="72"/>
        <v>39.92391607399945</v>
      </c>
      <c r="Y40" s="708">
        <f t="shared" si="72"/>
        <v>21.568092591700854</v>
      </c>
      <c r="Z40" s="708">
        <f t="shared" si="72"/>
        <v>1.8355823482298599</v>
      </c>
      <c r="AA40" s="708">
        <f t="shared" si="72"/>
        <v>0</v>
      </c>
      <c r="AB40" s="708">
        <f t="shared" si="72"/>
        <v>0</v>
      </c>
      <c r="AC40" s="708">
        <f t="shared" si="72"/>
        <v>0</v>
      </c>
      <c r="AD40" s="708">
        <f t="shared" si="72"/>
        <v>1349.5487094069931</v>
      </c>
      <c r="AE40" s="708">
        <f t="shared" si="72"/>
        <v>27.89361939645088</v>
      </c>
      <c r="AF40" s="709">
        <f t="shared" si="60"/>
        <v>14645.390739284183</v>
      </c>
      <c r="AG40" s="732">
        <f t="shared" si="61"/>
        <v>15859.614648337059</v>
      </c>
      <c r="AH40" s="708">
        <f t="shared" si="62"/>
        <v>1214.2239090528765</v>
      </c>
      <c r="AI40" s="731">
        <f>TRP_Simple!$AI77</f>
        <v>15859.614648337059</v>
      </c>
      <c r="AJ40" s="705">
        <f t="shared" si="63"/>
        <v>0</v>
      </c>
      <c r="AK40" s="722"/>
    </row>
    <row r="41" spans="1:37" s="708" customFormat="1" x14ac:dyDescent="0.3">
      <c r="A41" s="711" t="s">
        <v>137</v>
      </c>
      <c r="B41" s="701">
        <v>11</v>
      </c>
      <c r="C41" s="708">
        <f t="shared" ref="C41:AE41" si="73">C131*C13</f>
        <v>0</v>
      </c>
      <c r="D41" s="708">
        <f t="shared" si="73"/>
        <v>60.681309615554035</v>
      </c>
      <c r="E41" s="708">
        <f t="shared" si="73"/>
        <v>327.88831781921789</v>
      </c>
      <c r="F41" s="708">
        <f t="shared" si="73"/>
        <v>98.345570756242751</v>
      </c>
      <c r="G41" s="708">
        <f t="shared" si="73"/>
        <v>76.72349491621776</v>
      </c>
      <c r="H41" s="708">
        <f t="shared" si="73"/>
        <v>6.2773768567814532</v>
      </c>
      <c r="I41" s="708">
        <f t="shared" si="73"/>
        <v>68.353659107175815</v>
      </c>
      <c r="J41" s="708">
        <f t="shared" si="73"/>
        <v>7.6723494916217749</v>
      </c>
      <c r="K41" s="708">
        <f t="shared" si="73"/>
        <v>27.899452696806456</v>
      </c>
      <c r="L41" s="708">
        <f t="shared" si="73"/>
        <v>569.84632133227183</v>
      </c>
      <c r="M41" s="708">
        <f t="shared" si="73"/>
        <v>3465.8095112607821</v>
      </c>
      <c r="N41" s="708">
        <f t="shared" si="73"/>
        <v>6225.6931206606205</v>
      </c>
      <c r="O41" s="708">
        <f t="shared" si="73"/>
        <v>854.42073883969761</v>
      </c>
      <c r="P41" s="708">
        <f t="shared" si="73"/>
        <v>0</v>
      </c>
      <c r="Q41" s="708">
        <f t="shared" si="73"/>
        <v>0</v>
      </c>
      <c r="R41" s="708">
        <f t="shared" si="73"/>
        <v>0</v>
      </c>
      <c r="S41" s="708">
        <f t="shared" si="73"/>
        <v>0</v>
      </c>
      <c r="T41" s="708">
        <f t="shared" si="73"/>
        <v>0</v>
      </c>
      <c r="U41" s="708">
        <f t="shared" si="73"/>
        <v>267.83474588934195</v>
      </c>
      <c r="V41" s="708">
        <f t="shared" si="73"/>
        <v>0</v>
      </c>
      <c r="W41" s="708">
        <f t="shared" si="73"/>
        <v>0</v>
      </c>
      <c r="X41" s="708">
        <f t="shared" si="73"/>
        <v>49.521528536831454</v>
      </c>
      <c r="Y41" s="708">
        <f t="shared" si="73"/>
        <v>0</v>
      </c>
      <c r="Z41" s="708">
        <f t="shared" si="73"/>
        <v>0</v>
      </c>
      <c r="AA41" s="708">
        <f t="shared" si="73"/>
        <v>111.57652061842943</v>
      </c>
      <c r="AB41" s="708">
        <f t="shared" si="73"/>
        <v>0</v>
      </c>
      <c r="AC41" s="708">
        <f t="shared" si="73"/>
        <v>0</v>
      </c>
      <c r="AD41" s="708">
        <f t="shared" si="73"/>
        <v>0</v>
      </c>
      <c r="AE41" s="708">
        <f t="shared" si="73"/>
        <v>163.40104859457631</v>
      </c>
      <c r="AF41" s="709">
        <f t="shared" si="60"/>
        <v>12381.94506699217</v>
      </c>
      <c r="AG41" s="732">
        <f t="shared" si="61"/>
        <v>13469.197951120197</v>
      </c>
      <c r="AH41" s="708">
        <f t="shared" si="62"/>
        <v>1087.2528841280273</v>
      </c>
      <c r="AI41" s="731">
        <f>TRP_Simple!$AI78</f>
        <v>13469.197951120197</v>
      </c>
      <c r="AJ41" s="705">
        <f t="shared" si="63"/>
        <v>0</v>
      </c>
      <c r="AK41" s="722"/>
    </row>
    <row r="42" spans="1:37" s="708" customFormat="1" x14ac:dyDescent="0.3">
      <c r="A42" s="711" t="s">
        <v>309</v>
      </c>
      <c r="B42" s="701">
        <v>12</v>
      </c>
      <c r="C42" s="708">
        <f t="shared" ref="C42:AE42" si="74">C132*C14</f>
        <v>3618.7481428573833</v>
      </c>
      <c r="D42" s="708">
        <f t="shared" si="74"/>
        <v>1217.1430537389317</v>
      </c>
      <c r="E42" s="708">
        <f t="shared" si="74"/>
        <v>8365.9404523633093</v>
      </c>
      <c r="F42" s="708">
        <f t="shared" si="74"/>
        <v>232.97585621709223</v>
      </c>
      <c r="G42" s="708">
        <f t="shared" si="74"/>
        <v>888.7876151417845</v>
      </c>
      <c r="H42" s="708">
        <f t="shared" si="74"/>
        <v>564.11875742207974</v>
      </c>
      <c r="I42" s="708">
        <f t="shared" si="74"/>
        <v>220.24000768473505</v>
      </c>
      <c r="J42" s="708">
        <f t="shared" si="74"/>
        <v>642.05199534950589</v>
      </c>
      <c r="K42" s="708">
        <f t="shared" si="74"/>
        <v>878.36774558705417</v>
      </c>
      <c r="L42" s="708">
        <f t="shared" si="74"/>
        <v>1910.1676620987935</v>
      </c>
      <c r="M42" s="708">
        <f t="shared" si="74"/>
        <v>1140.810710911253</v>
      </c>
      <c r="N42" s="708">
        <f t="shared" si="74"/>
        <v>57832.539937807182</v>
      </c>
      <c r="O42" s="708">
        <f t="shared" si="74"/>
        <v>9735.1790253270174</v>
      </c>
      <c r="P42" s="708">
        <f t="shared" si="74"/>
        <v>21.690487217684367</v>
      </c>
      <c r="Q42" s="708">
        <f t="shared" si="74"/>
        <v>81.77354649348581</v>
      </c>
      <c r="R42" s="708">
        <f t="shared" si="74"/>
        <v>370.49177169074198</v>
      </c>
      <c r="S42" s="708">
        <f t="shared" si="74"/>
        <v>140.28062470771818</v>
      </c>
      <c r="T42" s="708">
        <f t="shared" si="74"/>
        <v>573.50870431910698</v>
      </c>
      <c r="U42" s="708">
        <f t="shared" si="74"/>
        <v>20201.584809225187</v>
      </c>
      <c r="V42" s="708">
        <f t="shared" si="74"/>
        <v>7224.108769040854</v>
      </c>
      <c r="W42" s="708">
        <f t="shared" si="74"/>
        <v>0</v>
      </c>
      <c r="X42" s="708">
        <f t="shared" si="74"/>
        <v>405.13197377468867</v>
      </c>
      <c r="Y42" s="708">
        <f t="shared" si="74"/>
        <v>839.21577761384481</v>
      </c>
      <c r="Z42" s="708">
        <f t="shared" si="74"/>
        <v>46.262865270880845</v>
      </c>
      <c r="AA42" s="708">
        <f t="shared" si="74"/>
        <v>91007.743762637096</v>
      </c>
      <c r="AB42" s="708">
        <f t="shared" si="74"/>
        <v>11179.419087049249</v>
      </c>
      <c r="AC42" s="708">
        <f t="shared" si="74"/>
        <v>34218.097091910662</v>
      </c>
      <c r="AD42" s="708">
        <f t="shared" si="74"/>
        <v>21616.43297946126</v>
      </c>
      <c r="AE42" s="708">
        <f t="shared" si="74"/>
        <v>864.67713045269124</v>
      </c>
      <c r="AF42" s="709">
        <f t="shared" si="60"/>
        <v>276037.49034337129</v>
      </c>
      <c r="AG42" s="732">
        <f t="shared" si="61"/>
        <v>270785.33557629469</v>
      </c>
      <c r="AH42" s="708">
        <f t="shared" si="62"/>
        <v>-5252.1547670766013</v>
      </c>
      <c r="AI42" s="731">
        <f>TRP_Simple!$AI79</f>
        <v>270785.33557629469</v>
      </c>
      <c r="AJ42" s="705">
        <f t="shared" si="63"/>
        <v>0</v>
      </c>
      <c r="AK42" s="722"/>
    </row>
    <row r="43" spans="1:37" s="708" customFormat="1" x14ac:dyDescent="0.3">
      <c r="A43" s="711" t="s">
        <v>310</v>
      </c>
      <c r="B43" s="701">
        <v>13</v>
      </c>
      <c r="C43" s="708">
        <f t="shared" ref="C43:AE43" si="75">C133*C15</f>
        <v>0</v>
      </c>
      <c r="D43" s="708">
        <f t="shared" si="75"/>
        <v>0</v>
      </c>
      <c r="E43" s="708">
        <f t="shared" si="75"/>
        <v>0</v>
      </c>
      <c r="F43" s="708">
        <f t="shared" si="75"/>
        <v>0</v>
      </c>
      <c r="G43" s="708">
        <f t="shared" si="75"/>
        <v>0</v>
      </c>
      <c r="H43" s="708">
        <f t="shared" si="75"/>
        <v>0</v>
      </c>
      <c r="I43" s="708">
        <f t="shared" si="75"/>
        <v>0</v>
      </c>
      <c r="J43" s="708">
        <f t="shared" si="75"/>
        <v>0</v>
      </c>
      <c r="K43" s="708">
        <f t="shared" si="75"/>
        <v>0</v>
      </c>
      <c r="L43" s="708">
        <f t="shared" si="75"/>
        <v>0</v>
      </c>
      <c r="M43" s="708">
        <f t="shared" si="75"/>
        <v>0</v>
      </c>
      <c r="N43" s="708">
        <f t="shared" si="75"/>
        <v>0</v>
      </c>
      <c r="O43" s="708">
        <f t="shared" si="75"/>
        <v>0</v>
      </c>
      <c r="P43" s="708">
        <f t="shared" si="75"/>
        <v>0</v>
      </c>
      <c r="Q43" s="708">
        <f t="shared" si="75"/>
        <v>0</v>
      </c>
      <c r="R43" s="708">
        <f t="shared" si="75"/>
        <v>0</v>
      </c>
      <c r="S43" s="708">
        <f t="shared" si="75"/>
        <v>0</v>
      </c>
      <c r="T43" s="708">
        <f t="shared" si="75"/>
        <v>0</v>
      </c>
      <c r="U43" s="708">
        <f t="shared" si="75"/>
        <v>0</v>
      </c>
      <c r="V43" s="708">
        <f t="shared" si="75"/>
        <v>0</v>
      </c>
      <c r="W43" s="708">
        <f t="shared" si="75"/>
        <v>0</v>
      </c>
      <c r="X43" s="708">
        <f t="shared" si="75"/>
        <v>0</v>
      </c>
      <c r="Y43" s="708">
        <f t="shared" si="75"/>
        <v>0</v>
      </c>
      <c r="Z43" s="708">
        <f t="shared" si="75"/>
        <v>0</v>
      </c>
      <c r="AA43" s="708">
        <f t="shared" si="75"/>
        <v>0</v>
      </c>
      <c r="AB43" s="708">
        <f t="shared" si="75"/>
        <v>0</v>
      </c>
      <c r="AC43" s="708">
        <f t="shared" si="75"/>
        <v>0</v>
      </c>
      <c r="AD43" s="708">
        <f t="shared" si="75"/>
        <v>0</v>
      </c>
      <c r="AE43" s="708">
        <f t="shared" si="75"/>
        <v>0</v>
      </c>
      <c r="AF43" s="709">
        <f t="shared" si="60"/>
        <v>0</v>
      </c>
      <c r="AG43" s="732">
        <f t="shared" si="61"/>
        <v>0</v>
      </c>
      <c r="AH43" s="708">
        <f t="shared" si="62"/>
        <v>0</v>
      </c>
      <c r="AI43" s="731">
        <f>TRP_Simple!$AI80</f>
        <v>0</v>
      </c>
      <c r="AJ43" s="705">
        <f t="shared" si="63"/>
        <v>0</v>
      </c>
      <c r="AK43" s="722"/>
    </row>
    <row r="44" spans="1:37" s="708" customFormat="1" x14ac:dyDescent="0.3">
      <c r="A44" s="711" t="s">
        <v>152</v>
      </c>
      <c r="B44" s="701">
        <v>14</v>
      </c>
      <c r="C44" s="708">
        <f t="shared" ref="C44:AE44" si="76">C134*C16</f>
        <v>0.13165795292053073</v>
      </c>
      <c r="D44" s="708">
        <f t="shared" si="76"/>
        <v>3.2290057075068028</v>
      </c>
      <c r="E44" s="708">
        <f t="shared" si="76"/>
        <v>1.0848244430334077</v>
      </c>
      <c r="F44" s="708">
        <f t="shared" si="76"/>
        <v>0.30310010995849662</v>
      </c>
      <c r="G44" s="708">
        <f t="shared" si="76"/>
        <v>0.53168965267578472</v>
      </c>
      <c r="H44" s="708">
        <f t="shared" si="76"/>
        <v>0.95219060523916743</v>
      </c>
      <c r="I44" s="708">
        <f t="shared" si="76"/>
        <v>0.30821742316052902</v>
      </c>
      <c r="J44" s="708">
        <f t="shared" si="76"/>
        <v>0.69399201260013732</v>
      </c>
      <c r="K44" s="708">
        <f t="shared" si="76"/>
        <v>0.74297548603955654</v>
      </c>
      <c r="L44" s="708">
        <f t="shared" si="76"/>
        <v>1.2654658693933567</v>
      </c>
      <c r="M44" s="708">
        <f t="shared" si="76"/>
        <v>0.41434828227926962</v>
      </c>
      <c r="N44" s="708">
        <f t="shared" si="76"/>
        <v>22.49551962080551</v>
      </c>
      <c r="O44" s="708">
        <f t="shared" si="76"/>
        <v>5.6263871958339413</v>
      </c>
      <c r="P44" s="708">
        <f t="shared" si="76"/>
        <v>2.5996761484826529</v>
      </c>
      <c r="Q44" s="708">
        <f t="shared" si="76"/>
        <v>0.25819859263902945</v>
      </c>
      <c r="R44" s="708">
        <f t="shared" si="76"/>
        <v>5.7214935945996572</v>
      </c>
      <c r="S44" s="708">
        <f t="shared" si="76"/>
        <v>2.2548722502668124</v>
      </c>
      <c r="T44" s="708">
        <f t="shared" si="76"/>
        <v>1.9958232766866031</v>
      </c>
      <c r="U44" s="708">
        <f t="shared" si="76"/>
        <v>126.46411591098135</v>
      </c>
      <c r="V44" s="708">
        <f t="shared" si="76"/>
        <v>108.0338403219678</v>
      </c>
      <c r="W44" s="708">
        <f t="shared" si="76"/>
        <v>0</v>
      </c>
      <c r="X44" s="708">
        <f t="shared" si="76"/>
        <v>3.4301163866748814</v>
      </c>
      <c r="Y44" s="708">
        <f t="shared" si="76"/>
        <v>2.1012909891097205</v>
      </c>
      <c r="Z44" s="708">
        <f t="shared" si="76"/>
        <v>0.20105120695970757</v>
      </c>
      <c r="AA44" s="708">
        <f t="shared" si="76"/>
        <v>323.91464753544591</v>
      </c>
      <c r="AB44" s="708">
        <f t="shared" si="76"/>
        <v>14.724431410756331</v>
      </c>
      <c r="AC44" s="708">
        <f t="shared" si="76"/>
        <v>0</v>
      </c>
      <c r="AD44" s="708">
        <f t="shared" si="76"/>
        <v>0</v>
      </c>
      <c r="AE44" s="708">
        <f t="shared" si="76"/>
        <v>-0.51202249485550921</v>
      </c>
      <c r="AF44" s="709">
        <f t="shared" si="60"/>
        <v>628.96690949116146</v>
      </c>
      <c r="AG44" s="732">
        <f t="shared" si="61"/>
        <v>903.08054874466461</v>
      </c>
      <c r="AH44" s="708">
        <f t="shared" si="62"/>
        <v>274.11363925350315</v>
      </c>
      <c r="AI44" s="731">
        <f>TRP_Simple!$AI81</f>
        <v>903.08054874466461</v>
      </c>
      <c r="AJ44" s="705">
        <f t="shared" si="63"/>
        <v>0</v>
      </c>
      <c r="AK44" s="722"/>
    </row>
    <row r="45" spans="1:37" s="708" customFormat="1" x14ac:dyDescent="0.3">
      <c r="A45" s="711" t="s">
        <v>153</v>
      </c>
      <c r="B45" s="701">
        <v>15</v>
      </c>
      <c r="C45" s="708">
        <f t="shared" ref="C45:AE45" si="77">C135*C17</f>
        <v>0</v>
      </c>
      <c r="D45" s="708">
        <f t="shared" si="77"/>
        <v>0</v>
      </c>
      <c r="E45" s="708">
        <f t="shared" si="77"/>
        <v>0</v>
      </c>
      <c r="F45" s="708">
        <f t="shared" si="77"/>
        <v>0</v>
      </c>
      <c r="G45" s="708">
        <f t="shared" si="77"/>
        <v>0</v>
      </c>
      <c r="H45" s="708">
        <f t="shared" si="77"/>
        <v>0</v>
      </c>
      <c r="I45" s="708">
        <f t="shared" si="77"/>
        <v>0</v>
      </c>
      <c r="J45" s="708">
        <f t="shared" si="77"/>
        <v>0</v>
      </c>
      <c r="K45" s="708">
        <f t="shared" si="77"/>
        <v>0</v>
      </c>
      <c r="L45" s="708">
        <f t="shared" si="77"/>
        <v>0</v>
      </c>
      <c r="M45" s="708">
        <f t="shared" si="77"/>
        <v>0</v>
      </c>
      <c r="N45" s="708">
        <f t="shared" si="77"/>
        <v>0</v>
      </c>
      <c r="O45" s="708">
        <f t="shared" si="77"/>
        <v>0</v>
      </c>
      <c r="P45" s="708">
        <f t="shared" si="77"/>
        <v>0</v>
      </c>
      <c r="Q45" s="708">
        <f t="shared" si="77"/>
        <v>0</v>
      </c>
      <c r="R45" s="708">
        <f t="shared" si="77"/>
        <v>0</v>
      </c>
      <c r="S45" s="708">
        <f t="shared" si="77"/>
        <v>0</v>
      </c>
      <c r="T45" s="708">
        <f t="shared" si="77"/>
        <v>0</v>
      </c>
      <c r="U45" s="708">
        <f t="shared" si="77"/>
        <v>0</v>
      </c>
      <c r="V45" s="708">
        <f t="shared" si="77"/>
        <v>0</v>
      </c>
      <c r="W45" s="708">
        <f t="shared" si="77"/>
        <v>0</v>
      </c>
      <c r="X45" s="708">
        <f t="shared" si="77"/>
        <v>0</v>
      </c>
      <c r="Y45" s="708">
        <f t="shared" si="77"/>
        <v>0</v>
      </c>
      <c r="Z45" s="708">
        <f t="shared" si="77"/>
        <v>0</v>
      </c>
      <c r="AA45" s="708">
        <f t="shared" si="77"/>
        <v>0</v>
      </c>
      <c r="AB45" s="708">
        <f t="shared" si="77"/>
        <v>0</v>
      </c>
      <c r="AC45" s="708">
        <f t="shared" si="77"/>
        <v>0</v>
      </c>
      <c r="AD45" s="708">
        <f t="shared" si="77"/>
        <v>0</v>
      </c>
      <c r="AE45" s="708">
        <f t="shared" si="77"/>
        <v>0</v>
      </c>
      <c r="AF45" s="709">
        <f t="shared" si="60"/>
        <v>0</v>
      </c>
      <c r="AG45" s="732">
        <f t="shared" si="61"/>
        <v>0</v>
      </c>
      <c r="AH45" s="708">
        <f t="shared" si="62"/>
        <v>0</v>
      </c>
      <c r="AI45" s="731">
        <f>TRP_Simple!$AI82</f>
        <v>0</v>
      </c>
      <c r="AJ45" s="705">
        <f t="shared" si="63"/>
        <v>0</v>
      </c>
      <c r="AK45" s="722"/>
    </row>
    <row r="46" spans="1:37" s="708" customFormat="1" x14ac:dyDescent="0.3">
      <c r="A46" s="711" t="s">
        <v>154</v>
      </c>
      <c r="B46" s="701">
        <v>16</v>
      </c>
      <c r="C46" s="708">
        <f t="shared" ref="C46:AE46" si="78">C136*C18</f>
        <v>3.7</v>
      </c>
      <c r="D46" s="708">
        <f t="shared" si="78"/>
        <v>29.30510968816823</v>
      </c>
      <c r="E46" s="708">
        <f t="shared" si="78"/>
        <v>12.515008755694135</v>
      </c>
      <c r="F46" s="708">
        <f t="shared" si="78"/>
        <v>3.1114222943145187</v>
      </c>
      <c r="G46" s="708">
        <f t="shared" si="78"/>
        <v>6.9933186867338781</v>
      </c>
      <c r="H46" s="708">
        <f t="shared" si="78"/>
        <v>5.2910096473963186</v>
      </c>
      <c r="I46" s="708">
        <f t="shared" si="78"/>
        <v>0.86251536279665975</v>
      </c>
      <c r="J46" s="708">
        <f t="shared" si="78"/>
        <v>3.1421027158784587</v>
      </c>
      <c r="K46" s="708">
        <f t="shared" si="78"/>
        <v>4.1739376571111784</v>
      </c>
      <c r="L46" s="708">
        <f t="shared" si="78"/>
        <v>12.846843696926857</v>
      </c>
      <c r="M46" s="708">
        <f t="shared" si="78"/>
        <v>2.6648244021342191</v>
      </c>
      <c r="N46" s="733">
        <f t="shared" si="78"/>
        <v>284.2041302823821</v>
      </c>
      <c r="O46" s="708">
        <f t="shared" si="78"/>
        <v>33.20857324717457</v>
      </c>
      <c r="P46" s="708">
        <f t="shared" si="78"/>
        <v>3.8979240846405525</v>
      </c>
      <c r="Q46" s="708">
        <f t="shared" si="78"/>
        <v>4.9489069315178593</v>
      </c>
      <c r="R46" s="708">
        <f t="shared" si="78"/>
        <v>516.50511709322427</v>
      </c>
      <c r="S46" s="708">
        <f t="shared" si="78"/>
        <v>0</v>
      </c>
      <c r="T46" s="708">
        <f t="shared" si="78"/>
        <v>24.662841159640081</v>
      </c>
      <c r="U46" s="708">
        <f t="shared" si="78"/>
        <v>1056.4499945735229</v>
      </c>
      <c r="V46" s="708">
        <f t="shared" si="78"/>
        <v>76.753525010192973</v>
      </c>
      <c r="W46" s="708">
        <f t="shared" si="78"/>
        <v>0</v>
      </c>
      <c r="X46" s="708">
        <f t="shared" si="78"/>
        <v>20.641316903329511</v>
      </c>
      <c r="Y46" s="708">
        <f t="shared" si="78"/>
        <v>20.233358168021333</v>
      </c>
      <c r="Z46" s="708">
        <f t="shared" si="78"/>
        <v>1.2784328334130195</v>
      </c>
      <c r="AA46" s="708">
        <f t="shared" si="78"/>
        <v>67.812576813983299</v>
      </c>
      <c r="AB46" s="708">
        <f t="shared" si="78"/>
        <v>0.4</v>
      </c>
      <c r="AC46" s="708">
        <f t="shared" si="78"/>
        <v>0</v>
      </c>
      <c r="AD46" s="708">
        <f t="shared" si="78"/>
        <v>0</v>
      </c>
      <c r="AE46" s="708">
        <f t="shared" si="78"/>
        <v>-14.804632966537968</v>
      </c>
      <c r="AF46" s="709">
        <f t="shared" si="60"/>
        <v>2180.7981570416587</v>
      </c>
      <c r="AG46" s="732">
        <f t="shared" si="61"/>
        <v>3589.2410666074747</v>
      </c>
      <c r="AH46" s="733">
        <f t="shared" si="62"/>
        <v>1408.4429095658161</v>
      </c>
      <c r="AI46" s="731">
        <f>TRP_Simple!$AI83</f>
        <v>3589.2410666074747</v>
      </c>
      <c r="AJ46" s="705">
        <f t="shared" si="63"/>
        <v>0</v>
      </c>
      <c r="AK46" s="722"/>
    </row>
    <row r="47" spans="1:37" s="708" customFormat="1" x14ac:dyDescent="0.3">
      <c r="A47" s="711" t="s">
        <v>155</v>
      </c>
      <c r="B47" s="701">
        <v>17</v>
      </c>
      <c r="C47" s="708">
        <f t="shared" ref="C47:AE47" si="79">C137*C19</f>
        <v>0</v>
      </c>
      <c r="D47" s="708">
        <f t="shared" si="79"/>
        <v>0</v>
      </c>
      <c r="E47" s="708">
        <f t="shared" si="79"/>
        <v>0</v>
      </c>
      <c r="F47" s="708">
        <f t="shared" si="79"/>
        <v>0</v>
      </c>
      <c r="G47" s="708">
        <f t="shared" si="79"/>
        <v>0</v>
      </c>
      <c r="H47" s="708">
        <f t="shared" si="79"/>
        <v>0</v>
      </c>
      <c r="I47" s="708">
        <f t="shared" si="79"/>
        <v>0</v>
      </c>
      <c r="J47" s="708">
        <f t="shared" si="79"/>
        <v>0</v>
      </c>
      <c r="K47" s="708">
        <f t="shared" si="79"/>
        <v>0</v>
      </c>
      <c r="L47" s="708">
        <f t="shared" si="79"/>
        <v>0</v>
      </c>
      <c r="M47" s="708">
        <f t="shared" si="79"/>
        <v>0</v>
      </c>
      <c r="N47" s="708">
        <f t="shared" si="79"/>
        <v>0</v>
      </c>
      <c r="O47" s="708">
        <f t="shared" si="79"/>
        <v>0</v>
      </c>
      <c r="P47" s="708">
        <f t="shared" si="79"/>
        <v>0</v>
      </c>
      <c r="Q47" s="708">
        <f t="shared" si="79"/>
        <v>0</v>
      </c>
      <c r="R47" s="708">
        <f t="shared" si="79"/>
        <v>0</v>
      </c>
      <c r="S47" s="708">
        <f t="shared" si="79"/>
        <v>203.3357199759696</v>
      </c>
      <c r="T47" s="708">
        <f t="shared" si="79"/>
        <v>0</v>
      </c>
      <c r="U47" s="708">
        <f t="shared" si="79"/>
        <v>44.038224559071281</v>
      </c>
      <c r="V47" s="708">
        <f t="shared" si="79"/>
        <v>2.0792099889303648</v>
      </c>
      <c r="W47" s="708">
        <f t="shared" si="79"/>
        <v>0</v>
      </c>
      <c r="X47" s="708">
        <f t="shared" si="79"/>
        <v>0</v>
      </c>
      <c r="Y47" s="708">
        <f t="shared" si="79"/>
        <v>0</v>
      </c>
      <c r="Z47" s="708">
        <f t="shared" si="79"/>
        <v>0</v>
      </c>
      <c r="AA47" s="708">
        <f t="shared" si="79"/>
        <v>100.40214201824408</v>
      </c>
      <c r="AB47" s="708">
        <f t="shared" si="79"/>
        <v>0</v>
      </c>
      <c r="AC47" s="708">
        <f t="shared" si="79"/>
        <v>0</v>
      </c>
      <c r="AD47" s="708">
        <f t="shared" si="79"/>
        <v>886.32941062592226</v>
      </c>
      <c r="AE47" s="708">
        <f t="shared" si="79"/>
        <v>-9.8480120417348243</v>
      </c>
      <c r="AF47" s="709">
        <f t="shared" si="60"/>
        <v>1226.3366951264029</v>
      </c>
      <c r="AG47" s="732">
        <f t="shared" si="61"/>
        <v>3074.3783463418458</v>
      </c>
      <c r="AH47" s="733">
        <f t="shared" si="62"/>
        <v>1848.0416512154429</v>
      </c>
      <c r="AI47" s="731">
        <f>TRP_Simple!$AI84</f>
        <v>3074.3783463418458</v>
      </c>
      <c r="AJ47" s="705">
        <f t="shared" si="63"/>
        <v>0</v>
      </c>
      <c r="AK47" s="722"/>
    </row>
    <row r="48" spans="1:37" s="708" customFormat="1" x14ac:dyDescent="0.3">
      <c r="A48" s="711" t="s">
        <v>156</v>
      </c>
      <c r="B48" s="701">
        <v>18</v>
      </c>
      <c r="C48" s="708">
        <f t="shared" ref="C48:AE48" si="80">C138*C20</f>
        <v>3.82754677076408</v>
      </c>
      <c r="D48" s="708">
        <f t="shared" si="80"/>
        <v>73.036832454552879</v>
      </c>
      <c r="E48" s="708">
        <f t="shared" si="80"/>
        <v>23.449889601670939</v>
      </c>
      <c r="F48" s="708">
        <f t="shared" si="80"/>
        <v>6.4181464443477099</v>
      </c>
      <c r="G48" s="708">
        <f t="shared" si="80"/>
        <v>19.653787756634088</v>
      </c>
      <c r="H48" s="708">
        <f t="shared" si="80"/>
        <v>9.9089519700920512</v>
      </c>
      <c r="I48" s="708">
        <f t="shared" si="80"/>
        <v>5.4477351764938113</v>
      </c>
      <c r="J48" s="708">
        <f t="shared" si="80"/>
        <v>11.490238549414205</v>
      </c>
      <c r="K48" s="708">
        <f t="shared" si="80"/>
        <v>13.141730544429546</v>
      </c>
      <c r="L48" s="708">
        <f t="shared" si="80"/>
        <v>12.895760227694158</v>
      </c>
      <c r="M48" s="708">
        <f t="shared" si="80"/>
        <v>5.4110625488609765</v>
      </c>
      <c r="N48" s="708">
        <f t="shared" si="80"/>
        <v>103.41748042579874</v>
      </c>
      <c r="O48" s="708">
        <f t="shared" si="80"/>
        <v>72.98182351310362</v>
      </c>
      <c r="P48" s="708">
        <f t="shared" si="80"/>
        <v>5.4481233611532058</v>
      </c>
      <c r="Q48" s="708">
        <f t="shared" si="80"/>
        <v>7.3496558857940322</v>
      </c>
      <c r="R48" s="708">
        <f t="shared" si="80"/>
        <v>111.89540056739048</v>
      </c>
      <c r="S48" s="708">
        <f t="shared" si="80"/>
        <v>45.606546890642647</v>
      </c>
      <c r="T48" s="708">
        <f t="shared" si="80"/>
        <v>1034.2646730919905</v>
      </c>
      <c r="U48" s="708">
        <f t="shared" si="80"/>
        <v>1596.9023365410219</v>
      </c>
      <c r="V48" s="708">
        <f t="shared" si="80"/>
        <v>155.90594028115396</v>
      </c>
      <c r="W48" s="708">
        <f t="shared" si="80"/>
        <v>0</v>
      </c>
      <c r="X48" s="708">
        <f t="shared" si="80"/>
        <v>31.680645721453136</v>
      </c>
      <c r="Y48" s="708">
        <f t="shared" si="80"/>
        <v>20.954660590362753</v>
      </c>
      <c r="Z48" s="708">
        <f t="shared" si="80"/>
        <v>2.2332929159727315</v>
      </c>
      <c r="AA48" s="708">
        <f t="shared" si="80"/>
        <v>2745.7824776210809</v>
      </c>
      <c r="AB48" s="708">
        <f t="shared" si="80"/>
        <v>0</v>
      </c>
      <c r="AC48" s="708">
        <f t="shared" si="80"/>
        <v>0</v>
      </c>
      <c r="AD48" s="708">
        <f t="shared" si="80"/>
        <v>0</v>
      </c>
      <c r="AE48" s="708">
        <f t="shared" si="80"/>
        <v>-3.1043888064259049</v>
      </c>
      <c r="AF48" s="709">
        <f t="shared" si="60"/>
        <v>6116.0003506454477</v>
      </c>
      <c r="AG48" s="732">
        <f t="shared" si="61"/>
        <v>7050.7957300647904</v>
      </c>
      <c r="AH48" s="708">
        <f t="shared" si="62"/>
        <v>934.79537941934268</v>
      </c>
      <c r="AI48" s="731">
        <f>TRP_Simple!$AI85</f>
        <v>7050.7957300647904</v>
      </c>
      <c r="AJ48" s="705">
        <f t="shared" si="63"/>
        <v>0</v>
      </c>
      <c r="AK48" s="722"/>
    </row>
    <row r="49" spans="1:40" s="708" customFormat="1" x14ac:dyDescent="0.3">
      <c r="A49" s="711" t="s">
        <v>311</v>
      </c>
      <c r="B49" s="701">
        <v>19</v>
      </c>
      <c r="C49" s="708">
        <f t="shared" ref="C49:AE49" si="81">C139*C21</f>
        <v>238.84089293714027</v>
      </c>
      <c r="D49" s="708">
        <f t="shared" si="81"/>
        <v>810.50608013267981</v>
      </c>
      <c r="E49" s="708">
        <f t="shared" si="81"/>
        <v>571.1092758872295</v>
      </c>
      <c r="F49" s="708">
        <f t="shared" si="81"/>
        <v>73.562306896586122</v>
      </c>
      <c r="G49" s="708">
        <f t="shared" si="81"/>
        <v>172.19458752004729</v>
      </c>
      <c r="H49" s="708">
        <f t="shared" si="81"/>
        <v>151.88166883329251</v>
      </c>
      <c r="I49" s="708">
        <f t="shared" si="81"/>
        <v>44.158031400691712</v>
      </c>
      <c r="J49" s="708">
        <f t="shared" si="81"/>
        <v>108.01200552017242</v>
      </c>
      <c r="K49" s="708">
        <f t="shared" si="81"/>
        <v>149.98830390336101</v>
      </c>
      <c r="L49" s="708">
        <f t="shared" si="81"/>
        <v>184.25306055403428</v>
      </c>
      <c r="M49" s="708">
        <f t="shared" si="81"/>
        <v>77.233303109959763</v>
      </c>
      <c r="N49" s="708">
        <f t="shared" si="81"/>
        <v>4849.5398599427735</v>
      </c>
      <c r="O49" s="708">
        <f t="shared" si="81"/>
        <v>1775.6371713836704</v>
      </c>
      <c r="P49" s="708">
        <f t="shared" si="81"/>
        <v>140.21347483515572</v>
      </c>
      <c r="Q49" s="708">
        <f t="shared" si="81"/>
        <v>116.86325134602217</v>
      </c>
      <c r="R49" s="708">
        <f t="shared" si="81"/>
        <v>579.68327153896098</v>
      </c>
      <c r="S49" s="708">
        <f t="shared" si="81"/>
        <v>289.65579440245091</v>
      </c>
      <c r="T49" s="708">
        <f t="shared" si="81"/>
        <v>230.47218994578571</v>
      </c>
      <c r="U49" s="708">
        <f t="shared" si="81"/>
        <v>21198.145733636153</v>
      </c>
      <c r="V49" s="708">
        <f t="shared" si="81"/>
        <v>2055.4680355604751</v>
      </c>
      <c r="W49" s="708">
        <f t="shared" si="81"/>
        <v>0.60177706275815901</v>
      </c>
      <c r="X49" s="708">
        <f t="shared" si="81"/>
        <v>228.72244464964726</v>
      </c>
      <c r="Y49" s="708">
        <f t="shared" si="81"/>
        <v>362.45481070648162</v>
      </c>
      <c r="Z49" s="708">
        <f t="shared" si="81"/>
        <v>60.182094539695079</v>
      </c>
      <c r="AA49" s="708">
        <f t="shared" si="81"/>
        <v>2721.8866161434735</v>
      </c>
      <c r="AB49" s="708">
        <f t="shared" si="81"/>
        <v>225.92192047695281</v>
      </c>
      <c r="AC49" s="708">
        <f t="shared" si="81"/>
        <v>3993.5148988489741</v>
      </c>
      <c r="AD49" s="708">
        <f t="shared" si="81"/>
        <v>0</v>
      </c>
      <c r="AE49" s="708">
        <f t="shared" si="81"/>
        <v>19.880313855488051</v>
      </c>
      <c r="AF49" s="709">
        <f t="shared" si="60"/>
        <v>41430.583175570115</v>
      </c>
      <c r="AG49" s="732">
        <f t="shared" si="61"/>
        <v>59347.757548892689</v>
      </c>
      <c r="AH49" s="708">
        <f t="shared" si="62"/>
        <v>17917.174373322574</v>
      </c>
      <c r="AI49" s="731">
        <f>TRP_Simple!$AI86</f>
        <v>59347.757548892689</v>
      </c>
      <c r="AJ49" s="705">
        <f t="shared" si="63"/>
        <v>0</v>
      </c>
      <c r="AK49" s="722"/>
    </row>
    <row r="50" spans="1:40" s="708" customFormat="1" x14ac:dyDescent="0.3">
      <c r="A50" s="711" t="s">
        <v>312</v>
      </c>
      <c r="B50" s="701">
        <v>20</v>
      </c>
      <c r="C50" s="708">
        <f t="shared" ref="C50:AE50" si="82">C140*C22</f>
        <v>0</v>
      </c>
      <c r="D50" s="708">
        <f t="shared" si="82"/>
        <v>0</v>
      </c>
      <c r="E50" s="708">
        <f t="shared" si="82"/>
        <v>0</v>
      </c>
      <c r="F50" s="708">
        <f t="shared" si="82"/>
        <v>0</v>
      </c>
      <c r="G50" s="708">
        <f t="shared" si="82"/>
        <v>0</v>
      </c>
      <c r="H50" s="708">
        <f t="shared" si="82"/>
        <v>0</v>
      </c>
      <c r="I50" s="708">
        <f t="shared" si="82"/>
        <v>0</v>
      </c>
      <c r="J50" s="708">
        <f t="shared" si="82"/>
        <v>0</v>
      </c>
      <c r="K50" s="708">
        <f t="shared" si="82"/>
        <v>0</v>
      </c>
      <c r="L50" s="708">
        <f t="shared" si="82"/>
        <v>0</v>
      </c>
      <c r="M50" s="708">
        <f t="shared" si="82"/>
        <v>0</v>
      </c>
      <c r="N50" s="708">
        <f t="shared" si="82"/>
        <v>0</v>
      </c>
      <c r="O50" s="708">
        <f t="shared" si="82"/>
        <v>0</v>
      </c>
      <c r="P50" s="708">
        <f t="shared" si="82"/>
        <v>0</v>
      </c>
      <c r="Q50" s="708">
        <f t="shared" si="82"/>
        <v>0</v>
      </c>
      <c r="R50" s="708">
        <f t="shared" si="82"/>
        <v>0</v>
      </c>
      <c r="S50" s="708">
        <f t="shared" si="82"/>
        <v>0</v>
      </c>
      <c r="T50" s="708">
        <f t="shared" si="82"/>
        <v>0</v>
      </c>
      <c r="U50" s="708">
        <f t="shared" si="82"/>
        <v>0</v>
      </c>
      <c r="V50" s="708">
        <f t="shared" si="82"/>
        <v>0</v>
      </c>
      <c r="W50" s="708">
        <f t="shared" si="82"/>
        <v>0</v>
      </c>
      <c r="X50" s="708">
        <f t="shared" si="82"/>
        <v>0</v>
      </c>
      <c r="Y50" s="708">
        <f t="shared" si="82"/>
        <v>0</v>
      </c>
      <c r="Z50" s="708">
        <f t="shared" si="82"/>
        <v>0</v>
      </c>
      <c r="AA50" s="708">
        <f t="shared" si="82"/>
        <v>0</v>
      </c>
      <c r="AB50" s="708">
        <f t="shared" si="82"/>
        <v>0</v>
      </c>
      <c r="AC50" s="708">
        <f t="shared" si="82"/>
        <v>0</v>
      </c>
      <c r="AD50" s="708">
        <f t="shared" si="82"/>
        <v>0</v>
      </c>
      <c r="AE50" s="708">
        <f t="shared" si="82"/>
        <v>0</v>
      </c>
      <c r="AF50" s="709">
        <f t="shared" si="60"/>
        <v>0</v>
      </c>
      <c r="AG50" s="732">
        <f t="shared" si="61"/>
        <v>0</v>
      </c>
      <c r="AH50" s="708">
        <f t="shared" si="62"/>
        <v>0</v>
      </c>
      <c r="AI50" s="731">
        <f>TRP_Simple!$AI87</f>
        <v>0</v>
      </c>
      <c r="AJ50" s="705">
        <f t="shared" si="63"/>
        <v>0</v>
      </c>
      <c r="AK50" s="722"/>
    </row>
    <row r="51" spans="1:40" s="708" customFormat="1" x14ac:dyDescent="0.3">
      <c r="A51" s="711" t="s">
        <v>144</v>
      </c>
      <c r="B51" s="701">
        <v>21</v>
      </c>
      <c r="C51" s="708">
        <f t="shared" ref="C51:AE51" si="83">C141*C23</f>
        <v>0</v>
      </c>
      <c r="D51" s="708">
        <f t="shared" si="83"/>
        <v>0</v>
      </c>
      <c r="E51" s="708">
        <f t="shared" si="83"/>
        <v>0</v>
      </c>
      <c r="F51" s="708">
        <f t="shared" si="83"/>
        <v>0</v>
      </c>
      <c r="G51" s="708">
        <f t="shared" si="83"/>
        <v>1.8500635324015249</v>
      </c>
      <c r="H51" s="708">
        <f t="shared" si="83"/>
        <v>6.4752223634053365</v>
      </c>
      <c r="I51" s="708">
        <f t="shared" si="83"/>
        <v>9.2503176620076228</v>
      </c>
      <c r="J51" s="708">
        <f t="shared" si="83"/>
        <v>2.7750952986022872</v>
      </c>
      <c r="K51" s="708">
        <f t="shared" si="83"/>
        <v>0</v>
      </c>
      <c r="L51" s="708">
        <f t="shared" si="83"/>
        <v>351.51207115628966</v>
      </c>
      <c r="M51" s="708">
        <f t="shared" si="83"/>
        <v>0</v>
      </c>
      <c r="N51" s="708">
        <f t="shared" si="83"/>
        <v>449.59148319085637</v>
      </c>
      <c r="O51" s="708">
        <f t="shared" si="83"/>
        <v>0</v>
      </c>
      <c r="P51" s="708">
        <f t="shared" si="83"/>
        <v>0</v>
      </c>
      <c r="Q51" s="708">
        <f t="shared" si="83"/>
        <v>0</v>
      </c>
      <c r="R51" s="708">
        <f t="shared" si="83"/>
        <v>0</v>
      </c>
      <c r="S51" s="708">
        <f t="shared" si="83"/>
        <v>0</v>
      </c>
      <c r="T51" s="708">
        <f t="shared" si="83"/>
        <v>0</v>
      </c>
      <c r="U51" s="708">
        <f t="shared" si="83"/>
        <v>34.206702621698597</v>
      </c>
      <c r="V51" s="708">
        <f t="shared" si="83"/>
        <v>98.053367217280822</v>
      </c>
      <c r="W51" s="708">
        <f t="shared" si="83"/>
        <v>4.6251588310038123</v>
      </c>
      <c r="X51" s="708">
        <f t="shared" si="83"/>
        <v>0</v>
      </c>
      <c r="Y51" s="708">
        <f t="shared" si="83"/>
        <v>669.72299872935196</v>
      </c>
      <c r="Z51" s="708">
        <f t="shared" si="83"/>
        <v>43.476493011435835</v>
      </c>
      <c r="AA51" s="708">
        <f t="shared" si="83"/>
        <v>60.127064803049556</v>
      </c>
      <c r="AB51" s="708">
        <f t="shared" si="83"/>
        <v>0</v>
      </c>
      <c r="AC51" s="708">
        <f t="shared" si="83"/>
        <v>0</v>
      </c>
      <c r="AD51" s="708">
        <f t="shared" si="83"/>
        <v>0</v>
      </c>
      <c r="AE51" s="708">
        <f t="shared" si="83"/>
        <v>-23.979735949696238</v>
      </c>
      <c r="AF51" s="709">
        <f t="shared" si="60"/>
        <v>1707.686302467687</v>
      </c>
      <c r="AG51" s="732">
        <f t="shared" si="61"/>
        <v>1713.6288228667543</v>
      </c>
      <c r="AH51" s="708">
        <f t="shared" si="62"/>
        <v>5.9425203990672344</v>
      </c>
      <c r="AI51" s="731">
        <f>TRP_Simple!$AI88</f>
        <v>1713.6288228667543</v>
      </c>
      <c r="AJ51" s="705">
        <f t="shared" si="63"/>
        <v>0</v>
      </c>
      <c r="AK51" s="722"/>
    </row>
    <row r="52" spans="1:40" s="708" customFormat="1" x14ac:dyDescent="0.3">
      <c r="A52" s="711" t="s">
        <v>148</v>
      </c>
      <c r="B52" s="701">
        <v>22</v>
      </c>
      <c r="C52" s="708">
        <f t="shared" ref="C52:AE52" si="84">C142*C24</f>
        <v>1179.3</v>
      </c>
      <c r="D52" s="708">
        <f t="shared" si="84"/>
        <v>295.2</v>
      </c>
      <c r="E52" s="708">
        <f t="shared" si="84"/>
        <v>142.5</v>
      </c>
      <c r="F52" s="708">
        <f t="shared" si="84"/>
        <v>27.3</v>
      </c>
      <c r="G52" s="708">
        <f t="shared" si="84"/>
        <v>159.9</v>
      </c>
      <c r="H52" s="708">
        <f t="shared" si="84"/>
        <v>60.599999999999994</v>
      </c>
      <c r="I52" s="708">
        <f t="shared" si="84"/>
        <v>43.939011607846396</v>
      </c>
      <c r="J52" s="708">
        <f t="shared" si="84"/>
        <v>2379.9017081969196</v>
      </c>
      <c r="K52" s="708">
        <f t="shared" si="84"/>
        <v>50.4</v>
      </c>
      <c r="L52" s="708">
        <f t="shared" si="84"/>
        <v>0</v>
      </c>
      <c r="M52" s="708">
        <f t="shared" si="84"/>
        <v>0</v>
      </c>
      <c r="N52" s="708">
        <f t="shared" si="84"/>
        <v>885.9</v>
      </c>
      <c r="O52" s="708">
        <f t="shared" si="84"/>
        <v>1133.3999999999999</v>
      </c>
      <c r="P52" s="708">
        <f t="shared" si="84"/>
        <v>36.299999999999997</v>
      </c>
      <c r="Q52" s="708">
        <f t="shared" si="84"/>
        <v>422.09999999999997</v>
      </c>
      <c r="R52" s="708">
        <f t="shared" si="84"/>
        <v>2055</v>
      </c>
      <c r="S52" s="708">
        <f t="shared" si="84"/>
        <v>285.3</v>
      </c>
      <c r="T52" s="708">
        <f t="shared" si="84"/>
        <v>737.69999999999993</v>
      </c>
      <c r="U52" s="708">
        <f t="shared" si="84"/>
        <v>5760</v>
      </c>
      <c r="V52" s="708">
        <f t="shared" si="84"/>
        <v>560.1</v>
      </c>
      <c r="W52" s="708">
        <f t="shared" si="84"/>
        <v>0</v>
      </c>
      <c r="X52" s="708">
        <f t="shared" si="84"/>
        <v>28259.190460535261</v>
      </c>
      <c r="Y52" s="708">
        <f t="shared" si="84"/>
        <v>147</v>
      </c>
      <c r="Z52" s="708">
        <f t="shared" si="84"/>
        <v>5834.7188551158633</v>
      </c>
      <c r="AA52" s="708">
        <f t="shared" si="84"/>
        <v>13122.6</v>
      </c>
      <c r="AB52" s="708">
        <f t="shared" si="84"/>
        <v>0</v>
      </c>
      <c r="AC52" s="708">
        <f t="shared" si="84"/>
        <v>0</v>
      </c>
      <c r="AD52" s="708">
        <f t="shared" si="84"/>
        <v>957.09280815823968</v>
      </c>
      <c r="AE52" s="708">
        <f t="shared" si="84"/>
        <v>-106.12484162545991</v>
      </c>
      <c r="AF52" s="709">
        <f t="shared" si="60"/>
        <v>64429.318001988664</v>
      </c>
      <c r="AG52" s="732">
        <f t="shared" si="61"/>
        <v>73786.152586251075</v>
      </c>
      <c r="AH52" s="708">
        <f t="shared" si="62"/>
        <v>9356.8345842624112</v>
      </c>
      <c r="AI52" s="731">
        <f>TRP_Simple!$AI89</f>
        <v>73786.152586251075</v>
      </c>
      <c r="AJ52" s="705">
        <f t="shared" si="63"/>
        <v>0</v>
      </c>
      <c r="AK52" s="722"/>
    </row>
    <row r="53" spans="1:40" s="708" customFormat="1" x14ac:dyDescent="0.3">
      <c r="A53" s="711" t="s">
        <v>149</v>
      </c>
      <c r="B53" s="701">
        <v>23</v>
      </c>
      <c r="C53" s="708">
        <f t="shared" ref="C53:AE53" si="85">C143*C25</f>
        <v>0</v>
      </c>
      <c r="D53" s="708">
        <f t="shared" si="85"/>
        <v>0</v>
      </c>
      <c r="E53" s="708">
        <f t="shared" si="85"/>
        <v>0</v>
      </c>
      <c r="F53" s="708">
        <f t="shared" si="85"/>
        <v>0</v>
      </c>
      <c r="G53" s="708">
        <f t="shared" si="85"/>
        <v>0</v>
      </c>
      <c r="H53" s="708">
        <f t="shared" si="85"/>
        <v>0</v>
      </c>
      <c r="I53" s="708">
        <f t="shared" si="85"/>
        <v>0</v>
      </c>
      <c r="J53" s="708">
        <f t="shared" si="85"/>
        <v>0</v>
      </c>
      <c r="K53" s="708">
        <f t="shared" si="85"/>
        <v>0</v>
      </c>
      <c r="L53" s="708">
        <f t="shared" si="85"/>
        <v>0</v>
      </c>
      <c r="M53" s="708">
        <f t="shared" si="85"/>
        <v>0</v>
      </c>
      <c r="N53" s="708">
        <f t="shared" si="85"/>
        <v>0</v>
      </c>
      <c r="O53" s="708">
        <f t="shared" si="85"/>
        <v>0</v>
      </c>
      <c r="P53" s="708">
        <f t="shared" si="85"/>
        <v>0</v>
      </c>
      <c r="Q53" s="708">
        <f t="shared" si="85"/>
        <v>0</v>
      </c>
      <c r="R53" s="708">
        <f t="shared" si="85"/>
        <v>0</v>
      </c>
      <c r="S53" s="708">
        <f t="shared" si="85"/>
        <v>0</v>
      </c>
      <c r="T53" s="708">
        <f t="shared" si="85"/>
        <v>0</v>
      </c>
      <c r="U53" s="708">
        <f t="shared" si="85"/>
        <v>0</v>
      </c>
      <c r="V53" s="708">
        <f t="shared" si="85"/>
        <v>0</v>
      </c>
      <c r="W53" s="708">
        <f t="shared" si="85"/>
        <v>0</v>
      </c>
      <c r="X53" s="708">
        <f t="shared" si="85"/>
        <v>0</v>
      </c>
      <c r="Y53" s="708">
        <f t="shared" si="85"/>
        <v>0</v>
      </c>
      <c r="Z53" s="708">
        <f t="shared" si="85"/>
        <v>0</v>
      </c>
      <c r="AA53" s="708">
        <f t="shared" si="85"/>
        <v>134.07878306828508</v>
      </c>
      <c r="AB53" s="708">
        <f t="shared" si="85"/>
        <v>0</v>
      </c>
      <c r="AC53" s="708">
        <f t="shared" si="85"/>
        <v>0</v>
      </c>
      <c r="AD53" s="708">
        <f t="shared" si="85"/>
        <v>12.033311707138914</v>
      </c>
      <c r="AE53" s="708">
        <f t="shared" si="85"/>
        <v>0</v>
      </c>
      <c r="AF53" s="709">
        <f t="shared" si="60"/>
        <v>146.112094775424</v>
      </c>
      <c r="AG53" s="732">
        <f t="shared" si="61"/>
        <v>626.10926263818828</v>
      </c>
      <c r="AH53" s="708">
        <f t="shared" si="62"/>
        <v>479.99716786276429</v>
      </c>
      <c r="AI53" s="731">
        <f>TRP_Simple!$AI90</f>
        <v>626.10926263818828</v>
      </c>
      <c r="AJ53" s="705">
        <f t="shared" si="63"/>
        <v>0</v>
      </c>
      <c r="AK53" s="722"/>
    </row>
    <row r="54" spans="1:40" s="708" customFormat="1" x14ac:dyDescent="0.3">
      <c r="A54" s="711" t="s">
        <v>150</v>
      </c>
      <c r="B54" s="701">
        <v>24</v>
      </c>
      <c r="C54" s="708">
        <f t="shared" ref="C54:AE54" si="86">C144*C26</f>
        <v>0</v>
      </c>
      <c r="D54" s="708">
        <f t="shared" si="86"/>
        <v>0</v>
      </c>
      <c r="E54" s="708">
        <f t="shared" si="86"/>
        <v>0</v>
      </c>
      <c r="F54" s="708">
        <f t="shared" si="86"/>
        <v>0</v>
      </c>
      <c r="G54" s="708">
        <f t="shared" si="86"/>
        <v>0</v>
      </c>
      <c r="H54" s="708">
        <f t="shared" si="86"/>
        <v>0</v>
      </c>
      <c r="I54" s="708">
        <f t="shared" si="86"/>
        <v>39.064329266803696</v>
      </c>
      <c r="J54" s="708">
        <f t="shared" si="86"/>
        <v>61.878907192723162</v>
      </c>
      <c r="K54" s="708">
        <f t="shared" si="86"/>
        <v>0</v>
      </c>
      <c r="L54" s="708">
        <f t="shared" si="86"/>
        <v>0</v>
      </c>
      <c r="M54" s="708">
        <f t="shared" si="86"/>
        <v>0</v>
      </c>
      <c r="N54" s="708">
        <f t="shared" si="86"/>
        <v>0</v>
      </c>
      <c r="O54" s="708">
        <f t="shared" si="86"/>
        <v>0</v>
      </c>
      <c r="P54" s="708">
        <f t="shared" si="86"/>
        <v>0</v>
      </c>
      <c r="Q54" s="708">
        <f t="shared" si="86"/>
        <v>0</v>
      </c>
      <c r="R54" s="708">
        <f t="shared" si="86"/>
        <v>0</v>
      </c>
      <c r="S54" s="708">
        <f t="shared" si="86"/>
        <v>0</v>
      </c>
      <c r="T54" s="708">
        <f t="shared" si="86"/>
        <v>0</v>
      </c>
      <c r="U54" s="708">
        <f t="shared" si="86"/>
        <v>0</v>
      </c>
      <c r="V54" s="708">
        <f t="shared" si="86"/>
        <v>0</v>
      </c>
      <c r="W54" s="708">
        <f t="shared" si="86"/>
        <v>0</v>
      </c>
      <c r="X54" s="708">
        <f t="shared" si="86"/>
        <v>7323.0878352413984</v>
      </c>
      <c r="Y54" s="708">
        <f t="shared" si="86"/>
        <v>0</v>
      </c>
      <c r="Z54" s="708">
        <f t="shared" si="86"/>
        <v>5643.4412851605402</v>
      </c>
      <c r="AA54" s="708">
        <f t="shared" si="86"/>
        <v>0</v>
      </c>
      <c r="AB54" s="708">
        <f t="shared" si="86"/>
        <v>0</v>
      </c>
      <c r="AC54" s="708">
        <f t="shared" si="86"/>
        <v>0</v>
      </c>
      <c r="AD54" s="708">
        <f t="shared" si="86"/>
        <v>0</v>
      </c>
      <c r="AE54" s="708">
        <f t="shared" si="86"/>
        <v>-0.74911388392864986</v>
      </c>
      <c r="AF54" s="709">
        <f t="shared" si="60"/>
        <v>13066.723242977536</v>
      </c>
      <c r="AG54" s="732">
        <f t="shared" si="61"/>
        <v>12427.362790265124</v>
      </c>
      <c r="AH54" s="708">
        <f t="shared" si="62"/>
        <v>-639.36045271241164</v>
      </c>
      <c r="AI54" s="731">
        <f>TRP_Simple!$AI91</f>
        <v>12427.362790265124</v>
      </c>
      <c r="AJ54" s="705">
        <f t="shared" si="63"/>
        <v>0</v>
      </c>
      <c r="AK54" s="722"/>
    </row>
    <row r="55" spans="1:40" s="729" customFormat="1" x14ac:dyDescent="0.3">
      <c r="A55" s="703" t="s">
        <v>65</v>
      </c>
      <c r="B55" s="707"/>
      <c r="C55" s="706">
        <f t="shared" ref="C55:AI55" si="87">SUM(C31:C54)</f>
        <v>8317.1747128027782</v>
      </c>
      <c r="D55" s="706">
        <f t="shared" si="87"/>
        <v>11512.543955907217</v>
      </c>
      <c r="E55" s="706">
        <f t="shared" si="87"/>
        <v>25414.366952196186</v>
      </c>
      <c r="F55" s="706">
        <f t="shared" si="87"/>
        <v>891.48531086276353</v>
      </c>
      <c r="G55" s="706">
        <f t="shared" si="87"/>
        <v>2314.9661730808753</v>
      </c>
      <c r="H55" s="706">
        <f t="shared" si="87"/>
        <v>4465.414126623401</v>
      </c>
      <c r="I55" s="706">
        <f t="shared" si="87"/>
        <v>1454.5711477982077</v>
      </c>
      <c r="J55" s="706">
        <f t="shared" si="87"/>
        <v>7387.2431033937282</v>
      </c>
      <c r="K55" s="706">
        <f t="shared" si="87"/>
        <v>7940.4701482841283</v>
      </c>
      <c r="L55" s="706">
        <f t="shared" si="87"/>
        <v>6877.289245810709</v>
      </c>
      <c r="M55" s="706">
        <f t="shared" si="87"/>
        <v>4804.3012143720243</v>
      </c>
      <c r="N55" s="706">
        <f t="shared" si="87"/>
        <v>92021.939982229262</v>
      </c>
      <c r="O55" s="706">
        <f t="shared" si="87"/>
        <v>19055.572477265527</v>
      </c>
      <c r="P55" s="706">
        <f t="shared" si="87"/>
        <v>221.82576546856245</v>
      </c>
      <c r="Q55" s="706">
        <f t="shared" si="87"/>
        <v>676.00143014019704</v>
      </c>
      <c r="R55" s="706">
        <f t="shared" si="87"/>
        <v>3983.0885370418396</v>
      </c>
      <c r="S55" s="706">
        <f t="shared" si="87"/>
        <v>1044.6363319278896</v>
      </c>
      <c r="T55" s="706">
        <f t="shared" si="87"/>
        <v>2694.9040521990187</v>
      </c>
      <c r="U55" s="706">
        <f t="shared" si="87"/>
        <v>64174.629185577956</v>
      </c>
      <c r="V55" s="706">
        <f t="shared" si="87"/>
        <v>11656.190205075294</v>
      </c>
      <c r="W55" s="706">
        <f t="shared" si="87"/>
        <v>5.2269358937619712</v>
      </c>
      <c r="X55" s="706">
        <f t="shared" si="87"/>
        <v>37339.085846619761</v>
      </c>
      <c r="Y55" s="706">
        <f t="shared" si="87"/>
        <v>2254.929411588716</v>
      </c>
      <c r="Z55" s="706">
        <f t="shared" si="87"/>
        <v>11645.835673934333</v>
      </c>
      <c r="AA55" s="706">
        <f t="shared" si="87"/>
        <v>186608.59045415008</v>
      </c>
      <c r="AB55" s="706">
        <f t="shared" si="87"/>
        <v>11420.465438936957</v>
      </c>
      <c r="AC55" s="706">
        <f t="shared" si="87"/>
        <v>51604.809632939629</v>
      </c>
      <c r="AD55" s="706">
        <f t="shared" si="87"/>
        <v>25142.256091772255</v>
      </c>
      <c r="AE55" s="706">
        <f t="shared" si="87"/>
        <v>1191.6453432051371</v>
      </c>
      <c r="AF55" s="706">
        <f t="shared" si="87"/>
        <v>604121.45888709824</v>
      </c>
      <c r="AG55" s="706">
        <f t="shared" si="87"/>
        <v>625656.92695162457</v>
      </c>
      <c r="AH55" s="706">
        <f t="shared" si="87"/>
        <v>21535.468064526482</v>
      </c>
      <c r="AI55" s="706">
        <f t="shared" si="87"/>
        <v>625656.92695162457</v>
      </c>
      <c r="AJ55" s="730"/>
    </row>
    <row r="57" spans="1:40" x14ac:dyDescent="0.3">
      <c r="AC57" s="728"/>
      <c r="AN57" s="699" t="s">
        <v>911</v>
      </c>
    </row>
    <row r="58" spans="1:40" x14ac:dyDescent="0.3">
      <c r="A58" s="716" t="s">
        <v>853</v>
      </c>
      <c r="C58" s="714"/>
      <c r="D58" s="714"/>
      <c r="E58" s="714"/>
      <c r="F58" s="714"/>
      <c r="G58" s="714"/>
      <c r="H58" s="714"/>
      <c r="I58" s="714"/>
      <c r="J58" s="714"/>
      <c r="K58" s="714"/>
      <c r="L58" s="714"/>
      <c r="M58" s="714"/>
      <c r="N58" s="714"/>
      <c r="O58" s="714"/>
      <c r="P58" s="714"/>
      <c r="Q58" s="714"/>
      <c r="R58" s="714"/>
      <c r="S58" s="714"/>
      <c r="T58" s="714"/>
      <c r="U58" s="714"/>
      <c r="V58" s="714"/>
      <c r="W58" s="714"/>
      <c r="X58" s="714"/>
      <c r="Y58" s="714"/>
      <c r="Z58" s="714"/>
      <c r="AA58" s="714"/>
      <c r="AB58" s="714"/>
      <c r="AC58" s="714"/>
      <c r="AD58" s="714"/>
      <c r="AE58" s="714"/>
      <c r="AF58" s="713"/>
      <c r="AG58" s="714"/>
      <c r="AH58" s="727"/>
      <c r="AJ58" s="699" t="s">
        <v>849</v>
      </c>
      <c r="AK58" s="699" t="s">
        <v>849</v>
      </c>
      <c r="AL58" s="699" t="s">
        <v>849</v>
      </c>
      <c r="AN58" s="699" t="s">
        <v>849</v>
      </c>
    </row>
    <row r="59" spans="1:40" x14ac:dyDescent="0.3">
      <c r="A59" s="702" t="s">
        <v>852</v>
      </c>
      <c r="B59" s="701" t="s">
        <v>842</v>
      </c>
      <c r="C59" s="726">
        <v>1</v>
      </c>
      <c r="D59" s="726">
        <v>2</v>
      </c>
      <c r="E59" s="726">
        <v>3</v>
      </c>
      <c r="F59" s="726">
        <v>4</v>
      </c>
      <c r="G59" s="726">
        <v>5</v>
      </c>
      <c r="H59" s="726">
        <v>6</v>
      </c>
      <c r="I59" s="726">
        <v>7</v>
      </c>
      <c r="J59" s="726">
        <v>8</v>
      </c>
      <c r="K59" s="726">
        <v>9</v>
      </c>
      <c r="L59" s="726">
        <v>10</v>
      </c>
      <c r="M59" s="726">
        <v>11</v>
      </c>
      <c r="N59" s="726">
        <v>12</v>
      </c>
      <c r="O59" s="726">
        <v>13</v>
      </c>
      <c r="P59" s="726">
        <v>14</v>
      </c>
      <c r="Q59" s="726">
        <v>15</v>
      </c>
      <c r="R59" s="726">
        <v>16</v>
      </c>
      <c r="S59" s="726">
        <v>17</v>
      </c>
      <c r="T59" s="726">
        <v>18</v>
      </c>
      <c r="U59" s="726">
        <v>19</v>
      </c>
      <c r="V59" s="726">
        <v>20</v>
      </c>
      <c r="W59" s="726">
        <v>21</v>
      </c>
      <c r="X59" s="726">
        <v>22</v>
      </c>
      <c r="Y59" s="726">
        <v>23</v>
      </c>
      <c r="Z59" s="726">
        <v>24</v>
      </c>
      <c r="AA59" s="726" t="s">
        <v>851</v>
      </c>
      <c r="AB59" s="726" t="s">
        <v>850</v>
      </c>
      <c r="AC59" s="726" t="s">
        <v>849</v>
      </c>
      <c r="AD59" s="726" t="s">
        <v>848</v>
      </c>
      <c r="AE59" s="726" t="s">
        <v>847</v>
      </c>
      <c r="AF59" s="703" t="s">
        <v>330</v>
      </c>
      <c r="AG59" s="714" t="s">
        <v>846</v>
      </c>
      <c r="AH59" s="714" t="s">
        <v>845</v>
      </c>
      <c r="AJ59" s="699" t="s">
        <v>578</v>
      </c>
      <c r="AK59" s="699" t="s">
        <v>579</v>
      </c>
      <c r="AL59" s="699" t="s">
        <v>25</v>
      </c>
      <c r="AM59" s="728" t="s">
        <v>580</v>
      </c>
      <c r="AN59" s="699" t="s">
        <v>910</v>
      </c>
    </row>
    <row r="60" spans="1:40" s="711" customFormat="1" x14ac:dyDescent="0.3">
      <c r="A60" s="711" t="s">
        <v>313</v>
      </c>
      <c r="B60" s="701">
        <v>1</v>
      </c>
      <c r="C60" s="710">
        <f t="shared" ref="C60:AE60" si="88">C31+($AH31*(C31/$AF31))</f>
        <v>656.77669035974577</v>
      </c>
      <c r="D60" s="710">
        <f t="shared" si="88"/>
        <v>1614.3392864146338</v>
      </c>
      <c r="E60" s="710">
        <f t="shared" si="88"/>
        <v>0</v>
      </c>
      <c r="F60" s="710">
        <f t="shared" si="88"/>
        <v>0</v>
      </c>
      <c r="G60" s="710">
        <f t="shared" si="88"/>
        <v>0</v>
      </c>
      <c r="H60" s="710">
        <f t="shared" si="88"/>
        <v>11.339447472544784</v>
      </c>
      <c r="I60" s="710">
        <f t="shared" si="88"/>
        <v>0</v>
      </c>
      <c r="J60" s="710">
        <f t="shared" si="88"/>
        <v>13.321640710325799</v>
      </c>
      <c r="K60" s="710">
        <f t="shared" si="88"/>
        <v>0</v>
      </c>
      <c r="L60" s="710">
        <f t="shared" si="88"/>
        <v>0</v>
      </c>
      <c r="M60" s="710">
        <f t="shared" si="88"/>
        <v>0</v>
      </c>
      <c r="N60" s="710">
        <f t="shared" si="88"/>
        <v>142.3864903998666</v>
      </c>
      <c r="O60" s="710">
        <f t="shared" si="88"/>
        <v>84.864364384367462</v>
      </c>
      <c r="P60" s="710">
        <f t="shared" si="88"/>
        <v>0</v>
      </c>
      <c r="Q60" s="710">
        <f t="shared" si="88"/>
        <v>0</v>
      </c>
      <c r="R60" s="710">
        <f t="shared" si="88"/>
        <v>0</v>
      </c>
      <c r="S60" s="710">
        <f t="shared" si="88"/>
        <v>6.2096226090532944</v>
      </c>
      <c r="T60" s="710">
        <f t="shared" si="88"/>
        <v>0</v>
      </c>
      <c r="U60" s="710">
        <f t="shared" si="88"/>
        <v>261.10162971358227</v>
      </c>
      <c r="V60" s="710">
        <f t="shared" si="88"/>
        <v>21.433527075042491</v>
      </c>
      <c r="W60" s="710">
        <f t="shared" si="88"/>
        <v>0</v>
      </c>
      <c r="X60" s="710">
        <f t="shared" si="88"/>
        <v>0</v>
      </c>
      <c r="Y60" s="710">
        <f t="shared" si="88"/>
        <v>11.399318068466965</v>
      </c>
      <c r="Z60" s="710">
        <f t="shared" si="88"/>
        <v>0</v>
      </c>
      <c r="AA60" s="710">
        <f t="shared" si="88"/>
        <v>8106.6422395067148</v>
      </c>
      <c r="AB60" s="710">
        <f t="shared" si="88"/>
        <v>0</v>
      </c>
      <c r="AC60" s="805">
        <f t="shared" si="88"/>
        <v>469.70987589993683</v>
      </c>
      <c r="AD60" s="710">
        <f t="shared" si="88"/>
        <v>0</v>
      </c>
      <c r="AE60" s="710">
        <f t="shared" si="88"/>
        <v>249.31536282822768</v>
      </c>
      <c r="AF60" s="709">
        <f t="shared" ref="AF60:AF83" si="89">SUM(C60:AE60)</f>
        <v>11648.839495442508</v>
      </c>
      <c r="AG60" s="725">
        <f t="shared" ref="AG60:AG83" si="90">AG31</f>
        <v>11648.839495442509</v>
      </c>
      <c r="AH60" s="724">
        <f t="shared" ref="AH60:AH84" si="91">AG60-AF60</f>
        <v>0</v>
      </c>
      <c r="AI60" s="704" t="str">
        <f t="shared" ref="AI60:AI84" si="92">IF(AH60=0,"GOOD!","OUPS")</f>
        <v>GOOD!</v>
      </c>
      <c r="AJ60" s="756">
        <f t="shared" ref="AJ60:AL83" si="93">IF($AC60=0,0,$AC60*AJ121/SUM($AJ121:$AL121))</f>
        <v>428.93425410243225</v>
      </c>
      <c r="AK60" s="756">
        <f t="shared" si="93"/>
        <v>0</v>
      </c>
      <c r="AL60" s="756">
        <f t="shared" si="93"/>
        <v>40.775621797504606</v>
      </c>
      <c r="AM60" s="754">
        <f>SUM(AJ60:AL60)-AC60</f>
        <v>0</v>
      </c>
      <c r="AN60" s="756">
        <f>AJ60+AL60</f>
        <v>469.70987589993683</v>
      </c>
    </row>
    <row r="61" spans="1:40" s="708" customFormat="1" x14ac:dyDescent="0.3">
      <c r="A61" s="711" t="s">
        <v>314</v>
      </c>
      <c r="B61" s="701">
        <v>2</v>
      </c>
      <c r="C61" s="710">
        <f t="shared" ref="C61:AE61" si="94">C32+($AH32*(C32/$AF32))</f>
        <v>537.42292582690402</v>
      </c>
      <c r="D61" s="710">
        <f t="shared" si="94"/>
        <v>4888.163188002577</v>
      </c>
      <c r="E61" s="710">
        <f t="shared" si="94"/>
        <v>14.620541936117698</v>
      </c>
      <c r="F61" s="710">
        <f t="shared" si="94"/>
        <v>1.2808228921687983</v>
      </c>
      <c r="G61" s="710">
        <f t="shared" si="94"/>
        <v>1.6045779240532767</v>
      </c>
      <c r="H61" s="710">
        <f t="shared" si="94"/>
        <v>21.438609732836209</v>
      </c>
      <c r="I61" s="710">
        <f t="shared" si="94"/>
        <v>3.1308360619709501</v>
      </c>
      <c r="J61" s="710">
        <f t="shared" si="94"/>
        <v>123.09901234173454</v>
      </c>
      <c r="K61" s="710">
        <f t="shared" si="94"/>
        <v>13.293755319892959</v>
      </c>
      <c r="L61" s="710">
        <f t="shared" si="94"/>
        <v>9.8302691638404305</v>
      </c>
      <c r="M61" s="710">
        <f t="shared" si="94"/>
        <v>4.9974567936622067</v>
      </c>
      <c r="N61" s="710">
        <f t="shared" si="94"/>
        <v>509.02416220749319</v>
      </c>
      <c r="O61" s="710">
        <f t="shared" si="94"/>
        <v>25.872988822734651</v>
      </c>
      <c r="P61" s="710">
        <f t="shared" si="94"/>
        <v>1.2326855936402292</v>
      </c>
      <c r="Q61" s="710">
        <f t="shared" si="94"/>
        <v>3.0399750926053466</v>
      </c>
      <c r="R61" s="710">
        <f t="shared" si="94"/>
        <v>8.8731384327787772</v>
      </c>
      <c r="S61" s="710">
        <f t="shared" si="94"/>
        <v>7.7973355440558034</v>
      </c>
      <c r="T61" s="710">
        <f t="shared" si="94"/>
        <v>40.542393317101521</v>
      </c>
      <c r="U61" s="710">
        <f t="shared" si="94"/>
        <v>5282.1135049666036</v>
      </c>
      <c r="V61" s="710">
        <f t="shared" si="94"/>
        <v>601.6148436057149</v>
      </c>
      <c r="W61" s="710">
        <f t="shared" si="94"/>
        <v>0</v>
      </c>
      <c r="X61" s="710">
        <f t="shared" si="94"/>
        <v>11.039758421982665</v>
      </c>
      <c r="Y61" s="710">
        <f t="shared" si="94"/>
        <v>6.8205386420423668</v>
      </c>
      <c r="Z61" s="710">
        <f t="shared" si="94"/>
        <v>1.2016257452646377</v>
      </c>
      <c r="AA61" s="710">
        <f t="shared" si="94"/>
        <v>28493.180089515423</v>
      </c>
      <c r="AB61" s="710">
        <f t="shared" si="94"/>
        <v>0</v>
      </c>
      <c r="AC61" s="805">
        <f t="shared" si="94"/>
        <v>0</v>
      </c>
      <c r="AD61" s="710">
        <f t="shared" si="94"/>
        <v>0</v>
      </c>
      <c r="AE61" s="710">
        <f t="shared" si="94"/>
        <v>-42.675811679259326</v>
      </c>
      <c r="AF61" s="709">
        <f t="shared" si="89"/>
        <v>40568.559224223936</v>
      </c>
      <c r="AG61" s="725">
        <f t="shared" si="90"/>
        <v>40568.559224223936</v>
      </c>
      <c r="AH61" s="724">
        <f t="shared" si="91"/>
        <v>0</v>
      </c>
      <c r="AI61" s="704" t="str">
        <f t="shared" si="92"/>
        <v>GOOD!</v>
      </c>
      <c r="AJ61" s="756">
        <f t="shared" si="93"/>
        <v>0</v>
      </c>
      <c r="AK61" s="756">
        <f t="shared" si="93"/>
        <v>0</v>
      </c>
      <c r="AL61" s="756">
        <f t="shared" si="93"/>
        <v>0</v>
      </c>
      <c r="AM61" s="754">
        <f t="shared" ref="AM61:AM84" si="95">SUM(AJ61:AL61)-AC61</f>
        <v>0</v>
      </c>
      <c r="AN61" s="756">
        <f t="shared" ref="AN61:AN84" si="96">AJ61+AL61</f>
        <v>0</v>
      </c>
    </row>
    <row r="62" spans="1:40" s="708" customFormat="1" x14ac:dyDescent="0.3">
      <c r="A62" s="711" t="s">
        <v>307</v>
      </c>
      <c r="B62" s="701">
        <v>3</v>
      </c>
      <c r="C62" s="710">
        <f t="shared" ref="C62:AE62" si="97">C33+($AH33*(C33/$AF33))</f>
        <v>81.942808754164929</v>
      </c>
      <c r="D62" s="710">
        <f t="shared" si="97"/>
        <v>106.10871049982511</v>
      </c>
      <c r="E62" s="710">
        <f t="shared" si="97"/>
        <v>11974.404988738032</v>
      </c>
      <c r="F62" s="710">
        <f t="shared" si="97"/>
        <v>5.8604199426399077</v>
      </c>
      <c r="G62" s="710">
        <f t="shared" si="97"/>
        <v>32.610913158980075</v>
      </c>
      <c r="H62" s="710">
        <f t="shared" si="97"/>
        <v>9.0793938239362184</v>
      </c>
      <c r="I62" s="710">
        <f t="shared" si="97"/>
        <v>2.7956300611720666</v>
      </c>
      <c r="J62" s="710">
        <f t="shared" si="97"/>
        <v>8.6245442042089504</v>
      </c>
      <c r="K62" s="710">
        <f t="shared" si="97"/>
        <v>4.72405489672974</v>
      </c>
      <c r="L62" s="710">
        <f t="shared" si="97"/>
        <v>9.4029191647537651</v>
      </c>
      <c r="M62" s="710">
        <f t="shared" si="97"/>
        <v>7.4101536401999519</v>
      </c>
      <c r="N62" s="710">
        <f t="shared" si="97"/>
        <v>594.61817579672652</v>
      </c>
      <c r="O62" s="710">
        <f t="shared" si="97"/>
        <v>40.156248684423815</v>
      </c>
      <c r="P62" s="710">
        <f t="shared" si="97"/>
        <v>2.3009386574872819</v>
      </c>
      <c r="Q62" s="710">
        <f t="shared" si="97"/>
        <v>23.255936046388758</v>
      </c>
      <c r="R62" s="710">
        <f t="shared" si="97"/>
        <v>229.38814394320377</v>
      </c>
      <c r="S62" s="710">
        <f t="shared" si="97"/>
        <v>25.298431270713319</v>
      </c>
      <c r="T62" s="710">
        <f t="shared" si="97"/>
        <v>34.538872505337238</v>
      </c>
      <c r="U62" s="710">
        <f t="shared" si="97"/>
        <v>3452.6638955559038</v>
      </c>
      <c r="V62" s="710">
        <f t="shared" si="97"/>
        <v>109.33909580999259</v>
      </c>
      <c r="W62" s="710">
        <f t="shared" si="97"/>
        <v>0</v>
      </c>
      <c r="X62" s="710">
        <f t="shared" si="97"/>
        <v>27.990339199743548</v>
      </c>
      <c r="Y62" s="710">
        <f t="shared" si="97"/>
        <v>30.29375035339293</v>
      </c>
      <c r="Z62" s="710">
        <f t="shared" si="97"/>
        <v>1.7281985234285338</v>
      </c>
      <c r="AA62" s="710">
        <f t="shared" si="97"/>
        <v>29291.335569309776</v>
      </c>
      <c r="AB62" s="710">
        <f t="shared" si="97"/>
        <v>0</v>
      </c>
      <c r="AC62" s="805">
        <f t="shared" si="97"/>
        <v>12150.276918232752</v>
      </c>
      <c r="AD62" s="710">
        <f t="shared" si="97"/>
        <v>0</v>
      </c>
      <c r="AE62" s="710">
        <f t="shared" si="97"/>
        <v>-70.304094691991125</v>
      </c>
      <c r="AF62" s="709">
        <f t="shared" si="89"/>
        <v>58185.844956081921</v>
      </c>
      <c r="AG62" s="725">
        <f t="shared" si="90"/>
        <v>58185.844956081921</v>
      </c>
      <c r="AH62" s="724">
        <f t="shared" si="91"/>
        <v>0</v>
      </c>
      <c r="AI62" s="704" t="str">
        <f t="shared" si="92"/>
        <v>GOOD!</v>
      </c>
      <c r="AJ62" s="756">
        <f t="shared" si="93"/>
        <v>10905.292434300251</v>
      </c>
      <c r="AK62" s="756">
        <f t="shared" si="93"/>
        <v>0</v>
      </c>
      <c r="AL62" s="756">
        <f t="shared" si="93"/>
        <v>1244.9844839325017</v>
      </c>
      <c r="AM62" s="754">
        <f t="shared" si="95"/>
        <v>0</v>
      </c>
      <c r="AN62" s="756">
        <f t="shared" si="96"/>
        <v>12150.276918232752</v>
      </c>
    </row>
    <row r="63" spans="1:40" s="708" customFormat="1" x14ac:dyDescent="0.3">
      <c r="A63" s="711" t="s">
        <v>122</v>
      </c>
      <c r="B63" s="701">
        <v>4</v>
      </c>
      <c r="C63" s="710">
        <f t="shared" ref="C63:AE63" si="98">C34+($AH34*(C34/$AF34))</f>
        <v>114.64882670467222</v>
      </c>
      <c r="D63" s="710">
        <f t="shared" si="98"/>
        <v>298.51288934560165</v>
      </c>
      <c r="E63" s="710">
        <f t="shared" si="98"/>
        <v>264.97012116110773</v>
      </c>
      <c r="F63" s="710">
        <f t="shared" si="98"/>
        <v>120.68297547860233</v>
      </c>
      <c r="G63" s="710">
        <f t="shared" si="98"/>
        <v>25.911344735111673</v>
      </c>
      <c r="H63" s="710">
        <f t="shared" si="98"/>
        <v>15.972746754520898</v>
      </c>
      <c r="I63" s="710">
        <f t="shared" si="98"/>
        <v>2.1296995672694532</v>
      </c>
      <c r="J63" s="710">
        <f t="shared" si="98"/>
        <v>12.068297547860231</v>
      </c>
      <c r="K63" s="710">
        <f t="shared" si="98"/>
        <v>33.720243148432999</v>
      </c>
      <c r="L63" s="710">
        <f t="shared" si="98"/>
        <v>2.484649495147695</v>
      </c>
      <c r="M63" s="710">
        <f t="shared" si="98"/>
        <v>0.70989985575648418</v>
      </c>
      <c r="N63" s="710">
        <f t="shared" si="98"/>
        <v>586.62699187287194</v>
      </c>
      <c r="O63" s="710">
        <f t="shared" si="98"/>
        <v>217.58430578936247</v>
      </c>
      <c r="P63" s="710">
        <f t="shared" si="98"/>
        <v>1.084068373040203</v>
      </c>
      <c r="Q63" s="710">
        <f t="shared" si="98"/>
        <v>0</v>
      </c>
      <c r="R63" s="710">
        <f t="shared" si="98"/>
        <v>8.7206429124643172</v>
      </c>
      <c r="S63" s="710">
        <f t="shared" si="98"/>
        <v>3.5049807423292676</v>
      </c>
      <c r="T63" s="710">
        <f t="shared" si="98"/>
        <v>1.5982049430523821</v>
      </c>
      <c r="U63" s="710">
        <f t="shared" si="98"/>
        <v>171.98747479895843</v>
      </c>
      <c r="V63" s="710">
        <f t="shared" si="98"/>
        <v>196.92297888438407</v>
      </c>
      <c r="W63" s="710">
        <f t="shared" si="98"/>
        <v>0</v>
      </c>
      <c r="X63" s="710">
        <f t="shared" si="98"/>
        <v>0</v>
      </c>
      <c r="Y63" s="710">
        <f t="shared" si="98"/>
        <v>0</v>
      </c>
      <c r="Z63" s="710">
        <f t="shared" si="98"/>
        <v>0</v>
      </c>
      <c r="AA63" s="710">
        <f t="shared" si="98"/>
        <v>452.18398385241892</v>
      </c>
      <c r="AB63" s="710">
        <f t="shared" si="98"/>
        <v>0</v>
      </c>
      <c r="AC63" s="805">
        <f t="shared" si="98"/>
        <v>0</v>
      </c>
      <c r="AD63" s="710">
        <f t="shared" si="98"/>
        <v>196.9877353467557</v>
      </c>
      <c r="AE63" s="710">
        <f t="shared" si="98"/>
        <v>0</v>
      </c>
      <c r="AF63" s="709">
        <f t="shared" si="89"/>
        <v>2729.0130613097217</v>
      </c>
      <c r="AG63" s="725">
        <f t="shared" si="90"/>
        <v>2729.0130613097213</v>
      </c>
      <c r="AH63" s="724">
        <f t="shared" si="91"/>
        <v>0</v>
      </c>
      <c r="AI63" s="704" t="str">
        <f t="shared" si="92"/>
        <v>GOOD!</v>
      </c>
      <c r="AJ63" s="756">
        <f t="shared" si="93"/>
        <v>0</v>
      </c>
      <c r="AK63" s="756">
        <f t="shared" si="93"/>
        <v>0</v>
      </c>
      <c r="AL63" s="756">
        <f t="shared" si="93"/>
        <v>0</v>
      </c>
      <c r="AM63" s="754">
        <f t="shared" si="95"/>
        <v>0</v>
      </c>
      <c r="AN63" s="756">
        <f t="shared" si="96"/>
        <v>0</v>
      </c>
    </row>
    <row r="64" spans="1:40" s="708" customFormat="1" x14ac:dyDescent="0.3">
      <c r="A64" s="711" t="s">
        <v>123</v>
      </c>
      <c r="B64" s="701">
        <v>5</v>
      </c>
      <c r="C64" s="710">
        <f t="shared" ref="C64:AE64" si="99">C35+($AH35*(C35/$AF35))</f>
        <v>9.3313857774970437</v>
      </c>
      <c r="D64" s="710">
        <f t="shared" si="99"/>
        <v>7.8016504041368746</v>
      </c>
      <c r="E64" s="710">
        <f t="shared" si="99"/>
        <v>77.282231062155873</v>
      </c>
      <c r="F64" s="710">
        <f t="shared" si="99"/>
        <v>74.498112682640368</v>
      </c>
      <c r="G64" s="710">
        <f t="shared" si="99"/>
        <v>589.40703935567365</v>
      </c>
      <c r="H64" s="710">
        <f t="shared" si="99"/>
        <v>13.308697748233497</v>
      </c>
      <c r="I64" s="710">
        <f t="shared" si="99"/>
        <v>6.2719150307767011</v>
      </c>
      <c r="J64" s="710">
        <f t="shared" si="99"/>
        <v>12.084909449545361</v>
      </c>
      <c r="K64" s="710">
        <f t="shared" si="99"/>
        <v>13.461671285569514</v>
      </c>
      <c r="L64" s="710">
        <f t="shared" si="99"/>
        <v>16.368168494953828</v>
      </c>
      <c r="M64" s="710">
        <f t="shared" si="99"/>
        <v>3.9773119707364435</v>
      </c>
      <c r="N64" s="710">
        <f t="shared" si="99"/>
        <v>317.59111549825616</v>
      </c>
      <c r="O64" s="710">
        <f t="shared" si="99"/>
        <v>2681.3201624257099</v>
      </c>
      <c r="P64" s="710">
        <f t="shared" si="99"/>
        <v>0.37234669234000961</v>
      </c>
      <c r="Q64" s="710">
        <f t="shared" si="99"/>
        <v>6.5778621054487409</v>
      </c>
      <c r="R64" s="710">
        <f t="shared" si="99"/>
        <v>25.195466843883434</v>
      </c>
      <c r="S64" s="710">
        <f t="shared" si="99"/>
        <v>0.73897057941081179</v>
      </c>
      <c r="T64" s="710">
        <f t="shared" si="99"/>
        <v>0</v>
      </c>
      <c r="U64" s="710">
        <f t="shared" si="99"/>
        <v>366.92326166901813</v>
      </c>
      <c r="V64" s="710">
        <f t="shared" si="99"/>
        <v>66.696462278503475</v>
      </c>
      <c r="W64" s="710">
        <f t="shared" si="99"/>
        <v>0</v>
      </c>
      <c r="X64" s="710">
        <f t="shared" si="99"/>
        <v>3.8243384334004271</v>
      </c>
      <c r="Y64" s="710">
        <f t="shared" si="99"/>
        <v>3.9773119707364453</v>
      </c>
      <c r="Z64" s="710">
        <f t="shared" si="99"/>
        <v>0</v>
      </c>
      <c r="AA64" s="710">
        <f t="shared" si="99"/>
        <v>626.66693348203773</v>
      </c>
      <c r="AB64" s="710">
        <f t="shared" si="99"/>
        <v>0</v>
      </c>
      <c r="AC64" s="805">
        <f t="shared" si="99"/>
        <v>0.77639794259181449</v>
      </c>
      <c r="AD64" s="710">
        <f t="shared" si="99"/>
        <v>102.63686747845234</v>
      </c>
      <c r="AE64" s="710">
        <f t="shared" si="99"/>
        <v>30.099775551046346</v>
      </c>
      <c r="AF64" s="709">
        <f t="shared" si="89"/>
        <v>5057.1903662127543</v>
      </c>
      <c r="AG64" s="725">
        <f t="shared" si="90"/>
        <v>5057.1903662127552</v>
      </c>
      <c r="AH64" s="724">
        <f t="shared" si="91"/>
        <v>0</v>
      </c>
      <c r="AI64" s="704" t="str">
        <f t="shared" si="92"/>
        <v>GOOD!</v>
      </c>
      <c r="AJ64" s="756">
        <f t="shared" si="93"/>
        <v>0.77639794259181449</v>
      </c>
      <c r="AK64" s="756">
        <f t="shared" si="93"/>
        <v>0</v>
      </c>
      <c r="AL64" s="756">
        <f t="shared" si="93"/>
        <v>0</v>
      </c>
      <c r="AM64" s="754">
        <f t="shared" si="95"/>
        <v>0</v>
      </c>
      <c r="AN64" s="756">
        <f t="shared" si="96"/>
        <v>0.77639794259181449</v>
      </c>
    </row>
    <row r="65" spans="1:40" s="708" customFormat="1" x14ac:dyDescent="0.3">
      <c r="A65" s="711" t="s">
        <v>308</v>
      </c>
      <c r="B65" s="701">
        <v>6</v>
      </c>
      <c r="C65" s="710">
        <f t="shared" ref="C65:AE65" si="100">C36+($AH36*(C36/$AF36))</f>
        <v>27.127970999236364</v>
      </c>
      <c r="D65" s="710">
        <f t="shared" si="100"/>
        <v>634.43045649030353</v>
      </c>
      <c r="E65" s="710">
        <f t="shared" si="100"/>
        <v>48.757636870725825</v>
      </c>
      <c r="F65" s="710">
        <f t="shared" si="100"/>
        <v>76.818580476590896</v>
      </c>
      <c r="G65" s="710">
        <f t="shared" si="100"/>
        <v>45.650117924737962</v>
      </c>
      <c r="H65" s="710">
        <f t="shared" si="100"/>
        <v>2902.0225060431021</v>
      </c>
      <c r="I65" s="710">
        <f t="shared" si="100"/>
        <v>11.31442463579312</v>
      </c>
      <c r="J65" s="710">
        <f t="shared" si="100"/>
        <v>81.967401046469533</v>
      </c>
      <c r="K65" s="710">
        <f t="shared" si="100"/>
        <v>124.92519872929454</v>
      </c>
      <c r="L65" s="710">
        <f t="shared" si="100"/>
        <v>0</v>
      </c>
      <c r="M65" s="710">
        <f t="shared" si="100"/>
        <v>14.131460968786635</v>
      </c>
      <c r="N65" s="710">
        <f t="shared" si="100"/>
        <v>2812.4131366495053</v>
      </c>
      <c r="O65" s="710">
        <f t="shared" si="100"/>
        <v>139.98154345674038</v>
      </c>
      <c r="P65" s="710">
        <f t="shared" si="100"/>
        <v>0</v>
      </c>
      <c r="Q65" s="710">
        <f t="shared" si="100"/>
        <v>5.0055655649809552</v>
      </c>
      <c r="R65" s="710">
        <f t="shared" si="100"/>
        <v>31.147424918246635</v>
      </c>
      <c r="S65" s="710">
        <f t="shared" si="100"/>
        <v>15.784671680313046</v>
      </c>
      <c r="T65" s="710">
        <f t="shared" si="100"/>
        <v>1.4354141290683562</v>
      </c>
      <c r="U65" s="710">
        <f t="shared" si="100"/>
        <v>1750.1615197593858</v>
      </c>
      <c r="V65" s="710">
        <f t="shared" si="100"/>
        <v>167.14393301653672</v>
      </c>
      <c r="W65" s="710">
        <f t="shared" si="100"/>
        <v>0</v>
      </c>
      <c r="X65" s="710">
        <f t="shared" si="100"/>
        <v>6.3787483168176813</v>
      </c>
      <c r="Y65" s="710">
        <f t="shared" si="100"/>
        <v>11.458647575856119</v>
      </c>
      <c r="Z65" s="710">
        <f t="shared" si="100"/>
        <v>1.4694529136347469</v>
      </c>
      <c r="AA65" s="710">
        <f t="shared" si="100"/>
        <v>1297.8585711121307</v>
      </c>
      <c r="AB65" s="710">
        <f t="shared" si="100"/>
        <v>0</v>
      </c>
      <c r="AC65" s="805">
        <f t="shared" si="100"/>
        <v>0</v>
      </c>
      <c r="AD65" s="710">
        <f t="shared" si="100"/>
        <v>0</v>
      </c>
      <c r="AE65" s="710">
        <f t="shared" si="100"/>
        <v>13.485155423125345</v>
      </c>
      <c r="AF65" s="709">
        <f t="shared" si="89"/>
        <v>10220.869538701381</v>
      </c>
      <c r="AG65" s="725">
        <f t="shared" si="90"/>
        <v>10220.869538701381</v>
      </c>
      <c r="AH65" s="724">
        <f t="shared" si="91"/>
        <v>0</v>
      </c>
      <c r="AI65" s="704" t="str">
        <f t="shared" si="92"/>
        <v>GOOD!</v>
      </c>
      <c r="AJ65" s="756">
        <f t="shared" si="93"/>
        <v>0</v>
      </c>
      <c r="AK65" s="756">
        <f t="shared" si="93"/>
        <v>0</v>
      </c>
      <c r="AL65" s="756">
        <f t="shared" si="93"/>
        <v>0</v>
      </c>
      <c r="AM65" s="754">
        <f t="shared" si="95"/>
        <v>0</v>
      </c>
      <c r="AN65" s="756">
        <f t="shared" si="96"/>
        <v>0</v>
      </c>
    </row>
    <row r="66" spans="1:40" s="708" customFormat="1" x14ac:dyDescent="0.3">
      <c r="A66" s="711" t="s">
        <v>130</v>
      </c>
      <c r="B66" s="701">
        <v>7</v>
      </c>
      <c r="C66" s="710">
        <f t="shared" ref="C66:AE66" si="101">C37+($AH37*(C37/$AF37))</f>
        <v>1588.9222868575584</v>
      </c>
      <c r="D66" s="710">
        <f t="shared" si="101"/>
        <v>8.5945762642734724</v>
      </c>
      <c r="E66" s="710">
        <f t="shared" si="101"/>
        <v>117.47711431228805</v>
      </c>
      <c r="F66" s="710">
        <f t="shared" si="101"/>
        <v>109.04368635296969</v>
      </c>
      <c r="G66" s="710">
        <f t="shared" si="101"/>
        <v>23.635084726752055</v>
      </c>
      <c r="H66" s="710">
        <f t="shared" si="101"/>
        <v>94.540338907008206</v>
      </c>
      <c r="I66" s="710">
        <f t="shared" si="101"/>
        <v>931.43720264063779</v>
      </c>
      <c r="J66" s="710">
        <f t="shared" si="101"/>
        <v>637.07296558927112</v>
      </c>
      <c r="K66" s="710">
        <f t="shared" si="101"/>
        <v>53.178940635192106</v>
      </c>
      <c r="L66" s="710">
        <f t="shared" si="101"/>
        <v>112.26665245207226</v>
      </c>
      <c r="M66" s="710">
        <f t="shared" si="101"/>
        <v>29.006694891922969</v>
      </c>
      <c r="N66" s="710">
        <f t="shared" si="101"/>
        <v>1301.7781377307065</v>
      </c>
      <c r="O66" s="710">
        <f t="shared" si="101"/>
        <v>70.368093163739076</v>
      </c>
      <c r="P66" s="710">
        <f t="shared" si="101"/>
        <v>0.58712384026146991</v>
      </c>
      <c r="Q66" s="710">
        <f t="shared" si="101"/>
        <v>1.0743220330341843</v>
      </c>
      <c r="R66" s="710">
        <f t="shared" si="101"/>
        <v>2.1913952895516924</v>
      </c>
      <c r="S66" s="710">
        <f t="shared" si="101"/>
        <v>1.9373143992530217</v>
      </c>
      <c r="T66" s="710">
        <f t="shared" si="101"/>
        <v>1.1929376526218298</v>
      </c>
      <c r="U66" s="710">
        <f t="shared" si="101"/>
        <v>158.9406081496187</v>
      </c>
      <c r="V66" s="710">
        <f t="shared" si="101"/>
        <v>26.620162002111648</v>
      </c>
      <c r="W66" s="710">
        <f t="shared" si="101"/>
        <v>0</v>
      </c>
      <c r="X66" s="710">
        <f t="shared" si="101"/>
        <v>12.89186439641021</v>
      </c>
      <c r="Y66" s="710">
        <f t="shared" si="101"/>
        <v>0</v>
      </c>
      <c r="Z66" s="710">
        <f t="shared" si="101"/>
        <v>3.2229660991025524</v>
      </c>
      <c r="AA66" s="710">
        <f t="shared" si="101"/>
        <v>51.719232785939212</v>
      </c>
      <c r="AB66" s="710">
        <f t="shared" si="101"/>
        <v>0</v>
      </c>
      <c r="AC66" s="805">
        <f t="shared" si="101"/>
        <v>0</v>
      </c>
      <c r="AD66" s="710">
        <f t="shared" si="101"/>
        <v>0</v>
      </c>
      <c r="AE66" s="710">
        <f t="shared" si="101"/>
        <v>0</v>
      </c>
      <c r="AF66" s="709">
        <f t="shared" si="89"/>
        <v>5337.699701172297</v>
      </c>
      <c r="AG66" s="725">
        <f t="shared" si="90"/>
        <v>5337.699701172296</v>
      </c>
      <c r="AH66" s="724">
        <f t="shared" si="91"/>
        <v>0</v>
      </c>
      <c r="AI66" s="704" t="str">
        <f t="shared" si="92"/>
        <v>GOOD!</v>
      </c>
      <c r="AJ66" s="756">
        <f t="shared" si="93"/>
        <v>0</v>
      </c>
      <c r="AK66" s="756">
        <f t="shared" si="93"/>
        <v>0</v>
      </c>
      <c r="AL66" s="756">
        <f t="shared" si="93"/>
        <v>0</v>
      </c>
      <c r="AM66" s="754">
        <f t="shared" si="95"/>
        <v>0</v>
      </c>
      <c r="AN66" s="756">
        <f t="shared" si="96"/>
        <v>0</v>
      </c>
    </row>
    <row r="67" spans="1:40" s="708" customFormat="1" x14ac:dyDescent="0.3">
      <c r="A67" s="711" t="s">
        <v>131</v>
      </c>
      <c r="B67" s="701">
        <v>8</v>
      </c>
      <c r="C67" s="710">
        <f t="shared" ref="C67:AE67" si="102">C38+($AH38*(C38/$AF38))</f>
        <v>0</v>
      </c>
      <c r="D67" s="710">
        <f t="shared" si="102"/>
        <v>121.46429523300323</v>
      </c>
      <c r="E67" s="710">
        <f t="shared" si="102"/>
        <v>284.22645084522759</v>
      </c>
      <c r="F67" s="710">
        <f t="shared" si="102"/>
        <v>44.168834630182985</v>
      </c>
      <c r="G67" s="710">
        <f t="shared" si="102"/>
        <v>78.031607846656613</v>
      </c>
      <c r="H67" s="710">
        <f t="shared" si="102"/>
        <v>529.28986831835959</v>
      </c>
      <c r="I67" s="710">
        <f t="shared" si="102"/>
        <v>79.503902334329382</v>
      </c>
      <c r="J67" s="710">
        <f t="shared" si="102"/>
        <v>3247.1454925622866</v>
      </c>
      <c r="K67" s="710">
        <f t="shared" si="102"/>
        <v>6166.7054616173809</v>
      </c>
      <c r="L67" s="710">
        <f t="shared" si="102"/>
        <v>34.598920460310012</v>
      </c>
      <c r="M67" s="710">
        <f t="shared" si="102"/>
        <v>29.445889753455329</v>
      </c>
      <c r="N67" s="710">
        <f t="shared" si="102"/>
        <v>6671.7443388200045</v>
      </c>
      <c r="O67" s="710">
        <f t="shared" si="102"/>
        <v>47.849570849364902</v>
      </c>
      <c r="P67" s="710">
        <f t="shared" si="102"/>
        <v>0.8274420173158763</v>
      </c>
      <c r="Q67" s="710">
        <f t="shared" si="102"/>
        <v>2.2084417315091498</v>
      </c>
      <c r="R67" s="710">
        <f t="shared" si="102"/>
        <v>3.5134711520569883</v>
      </c>
      <c r="S67" s="710">
        <f t="shared" si="102"/>
        <v>2.8038183942800501</v>
      </c>
      <c r="T67" s="710">
        <f t="shared" si="102"/>
        <v>1.6890353623836842</v>
      </c>
      <c r="U67" s="710">
        <f t="shared" si="102"/>
        <v>845.98722617062924</v>
      </c>
      <c r="V67" s="710">
        <f t="shared" si="102"/>
        <v>170.54097361983762</v>
      </c>
      <c r="W67" s="710">
        <f t="shared" si="102"/>
        <v>0</v>
      </c>
      <c r="X67" s="710">
        <f t="shared" si="102"/>
        <v>783.99681468574806</v>
      </c>
      <c r="Y67" s="710">
        <f t="shared" si="102"/>
        <v>12.514503145218516</v>
      </c>
      <c r="Z67" s="710">
        <f t="shared" si="102"/>
        <v>3.6807362191819162</v>
      </c>
      <c r="AA67" s="710">
        <f t="shared" si="102"/>
        <v>13.920995857023525</v>
      </c>
      <c r="AB67" s="710">
        <f t="shared" si="102"/>
        <v>0</v>
      </c>
      <c r="AC67" s="805">
        <f t="shared" si="102"/>
        <v>0</v>
      </c>
      <c r="AD67" s="710">
        <f t="shared" si="102"/>
        <v>0</v>
      </c>
      <c r="AE67" s="710">
        <f t="shared" si="102"/>
        <v>0</v>
      </c>
      <c r="AF67" s="709">
        <f t="shared" si="89"/>
        <v>19175.858091625745</v>
      </c>
      <c r="AG67" s="725">
        <f t="shared" si="90"/>
        <v>19175.858091625742</v>
      </c>
      <c r="AH67" s="724">
        <f t="shared" si="91"/>
        <v>0</v>
      </c>
      <c r="AI67" s="704" t="str">
        <f t="shared" si="92"/>
        <v>GOOD!</v>
      </c>
      <c r="AJ67" s="756">
        <f t="shared" si="93"/>
        <v>0</v>
      </c>
      <c r="AK67" s="756">
        <f t="shared" si="93"/>
        <v>0</v>
      </c>
      <c r="AL67" s="756">
        <f t="shared" si="93"/>
        <v>0</v>
      </c>
      <c r="AM67" s="754">
        <f t="shared" si="95"/>
        <v>0</v>
      </c>
      <c r="AN67" s="756">
        <f t="shared" si="96"/>
        <v>0</v>
      </c>
    </row>
    <row r="68" spans="1:40" s="708" customFormat="1" x14ac:dyDescent="0.3">
      <c r="A68" s="711" t="s">
        <v>135</v>
      </c>
      <c r="B68" s="701">
        <v>9</v>
      </c>
      <c r="C68" s="710">
        <f t="shared" ref="C68:AE68" si="103">C39+($AH39*(C39/$AF39))</f>
        <v>64.958575459914229</v>
      </c>
      <c r="D68" s="710">
        <f t="shared" si="103"/>
        <v>698.36990564735106</v>
      </c>
      <c r="E68" s="710">
        <f t="shared" si="103"/>
        <v>926.32493872716248</v>
      </c>
      <c r="F68" s="710">
        <f t="shared" si="103"/>
        <v>10.695990336773024</v>
      </c>
      <c r="G68" s="710">
        <f t="shared" si="103"/>
        <v>38.609916337619687</v>
      </c>
      <c r="H68" s="710">
        <f t="shared" si="103"/>
        <v>70.176131721754743</v>
      </c>
      <c r="I68" s="710">
        <f t="shared" si="103"/>
        <v>36.001138206699444</v>
      </c>
      <c r="J68" s="710">
        <f t="shared" si="103"/>
        <v>81.393877684711811</v>
      </c>
      <c r="K68" s="710">
        <f t="shared" si="103"/>
        <v>460.97109573360808</v>
      </c>
      <c r="L68" s="710">
        <f t="shared" si="103"/>
        <v>22.43549192591415</v>
      </c>
      <c r="M68" s="710">
        <f t="shared" si="103"/>
        <v>22.957247552098192</v>
      </c>
      <c r="N68" s="710">
        <f t="shared" si="103"/>
        <v>2124.8668149907944</v>
      </c>
      <c r="O68" s="710">
        <f t="shared" si="103"/>
        <v>931.07291492543754</v>
      </c>
      <c r="P68" s="710">
        <f t="shared" si="103"/>
        <v>0.50352744315729292</v>
      </c>
      <c r="Q68" s="710">
        <f t="shared" si="103"/>
        <v>0.26087781309202501</v>
      </c>
      <c r="R68" s="710">
        <f t="shared" si="103"/>
        <v>7.512204512794324</v>
      </c>
      <c r="S68" s="710">
        <f t="shared" si="103"/>
        <v>4.7129674656813139</v>
      </c>
      <c r="T68" s="710">
        <f t="shared" si="103"/>
        <v>7.8806478126370436</v>
      </c>
      <c r="U68" s="710">
        <f t="shared" si="103"/>
        <v>1102.0478292749021</v>
      </c>
      <c r="V68" s="710">
        <f t="shared" si="103"/>
        <v>0.26087781309202496</v>
      </c>
      <c r="W68" s="710">
        <f t="shared" si="103"/>
        <v>0</v>
      </c>
      <c r="X68" s="710">
        <f t="shared" si="103"/>
        <v>143.74367501370585</v>
      </c>
      <c r="Y68" s="710">
        <f t="shared" si="103"/>
        <v>87.65494519892043</v>
      </c>
      <c r="Z68" s="710">
        <f t="shared" si="103"/>
        <v>1.0435112523681003</v>
      </c>
      <c r="AA68" s="710">
        <f t="shared" si="103"/>
        <v>3243.4897327119238</v>
      </c>
      <c r="AB68" s="710">
        <f t="shared" si="103"/>
        <v>0</v>
      </c>
      <c r="AC68" s="805">
        <f t="shared" si="103"/>
        <v>0</v>
      </c>
      <c r="AD68" s="710">
        <f t="shared" si="103"/>
        <v>12.452802867773016</v>
      </c>
      <c r="AE68" s="710">
        <f t="shared" si="103"/>
        <v>0</v>
      </c>
      <c r="AF68" s="709">
        <f t="shared" si="89"/>
        <v>10100.397638429886</v>
      </c>
      <c r="AG68" s="725">
        <f t="shared" si="90"/>
        <v>10100.397638429886</v>
      </c>
      <c r="AH68" s="724">
        <f t="shared" si="91"/>
        <v>0</v>
      </c>
      <c r="AI68" s="704" t="str">
        <f t="shared" si="92"/>
        <v>GOOD!</v>
      </c>
      <c r="AJ68" s="756">
        <f t="shared" si="93"/>
        <v>0</v>
      </c>
      <c r="AK68" s="756">
        <f t="shared" si="93"/>
        <v>0</v>
      </c>
      <c r="AL68" s="756">
        <f t="shared" si="93"/>
        <v>0</v>
      </c>
      <c r="AM68" s="754">
        <f t="shared" si="95"/>
        <v>0</v>
      </c>
      <c r="AN68" s="756">
        <f t="shared" si="96"/>
        <v>0</v>
      </c>
    </row>
    <row r="69" spans="1:40" s="708" customFormat="1" x14ac:dyDescent="0.3">
      <c r="A69" s="711" t="s">
        <v>136</v>
      </c>
      <c r="B69" s="701">
        <v>10</v>
      </c>
      <c r="C69" s="710">
        <f t="shared" ref="C69:AE69" si="104">C40+($AH40*(C40/$AF40))</f>
        <v>12.920487401597839</v>
      </c>
      <c r="D69" s="710">
        <f t="shared" si="104"/>
        <v>0</v>
      </c>
      <c r="E69" s="710">
        <f t="shared" si="104"/>
        <v>1803.4515703514887</v>
      </c>
      <c r="F69" s="710">
        <f t="shared" si="104"/>
        <v>7.4541273470756746</v>
      </c>
      <c r="G69" s="710">
        <f t="shared" si="104"/>
        <v>140.6345359481611</v>
      </c>
      <c r="H69" s="710">
        <f t="shared" si="104"/>
        <v>0</v>
      </c>
      <c r="I69" s="710">
        <f t="shared" si="104"/>
        <v>0</v>
      </c>
      <c r="J69" s="710">
        <f t="shared" si="104"/>
        <v>47.706415021284322</v>
      </c>
      <c r="K69" s="710">
        <f t="shared" si="104"/>
        <v>66.093262477404323</v>
      </c>
      <c r="L69" s="710">
        <f t="shared" si="104"/>
        <v>3933.2945301402651</v>
      </c>
      <c r="M69" s="710">
        <f t="shared" si="104"/>
        <v>0.49694182313837837</v>
      </c>
      <c r="N69" s="710">
        <f t="shared" si="104"/>
        <v>6884.7199797132662</v>
      </c>
      <c r="O69" s="710">
        <f t="shared" si="104"/>
        <v>1135.0151240480561</v>
      </c>
      <c r="P69" s="710">
        <f t="shared" si="104"/>
        <v>5.0425468281115569</v>
      </c>
      <c r="Q69" s="710">
        <f t="shared" si="104"/>
        <v>0</v>
      </c>
      <c r="R69" s="710">
        <f t="shared" si="104"/>
        <v>16.224277906232455</v>
      </c>
      <c r="S69" s="710">
        <f t="shared" si="104"/>
        <v>6.2024096059675395</v>
      </c>
      <c r="T69" s="710">
        <f t="shared" si="104"/>
        <v>1.8503332248527793</v>
      </c>
      <c r="U69" s="710">
        <f t="shared" si="104"/>
        <v>238.28645506090689</v>
      </c>
      <c r="V69" s="710">
        <f t="shared" si="104"/>
        <v>0</v>
      </c>
      <c r="W69" s="710">
        <f t="shared" si="104"/>
        <v>0</v>
      </c>
      <c r="X69" s="710">
        <f t="shared" si="104"/>
        <v>43.233938613038923</v>
      </c>
      <c r="Y69" s="710">
        <f t="shared" si="104"/>
        <v>23.356265687503786</v>
      </c>
      <c r="Z69" s="710">
        <f t="shared" si="104"/>
        <v>1.9877672925535137</v>
      </c>
      <c r="AA69" s="710">
        <f t="shared" si="104"/>
        <v>0</v>
      </c>
      <c r="AB69" s="710">
        <f t="shared" si="104"/>
        <v>0</v>
      </c>
      <c r="AC69" s="805">
        <f t="shared" si="104"/>
        <v>0</v>
      </c>
      <c r="AD69" s="710">
        <f t="shared" si="104"/>
        <v>1461.4374489131346</v>
      </c>
      <c r="AE69" s="710">
        <f t="shared" si="104"/>
        <v>30.206230933017309</v>
      </c>
      <c r="AF69" s="709">
        <f t="shared" si="89"/>
        <v>15859.614648337058</v>
      </c>
      <c r="AG69" s="725">
        <f t="shared" si="90"/>
        <v>15859.614648337059</v>
      </c>
      <c r="AH69" s="724">
        <f t="shared" si="91"/>
        <v>0</v>
      </c>
      <c r="AI69" s="704" t="str">
        <f t="shared" si="92"/>
        <v>GOOD!</v>
      </c>
      <c r="AJ69" s="756">
        <f t="shared" si="93"/>
        <v>0</v>
      </c>
      <c r="AK69" s="756">
        <f t="shared" si="93"/>
        <v>0</v>
      </c>
      <c r="AL69" s="756">
        <f t="shared" si="93"/>
        <v>0</v>
      </c>
      <c r="AM69" s="754">
        <f t="shared" si="95"/>
        <v>0</v>
      </c>
      <c r="AN69" s="756">
        <f t="shared" si="96"/>
        <v>0</v>
      </c>
    </row>
    <row r="70" spans="1:40" s="708" customFormat="1" x14ac:dyDescent="0.3">
      <c r="A70" s="711" t="s">
        <v>137</v>
      </c>
      <c r="B70" s="701">
        <v>11</v>
      </c>
      <c r="C70" s="710">
        <f t="shared" ref="C70:AE70" si="105">C41+($AH41*(C41/$AF41))</f>
        <v>0</v>
      </c>
      <c r="D70" s="710">
        <f t="shared" si="105"/>
        <v>66.009707418582238</v>
      </c>
      <c r="E70" s="710">
        <f t="shared" si="105"/>
        <v>356.68003974109786</v>
      </c>
      <c r="F70" s="710">
        <f t="shared" si="105"/>
        <v>106.98124995425397</v>
      </c>
      <c r="G70" s="710">
        <f t="shared" si="105"/>
        <v>83.460549609701687</v>
      </c>
      <c r="H70" s="710">
        <f t="shared" si="105"/>
        <v>6.8285904226119563</v>
      </c>
      <c r="I70" s="710">
        <f t="shared" si="105"/>
        <v>74.355762379552402</v>
      </c>
      <c r="J70" s="710">
        <f t="shared" si="105"/>
        <v>8.346054960970168</v>
      </c>
      <c r="K70" s="710">
        <f t="shared" si="105"/>
        <v>30.349290767164248</v>
      </c>
      <c r="L70" s="710">
        <f t="shared" si="105"/>
        <v>619.88426391932978</v>
      </c>
      <c r="M70" s="710">
        <f t="shared" si="105"/>
        <v>3770.1406455509787</v>
      </c>
      <c r="N70" s="710">
        <f t="shared" si="105"/>
        <v>6772.3683614657857</v>
      </c>
      <c r="O70" s="710">
        <f t="shared" si="105"/>
        <v>929.44702974440497</v>
      </c>
      <c r="P70" s="710">
        <f t="shared" si="105"/>
        <v>0</v>
      </c>
      <c r="Q70" s="710">
        <f t="shared" si="105"/>
        <v>0</v>
      </c>
      <c r="R70" s="710">
        <f t="shared" si="105"/>
        <v>0</v>
      </c>
      <c r="S70" s="710">
        <f t="shared" si="105"/>
        <v>0</v>
      </c>
      <c r="T70" s="710">
        <f t="shared" si="105"/>
        <v>0</v>
      </c>
      <c r="U70" s="710">
        <f t="shared" si="105"/>
        <v>291.35319136477676</v>
      </c>
      <c r="V70" s="710">
        <f t="shared" si="105"/>
        <v>0</v>
      </c>
      <c r="W70" s="710">
        <f t="shared" si="105"/>
        <v>0</v>
      </c>
      <c r="X70" s="710">
        <f t="shared" si="105"/>
        <v>53.869991111716537</v>
      </c>
      <c r="Y70" s="710">
        <f t="shared" si="105"/>
        <v>0</v>
      </c>
      <c r="Z70" s="710">
        <f t="shared" si="105"/>
        <v>0</v>
      </c>
      <c r="AA70" s="710">
        <f t="shared" si="105"/>
        <v>121.37400341996045</v>
      </c>
      <c r="AB70" s="710">
        <f t="shared" si="105"/>
        <v>0</v>
      </c>
      <c r="AC70" s="805">
        <f t="shared" si="105"/>
        <v>0</v>
      </c>
      <c r="AD70" s="710">
        <f t="shared" si="105"/>
        <v>0</v>
      </c>
      <c r="AE70" s="710">
        <f t="shared" si="105"/>
        <v>177.7492192893082</v>
      </c>
      <c r="AF70" s="709">
        <f t="shared" si="89"/>
        <v>13469.197951120195</v>
      </c>
      <c r="AG70" s="725">
        <f t="shared" si="90"/>
        <v>13469.197951120197</v>
      </c>
      <c r="AH70" s="724">
        <f t="shared" si="91"/>
        <v>0</v>
      </c>
      <c r="AI70" s="704" t="str">
        <f t="shared" si="92"/>
        <v>GOOD!</v>
      </c>
      <c r="AJ70" s="756">
        <f t="shared" si="93"/>
        <v>0</v>
      </c>
      <c r="AK70" s="756">
        <f t="shared" si="93"/>
        <v>0</v>
      </c>
      <c r="AL70" s="756">
        <f t="shared" si="93"/>
        <v>0</v>
      </c>
      <c r="AM70" s="754">
        <f t="shared" si="95"/>
        <v>0</v>
      </c>
      <c r="AN70" s="756">
        <f t="shared" si="96"/>
        <v>0</v>
      </c>
    </row>
    <row r="71" spans="1:40" s="708" customFormat="1" x14ac:dyDescent="0.3">
      <c r="A71" s="711" t="s">
        <v>309</v>
      </c>
      <c r="B71" s="701">
        <v>12</v>
      </c>
      <c r="C71" s="710">
        <f t="shared" ref="C71:AE71" si="106">C42+($AH42*(C42/$AF42))</f>
        <v>3549.8943604029942</v>
      </c>
      <c r="D71" s="710">
        <f t="shared" si="106"/>
        <v>1193.9845194255051</v>
      </c>
      <c r="E71" s="710">
        <f t="shared" si="106"/>
        <v>8206.7620234719961</v>
      </c>
      <c r="F71" s="710">
        <f t="shared" si="106"/>
        <v>228.5430335149214</v>
      </c>
      <c r="G71" s="710">
        <f t="shared" si="106"/>
        <v>871.87668719508122</v>
      </c>
      <c r="H71" s="710">
        <f t="shared" si="106"/>
        <v>553.38529140879962</v>
      </c>
      <c r="I71" s="710">
        <f t="shared" si="106"/>
        <v>216.0495094852931</v>
      </c>
      <c r="J71" s="710">
        <f t="shared" si="106"/>
        <v>629.83569660004537</v>
      </c>
      <c r="K71" s="710">
        <f t="shared" si="106"/>
        <v>861.65507609968586</v>
      </c>
      <c r="L71" s="710">
        <f t="shared" si="106"/>
        <v>1873.8229750784615</v>
      </c>
      <c r="M71" s="710">
        <f t="shared" si="106"/>
        <v>1119.1045491641971</v>
      </c>
      <c r="N71" s="710">
        <f t="shared" si="106"/>
        <v>56732.162413186656</v>
      </c>
      <c r="O71" s="710">
        <f t="shared" si="106"/>
        <v>9549.9481464974342</v>
      </c>
      <c r="P71" s="710">
        <f t="shared" si="106"/>
        <v>21.277783147310217</v>
      </c>
      <c r="Q71" s="710">
        <f t="shared" si="106"/>
        <v>80.21764435315599</v>
      </c>
      <c r="R71" s="710">
        <f t="shared" si="106"/>
        <v>363.44243892645824</v>
      </c>
      <c r="S71" s="710">
        <f t="shared" si="106"/>
        <v>137.61151062879134</v>
      </c>
      <c r="T71" s="710">
        <f t="shared" si="106"/>
        <v>562.59657614549326</v>
      </c>
      <c r="U71" s="710">
        <f t="shared" si="106"/>
        <v>19817.210028008725</v>
      </c>
      <c r="V71" s="710">
        <f t="shared" si="106"/>
        <v>7086.6559278996001</v>
      </c>
      <c r="W71" s="710">
        <f t="shared" si="106"/>
        <v>0</v>
      </c>
      <c r="X71" s="710">
        <f t="shared" si="106"/>
        <v>397.42354321074959</v>
      </c>
      <c r="Y71" s="710">
        <f t="shared" si="106"/>
        <v>823.24805112307865</v>
      </c>
      <c r="Z71" s="710">
        <f t="shared" si="106"/>
        <v>45.382623503471535</v>
      </c>
      <c r="AA71" s="710">
        <f t="shared" si="106"/>
        <v>89276.142904184002</v>
      </c>
      <c r="AB71" s="710">
        <f t="shared" si="106"/>
        <v>10966.708707824477</v>
      </c>
      <c r="AC71" s="805">
        <f t="shared" si="106"/>
        <v>33567.030667788305</v>
      </c>
      <c r="AD71" s="710">
        <f t="shared" si="106"/>
        <v>21205.137936244333</v>
      </c>
      <c r="AE71" s="710">
        <f t="shared" si="106"/>
        <v>848.22495177565713</v>
      </c>
      <c r="AF71" s="709">
        <f t="shared" si="89"/>
        <v>270785.33557629463</v>
      </c>
      <c r="AG71" s="725">
        <f t="shared" si="90"/>
        <v>270785.33557629469</v>
      </c>
      <c r="AH71" s="724">
        <f t="shared" si="91"/>
        <v>0</v>
      </c>
      <c r="AI71" s="704" t="str">
        <f t="shared" si="92"/>
        <v>GOOD!</v>
      </c>
      <c r="AJ71" s="756">
        <f t="shared" si="93"/>
        <v>30671.692456483132</v>
      </c>
      <c r="AK71" s="756">
        <f t="shared" si="93"/>
        <v>0</v>
      </c>
      <c r="AL71" s="756">
        <f t="shared" si="93"/>
        <v>2895.3382113051716</v>
      </c>
      <c r="AM71" s="754">
        <f t="shared" si="95"/>
        <v>0</v>
      </c>
      <c r="AN71" s="756">
        <f t="shared" si="96"/>
        <v>33567.030667788305</v>
      </c>
    </row>
    <row r="72" spans="1:40" s="708" customFormat="1" x14ac:dyDescent="0.3">
      <c r="A72" s="711" t="s">
        <v>310</v>
      </c>
      <c r="B72" s="701">
        <v>13</v>
      </c>
      <c r="C72" s="710">
        <v>0</v>
      </c>
      <c r="D72" s="710">
        <v>0</v>
      </c>
      <c r="E72" s="710">
        <v>0</v>
      </c>
      <c r="F72" s="710">
        <v>0</v>
      </c>
      <c r="G72" s="710">
        <v>0</v>
      </c>
      <c r="H72" s="710">
        <v>0</v>
      </c>
      <c r="I72" s="710">
        <v>0</v>
      </c>
      <c r="J72" s="710">
        <v>0</v>
      </c>
      <c r="K72" s="710">
        <v>0</v>
      </c>
      <c r="L72" s="710">
        <v>0</v>
      </c>
      <c r="M72" s="710">
        <v>0</v>
      </c>
      <c r="N72" s="710">
        <v>0</v>
      </c>
      <c r="O72" s="710">
        <v>0</v>
      </c>
      <c r="P72" s="710">
        <v>0</v>
      </c>
      <c r="Q72" s="710">
        <v>0</v>
      </c>
      <c r="R72" s="710">
        <v>0</v>
      </c>
      <c r="S72" s="710">
        <v>0</v>
      </c>
      <c r="T72" s="710">
        <v>0</v>
      </c>
      <c r="U72" s="710">
        <v>0</v>
      </c>
      <c r="V72" s="710">
        <v>0</v>
      </c>
      <c r="W72" s="710">
        <v>0</v>
      </c>
      <c r="X72" s="710">
        <v>0</v>
      </c>
      <c r="Y72" s="710">
        <v>0</v>
      </c>
      <c r="Z72" s="710">
        <v>0</v>
      </c>
      <c r="AA72" s="710">
        <v>0</v>
      </c>
      <c r="AB72" s="710">
        <v>0</v>
      </c>
      <c r="AC72" s="805">
        <v>0</v>
      </c>
      <c r="AD72" s="710">
        <v>0</v>
      </c>
      <c r="AE72" s="710">
        <v>0</v>
      </c>
      <c r="AF72" s="709">
        <f t="shared" si="89"/>
        <v>0</v>
      </c>
      <c r="AG72" s="725">
        <f t="shared" si="90"/>
        <v>0</v>
      </c>
      <c r="AH72" s="724">
        <f t="shared" si="91"/>
        <v>0</v>
      </c>
      <c r="AI72" s="704" t="str">
        <f t="shared" si="92"/>
        <v>GOOD!</v>
      </c>
      <c r="AJ72" s="756">
        <f t="shared" si="93"/>
        <v>0</v>
      </c>
      <c r="AK72" s="756">
        <f t="shared" si="93"/>
        <v>0</v>
      </c>
      <c r="AL72" s="756">
        <f t="shared" si="93"/>
        <v>0</v>
      </c>
      <c r="AM72" s="754">
        <f t="shared" si="95"/>
        <v>0</v>
      </c>
      <c r="AN72" s="756">
        <f t="shared" si="96"/>
        <v>0</v>
      </c>
    </row>
    <row r="73" spans="1:40" s="708" customFormat="1" x14ac:dyDescent="0.3">
      <c r="A73" s="711" t="s">
        <v>152</v>
      </c>
      <c r="B73" s="701">
        <v>14</v>
      </c>
      <c r="C73" s="710">
        <f t="shared" ref="C73:AE73" si="107">C44+($AH44*(C44/$AF44))</f>
        <v>0.18903655275960574</v>
      </c>
      <c r="D73" s="710">
        <f t="shared" si="107"/>
        <v>4.6362570148467803</v>
      </c>
      <c r="E73" s="710">
        <f t="shared" si="107"/>
        <v>1.5576079417259105</v>
      </c>
      <c r="F73" s="710">
        <f t="shared" si="107"/>
        <v>0.43519588947426779</v>
      </c>
      <c r="G73" s="710">
        <f t="shared" si="107"/>
        <v>0.76340833842715095</v>
      </c>
      <c r="H73" s="710">
        <f t="shared" si="107"/>
        <v>1.367170198166022</v>
      </c>
      <c r="I73" s="710">
        <f t="shared" si="107"/>
        <v>0.44254340799209962</v>
      </c>
      <c r="J73" s="710">
        <f t="shared" si="107"/>
        <v>0.99644461116464078</v>
      </c>
      <c r="K73" s="710">
        <f t="shared" si="107"/>
        <v>1.0667758502259734</v>
      </c>
      <c r="L73" s="710">
        <f t="shared" si="107"/>
        <v>1.8169757335468473</v>
      </c>
      <c r="M73" s="710">
        <f t="shared" si="107"/>
        <v>0.59492775929165198</v>
      </c>
      <c r="N73" s="710">
        <f t="shared" si="107"/>
        <v>32.299419726052996</v>
      </c>
      <c r="O73" s="710">
        <f t="shared" si="107"/>
        <v>8.0784549387094149</v>
      </c>
      <c r="P73" s="710">
        <f t="shared" si="107"/>
        <v>3.7326557682175197</v>
      </c>
      <c r="Q73" s="710">
        <f t="shared" si="107"/>
        <v>0.37072558700138025</v>
      </c>
      <c r="R73" s="710">
        <f t="shared" si="107"/>
        <v>8.2150101970074321</v>
      </c>
      <c r="S73" s="710">
        <f t="shared" si="107"/>
        <v>3.2375809257874559</v>
      </c>
      <c r="T73" s="710">
        <f t="shared" si="107"/>
        <v>2.8656343484996012</v>
      </c>
      <c r="U73" s="710">
        <f t="shared" si="107"/>
        <v>181.57916015930374</v>
      </c>
      <c r="V73" s="710">
        <f t="shared" si="107"/>
        <v>155.11668154352589</v>
      </c>
      <c r="W73" s="710">
        <f t="shared" si="107"/>
        <v>0</v>
      </c>
      <c r="X73" s="710">
        <f t="shared" si="107"/>
        <v>4.9250148807390444</v>
      </c>
      <c r="Y73" s="710">
        <f t="shared" si="107"/>
        <v>3.0170665433776556</v>
      </c>
      <c r="Z73" s="710">
        <f t="shared" si="107"/>
        <v>0.28867247476315971</v>
      </c>
      <c r="AA73" s="710">
        <f t="shared" si="107"/>
        <v>465.08172882957649</v>
      </c>
      <c r="AB73" s="710">
        <f t="shared" si="107"/>
        <v>21.141569449395437</v>
      </c>
      <c r="AC73" s="805">
        <f t="shared" si="107"/>
        <v>0</v>
      </c>
      <c r="AD73" s="710">
        <f t="shared" si="107"/>
        <v>0</v>
      </c>
      <c r="AE73" s="710">
        <f t="shared" si="107"/>
        <v>-0.73516992491355115</v>
      </c>
      <c r="AF73" s="709">
        <f t="shared" si="89"/>
        <v>903.08054874466461</v>
      </c>
      <c r="AG73" s="725">
        <f t="shared" si="90"/>
        <v>903.08054874466461</v>
      </c>
      <c r="AH73" s="724">
        <f t="shared" si="91"/>
        <v>0</v>
      </c>
      <c r="AI73" s="704" t="str">
        <f t="shared" si="92"/>
        <v>GOOD!</v>
      </c>
      <c r="AJ73" s="756">
        <f t="shared" si="93"/>
        <v>0</v>
      </c>
      <c r="AK73" s="756">
        <f t="shared" si="93"/>
        <v>0</v>
      </c>
      <c r="AL73" s="756">
        <f t="shared" si="93"/>
        <v>0</v>
      </c>
      <c r="AM73" s="754">
        <f t="shared" si="95"/>
        <v>0</v>
      </c>
      <c r="AN73" s="756">
        <f t="shared" si="96"/>
        <v>0</v>
      </c>
    </row>
    <row r="74" spans="1:40" s="708" customFormat="1" x14ac:dyDescent="0.3">
      <c r="A74" s="711" t="s">
        <v>153</v>
      </c>
      <c r="B74" s="701">
        <v>15</v>
      </c>
      <c r="C74" s="710">
        <v>0</v>
      </c>
      <c r="D74" s="710">
        <v>0</v>
      </c>
      <c r="E74" s="710">
        <v>0</v>
      </c>
      <c r="F74" s="710">
        <v>0</v>
      </c>
      <c r="G74" s="710">
        <v>0</v>
      </c>
      <c r="H74" s="710">
        <v>0</v>
      </c>
      <c r="I74" s="710">
        <v>0</v>
      </c>
      <c r="J74" s="710">
        <v>0</v>
      </c>
      <c r="K74" s="710">
        <v>0</v>
      </c>
      <c r="L74" s="710">
        <v>0</v>
      </c>
      <c r="M74" s="710">
        <v>0</v>
      </c>
      <c r="N74" s="710">
        <v>0</v>
      </c>
      <c r="O74" s="710">
        <v>0</v>
      </c>
      <c r="P74" s="710">
        <v>0</v>
      </c>
      <c r="Q74" s="710">
        <v>0</v>
      </c>
      <c r="R74" s="710">
        <v>0</v>
      </c>
      <c r="S74" s="710">
        <v>0</v>
      </c>
      <c r="T74" s="710">
        <v>0</v>
      </c>
      <c r="U74" s="710">
        <v>0</v>
      </c>
      <c r="V74" s="710">
        <v>0</v>
      </c>
      <c r="W74" s="710">
        <v>0</v>
      </c>
      <c r="X74" s="710">
        <v>0</v>
      </c>
      <c r="Y74" s="710">
        <v>0</v>
      </c>
      <c r="Z74" s="710">
        <v>0</v>
      </c>
      <c r="AA74" s="710">
        <v>0</v>
      </c>
      <c r="AB74" s="710">
        <v>0</v>
      </c>
      <c r="AC74" s="805">
        <v>0</v>
      </c>
      <c r="AD74" s="710">
        <v>0</v>
      </c>
      <c r="AE74" s="710">
        <v>0</v>
      </c>
      <c r="AF74" s="709">
        <f t="shared" si="89"/>
        <v>0</v>
      </c>
      <c r="AG74" s="725">
        <f t="shared" si="90"/>
        <v>0</v>
      </c>
      <c r="AH74" s="724">
        <f t="shared" si="91"/>
        <v>0</v>
      </c>
      <c r="AI74" s="704" t="str">
        <f t="shared" si="92"/>
        <v>GOOD!</v>
      </c>
      <c r="AJ74" s="756">
        <f t="shared" si="93"/>
        <v>0</v>
      </c>
      <c r="AK74" s="756">
        <f t="shared" si="93"/>
        <v>0</v>
      </c>
      <c r="AL74" s="756">
        <f t="shared" si="93"/>
        <v>0</v>
      </c>
      <c r="AM74" s="754">
        <f t="shared" si="95"/>
        <v>0</v>
      </c>
      <c r="AN74" s="756">
        <f t="shared" si="96"/>
        <v>0</v>
      </c>
    </row>
    <row r="75" spans="1:40" s="708" customFormat="1" x14ac:dyDescent="0.3">
      <c r="A75" s="711" t="s">
        <v>154</v>
      </c>
      <c r="B75" s="701">
        <v>16</v>
      </c>
      <c r="C75" s="710">
        <f t="shared" ref="C75:AE75" si="108">C46+($AH46*(C46/$AF46))</f>
        <v>6.0896016000227995</v>
      </c>
      <c r="D75" s="710">
        <f t="shared" si="108"/>
        <v>48.231471039435917</v>
      </c>
      <c r="E75" s="710">
        <f t="shared" si="108"/>
        <v>20.597680362966038</v>
      </c>
      <c r="F75" s="710">
        <f t="shared" si="108"/>
        <v>5.1208978869741362</v>
      </c>
      <c r="G75" s="710">
        <f t="shared" si="108"/>
        <v>11.509871530865937</v>
      </c>
      <c r="H75" s="710">
        <f t="shared" si="108"/>
        <v>8.7081461660866726</v>
      </c>
      <c r="I75" s="710">
        <f t="shared" si="108"/>
        <v>1.4195607927921039</v>
      </c>
      <c r="J75" s="710">
        <f t="shared" si="108"/>
        <v>5.1713928989322824</v>
      </c>
      <c r="K75" s="710">
        <f t="shared" si="108"/>
        <v>6.8696263338215262</v>
      </c>
      <c r="L75" s="710">
        <f t="shared" si="108"/>
        <v>21.143827008661784</v>
      </c>
      <c r="M75" s="710">
        <f t="shared" si="108"/>
        <v>4.3858699845990108</v>
      </c>
      <c r="N75" s="710">
        <f t="shared" si="108"/>
        <v>467.75403418937356</v>
      </c>
      <c r="O75" s="710">
        <f t="shared" si="108"/>
        <v>54.655940751477999</v>
      </c>
      <c r="P75" s="710">
        <f t="shared" si="108"/>
        <v>6.4153526331336526</v>
      </c>
      <c r="Q75" s="710">
        <f t="shared" si="108"/>
        <v>8.1451004239283993</v>
      </c>
      <c r="R75" s="710">
        <f t="shared" si="108"/>
        <v>850.08388850563836</v>
      </c>
      <c r="S75" s="710">
        <f t="shared" si="108"/>
        <v>0</v>
      </c>
      <c r="T75" s="710">
        <f t="shared" si="108"/>
        <v>40.591047834284431</v>
      </c>
      <c r="U75" s="710">
        <f t="shared" si="108"/>
        <v>1738.7458317024332</v>
      </c>
      <c r="V75" s="710">
        <f t="shared" si="108"/>
        <v>126.32388884039489</v>
      </c>
      <c r="W75" s="710">
        <f t="shared" si="108"/>
        <v>0</v>
      </c>
      <c r="X75" s="710">
        <f t="shared" si="108"/>
        <v>33.972269308403526</v>
      </c>
      <c r="Y75" s="710">
        <f t="shared" si="108"/>
        <v>33.300835209139748</v>
      </c>
      <c r="Z75" s="710">
        <f t="shared" si="108"/>
        <v>2.1040936832090824</v>
      </c>
      <c r="AA75" s="710">
        <f t="shared" si="108"/>
        <v>111.60853412651397</v>
      </c>
      <c r="AB75" s="710">
        <f t="shared" si="108"/>
        <v>0.65833530811057295</v>
      </c>
      <c r="AC75" s="805">
        <f t="shared" si="108"/>
        <v>0</v>
      </c>
      <c r="AD75" s="710">
        <f t="shared" si="108"/>
        <v>0</v>
      </c>
      <c r="AE75" s="710">
        <f t="shared" si="108"/>
        <v>-24.366031513724295</v>
      </c>
      <c r="AF75" s="709">
        <f t="shared" si="89"/>
        <v>3589.2410666074752</v>
      </c>
      <c r="AG75" s="725">
        <f t="shared" si="90"/>
        <v>3589.2410666074747</v>
      </c>
      <c r="AH75" s="724">
        <f t="shared" si="91"/>
        <v>0</v>
      </c>
      <c r="AI75" s="704" t="str">
        <f t="shared" si="92"/>
        <v>GOOD!</v>
      </c>
      <c r="AJ75" s="756">
        <f t="shared" si="93"/>
        <v>0</v>
      </c>
      <c r="AK75" s="756">
        <f t="shared" si="93"/>
        <v>0</v>
      </c>
      <c r="AL75" s="756">
        <f t="shared" si="93"/>
        <v>0</v>
      </c>
      <c r="AM75" s="754">
        <f t="shared" si="95"/>
        <v>0</v>
      </c>
      <c r="AN75" s="756">
        <f t="shared" si="96"/>
        <v>0</v>
      </c>
    </row>
    <row r="76" spans="1:40" s="708" customFormat="1" x14ac:dyDescent="0.3">
      <c r="A76" s="711" t="s">
        <v>155</v>
      </c>
      <c r="B76" s="701">
        <v>17</v>
      </c>
      <c r="C76" s="710">
        <f t="shared" ref="C76:AE76" si="109">C47+($AH47*(C47/$AF47))</f>
        <v>0</v>
      </c>
      <c r="D76" s="710">
        <f t="shared" si="109"/>
        <v>0</v>
      </c>
      <c r="E76" s="710">
        <f t="shared" si="109"/>
        <v>0</v>
      </c>
      <c r="F76" s="710">
        <f t="shared" si="109"/>
        <v>0</v>
      </c>
      <c r="G76" s="710">
        <f t="shared" si="109"/>
        <v>0</v>
      </c>
      <c r="H76" s="710">
        <f t="shared" si="109"/>
        <v>0</v>
      </c>
      <c r="I76" s="710">
        <f t="shared" si="109"/>
        <v>0</v>
      </c>
      <c r="J76" s="710">
        <f t="shared" si="109"/>
        <v>0</v>
      </c>
      <c r="K76" s="710">
        <f t="shared" si="109"/>
        <v>0</v>
      </c>
      <c r="L76" s="710">
        <f t="shared" si="109"/>
        <v>0</v>
      </c>
      <c r="M76" s="710">
        <f t="shared" si="109"/>
        <v>0</v>
      </c>
      <c r="N76" s="710">
        <f t="shared" si="109"/>
        <v>0</v>
      </c>
      <c r="O76" s="710">
        <f t="shared" si="109"/>
        <v>0</v>
      </c>
      <c r="P76" s="710">
        <f t="shared" si="109"/>
        <v>0</v>
      </c>
      <c r="Q76" s="710">
        <f t="shared" si="109"/>
        <v>0</v>
      </c>
      <c r="R76" s="710">
        <f t="shared" si="109"/>
        <v>0</v>
      </c>
      <c r="S76" s="710">
        <f t="shared" si="109"/>
        <v>509.75473295081946</v>
      </c>
      <c r="T76" s="710">
        <f t="shared" si="109"/>
        <v>0</v>
      </c>
      <c r="U76" s="710">
        <f t="shared" si="109"/>
        <v>110.40211430825144</v>
      </c>
      <c r="V76" s="710">
        <f t="shared" si="109"/>
        <v>5.212498486646286</v>
      </c>
      <c r="W76" s="710">
        <f t="shared" si="109"/>
        <v>0</v>
      </c>
      <c r="X76" s="710">
        <f t="shared" si="109"/>
        <v>0</v>
      </c>
      <c r="Y76" s="710">
        <f t="shared" si="109"/>
        <v>0</v>
      </c>
      <c r="Z76" s="710">
        <f t="shared" si="109"/>
        <v>0</v>
      </c>
      <c r="AA76" s="710">
        <f t="shared" si="109"/>
        <v>251.70426080694926</v>
      </c>
      <c r="AB76" s="710">
        <f t="shared" si="109"/>
        <v>0</v>
      </c>
      <c r="AC76" s="805">
        <f t="shared" si="109"/>
        <v>0</v>
      </c>
      <c r="AD76" s="710">
        <f t="shared" si="109"/>
        <v>2221.9933225380646</v>
      </c>
      <c r="AE76" s="710">
        <f t="shared" si="109"/>
        <v>-24.688582748885764</v>
      </c>
      <c r="AF76" s="709">
        <f t="shared" si="89"/>
        <v>3074.3783463418449</v>
      </c>
      <c r="AG76" s="725">
        <f t="shared" si="90"/>
        <v>3074.3783463418458</v>
      </c>
      <c r="AH76" s="724">
        <f t="shared" si="91"/>
        <v>0</v>
      </c>
      <c r="AI76" s="704" t="str">
        <f t="shared" si="92"/>
        <v>GOOD!</v>
      </c>
      <c r="AJ76" s="756">
        <f t="shared" si="93"/>
        <v>0</v>
      </c>
      <c r="AK76" s="756">
        <f t="shared" si="93"/>
        <v>0</v>
      </c>
      <c r="AL76" s="756">
        <f t="shared" si="93"/>
        <v>0</v>
      </c>
      <c r="AM76" s="754">
        <f t="shared" si="95"/>
        <v>0</v>
      </c>
      <c r="AN76" s="756">
        <f t="shared" si="96"/>
        <v>0</v>
      </c>
    </row>
    <row r="77" spans="1:40" s="708" customFormat="1" x14ac:dyDescent="0.3">
      <c r="A77" s="711" t="s">
        <v>156</v>
      </c>
      <c r="B77" s="701">
        <v>18</v>
      </c>
      <c r="C77" s="710">
        <f t="shared" ref="C77:AE77" si="110">C48+($AH48*(C48/$AF48))</f>
        <v>4.412565219208755</v>
      </c>
      <c r="D77" s="710">
        <f t="shared" si="110"/>
        <v>84.200091053571015</v>
      </c>
      <c r="E77" s="710">
        <f t="shared" si="110"/>
        <v>27.034069979492905</v>
      </c>
      <c r="F77" s="710">
        <f t="shared" si="110"/>
        <v>7.3991231115546947</v>
      </c>
      <c r="G77" s="710">
        <f t="shared" si="110"/>
        <v>22.657755861549433</v>
      </c>
      <c r="H77" s="710">
        <f t="shared" si="110"/>
        <v>11.423478128605547</v>
      </c>
      <c r="I77" s="710">
        <f t="shared" si="110"/>
        <v>6.2803900782792894</v>
      </c>
      <c r="J77" s="710">
        <f t="shared" si="110"/>
        <v>13.24645524146931</v>
      </c>
      <c r="K77" s="710">
        <f t="shared" si="110"/>
        <v>15.150368262903566</v>
      </c>
      <c r="L77" s="710">
        <f t="shared" si="110"/>
        <v>14.866802801894799</v>
      </c>
      <c r="M77" s="710">
        <f t="shared" si="110"/>
        <v>6.2381122510230238</v>
      </c>
      <c r="N77" s="710">
        <f t="shared" si="110"/>
        <v>119.22424584611539</v>
      </c>
      <c r="O77" s="710">
        <f t="shared" si="110"/>
        <v>84.136674312686608</v>
      </c>
      <c r="P77" s="710">
        <f t="shared" si="110"/>
        <v>6.2808375947250079</v>
      </c>
      <c r="Q77" s="710">
        <f t="shared" si="110"/>
        <v>8.4730083986233318</v>
      </c>
      <c r="R77" s="710">
        <f t="shared" si="110"/>
        <v>128.99796718474431</v>
      </c>
      <c r="S77" s="710">
        <f t="shared" si="110"/>
        <v>52.577244546038486</v>
      </c>
      <c r="T77" s="710">
        <f t="shared" si="110"/>
        <v>1192.3460632281137</v>
      </c>
      <c r="U77" s="710">
        <f t="shared" si="110"/>
        <v>1840.9796485092857</v>
      </c>
      <c r="V77" s="710">
        <f t="shared" si="110"/>
        <v>179.73526406192681</v>
      </c>
      <c r="W77" s="710">
        <f t="shared" si="110"/>
        <v>0</v>
      </c>
      <c r="X77" s="710">
        <f t="shared" si="110"/>
        <v>36.522849701103034</v>
      </c>
      <c r="Y77" s="710">
        <f t="shared" si="110"/>
        <v>24.157459605098659</v>
      </c>
      <c r="Z77" s="710">
        <f t="shared" si="110"/>
        <v>2.5746388576093993</v>
      </c>
      <c r="AA77" s="710">
        <f t="shared" si="110"/>
        <v>3165.4594929600194</v>
      </c>
      <c r="AB77" s="710">
        <f t="shared" si="110"/>
        <v>0</v>
      </c>
      <c r="AC77" s="805">
        <f t="shared" si="110"/>
        <v>0</v>
      </c>
      <c r="AD77" s="710">
        <f t="shared" si="110"/>
        <v>0</v>
      </c>
      <c r="AE77" s="710">
        <f t="shared" si="110"/>
        <v>-3.5788767308521692</v>
      </c>
      <c r="AF77" s="709">
        <f t="shared" si="89"/>
        <v>7050.7957300647895</v>
      </c>
      <c r="AG77" s="725">
        <f t="shared" si="90"/>
        <v>7050.7957300647904</v>
      </c>
      <c r="AH77" s="724">
        <f t="shared" si="91"/>
        <v>0</v>
      </c>
      <c r="AI77" s="704" t="str">
        <f t="shared" si="92"/>
        <v>GOOD!</v>
      </c>
      <c r="AJ77" s="756">
        <f t="shared" si="93"/>
        <v>0</v>
      </c>
      <c r="AK77" s="756">
        <f t="shared" si="93"/>
        <v>0</v>
      </c>
      <c r="AL77" s="756">
        <f t="shared" si="93"/>
        <v>0</v>
      </c>
      <c r="AM77" s="754">
        <f t="shared" si="95"/>
        <v>0</v>
      </c>
      <c r="AN77" s="756">
        <f t="shared" si="96"/>
        <v>0</v>
      </c>
    </row>
    <row r="78" spans="1:40" s="708" customFormat="1" x14ac:dyDescent="0.3">
      <c r="A78" s="711" t="s">
        <v>311</v>
      </c>
      <c r="B78" s="701">
        <v>19</v>
      </c>
      <c r="C78" s="710">
        <f t="shared" ref="C78:AE78" si="111">C49+($AH49*(C49/$AF49))</f>
        <v>342.1306271921523</v>
      </c>
      <c r="D78" s="710">
        <f t="shared" si="111"/>
        <v>1161.0195813990194</v>
      </c>
      <c r="E78" s="710">
        <f t="shared" si="111"/>
        <v>818.09263209369624</v>
      </c>
      <c r="F78" s="710">
        <f t="shared" si="111"/>
        <v>105.37524745753845</v>
      </c>
      <c r="G78" s="710">
        <f t="shared" si="111"/>
        <v>246.66229263693495</v>
      </c>
      <c r="H78" s="710">
        <f t="shared" si="111"/>
        <v>217.56479796196879</v>
      </c>
      <c r="I78" s="710">
        <f t="shared" si="111"/>
        <v>63.254724904522888</v>
      </c>
      <c r="J78" s="710">
        <f t="shared" si="111"/>
        <v>154.72314953463462</v>
      </c>
      <c r="K78" s="710">
        <f t="shared" si="111"/>
        <v>214.85262366461521</v>
      </c>
      <c r="L78" s="710">
        <f t="shared" si="111"/>
        <v>263.93560329728081</v>
      </c>
      <c r="M78" s="710">
        <f t="shared" si="111"/>
        <v>110.63381194143565</v>
      </c>
      <c r="N78" s="710">
        <f t="shared" si="111"/>
        <v>6946.784084885483</v>
      </c>
      <c r="O78" s="710">
        <f t="shared" si="111"/>
        <v>2543.5336957607183</v>
      </c>
      <c r="P78" s="710">
        <f t="shared" si="111"/>
        <v>200.85054739252001</v>
      </c>
      <c r="Q78" s="710">
        <f t="shared" si="111"/>
        <v>167.4022274286655</v>
      </c>
      <c r="R78" s="710">
        <f t="shared" si="111"/>
        <v>830.37455950485241</v>
      </c>
      <c r="S78" s="710">
        <f t="shared" si="111"/>
        <v>414.92106895963366</v>
      </c>
      <c r="T78" s="710">
        <f t="shared" si="111"/>
        <v>330.14277382245933</v>
      </c>
      <c r="U78" s="710">
        <f t="shared" si="111"/>
        <v>30365.549240633409</v>
      </c>
      <c r="V78" s="710">
        <f t="shared" si="111"/>
        <v>2944.3809204180525</v>
      </c>
      <c r="W78" s="710">
        <f t="shared" si="111"/>
        <v>0.86202308733407174</v>
      </c>
      <c r="X78" s="710">
        <f t="shared" si="111"/>
        <v>327.63632926754002</v>
      </c>
      <c r="Y78" s="710">
        <f t="shared" si="111"/>
        <v>519.20293125205467</v>
      </c>
      <c r="Z78" s="710">
        <f t="shared" si="111"/>
        <v>86.208594756938595</v>
      </c>
      <c r="AA78" s="710">
        <f t="shared" si="111"/>
        <v>3899.0005592224188</v>
      </c>
      <c r="AB78" s="710">
        <f t="shared" si="111"/>
        <v>323.6246833559544</v>
      </c>
      <c r="AC78" s="805">
        <f t="shared" si="111"/>
        <v>5720.5604125923155</v>
      </c>
      <c r="AD78" s="710">
        <f t="shared" si="111"/>
        <v>0</v>
      </c>
      <c r="AE78" s="710">
        <f t="shared" si="111"/>
        <v>28.477804468538267</v>
      </c>
      <c r="AF78" s="709">
        <f t="shared" si="89"/>
        <v>59347.757548892674</v>
      </c>
      <c r="AG78" s="725">
        <f t="shared" si="90"/>
        <v>59347.757548892689</v>
      </c>
      <c r="AH78" s="724">
        <f t="shared" si="91"/>
        <v>0</v>
      </c>
      <c r="AI78" s="704" t="str">
        <f t="shared" si="92"/>
        <v>GOOD!</v>
      </c>
      <c r="AJ78" s="756">
        <f t="shared" si="93"/>
        <v>3652.4957341676609</v>
      </c>
      <c r="AK78" s="756">
        <f t="shared" si="93"/>
        <v>1719.4873027290466</v>
      </c>
      <c r="AL78" s="756">
        <f t="shared" si="93"/>
        <v>348.57737569560805</v>
      </c>
      <c r="AM78" s="754">
        <f t="shared" si="95"/>
        <v>0</v>
      </c>
      <c r="AN78" s="756">
        <f t="shared" si="96"/>
        <v>4001.0731098632691</v>
      </c>
    </row>
    <row r="79" spans="1:40" s="708" customFormat="1" x14ac:dyDescent="0.3">
      <c r="A79" s="711" t="s">
        <v>312</v>
      </c>
      <c r="B79" s="701">
        <v>20</v>
      </c>
      <c r="C79" s="710">
        <v>0</v>
      </c>
      <c r="D79" s="710">
        <v>0</v>
      </c>
      <c r="E79" s="710">
        <v>0</v>
      </c>
      <c r="F79" s="710">
        <v>0</v>
      </c>
      <c r="G79" s="710">
        <v>0</v>
      </c>
      <c r="H79" s="710">
        <v>0</v>
      </c>
      <c r="I79" s="710">
        <v>0</v>
      </c>
      <c r="J79" s="710">
        <v>0</v>
      </c>
      <c r="K79" s="710">
        <v>0</v>
      </c>
      <c r="L79" s="710">
        <v>0</v>
      </c>
      <c r="M79" s="710">
        <v>0</v>
      </c>
      <c r="N79" s="710">
        <v>0</v>
      </c>
      <c r="O79" s="710">
        <v>0</v>
      </c>
      <c r="P79" s="710">
        <v>0</v>
      </c>
      <c r="Q79" s="710">
        <v>0</v>
      </c>
      <c r="R79" s="710">
        <v>0</v>
      </c>
      <c r="S79" s="710">
        <v>0</v>
      </c>
      <c r="T79" s="710">
        <v>0</v>
      </c>
      <c r="U79" s="710">
        <v>0</v>
      </c>
      <c r="V79" s="710">
        <v>0</v>
      </c>
      <c r="W79" s="710">
        <v>0</v>
      </c>
      <c r="X79" s="710">
        <v>0</v>
      </c>
      <c r="Y79" s="710">
        <v>0</v>
      </c>
      <c r="Z79" s="710">
        <v>0</v>
      </c>
      <c r="AA79" s="710">
        <v>0</v>
      </c>
      <c r="AB79" s="710">
        <v>0</v>
      </c>
      <c r="AC79" s="805">
        <v>0</v>
      </c>
      <c r="AD79" s="710">
        <v>0</v>
      </c>
      <c r="AE79" s="710">
        <v>0</v>
      </c>
      <c r="AF79" s="709">
        <f t="shared" si="89"/>
        <v>0</v>
      </c>
      <c r="AG79" s="725">
        <f t="shared" si="90"/>
        <v>0</v>
      </c>
      <c r="AH79" s="724">
        <f t="shared" si="91"/>
        <v>0</v>
      </c>
      <c r="AI79" s="704" t="str">
        <f t="shared" si="92"/>
        <v>GOOD!</v>
      </c>
      <c r="AJ79" s="756">
        <f t="shared" si="93"/>
        <v>0</v>
      </c>
      <c r="AK79" s="756">
        <f t="shared" si="93"/>
        <v>0</v>
      </c>
      <c r="AL79" s="756">
        <f t="shared" si="93"/>
        <v>0</v>
      </c>
      <c r="AM79" s="754">
        <f t="shared" si="95"/>
        <v>0</v>
      </c>
      <c r="AN79" s="756">
        <f t="shared" si="96"/>
        <v>0</v>
      </c>
    </row>
    <row r="80" spans="1:40" s="708" customFormat="1" x14ac:dyDescent="0.3">
      <c r="A80" s="711" t="s">
        <v>144</v>
      </c>
      <c r="B80" s="701">
        <v>21</v>
      </c>
      <c r="C80" s="710">
        <f t="shared" ref="C80:AE80" si="112">C51+($AH51*(C51/$AF51))</f>
        <v>0</v>
      </c>
      <c r="D80" s="710">
        <f t="shared" si="112"/>
        <v>0</v>
      </c>
      <c r="E80" s="710">
        <f t="shared" si="112"/>
        <v>0</v>
      </c>
      <c r="F80" s="710">
        <f t="shared" si="112"/>
        <v>0</v>
      </c>
      <c r="G80" s="710">
        <f t="shared" si="112"/>
        <v>1.8565015065569535</v>
      </c>
      <c r="H80" s="710">
        <f t="shared" si="112"/>
        <v>6.4977552729493366</v>
      </c>
      <c r="I80" s="710">
        <f t="shared" si="112"/>
        <v>9.2825075327847664</v>
      </c>
      <c r="J80" s="710">
        <f t="shared" si="112"/>
        <v>2.7847522598354302</v>
      </c>
      <c r="K80" s="710">
        <f t="shared" si="112"/>
        <v>0</v>
      </c>
      <c r="L80" s="710">
        <f t="shared" si="112"/>
        <v>352.7352862458211</v>
      </c>
      <c r="M80" s="710">
        <f t="shared" si="112"/>
        <v>0</v>
      </c>
      <c r="N80" s="710">
        <f t="shared" si="112"/>
        <v>451.15600154311335</v>
      </c>
      <c r="O80" s="710">
        <f t="shared" si="112"/>
        <v>0</v>
      </c>
      <c r="P80" s="710">
        <f t="shared" si="112"/>
        <v>0</v>
      </c>
      <c r="Q80" s="710">
        <f t="shared" si="112"/>
        <v>0</v>
      </c>
      <c r="R80" s="710">
        <f t="shared" si="112"/>
        <v>0</v>
      </c>
      <c r="S80" s="710">
        <f t="shared" si="112"/>
        <v>0</v>
      </c>
      <c r="T80" s="710">
        <f t="shared" si="112"/>
        <v>0</v>
      </c>
      <c r="U80" s="710">
        <f t="shared" si="112"/>
        <v>34.32573738108065</v>
      </c>
      <c r="V80" s="710">
        <f t="shared" si="112"/>
        <v>98.394579847518543</v>
      </c>
      <c r="W80" s="710">
        <f t="shared" si="112"/>
        <v>4.6412537663923841</v>
      </c>
      <c r="X80" s="710">
        <f t="shared" si="112"/>
        <v>0</v>
      </c>
      <c r="Y80" s="710">
        <f t="shared" si="112"/>
        <v>672.05354537361711</v>
      </c>
      <c r="Z80" s="710">
        <f t="shared" si="112"/>
        <v>43.627785404088407</v>
      </c>
      <c r="AA80" s="710">
        <f t="shared" si="112"/>
        <v>60.336298963100987</v>
      </c>
      <c r="AB80" s="710">
        <f t="shared" si="112"/>
        <v>0</v>
      </c>
      <c r="AC80" s="805">
        <f t="shared" si="112"/>
        <v>0</v>
      </c>
      <c r="AD80" s="710">
        <f t="shared" si="112"/>
        <v>0</v>
      </c>
      <c r="AE80" s="710">
        <f t="shared" si="112"/>
        <v>-24.063182230104644</v>
      </c>
      <c r="AF80" s="709">
        <f t="shared" si="89"/>
        <v>1713.6288228667545</v>
      </c>
      <c r="AG80" s="725">
        <f t="shared" si="90"/>
        <v>1713.6288228667543</v>
      </c>
      <c r="AH80" s="724">
        <f t="shared" si="91"/>
        <v>0</v>
      </c>
      <c r="AI80" s="704" t="str">
        <f t="shared" si="92"/>
        <v>GOOD!</v>
      </c>
      <c r="AJ80" s="756">
        <f t="shared" si="93"/>
        <v>0</v>
      </c>
      <c r="AK80" s="756">
        <f t="shared" si="93"/>
        <v>0</v>
      </c>
      <c r="AL80" s="756">
        <f t="shared" si="93"/>
        <v>0</v>
      </c>
      <c r="AM80" s="754">
        <f t="shared" si="95"/>
        <v>0</v>
      </c>
      <c r="AN80" s="756">
        <f t="shared" si="96"/>
        <v>0</v>
      </c>
    </row>
    <row r="81" spans="1:42" s="708" customFormat="1" x14ac:dyDescent="0.3">
      <c r="A81" s="711" t="s">
        <v>148</v>
      </c>
      <c r="B81" s="701">
        <v>22</v>
      </c>
      <c r="C81" s="710">
        <f t="shared" ref="C81:W81" si="113">C52+($AH52*(C52/($AF$52-$X$52-$Z$52)))</f>
        <v>1543.0503334573627</v>
      </c>
      <c r="D81" s="710">
        <f t="shared" si="113"/>
        <v>386.25325060342027</v>
      </c>
      <c r="E81" s="710">
        <f t="shared" si="113"/>
        <v>186.45355085022828</v>
      </c>
      <c r="F81" s="710">
        <f t="shared" si="113"/>
        <v>35.720575004991105</v>
      </c>
      <c r="G81" s="710">
        <f t="shared" si="113"/>
        <v>209.2205107435193</v>
      </c>
      <c r="H81" s="710">
        <f t="shared" si="113"/>
        <v>79.291825835254969</v>
      </c>
      <c r="I81" s="710">
        <f t="shared" si="113"/>
        <v>57.491822702683216</v>
      </c>
      <c r="J81" s="710">
        <f t="shared" si="113"/>
        <v>3113.9728011778207</v>
      </c>
      <c r="K81" s="710">
        <f t="shared" si="113"/>
        <v>65.945676932291263</v>
      </c>
      <c r="L81" s="710">
        <f t="shared" si="113"/>
        <v>0</v>
      </c>
      <c r="M81" s="710">
        <f t="shared" si="113"/>
        <v>0</v>
      </c>
      <c r="N81" s="710">
        <f t="shared" si="113"/>
        <v>1159.1522856015245</v>
      </c>
      <c r="O81" s="710">
        <f t="shared" si="113"/>
        <v>1482.9926633940258</v>
      </c>
      <c r="P81" s="710">
        <f t="shared" si="113"/>
        <v>47.496588742900251</v>
      </c>
      <c r="Q81" s="710">
        <f t="shared" si="113"/>
        <v>552.29504430793929</v>
      </c>
      <c r="R81" s="710">
        <f t="shared" si="113"/>
        <v>2688.8564701559235</v>
      </c>
      <c r="S81" s="710">
        <f t="shared" si="113"/>
        <v>373.29963549172021</v>
      </c>
      <c r="T81" s="710">
        <f t="shared" si="113"/>
        <v>965.24059271728697</v>
      </c>
      <c r="U81" s="710">
        <f t="shared" si="113"/>
        <v>7536.6487922618589</v>
      </c>
      <c r="V81" s="710">
        <f t="shared" si="113"/>
        <v>732.86058828921307</v>
      </c>
      <c r="W81" s="710">
        <f t="shared" si="113"/>
        <v>0</v>
      </c>
      <c r="X81" s="710">
        <f>X52</f>
        <v>28259.190460535261</v>
      </c>
      <c r="Y81" s="710">
        <f>Y52+($AH52*(Y52/($AF$52-$X$52-$Z$52)))</f>
        <v>192.34155771918284</v>
      </c>
      <c r="Z81" s="710">
        <f>Z52</f>
        <v>5834.7188551158633</v>
      </c>
      <c r="AA81" s="710">
        <f>AA52+($AH52*(AA52/($AF$52-$X$52-$Z$52)))</f>
        <v>17170.213097454074</v>
      </c>
      <c r="AB81" s="710">
        <f>AB52+($AH52*(AB52/($AF$52-$X$52-$Z$52)))</f>
        <v>0</v>
      </c>
      <c r="AC81" s="805">
        <f>AC52+($AH52*(AC52/($AF$52-$X$52-$Z$52)))</f>
        <v>0</v>
      </c>
      <c r="AD81" s="710">
        <f>AD52+($AH52*(AD52/($AF$52-$X$52-$Z$52)))</f>
        <v>1252.3042285917202</v>
      </c>
      <c r="AE81" s="710">
        <f>AE52+($AH52*(AE52/($AF$52-$X$52-$Z$52)))</f>
        <v>-138.85862143498323</v>
      </c>
      <c r="AF81" s="709">
        <f t="shared" si="89"/>
        <v>73786.152586251075</v>
      </c>
      <c r="AG81" s="725">
        <f t="shared" si="90"/>
        <v>73786.152586251075</v>
      </c>
      <c r="AH81" s="724">
        <f t="shared" si="91"/>
        <v>0</v>
      </c>
      <c r="AI81" s="704" t="str">
        <f t="shared" si="92"/>
        <v>GOOD!</v>
      </c>
      <c r="AJ81" s="756">
        <f t="shared" si="93"/>
        <v>0</v>
      </c>
      <c r="AK81" s="756">
        <f t="shared" si="93"/>
        <v>0</v>
      </c>
      <c r="AL81" s="756">
        <f t="shared" si="93"/>
        <v>0</v>
      </c>
      <c r="AM81" s="754">
        <f t="shared" si="95"/>
        <v>0</v>
      </c>
      <c r="AN81" s="756">
        <f t="shared" si="96"/>
        <v>0</v>
      </c>
    </row>
    <row r="82" spans="1:42" s="708" customFormat="1" x14ac:dyDescent="0.3">
      <c r="A82" s="711" t="s">
        <v>149</v>
      </c>
      <c r="B82" s="701">
        <v>23</v>
      </c>
      <c r="C82" s="710">
        <f t="shared" ref="C82:AE82" si="114">C53+($AH53*(C53/$AF53))</f>
        <v>0</v>
      </c>
      <c r="D82" s="710">
        <f t="shared" si="114"/>
        <v>0</v>
      </c>
      <c r="E82" s="710">
        <f t="shared" si="114"/>
        <v>0</v>
      </c>
      <c r="F82" s="710">
        <f t="shared" si="114"/>
        <v>0</v>
      </c>
      <c r="G82" s="710">
        <f t="shared" si="114"/>
        <v>0</v>
      </c>
      <c r="H82" s="710">
        <f t="shared" si="114"/>
        <v>0</v>
      </c>
      <c r="I82" s="710">
        <f t="shared" si="114"/>
        <v>0</v>
      </c>
      <c r="J82" s="710">
        <f t="shared" si="114"/>
        <v>0</v>
      </c>
      <c r="K82" s="710">
        <f t="shared" si="114"/>
        <v>0</v>
      </c>
      <c r="L82" s="710">
        <f t="shared" si="114"/>
        <v>0</v>
      </c>
      <c r="M82" s="710">
        <f t="shared" si="114"/>
        <v>0</v>
      </c>
      <c r="N82" s="710">
        <f t="shared" si="114"/>
        <v>0</v>
      </c>
      <c r="O82" s="710">
        <f t="shared" si="114"/>
        <v>0</v>
      </c>
      <c r="P82" s="710">
        <f t="shared" si="114"/>
        <v>0</v>
      </c>
      <c r="Q82" s="710">
        <f t="shared" si="114"/>
        <v>0</v>
      </c>
      <c r="R82" s="710">
        <f t="shared" si="114"/>
        <v>0</v>
      </c>
      <c r="S82" s="710">
        <f t="shared" si="114"/>
        <v>0</v>
      </c>
      <c r="T82" s="710">
        <f t="shared" si="114"/>
        <v>0</v>
      </c>
      <c r="U82" s="710">
        <f t="shared" si="114"/>
        <v>0</v>
      </c>
      <c r="V82" s="710">
        <f t="shared" si="114"/>
        <v>0</v>
      </c>
      <c r="W82" s="710">
        <f t="shared" si="114"/>
        <v>0</v>
      </c>
      <c r="X82" s="710">
        <f t="shared" si="114"/>
        <v>0</v>
      </c>
      <c r="Y82" s="710">
        <f t="shared" si="114"/>
        <v>0</v>
      </c>
      <c r="Z82" s="710">
        <f t="shared" si="114"/>
        <v>0</v>
      </c>
      <c r="AA82" s="710">
        <f t="shared" si="114"/>
        <v>574.54496242312166</v>
      </c>
      <c r="AB82" s="710">
        <f t="shared" si="114"/>
        <v>0</v>
      </c>
      <c r="AC82" s="805">
        <f t="shared" si="114"/>
        <v>0</v>
      </c>
      <c r="AD82" s="710">
        <f t="shared" si="114"/>
        <v>51.564300215066581</v>
      </c>
      <c r="AE82" s="710">
        <f t="shared" si="114"/>
        <v>0</v>
      </c>
      <c r="AF82" s="709">
        <f t="shared" si="89"/>
        <v>626.10926263818828</v>
      </c>
      <c r="AG82" s="725">
        <f t="shared" si="90"/>
        <v>626.10926263818828</v>
      </c>
      <c r="AH82" s="724">
        <f t="shared" si="91"/>
        <v>0</v>
      </c>
      <c r="AI82" s="704" t="str">
        <f t="shared" si="92"/>
        <v>GOOD!</v>
      </c>
      <c r="AJ82" s="756">
        <f t="shared" si="93"/>
        <v>0</v>
      </c>
      <c r="AK82" s="756">
        <f t="shared" si="93"/>
        <v>0</v>
      </c>
      <c r="AL82" s="756">
        <f t="shared" si="93"/>
        <v>0</v>
      </c>
      <c r="AM82" s="754">
        <f t="shared" si="95"/>
        <v>0</v>
      </c>
      <c r="AN82" s="756">
        <f t="shared" si="96"/>
        <v>0</v>
      </c>
    </row>
    <row r="83" spans="1:42" s="708" customFormat="1" x14ac:dyDescent="0.3">
      <c r="A83" s="711" t="s">
        <v>150</v>
      </c>
      <c r="B83" s="701">
        <v>24</v>
      </c>
      <c r="C83" s="710">
        <f t="shared" ref="C83:AE83" si="115">C54+($AH54*(C54/$AF54))</f>
        <v>0</v>
      </c>
      <c r="D83" s="710">
        <f t="shared" si="115"/>
        <v>0</v>
      </c>
      <c r="E83" s="710">
        <f t="shared" si="115"/>
        <v>0</v>
      </c>
      <c r="F83" s="710">
        <f t="shared" si="115"/>
        <v>0</v>
      </c>
      <c r="G83" s="710">
        <f t="shared" si="115"/>
        <v>0</v>
      </c>
      <c r="H83" s="710">
        <f t="shared" si="115"/>
        <v>0</v>
      </c>
      <c r="I83" s="710">
        <f t="shared" si="115"/>
        <v>37.152894641573283</v>
      </c>
      <c r="J83" s="710">
        <f t="shared" si="115"/>
        <v>58.851145344522152</v>
      </c>
      <c r="K83" s="710">
        <f t="shared" si="115"/>
        <v>0</v>
      </c>
      <c r="L83" s="710">
        <f t="shared" si="115"/>
        <v>0</v>
      </c>
      <c r="M83" s="710">
        <f t="shared" si="115"/>
        <v>0</v>
      </c>
      <c r="N83" s="710">
        <f t="shared" si="115"/>
        <v>0</v>
      </c>
      <c r="O83" s="710">
        <f t="shared" si="115"/>
        <v>0</v>
      </c>
      <c r="P83" s="710">
        <f t="shared" si="115"/>
        <v>0</v>
      </c>
      <c r="Q83" s="710">
        <f t="shared" si="115"/>
        <v>0</v>
      </c>
      <c r="R83" s="710">
        <f t="shared" si="115"/>
        <v>0</v>
      </c>
      <c r="S83" s="710">
        <f t="shared" si="115"/>
        <v>0</v>
      </c>
      <c r="T83" s="710">
        <f t="shared" si="115"/>
        <v>0</v>
      </c>
      <c r="U83" s="710">
        <f t="shared" si="115"/>
        <v>0</v>
      </c>
      <c r="V83" s="710">
        <f t="shared" si="115"/>
        <v>0</v>
      </c>
      <c r="W83" s="710">
        <f t="shared" si="115"/>
        <v>0</v>
      </c>
      <c r="X83" s="710">
        <f t="shared" si="115"/>
        <v>6964.7659616906594</v>
      </c>
      <c r="Y83" s="710">
        <f t="shared" si="115"/>
        <v>0</v>
      </c>
      <c r="Z83" s="710">
        <f t="shared" si="115"/>
        <v>5367.3052480040697</v>
      </c>
      <c r="AA83" s="710">
        <f t="shared" si="115"/>
        <v>0</v>
      </c>
      <c r="AB83" s="710">
        <f t="shared" si="115"/>
        <v>0</v>
      </c>
      <c r="AC83" s="805">
        <f t="shared" si="115"/>
        <v>0</v>
      </c>
      <c r="AD83" s="710">
        <f t="shared" si="115"/>
        <v>0</v>
      </c>
      <c r="AE83" s="710">
        <f t="shared" si="115"/>
        <v>-0.71245941570003879</v>
      </c>
      <c r="AF83" s="709">
        <f t="shared" si="89"/>
        <v>12427.362790265124</v>
      </c>
      <c r="AG83" s="725">
        <f t="shared" si="90"/>
        <v>12427.362790265124</v>
      </c>
      <c r="AH83" s="724">
        <f t="shared" si="91"/>
        <v>0</v>
      </c>
      <c r="AI83" s="704" t="str">
        <f t="shared" si="92"/>
        <v>GOOD!</v>
      </c>
      <c r="AJ83" s="756">
        <f t="shared" si="93"/>
        <v>0</v>
      </c>
      <c r="AK83" s="756">
        <f t="shared" si="93"/>
        <v>0</v>
      </c>
      <c r="AL83" s="756">
        <f t="shared" si="93"/>
        <v>0</v>
      </c>
      <c r="AM83" s="754">
        <f t="shared" si="95"/>
        <v>0</v>
      </c>
      <c r="AN83" s="756">
        <f t="shared" si="96"/>
        <v>0</v>
      </c>
    </row>
    <row r="84" spans="1:42" s="758" customFormat="1" x14ac:dyDescent="0.3">
      <c r="A84" s="758" t="s">
        <v>65</v>
      </c>
      <c r="B84" s="759"/>
      <c r="C84" s="758">
        <f t="shared" ref="C84:AG84" si="116">SUM(C60:C83)</f>
        <v>8539.81848256579</v>
      </c>
      <c r="D84" s="758">
        <f t="shared" si="116"/>
        <v>11322.119836256086</v>
      </c>
      <c r="E84" s="758">
        <f t="shared" si="116"/>
        <v>25128.693198445508</v>
      </c>
      <c r="F84" s="758">
        <f t="shared" si="116"/>
        <v>940.07887295935166</v>
      </c>
      <c r="G84" s="758">
        <f t="shared" si="116"/>
        <v>2424.1027153803825</v>
      </c>
      <c r="H84" s="758">
        <f t="shared" si="116"/>
        <v>4552.2347959167391</v>
      </c>
      <c r="I84" s="758">
        <f t="shared" si="116"/>
        <v>1538.314464464122</v>
      </c>
      <c r="J84" s="758">
        <f t="shared" si="116"/>
        <v>8252.412448787094</v>
      </c>
      <c r="K84" s="758">
        <f t="shared" si="116"/>
        <v>8132.9631217542128</v>
      </c>
      <c r="L84" s="758">
        <f t="shared" si="116"/>
        <v>7288.8873353822546</v>
      </c>
      <c r="M84" s="758">
        <f t="shared" si="116"/>
        <v>5124.2309739012817</v>
      </c>
      <c r="N84" s="758">
        <f t="shared" si="116"/>
        <v>94626.670190123594</v>
      </c>
      <c r="O84" s="758">
        <f t="shared" si="116"/>
        <v>20026.877921949395</v>
      </c>
      <c r="P84" s="758">
        <f t="shared" si="116"/>
        <v>298.00444472416058</v>
      </c>
      <c r="Q84" s="758">
        <f t="shared" si="116"/>
        <v>858.32673088637307</v>
      </c>
      <c r="R84" s="758">
        <f t="shared" si="116"/>
        <v>5202.7365003858367</v>
      </c>
      <c r="S84" s="758">
        <f t="shared" si="116"/>
        <v>1566.3922957938482</v>
      </c>
      <c r="T84" s="758">
        <f t="shared" si="116"/>
        <v>3184.5105270431923</v>
      </c>
      <c r="U84" s="758">
        <f t="shared" si="116"/>
        <v>75547.007149448618</v>
      </c>
      <c r="V84" s="758">
        <f t="shared" si="116"/>
        <v>12689.253203492093</v>
      </c>
      <c r="W84" s="758">
        <f t="shared" si="116"/>
        <v>5.5032768537264563</v>
      </c>
      <c r="X84" s="758">
        <f t="shared" si="116"/>
        <v>37111.405896787022</v>
      </c>
      <c r="Y84" s="758">
        <f t="shared" si="116"/>
        <v>2454.7967274676867</v>
      </c>
      <c r="Z84" s="758">
        <f t="shared" si="116"/>
        <v>11396.544769845546</v>
      </c>
      <c r="AA84" s="758">
        <f t="shared" si="116"/>
        <v>186672.46319052312</v>
      </c>
      <c r="AB84" s="758">
        <f t="shared" si="116"/>
        <v>11312.133295937938</v>
      </c>
      <c r="AC84" s="758">
        <f t="shared" si="116"/>
        <v>51908.354272455901</v>
      </c>
      <c r="AD84" s="758">
        <f t="shared" si="116"/>
        <v>26504.514642195307</v>
      </c>
      <c r="AE84" s="758">
        <f t="shared" si="116"/>
        <v>1047.575669898506</v>
      </c>
      <c r="AF84" s="758">
        <f t="shared" si="116"/>
        <v>625656.92695162445</v>
      </c>
      <c r="AG84" s="760">
        <f t="shared" si="116"/>
        <v>625656.92695162457</v>
      </c>
      <c r="AH84" s="760">
        <f t="shared" si="91"/>
        <v>0</v>
      </c>
      <c r="AI84" s="761" t="str">
        <f t="shared" si="92"/>
        <v>GOOD!</v>
      </c>
      <c r="AJ84" s="762">
        <f>SUM(AJ60:AJ83)</f>
        <v>45659.191276996069</v>
      </c>
      <c r="AK84" s="762">
        <f>SUM(AK60:AK83)</f>
        <v>1719.4873027290466</v>
      </c>
      <c r="AL84" s="762">
        <f>SUM(AL60:AL83)</f>
        <v>4529.6756927307852</v>
      </c>
      <c r="AM84" s="763">
        <f t="shared" si="95"/>
        <v>0</v>
      </c>
      <c r="AN84" s="762">
        <f t="shared" si="96"/>
        <v>50188.866969726856</v>
      </c>
    </row>
    <row r="85" spans="1:42" s="737" customFormat="1" x14ac:dyDescent="0.3">
      <c r="A85" s="734"/>
      <c r="B85" s="749"/>
    </row>
    <row r="86" spans="1:42" s="737" customFormat="1" x14ac:dyDescent="0.3">
      <c r="A86" s="734"/>
      <c r="B86" s="749"/>
    </row>
    <row r="87" spans="1:42" x14ac:dyDescent="0.3">
      <c r="AH87" s="715"/>
      <c r="AN87" s="699" t="s">
        <v>911</v>
      </c>
    </row>
    <row r="88" spans="1:42" x14ac:dyDescent="0.3">
      <c r="A88" s="716" t="s">
        <v>843</v>
      </c>
      <c r="AH88" s="715"/>
      <c r="AJ88" s="699" t="s">
        <v>849</v>
      </c>
      <c r="AK88" s="699" t="s">
        <v>849</v>
      </c>
      <c r="AL88" s="699" t="s">
        <v>849</v>
      </c>
      <c r="AN88" s="699" t="s">
        <v>849</v>
      </c>
    </row>
    <row r="89" spans="1:42" x14ac:dyDescent="0.3">
      <c r="A89" s="702" t="s">
        <v>1</v>
      </c>
      <c r="B89" s="701" t="s">
        <v>842</v>
      </c>
      <c r="C89" s="714"/>
      <c r="D89" s="714"/>
      <c r="E89" s="714"/>
      <c r="F89" s="714"/>
      <c r="G89" s="714"/>
      <c r="H89" s="714"/>
      <c r="I89" s="714"/>
      <c r="J89" s="714"/>
      <c r="K89" s="714"/>
      <c r="L89" s="714"/>
      <c r="M89" s="714"/>
      <c r="N89" s="714"/>
      <c r="O89" s="714"/>
      <c r="P89" s="714"/>
      <c r="Q89" s="714"/>
      <c r="R89" s="714"/>
      <c r="S89" s="714"/>
      <c r="T89" s="714"/>
      <c r="U89" s="714"/>
      <c r="V89" s="714"/>
      <c r="W89" s="714"/>
      <c r="X89" s="714"/>
      <c r="Y89" s="714"/>
      <c r="Z89" s="714"/>
      <c r="AA89" s="714"/>
      <c r="AB89" s="714"/>
      <c r="AC89" s="714"/>
      <c r="AD89" s="714"/>
      <c r="AE89" s="714"/>
      <c r="AF89" s="713"/>
      <c r="AG89" s="712" t="s">
        <v>841</v>
      </c>
      <c r="AH89" s="712"/>
      <c r="AI89" s="712"/>
      <c r="AJ89" s="699" t="s">
        <v>578</v>
      </c>
      <c r="AK89" s="699" t="s">
        <v>579</v>
      </c>
      <c r="AL89" s="699" t="s">
        <v>25</v>
      </c>
      <c r="AM89" s="728" t="s">
        <v>580</v>
      </c>
      <c r="AN89" s="699" t="s">
        <v>910</v>
      </c>
    </row>
    <row r="90" spans="1:42" s="708" customFormat="1" x14ac:dyDescent="0.3">
      <c r="A90" s="711" t="s">
        <v>313</v>
      </c>
      <c r="B90" s="701">
        <v>1</v>
      </c>
      <c r="C90" s="710">
        <f t="shared" ref="C90:AE90" si="117">C121-C60</f>
        <v>13573.223309640254</v>
      </c>
      <c r="D90" s="710">
        <f t="shared" si="117"/>
        <v>28848.660713585366</v>
      </c>
      <c r="E90" s="710">
        <f t="shared" si="117"/>
        <v>0</v>
      </c>
      <c r="F90" s="710">
        <f t="shared" si="117"/>
        <v>0</v>
      </c>
      <c r="G90" s="710">
        <f t="shared" si="117"/>
        <v>0</v>
      </c>
      <c r="H90" s="710">
        <f t="shared" si="117"/>
        <v>214.66055252745522</v>
      </c>
      <c r="I90" s="710">
        <f t="shared" si="117"/>
        <v>0</v>
      </c>
      <c r="J90" s="710">
        <f t="shared" si="117"/>
        <v>39.678359289674205</v>
      </c>
      <c r="K90" s="710">
        <f t="shared" si="117"/>
        <v>0</v>
      </c>
      <c r="L90" s="710">
        <f t="shared" si="117"/>
        <v>0</v>
      </c>
      <c r="M90" s="710">
        <f t="shared" si="117"/>
        <v>0</v>
      </c>
      <c r="N90" s="710">
        <f t="shared" si="117"/>
        <v>2735.6135096001335</v>
      </c>
      <c r="O90" s="710">
        <f t="shared" si="117"/>
        <v>1776.1356356156325</v>
      </c>
      <c r="P90" s="710">
        <f t="shared" si="117"/>
        <v>0</v>
      </c>
      <c r="Q90" s="710">
        <f t="shared" si="117"/>
        <v>0</v>
      </c>
      <c r="R90" s="710">
        <f t="shared" si="117"/>
        <v>0</v>
      </c>
      <c r="S90" s="710">
        <f t="shared" si="117"/>
        <v>15.790377390946706</v>
      </c>
      <c r="T90" s="710">
        <f t="shared" si="117"/>
        <v>0</v>
      </c>
      <c r="U90" s="710">
        <f t="shared" si="117"/>
        <v>2044.8983702864177</v>
      </c>
      <c r="V90" s="710">
        <f t="shared" si="117"/>
        <v>516.56647292495745</v>
      </c>
      <c r="W90" s="710">
        <f t="shared" si="117"/>
        <v>0</v>
      </c>
      <c r="X90" s="710">
        <f t="shared" si="117"/>
        <v>0</v>
      </c>
      <c r="Y90" s="710">
        <f t="shared" si="117"/>
        <v>238.60068193153305</v>
      </c>
      <c r="Z90" s="710">
        <f t="shared" si="117"/>
        <v>0</v>
      </c>
      <c r="AA90" s="710">
        <f t="shared" si="117"/>
        <v>22327.357760493287</v>
      </c>
      <c r="AB90" s="710">
        <f t="shared" si="117"/>
        <v>0</v>
      </c>
      <c r="AC90" s="710">
        <f t="shared" si="117"/>
        <v>1016.2901241000632</v>
      </c>
      <c r="AD90" s="710">
        <f t="shared" si="117"/>
        <v>10797</v>
      </c>
      <c r="AE90" s="710">
        <f t="shared" si="117"/>
        <v>2679.6846371717725</v>
      </c>
      <c r="AF90" s="709">
        <f t="shared" ref="AF90:AF113" si="118">SUM(C90:AE90)</f>
        <v>86824.160504557498</v>
      </c>
      <c r="AG90" s="704">
        <f>TRP_Simple!$AJ68</f>
        <v>86824.160504557483</v>
      </c>
      <c r="AH90" s="705">
        <f t="shared" ref="AH90:AH114" si="119">AG90-AF90</f>
        <v>0</v>
      </c>
      <c r="AI90" s="704" t="str">
        <f t="shared" ref="AI90:AI114" si="120">IF(AH90=0,"GOOD!","OUPS")</f>
        <v>GOOD!</v>
      </c>
      <c r="AJ90" s="708">
        <f t="shared" ref="AJ90:AL113" si="121">AJ121-AJ60</f>
        <v>928.06574589756769</v>
      </c>
      <c r="AK90" s="708">
        <f t="shared" si="121"/>
        <v>0</v>
      </c>
      <c r="AL90" s="708">
        <f t="shared" si="121"/>
        <v>88.224378202495387</v>
      </c>
      <c r="AM90" s="754">
        <f>SUM(AJ90:AL90)-AC90</f>
        <v>0</v>
      </c>
      <c r="AN90" s="708">
        <f>AJ90+AL90</f>
        <v>1016.2901241000631</v>
      </c>
      <c r="AO90" s="755"/>
      <c r="AP90" s="755"/>
    </row>
    <row r="91" spans="1:42" s="708" customFormat="1" x14ac:dyDescent="0.3">
      <c r="A91" s="711" t="s">
        <v>314</v>
      </c>
      <c r="B91" s="701">
        <v>2</v>
      </c>
      <c r="C91" s="710">
        <f t="shared" ref="C91:AE91" si="122">C122-C61</f>
        <v>5746.5770741730958</v>
      </c>
      <c r="D91" s="710">
        <f t="shared" si="122"/>
        <v>23026.836811997422</v>
      </c>
      <c r="E91" s="710">
        <f t="shared" si="122"/>
        <v>48.479458063882305</v>
      </c>
      <c r="F91" s="710">
        <f t="shared" si="122"/>
        <v>3.7191771078312019</v>
      </c>
      <c r="G91" s="710">
        <f t="shared" si="122"/>
        <v>5.3954220759467235</v>
      </c>
      <c r="H91" s="710">
        <f t="shared" si="122"/>
        <v>179.5613902671638</v>
      </c>
      <c r="I91" s="710">
        <f t="shared" si="122"/>
        <v>8.8691639380290503</v>
      </c>
      <c r="J91" s="710">
        <f t="shared" si="122"/>
        <v>315.90098765826548</v>
      </c>
      <c r="K91" s="710">
        <f t="shared" si="122"/>
        <v>42.706244680107041</v>
      </c>
      <c r="L91" s="710">
        <f t="shared" si="122"/>
        <v>29.16973083615957</v>
      </c>
      <c r="M91" s="710">
        <f t="shared" si="122"/>
        <v>16.002543206337794</v>
      </c>
      <c r="N91" s="710">
        <f t="shared" si="122"/>
        <v>2356.8758377925069</v>
      </c>
      <c r="O91" s="710">
        <f t="shared" si="122"/>
        <v>116.12701117726535</v>
      </c>
      <c r="P91" s="710">
        <f t="shared" si="122"/>
        <v>4.7594504144085557</v>
      </c>
      <c r="Q91" s="710">
        <f t="shared" si="122"/>
        <v>15.960024907394654</v>
      </c>
      <c r="R91" s="710">
        <f t="shared" si="122"/>
        <v>54.309126666760406</v>
      </c>
      <c r="S91" s="710">
        <f t="shared" si="122"/>
        <v>53.672855497270483</v>
      </c>
      <c r="T91" s="710">
        <f t="shared" si="122"/>
        <v>169.81301453398419</v>
      </c>
      <c r="U91" s="710">
        <f t="shared" si="122"/>
        <v>21554.886495033395</v>
      </c>
      <c r="V91" s="710">
        <f t="shared" si="122"/>
        <v>2699.3851563942853</v>
      </c>
      <c r="W91" s="710">
        <f t="shared" si="122"/>
        <v>0</v>
      </c>
      <c r="X91" s="710">
        <f t="shared" si="122"/>
        <v>34.960241578017332</v>
      </c>
      <c r="Y91" s="710">
        <f t="shared" si="122"/>
        <v>20.179461357957635</v>
      </c>
      <c r="Z91" s="710">
        <f t="shared" si="122"/>
        <v>4.7983742547353625</v>
      </c>
      <c r="AA91" s="710">
        <f t="shared" si="122"/>
        <v>116853.81991048457</v>
      </c>
      <c r="AB91" s="710">
        <f t="shared" si="122"/>
        <v>0</v>
      </c>
      <c r="AC91" s="710">
        <f t="shared" si="122"/>
        <v>0</v>
      </c>
      <c r="AD91" s="710">
        <f t="shared" si="122"/>
        <v>32856</v>
      </c>
      <c r="AE91" s="710">
        <f t="shared" si="122"/>
        <v>-216.32418832074069</v>
      </c>
      <c r="AF91" s="709">
        <f t="shared" si="118"/>
        <v>206002.44077577605</v>
      </c>
      <c r="AG91" s="704">
        <f>TRP_Simple!$AJ69</f>
        <v>206002.44077577605</v>
      </c>
      <c r="AH91" s="705">
        <f t="shared" si="119"/>
        <v>0</v>
      </c>
      <c r="AI91" s="704" t="str">
        <f t="shared" si="120"/>
        <v>GOOD!</v>
      </c>
      <c r="AJ91" s="708">
        <f t="shared" si="121"/>
        <v>0</v>
      </c>
      <c r="AK91" s="708">
        <f t="shared" si="121"/>
        <v>0</v>
      </c>
      <c r="AL91" s="708">
        <f t="shared" si="121"/>
        <v>0</v>
      </c>
      <c r="AM91" s="754">
        <f t="shared" ref="AM91:AM114" si="123">SUM(AJ91:AL91)-AC91</f>
        <v>0</v>
      </c>
      <c r="AN91" s="708">
        <f t="shared" ref="AN91:AN114" si="124">AJ91+AL91</f>
        <v>0</v>
      </c>
      <c r="AO91" s="755"/>
      <c r="AP91" s="755"/>
    </row>
    <row r="92" spans="1:42" s="708" customFormat="1" x14ac:dyDescent="0.3">
      <c r="A92" s="711" t="s">
        <v>307</v>
      </c>
      <c r="B92" s="701">
        <v>3</v>
      </c>
      <c r="C92" s="710">
        <f t="shared" ref="C92:AE92" si="125">C123-C62</f>
        <v>96.057191245835071</v>
      </c>
      <c r="D92" s="710">
        <f t="shared" si="125"/>
        <v>118.99128950017489</v>
      </c>
      <c r="E92" s="710">
        <f t="shared" si="125"/>
        <v>13669.40501126197</v>
      </c>
      <c r="F92" s="710">
        <f t="shared" si="125"/>
        <v>6.8395800573600916</v>
      </c>
      <c r="G92" s="710">
        <f t="shared" si="125"/>
        <v>37.189086841019922</v>
      </c>
      <c r="H92" s="710">
        <f t="shared" si="125"/>
        <v>10.32060617606378</v>
      </c>
      <c r="I92" s="710">
        <f t="shared" si="125"/>
        <v>3.2043699388279334</v>
      </c>
      <c r="J92" s="710">
        <f t="shared" si="125"/>
        <v>9.7754557957910482</v>
      </c>
      <c r="K92" s="710">
        <f t="shared" si="125"/>
        <v>5.3759451032702597</v>
      </c>
      <c r="L92" s="710">
        <f t="shared" si="125"/>
        <v>10.997080835246233</v>
      </c>
      <c r="M92" s="710">
        <f t="shared" si="125"/>
        <v>8.589846359800049</v>
      </c>
      <c r="N92" s="710">
        <f t="shared" si="125"/>
        <v>166.27182420327392</v>
      </c>
      <c r="O92" s="710">
        <f t="shared" si="125"/>
        <v>45.343751315576185</v>
      </c>
      <c r="P92" s="710">
        <f t="shared" si="125"/>
        <v>2.6120235830317826</v>
      </c>
      <c r="Q92" s="710">
        <f t="shared" si="125"/>
        <v>26.444063953611245</v>
      </c>
      <c r="R92" s="710">
        <f t="shared" si="125"/>
        <v>259.18203595184525</v>
      </c>
      <c r="S92" s="710">
        <f t="shared" si="125"/>
        <v>28.176905830843932</v>
      </c>
      <c r="T92" s="710">
        <f t="shared" si="125"/>
        <v>39.002648257537444</v>
      </c>
      <c r="U92" s="710">
        <f t="shared" si="125"/>
        <v>4142.4361044440948</v>
      </c>
      <c r="V92" s="710">
        <f t="shared" si="125"/>
        <v>187.06090419000739</v>
      </c>
      <c r="W92" s="710">
        <f t="shared" si="125"/>
        <v>0</v>
      </c>
      <c r="X92" s="710">
        <f t="shared" si="125"/>
        <v>32.709660800256458</v>
      </c>
      <c r="Y92" s="710">
        <f t="shared" si="125"/>
        <v>35.406249646607073</v>
      </c>
      <c r="Z92" s="710">
        <f t="shared" si="125"/>
        <v>1.9718014765714664</v>
      </c>
      <c r="AA92" s="710">
        <f t="shared" si="125"/>
        <v>29312.064430690225</v>
      </c>
      <c r="AB92" s="710">
        <f t="shared" si="125"/>
        <v>88.2</v>
      </c>
      <c r="AC92" s="710">
        <f t="shared" si="125"/>
        <v>11909.523081767247</v>
      </c>
      <c r="AD92" s="710">
        <f t="shared" si="125"/>
        <v>51651.9</v>
      </c>
      <c r="AE92" s="710">
        <f t="shared" si="125"/>
        <v>-144.9959053080089</v>
      </c>
      <c r="AF92" s="709">
        <f t="shared" si="118"/>
        <v>111760.05504391808</v>
      </c>
      <c r="AG92" s="704">
        <f>TRP_Simple!$AJ70</f>
        <v>111760.05504391808</v>
      </c>
      <c r="AH92" s="705">
        <f t="shared" si="119"/>
        <v>0</v>
      </c>
      <c r="AI92" s="704" t="str">
        <f t="shared" si="120"/>
        <v>GOOD!</v>
      </c>
      <c r="AJ92" s="708">
        <f t="shared" si="121"/>
        <v>10689.207565699749</v>
      </c>
      <c r="AK92" s="708">
        <f t="shared" si="121"/>
        <v>0</v>
      </c>
      <c r="AL92" s="708">
        <f t="shared" si="121"/>
        <v>1220.3155160674985</v>
      </c>
      <c r="AM92" s="754">
        <f t="shared" si="123"/>
        <v>0</v>
      </c>
      <c r="AN92" s="708">
        <f t="shared" si="124"/>
        <v>11909.523081767247</v>
      </c>
      <c r="AO92" s="755"/>
      <c r="AP92" s="755"/>
    </row>
    <row r="93" spans="1:42" s="708" customFormat="1" x14ac:dyDescent="0.3">
      <c r="A93" s="711" t="s">
        <v>122</v>
      </c>
      <c r="B93" s="701">
        <v>4</v>
      </c>
      <c r="C93" s="710">
        <f t="shared" ref="C93:AE93" si="126">C124-C63</f>
        <v>208.35117329532778</v>
      </c>
      <c r="D93" s="710">
        <f t="shared" si="126"/>
        <v>542.48711065439829</v>
      </c>
      <c r="E93" s="710">
        <f t="shared" si="126"/>
        <v>481.52987883889227</v>
      </c>
      <c r="F93" s="710">
        <f t="shared" si="126"/>
        <v>219.31702452139768</v>
      </c>
      <c r="G93" s="710">
        <f t="shared" si="126"/>
        <v>47.088655264888331</v>
      </c>
      <c r="H93" s="710">
        <f t="shared" si="126"/>
        <v>29.027253245479102</v>
      </c>
      <c r="I93" s="710">
        <f t="shared" si="126"/>
        <v>3.8703004327305468</v>
      </c>
      <c r="J93" s="710">
        <f t="shared" si="126"/>
        <v>21.931702452139767</v>
      </c>
      <c r="K93" s="710">
        <f t="shared" si="126"/>
        <v>61.279756851567001</v>
      </c>
      <c r="L93" s="710">
        <f t="shared" si="126"/>
        <v>4.5153505048523055</v>
      </c>
      <c r="M93" s="710">
        <f t="shared" si="126"/>
        <v>1.2901001442435158</v>
      </c>
      <c r="N93" s="710">
        <f t="shared" si="126"/>
        <v>1060.8730081271281</v>
      </c>
      <c r="O93" s="710">
        <f t="shared" si="126"/>
        <v>395.41569421063753</v>
      </c>
      <c r="P93" s="710">
        <f t="shared" si="126"/>
        <v>1.9700761355116314</v>
      </c>
      <c r="Q93" s="710">
        <f t="shared" si="126"/>
        <v>0</v>
      </c>
      <c r="R93" s="710">
        <f t="shared" si="126"/>
        <v>15.848013755796071</v>
      </c>
      <c r="S93" s="710">
        <f t="shared" si="126"/>
        <v>6.3695972390799138</v>
      </c>
      <c r="T93" s="710">
        <f t="shared" si="126"/>
        <v>2.9044158987262119</v>
      </c>
      <c r="U93" s="710">
        <f t="shared" si="126"/>
        <v>401.01252520104157</v>
      </c>
      <c r="V93" s="710">
        <f t="shared" si="126"/>
        <v>137.07702111561593</v>
      </c>
      <c r="W93" s="710">
        <f t="shared" si="126"/>
        <v>0</v>
      </c>
      <c r="X93" s="710">
        <f t="shared" si="126"/>
        <v>0</v>
      </c>
      <c r="Y93" s="710">
        <f t="shared" si="126"/>
        <v>0</v>
      </c>
      <c r="Z93" s="710">
        <f t="shared" si="126"/>
        <v>0</v>
      </c>
      <c r="AA93" s="710">
        <f t="shared" si="126"/>
        <v>1425.8160161475812</v>
      </c>
      <c r="AB93" s="710">
        <f t="shared" si="126"/>
        <v>0</v>
      </c>
      <c r="AC93" s="710">
        <f t="shared" si="126"/>
        <v>0</v>
      </c>
      <c r="AD93" s="710">
        <f t="shared" si="126"/>
        <v>2650.0122646532445</v>
      </c>
      <c r="AE93" s="710">
        <f t="shared" si="126"/>
        <v>0</v>
      </c>
      <c r="AF93" s="709">
        <f t="shared" si="118"/>
        <v>7717.9869386902801</v>
      </c>
      <c r="AG93" s="704">
        <f>TRP_Simple!$AJ71</f>
        <v>7717.9869386902792</v>
      </c>
      <c r="AH93" s="705">
        <f t="shared" si="119"/>
        <v>0</v>
      </c>
      <c r="AI93" s="704" t="str">
        <f t="shared" si="120"/>
        <v>GOOD!</v>
      </c>
      <c r="AJ93" s="708">
        <f t="shared" si="121"/>
        <v>0</v>
      </c>
      <c r="AK93" s="708">
        <f t="shared" si="121"/>
        <v>0</v>
      </c>
      <c r="AL93" s="708">
        <f t="shared" si="121"/>
        <v>0</v>
      </c>
      <c r="AM93" s="754">
        <f t="shared" si="123"/>
        <v>0</v>
      </c>
      <c r="AN93" s="708">
        <f t="shared" si="124"/>
        <v>0</v>
      </c>
      <c r="AO93" s="755"/>
      <c r="AP93" s="755"/>
    </row>
    <row r="94" spans="1:42" s="708" customFormat="1" x14ac:dyDescent="0.3">
      <c r="A94" s="711" t="s">
        <v>123</v>
      </c>
      <c r="B94" s="701">
        <v>5</v>
      </c>
      <c r="C94" s="710">
        <f t="shared" ref="C94:AE94" si="127">C125-C64</f>
        <v>51.668614222502953</v>
      </c>
      <c r="D94" s="710">
        <f t="shared" si="127"/>
        <v>43.198349595863128</v>
      </c>
      <c r="E94" s="710">
        <f t="shared" si="127"/>
        <v>427.91776893784413</v>
      </c>
      <c r="F94" s="710">
        <f t="shared" si="127"/>
        <v>412.50188731735966</v>
      </c>
      <c r="G94" s="710">
        <f t="shared" si="127"/>
        <v>3263.5929606443265</v>
      </c>
      <c r="H94" s="710">
        <f t="shared" si="127"/>
        <v>73.691302251766501</v>
      </c>
      <c r="I94" s="710">
        <f t="shared" si="127"/>
        <v>34.728084969223296</v>
      </c>
      <c r="J94" s="710">
        <f t="shared" si="127"/>
        <v>66.915090550454636</v>
      </c>
      <c r="K94" s="710">
        <f t="shared" si="127"/>
        <v>74.538328714430492</v>
      </c>
      <c r="L94" s="710">
        <f t="shared" si="127"/>
        <v>90.631831505046165</v>
      </c>
      <c r="M94" s="710">
        <f t="shared" si="127"/>
        <v>22.022688029263556</v>
      </c>
      <c r="N94" s="710">
        <f t="shared" si="127"/>
        <v>1572.2088845017438</v>
      </c>
      <c r="O94" s="710">
        <f t="shared" si="127"/>
        <v>14846.679837574291</v>
      </c>
      <c r="P94" s="710">
        <f t="shared" si="127"/>
        <v>2.0617128111813341</v>
      </c>
      <c r="Q94" s="710">
        <f t="shared" si="127"/>
        <v>36.422137894551255</v>
      </c>
      <c r="R94" s="710">
        <f t="shared" si="127"/>
        <v>139.50927413716497</v>
      </c>
      <c r="S94" s="710">
        <f t="shared" si="127"/>
        <v>4.09173800116944</v>
      </c>
      <c r="T94" s="710">
        <f t="shared" si="127"/>
        <v>1.0304909348500093</v>
      </c>
      <c r="U94" s="710">
        <f t="shared" si="127"/>
        <v>2186.0767383309817</v>
      </c>
      <c r="V94" s="710">
        <f t="shared" si="127"/>
        <v>369.30353772149653</v>
      </c>
      <c r="W94" s="710">
        <f t="shared" si="127"/>
        <v>0</v>
      </c>
      <c r="X94" s="710">
        <f t="shared" si="127"/>
        <v>21.175661566599572</v>
      </c>
      <c r="Y94" s="710">
        <f t="shared" si="127"/>
        <v>22.022688029263556</v>
      </c>
      <c r="Z94" s="710">
        <f t="shared" si="127"/>
        <v>0</v>
      </c>
      <c r="AA94" s="710">
        <f t="shared" si="127"/>
        <v>1186.3330665179624</v>
      </c>
      <c r="AB94" s="710">
        <f t="shared" si="127"/>
        <v>0</v>
      </c>
      <c r="AC94" s="710">
        <f t="shared" si="127"/>
        <v>5.2236020574081854</v>
      </c>
      <c r="AD94" s="710">
        <f t="shared" si="127"/>
        <v>2328.3631325215479</v>
      </c>
      <c r="AE94" s="710">
        <f t="shared" si="127"/>
        <v>170.90022444895365</v>
      </c>
      <c r="AF94" s="709">
        <f t="shared" si="118"/>
        <v>27452.809633787248</v>
      </c>
      <c r="AG94" s="704">
        <f>TRP_Simple!$AJ72</f>
        <v>27452.809633787241</v>
      </c>
      <c r="AH94" s="705">
        <f t="shared" si="119"/>
        <v>0</v>
      </c>
      <c r="AI94" s="704" t="str">
        <f t="shared" si="120"/>
        <v>GOOD!</v>
      </c>
      <c r="AJ94" s="708">
        <f t="shared" si="121"/>
        <v>5.2236020574081854</v>
      </c>
      <c r="AK94" s="708">
        <f t="shared" si="121"/>
        <v>0</v>
      </c>
      <c r="AL94" s="708">
        <f t="shared" si="121"/>
        <v>0</v>
      </c>
      <c r="AM94" s="754">
        <f t="shared" si="123"/>
        <v>0</v>
      </c>
      <c r="AN94" s="708">
        <f t="shared" si="124"/>
        <v>5.2236020574081854</v>
      </c>
      <c r="AO94" s="755"/>
      <c r="AP94" s="755"/>
    </row>
    <row r="95" spans="1:42" s="708" customFormat="1" x14ac:dyDescent="0.3">
      <c r="A95" s="711" t="s">
        <v>308</v>
      </c>
      <c r="B95" s="701">
        <v>6</v>
      </c>
      <c r="C95" s="710">
        <f t="shared" ref="C95:AE95" si="128">C126-C65</f>
        <v>103.87202900076363</v>
      </c>
      <c r="D95" s="710">
        <f t="shared" si="128"/>
        <v>1416.5695435096964</v>
      </c>
      <c r="E95" s="710">
        <f t="shared" si="128"/>
        <v>64.142363129274173</v>
      </c>
      <c r="F95" s="710">
        <f t="shared" si="128"/>
        <v>126.1814195234091</v>
      </c>
      <c r="G95" s="710">
        <f t="shared" si="128"/>
        <v>69.34988207526203</v>
      </c>
      <c r="H95" s="710">
        <f t="shared" si="128"/>
        <v>3501.9774939568979</v>
      </c>
      <c r="I95" s="710">
        <f t="shared" si="128"/>
        <v>18.68557536420688</v>
      </c>
      <c r="J95" s="710">
        <f t="shared" si="128"/>
        <v>127.03259895353047</v>
      </c>
      <c r="K95" s="710">
        <f t="shared" si="128"/>
        <v>367.07480127070545</v>
      </c>
      <c r="L95" s="710">
        <f t="shared" si="128"/>
        <v>0</v>
      </c>
      <c r="M95" s="710">
        <f t="shared" si="128"/>
        <v>23.868539031213366</v>
      </c>
      <c r="N95" s="710">
        <f t="shared" si="128"/>
        <v>4883.6868633504946</v>
      </c>
      <c r="O95" s="710">
        <f t="shared" si="128"/>
        <v>243.01845654325962</v>
      </c>
      <c r="P95" s="710">
        <f t="shared" si="128"/>
        <v>2.077284766852145</v>
      </c>
      <c r="Q95" s="710">
        <f t="shared" si="128"/>
        <v>6.9944344350190448</v>
      </c>
      <c r="R95" s="710">
        <f t="shared" si="128"/>
        <v>33.296692633913544</v>
      </c>
      <c r="S95" s="710">
        <f t="shared" si="128"/>
        <v>17.762290812463874</v>
      </c>
      <c r="T95" s="710">
        <f t="shared" si="128"/>
        <v>5.4962210591424032</v>
      </c>
      <c r="U95" s="710">
        <f t="shared" si="128"/>
        <v>2800.8384802406144</v>
      </c>
      <c r="V95" s="710">
        <f t="shared" si="128"/>
        <v>682.85606698346328</v>
      </c>
      <c r="W95" s="710">
        <f t="shared" si="128"/>
        <v>0</v>
      </c>
      <c r="X95" s="710">
        <f t="shared" si="128"/>
        <v>9.6212516831823187</v>
      </c>
      <c r="Y95" s="710">
        <f t="shared" si="128"/>
        <v>14.541352424143881</v>
      </c>
      <c r="Z95" s="710">
        <f t="shared" si="128"/>
        <v>1.5305470863652531</v>
      </c>
      <c r="AA95" s="710">
        <f t="shared" si="128"/>
        <v>2622.1414288878696</v>
      </c>
      <c r="AB95" s="710">
        <f t="shared" si="128"/>
        <v>0</v>
      </c>
      <c r="AC95" s="710">
        <f t="shared" si="128"/>
        <v>0</v>
      </c>
      <c r="AD95" s="710">
        <f t="shared" si="128"/>
        <v>6697</v>
      </c>
      <c r="AE95" s="710">
        <f t="shared" si="128"/>
        <v>31.514844576874655</v>
      </c>
      <c r="AF95" s="709">
        <f t="shared" si="118"/>
        <v>23871.130461298617</v>
      </c>
      <c r="AG95" s="704">
        <f>TRP_Simple!$AJ73</f>
        <v>23871.130461298621</v>
      </c>
      <c r="AH95" s="705">
        <f t="shared" si="119"/>
        <v>0</v>
      </c>
      <c r="AI95" s="704" t="str">
        <f t="shared" si="120"/>
        <v>GOOD!</v>
      </c>
      <c r="AJ95" s="708">
        <f t="shared" si="121"/>
        <v>0</v>
      </c>
      <c r="AK95" s="708">
        <f t="shared" si="121"/>
        <v>0</v>
      </c>
      <c r="AL95" s="708">
        <f t="shared" si="121"/>
        <v>0</v>
      </c>
      <c r="AM95" s="754">
        <f t="shared" si="123"/>
        <v>0</v>
      </c>
      <c r="AN95" s="708">
        <f t="shared" si="124"/>
        <v>0</v>
      </c>
      <c r="AO95" s="755"/>
      <c r="AP95" s="755"/>
    </row>
    <row r="96" spans="1:42" s="708" customFormat="1" x14ac:dyDescent="0.3">
      <c r="A96" s="711" t="s">
        <v>130</v>
      </c>
      <c r="B96" s="701">
        <v>7</v>
      </c>
      <c r="C96" s="710">
        <f t="shared" ref="C96:AE96" si="129">C127-C66</f>
        <v>1369.0777131424416</v>
      </c>
      <c r="D96" s="710">
        <f t="shared" si="129"/>
        <v>7.4054237357265276</v>
      </c>
      <c r="E96" s="710">
        <f t="shared" si="129"/>
        <v>101.22288568771194</v>
      </c>
      <c r="F96" s="710">
        <f t="shared" si="129"/>
        <v>93.956313647030314</v>
      </c>
      <c r="G96" s="710">
        <f t="shared" si="129"/>
        <v>20.364915273247945</v>
      </c>
      <c r="H96" s="710">
        <f t="shared" si="129"/>
        <v>81.459661092991794</v>
      </c>
      <c r="I96" s="710">
        <f t="shared" si="129"/>
        <v>802.56279735936221</v>
      </c>
      <c r="J96" s="710">
        <f t="shared" si="129"/>
        <v>548.92703441072888</v>
      </c>
      <c r="K96" s="710">
        <f t="shared" si="129"/>
        <v>45.821059364807894</v>
      </c>
      <c r="L96" s="710">
        <f t="shared" si="129"/>
        <v>96.733347547927735</v>
      </c>
      <c r="M96" s="710">
        <f t="shared" si="129"/>
        <v>24.993305108077031</v>
      </c>
      <c r="N96" s="710">
        <f t="shared" si="129"/>
        <v>1116.5218622692937</v>
      </c>
      <c r="O96" s="710">
        <f t="shared" si="129"/>
        <v>60.631906836260924</v>
      </c>
      <c r="P96" s="710">
        <f t="shared" si="129"/>
        <v>0.5058889104931038</v>
      </c>
      <c r="Q96" s="710">
        <f t="shared" si="129"/>
        <v>0.92567796696581572</v>
      </c>
      <c r="R96" s="710">
        <f t="shared" si="129"/>
        <v>1.8881920635301062</v>
      </c>
      <c r="S96" s="710">
        <f t="shared" si="129"/>
        <v>1.6692660108713182</v>
      </c>
      <c r="T96" s="710">
        <f t="shared" si="129"/>
        <v>1.0278818334174578</v>
      </c>
      <c r="U96" s="710">
        <f t="shared" si="129"/>
        <v>153.0593918503813</v>
      </c>
      <c r="V96" s="710">
        <f t="shared" si="129"/>
        <v>0.37983799788835171</v>
      </c>
      <c r="W96" s="710">
        <f t="shared" si="129"/>
        <v>0</v>
      </c>
      <c r="X96" s="710">
        <f t="shared" si="129"/>
        <v>11.10813560358979</v>
      </c>
      <c r="Y96" s="710">
        <f t="shared" si="129"/>
        <v>0</v>
      </c>
      <c r="Z96" s="710">
        <f t="shared" si="129"/>
        <v>2.7770339008974476</v>
      </c>
      <c r="AA96" s="710">
        <f t="shared" si="129"/>
        <v>46.280767214060788</v>
      </c>
      <c r="AB96" s="710">
        <f t="shared" si="129"/>
        <v>0</v>
      </c>
      <c r="AC96" s="710">
        <f t="shared" si="129"/>
        <v>0</v>
      </c>
      <c r="AD96" s="710">
        <f t="shared" si="129"/>
        <v>2702</v>
      </c>
      <c r="AE96" s="710">
        <f t="shared" si="129"/>
        <v>0</v>
      </c>
      <c r="AF96" s="709">
        <f t="shared" si="118"/>
        <v>7291.300298827704</v>
      </c>
      <c r="AG96" s="704">
        <f>TRP_Simple!$AJ74</f>
        <v>7291.300298827704</v>
      </c>
      <c r="AH96" s="705">
        <f t="shared" si="119"/>
        <v>0</v>
      </c>
      <c r="AI96" s="704" t="str">
        <f t="shared" si="120"/>
        <v>GOOD!</v>
      </c>
      <c r="AJ96" s="708">
        <f t="shared" si="121"/>
        <v>0</v>
      </c>
      <c r="AK96" s="708">
        <f t="shared" si="121"/>
        <v>0</v>
      </c>
      <c r="AL96" s="708">
        <f t="shared" si="121"/>
        <v>0</v>
      </c>
      <c r="AM96" s="754">
        <f t="shared" si="123"/>
        <v>0</v>
      </c>
      <c r="AN96" s="708">
        <f t="shared" si="124"/>
        <v>0</v>
      </c>
      <c r="AO96" s="755"/>
      <c r="AP96" s="755"/>
    </row>
    <row r="97" spans="1:42" s="708" customFormat="1" x14ac:dyDescent="0.3">
      <c r="A97" s="711" t="s">
        <v>131</v>
      </c>
      <c r="B97" s="701">
        <v>8</v>
      </c>
      <c r="C97" s="710">
        <f t="shared" ref="C97:AE97" si="130">C128-C67</f>
        <v>0</v>
      </c>
      <c r="D97" s="710">
        <f t="shared" si="130"/>
        <v>43.535704766996773</v>
      </c>
      <c r="E97" s="710">
        <f t="shared" si="130"/>
        <v>101.87354915477243</v>
      </c>
      <c r="F97" s="710">
        <f t="shared" si="130"/>
        <v>15.831165369817015</v>
      </c>
      <c r="G97" s="710">
        <f t="shared" si="130"/>
        <v>27.968392153343387</v>
      </c>
      <c r="H97" s="710">
        <f t="shared" si="130"/>
        <v>189.71013168164041</v>
      </c>
      <c r="I97" s="710">
        <f t="shared" si="130"/>
        <v>28.496097665670618</v>
      </c>
      <c r="J97" s="710">
        <f t="shared" si="130"/>
        <v>1163.8545074377134</v>
      </c>
      <c r="K97" s="710">
        <f t="shared" si="130"/>
        <v>2210.2945383826191</v>
      </c>
      <c r="L97" s="710">
        <f t="shared" si="130"/>
        <v>12.401079539689988</v>
      </c>
      <c r="M97" s="710">
        <f t="shared" si="130"/>
        <v>10.554110246544671</v>
      </c>
      <c r="N97" s="710">
        <f t="shared" si="130"/>
        <v>2388.1556611799951</v>
      </c>
      <c r="O97" s="710">
        <f t="shared" si="130"/>
        <v>17.150429150635098</v>
      </c>
      <c r="P97" s="710">
        <f t="shared" si="130"/>
        <v>0.29657498369022184</v>
      </c>
      <c r="Q97" s="710">
        <f t="shared" si="130"/>
        <v>0.7915582684908502</v>
      </c>
      <c r="R97" s="710">
        <f t="shared" si="130"/>
        <v>1.2593119853854109</v>
      </c>
      <c r="S97" s="710">
        <f t="shared" si="130"/>
        <v>1.0049554858857359</v>
      </c>
      <c r="T97" s="710">
        <f t="shared" si="130"/>
        <v>0.60539061900203284</v>
      </c>
      <c r="U97" s="710">
        <f t="shared" si="130"/>
        <v>328.01277382937076</v>
      </c>
      <c r="V97" s="710">
        <f t="shared" si="130"/>
        <v>41.459026380162385</v>
      </c>
      <c r="W97" s="710">
        <f t="shared" si="130"/>
        <v>0</v>
      </c>
      <c r="X97" s="710">
        <f t="shared" si="130"/>
        <v>281.00318531425194</v>
      </c>
      <c r="Y97" s="710">
        <f t="shared" si="130"/>
        <v>4.4854968547814842</v>
      </c>
      <c r="Z97" s="710">
        <f t="shared" si="130"/>
        <v>1.3192637808180838</v>
      </c>
      <c r="AA97" s="710">
        <f t="shared" si="130"/>
        <v>6.0790041429764745</v>
      </c>
      <c r="AB97" s="710">
        <f t="shared" si="130"/>
        <v>0</v>
      </c>
      <c r="AC97" s="710">
        <f t="shared" si="130"/>
        <v>0</v>
      </c>
      <c r="AD97" s="710">
        <f t="shared" si="130"/>
        <v>18838</v>
      </c>
      <c r="AE97" s="710">
        <f t="shared" si="130"/>
        <v>0</v>
      </c>
      <c r="AF97" s="709">
        <f t="shared" si="118"/>
        <v>25714.141908374251</v>
      </c>
      <c r="AG97" s="704">
        <f>TRP_Simple!$AJ75</f>
        <v>25714.141908374258</v>
      </c>
      <c r="AH97" s="705">
        <f t="shared" si="119"/>
        <v>0</v>
      </c>
      <c r="AI97" s="704" t="str">
        <f t="shared" si="120"/>
        <v>GOOD!</v>
      </c>
      <c r="AJ97" s="708">
        <f t="shared" si="121"/>
        <v>0</v>
      </c>
      <c r="AK97" s="708">
        <f t="shared" si="121"/>
        <v>0</v>
      </c>
      <c r="AL97" s="708">
        <f t="shared" si="121"/>
        <v>0</v>
      </c>
      <c r="AM97" s="754">
        <f t="shared" si="123"/>
        <v>0</v>
      </c>
      <c r="AN97" s="708">
        <f t="shared" si="124"/>
        <v>0</v>
      </c>
      <c r="AO97" s="755"/>
      <c r="AP97" s="755"/>
    </row>
    <row r="98" spans="1:42" s="708" customFormat="1" x14ac:dyDescent="0.3">
      <c r="A98" s="711" t="s">
        <v>135</v>
      </c>
      <c r="B98" s="701">
        <v>9</v>
      </c>
      <c r="C98" s="710">
        <f t="shared" ref="C98:AE98" si="131">C129-C68</f>
        <v>184.04142454008576</v>
      </c>
      <c r="D98" s="710">
        <f t="shared" si="131"/>
        <v>1978.6300943526489</v>
      </c>
      <c r="E98" s="710">
        <f t="shared" si="131"/>
        <v>2624.4750612728376</v>
      </c>
      <c r="F98" s="710">
        <f t="shared" si="131"/>
        <v>30.304009663226978</v>
      </c>
      <c r="G98" s="710">
        <f t="shared" si="131"/>
        <v>109.39008366238031</v>
      </c>
      <c r="H98" s="710">
        <f t="shared" si="131"/>
        <v>198.82386827824524</v>
      </c>
      <c r="I98" s="710">
        <f t="shared" si="131"/>
        <v>101.99886179330056</v>
      </c>
      <c r="J98" s="710">
        <f t="shared" si="131"/>
        <v>230.60612231528819</v>
      </c>
      <c r="K98" s="710">
        <f t="shared" si="131"/>
        <v>1306.0289042663919</v>
      </c>
      <c r="L98" s="710">
        <f t="shared" si="131"/>
        <v>63.56450807408585</v>
      </c>
      <c r="M98" s="710">
        <f t="shared" si="131"/>
        <v>65.042752447901805</v>
      </c>
      <c r="N98" s="710">
        <f t="shared" si="131"/>
        <v>5985.3331850092054</v>
      </c>
      <c r="O98" s="710">
        <f t="shared" si="131"/>
        <v>2637.9270850745625</v>
      </c>
      <c r="P98" s="710">
        <f t="shared" si="131"/>
        <v>1.4266000643884436</v>
      </c>
      <c r="Q98" s="710">
        <f t="shared" si="131"/>
        <v>0.73912218690797493</v>
      </c>
      <c r="R98" s="710">
        <f t="shared" si="131"/>
        <v>21.283669018023669</v>
      </c>
      <c r="S98" s="710">
        <f t="shared" si="131"/>
        <v>13.352836635562085</v>
      </c>
      <c r="T98" s="710">
        <f t="shared" si="131"/>
        <v>22.327547047755832</v>
      </c>
      <c r="U98" s="710">
        <f t="shared" si="131"/>
        <v>3156.9521707250979</v>
      </c>
      <c r="V98" s="710">
        <f t="shared" si="131"/>
        <v>0.73912218690797504</v>
      </c>
      <c r="W98" s="710">
        <f t="shared" si="131"/>
        <v>0</v>
      </c>
      <c r="X98" s="710">
        <f t="shared" si="131"/>
        <v>407.25632498629415</v>
      </c>
      <c r="Y98" s="710">
        <f t="shared" si="131"/>
        <v>248.34505480107958</v>
      </c>
      <c r="Z98" s="710">
        <f t="shared" si="131"/>
        <v>2.9564887476318997</v>
      </c>
      <c r="AA98" s="710">
        <f t="shared" si="131"/>
        <v>1804.5102672880762</v>
      </c>
      <c r="AB98" s="710">
        <f t="shared" si="131"/>
        <v>0</v>
      </c>
      <c r="AC98" s="710">
        <f t="shared" si="131"/>
        <v>0</v>
      </c>
      <c r="AD98" s="710">
        <f t="shared" si="131"/>
        <v>7004.5471971322268</v>
      </c>
      <c r="AE98" s="710">
        <f t="shared" si="131"/>
        <v>0</v>
      </c>
      <c r="AF98" s="709">
        <f t="shared" si="118"/>
        <v>28200.602361570112</v>
      </c>
      <c r="AG98" s="704">
        <f>TRP_Simple!$AJ76</f>
        <v>28200.602361570112</v>
      </c>
      <c r="AH98" s="705">
        <f t="shared" si="119"/>
        <v>0</v>
      </c>
      <c r="AI98" s="704" t="str">
        <f t="shared" si="120"/>
        <v>GOOD!</v>
      </c>
      <c r="AJ98" s="708">
        <f t="shared" si="121"/>
        <v>0</v>
      </c>
      <c r="AK98" s="708">
        <f t="shared" si="121"/>
        <v>0</v>
      </c>
      <c r="AL98" s="708">
        <f t="shared" si="121"/>
        <v>0</v>
      </c>
      <c r="AM98" s="754">
        <f t="shared" si="123"/>
        <v>0</v>
      </c>
      <c r="AN98" s="708">
        <f t="shared" si="124"/>
        <v>0</v>
      </c>
      <c r="AO98" s="755"/>
      <c r="AP98" s="755"/>
    </row>
    <row r="99" spans="1:42" s="708" customFormat="1" x14ac:dyDescent="0.3">
      <c r="A99" s="711" t="s">
        <v>136</v>
      </c>
      <c r="B99" s="701">
        <v>10</v>
      </c>
      <c r="C99" s="710">
        <f t="shared" ref="C99:AE99" si="132">C130-C69</f>
        <v>13.079512598402161</v>
      </c>
      <c r="D99" s="710">
        <f t="shared" si="132"/>
        <v>0</v>
      </c>
      <c r="E99" s="710">
        <f t="shared" si="132"/>
        <v>1825.6484296485112</v>
      </c>
      <c r="F99" s="710">
        <f t="shared" si="132"/>
        <v>7.5458726529243254</v>
      </c>
      <c r="G99" s="710">
        <f t="shared" si="132"/>
        <v>142.3654640518389</v>
      </c>
      <c r="H99" s="710">
        <f t="shared" si="132"/>
        <v>0</v>
      </c>
      <c r="I99" s="710">
        <f t="shared" si="132"/>
        <v>0</v>
      </c>
      <c r="J99" s="710">
        <f t="shared" si="132"/>
        <v>48.293584978715678</v>
      </c>
      <c r="K99" s="710">
        <f t="shared" si="132"/>
        <v>66.906737522595677</v>
      </c>
      <c r="L99" s="710">
        <f t="shared" si="132"/>
        <v>3981.7054698597349</v>
      </c>
      <c r="M99" s="710">
        <f t="shared" si="132"/>
        <v>0.50305817686162158</v>
      </c>
      <c r="N99" s="710">
        <f t="shared" si="132"/>
        <v>6955.1800202867335</v>
      </c>
      <c r="O99" s="710">
        <f t="shared" si="132"/>
        <v>1148.9848759519439</v>
      </c>
      <c r="P99" s="710">
        <f t="shared" si="132"/>
        <v>5.1046104311948506</v>
      </c>
      <c r="Q99" s="710">
        <f t="shared" si="132"/>
        <v>0</v>
      </c>
      <c r="R99" s="710">
        <f t="shared" si="132"/>
        <v>16.423966115109739</v>
      </c>
      <c r="S99" s="710">
        <f t="shared" si="132"/>
        <v>6.2787487855659831</v>
      </c>
      <c r="T99" s="710">
        <f t="shared" si="132"/>
        <v>1.8731071029651025</v>
      </c>
      <c r="U99" s="710">
        <f t="shared" si="132"/>
        <v>252.71354493909311</v>
      </c>
      <c r="V99" s="710">
        <f t="shared" si="132"/>
        <v>0</v>
      </c>
      <c r="W99" s="710">
        <f t="shared" si="132"/>
        <v>0</v>
      </c>
      <c r="X99" s="710">
        <f t="shared" si="132"/>
        <v>43.766061386961077</v>
      </c>
      <c r="Y99" s="710">
        <f t="shared" si="132"/>
        <v>23.643734312496214</v>
      </c>
      <c r="Z99" s="710">
        <f t="shared" si="132"/>
        <v>2.0122327074464863</v>
      </c>
      <c r="AA99" s="710">
        <f t="shared" si="132"/>
        <v>0</v>
      </c>
      <c r="AB99" s="710">
        <f t="shared" si="132"/>
        <v>0</v>
      </c>
      <c r="AC99" s="710">
        <f t="shared" si="132"/>
        <v>0</v>
      </c>
      <c r="AD99" s="710">
        <f t="shared" si="132"/>
        <v>15034.562551086865</v>
      </c>
      <c r="AE99" s="710">
        <f t="shared" si="132"/>
        <v>49.793769066982691</v>
      </c>
      <c r="AF99" s="709">
        <f t="shared" si="118"/>
        <v>29626.385351662942</v>
      </c>
      <c r="AG99" s="704">
        <f>TRP_Simple!$AJ77</f>
        <v>29626.385351662939</v>
      </c>
      <c r="AH99" s="705">
        <f t="shared" si="119"/>
        <v>0</v>
      </c>
      <c r="AI99" s="704" t="str">
        <f t="shared" si="120"/>
        <v>GOOD!</v>
      </c>
      <c r="AJ99" s="708">
        <f t="shared" si="121"/>
        <v>0</v>
      </c>
      <c r="AK99" s="708">
        <f t="shared" si="121"/>
        <v>0</v>
      </c>
      <c r="AL99" s="708">
        <f t="shared" si="121"/>
        <v>0</v>
      </c>
      <c r="AM99" s="754">
        <f t="shared" si="123"/>
        <v>0</v>
      </c>
      <c r="AN99" s="708">
        <f t="shared" si="124"/>
        <v>0</v>
      </c>
      <c r="AO99" s="755"/>
      <c r="AP99" s="755"/>
    </row>
    <row r="100" spans="1:42" s="708" customFormat="1" x14ac:dyDescent="0.3">
      <c r="A100" s="711" t="s">
        <v>137</v>
      </c>
      <c r="B100" s="701">
        <v>11</v>
      </c>
      <c r="C100" s="710">
        <f t="shared" ref="C100:AE100" si="133">C131-C70</f>
        <v>0</v>
      </c>
      <c r="D100" s="710">
        <f t="shared" si="133"/>
        <v>20.990292581417762</v>
      </c>
      <c r="E100" s="710">
        <f t="shared" si="133"/>
        <v>113.41996025890217</v>
      </c>
      <c r="F100" s="710">
        <f t="shared" si="133"/>
        <v>34.018750045746032</v>
      </c>
      <c r="G100" s="710">
        <f t="shared" si="133"/>
        <v>26.539450390298313</v>
      </c>
      <c r="H100" s="710">
        <f t="shared" si="133"/>
        <v>2.1714095773880437</v>
      </c>
      <c r="I100" s="710">
        <f t="shared" si="133"/>
        <v>23.644237620447598</v>
      </c>
      <c r="J100" s="710">
        <f t="shared" si="133"/>
        <v>2.653945039029832</v>
      </c>
      <c r="K100" s="710">
        <f t="shared" si="133"/>
        <v>9.6507092328357515</v>
      </c>
      <c r="L100" s="710">
        <f t="shared" si="133"/>
        <v>197.11573608067022</v>
      </c>
      <c r="M100" s="710">
        <f t="shared" si="133"/>
        <v>1198.8593544490213</v>
      </c>
      <c r="N100" s="710">
        <f t="shared" si="133"/>
        <v>2153.5316385342139</v>
      </c>
      <c r="O100" s="710">
        <f t="shared" si="133"/>
        <v>295.55297025559503</v>
      </c>
      <c r="P100" s="710">
        <f t="shared" si="133"/>
        <v>0</v>
      </c>
      <c r="Q100" s="710">
        <f t="shared" si="133"/>
        <v>0</v>
      </c>
      <c r="R100" s="710">
        <f t="shared" si="133"/>
        <v>0</v>
      </c>
      <c r="S100" s="710">
        <f t="shared" si="133"/>
        <v>0</v>
      </c>
      <c r="T100" s="710">
        <f t="shared" si="133"/>
        <v>0</v>
      </c>
      <c r="U100" s="710">
        <f t="shared" si="133"/>
        <v>92.646808635223238</v>
      </c>
      <c r="V100" s="710">
        <f t="shared" si="133"/>
        <v>0</v>
      </c>
      <c r="W100" s="710">
        <f t="shared" si="133"/>
        <v>0</v>
      </c>
      <c r="X100" s="710">
        <f t="shared" si="133"/>
        <v>17.130008888283463</v>
      </c>
      <c r="Y100" s="710">
        <f t="shared" si="133"/>
        <v>0</v>
      </c>
      <c r="Z100" s="710">
        <f t="shared" si="133"/>
        <v>0</v>
      </c>
      <c r="AA100" s="710">
        <f t="shared" si="133"/>
        <v>42.625996580039555</v>
      </c>
      <c r="AB100" s="710">
        <f t="shared" si="133"/>
        <v>0</v>
      </c>
      <c r="AC100" s="710">
        <f t="shared" si="133"/>
        <v>0</v>
      </c>
      <c r="AD100" s="710">
        <f t="shared" si="133"/>
        <v>9350</v>
      </c>
      <c r="AE100" s="710">
        <f t="shared" si="133"/>
        <v>152.2507807106918</v>
      </c>
      <c r="AF100" s="709">
        <f t="shared" si="118"/>
        <v>13732.802048879805</v>
      </c>
      <c r="AG100" s="704">
        <f>TRP_Simple!$AJ78</f>
        <v>13732.802048879803</v>
      </c>
      <c r="AH100" s="705">
        <f t="shared" si="119"/>
        <v>0</v>
      </c>
      <c r="AI100" s="704" t="str">
        <f t="shared" si="120"/>
        <v>GOOD!</v>
      </c>
      <c r="AJ100" s="708">
        <f t="shared" si="121"/>
        <v>0</v>
      </c>
      <c r="AK100" s="708">
        <f t="shared" si="121"/>
        <v>0</v>
      </c>
      <c r="AL100" s="708">
        <f t="shared" si="121"/>
        <v>0</v>
      </c>
      <c r="AM100" s="754">
        <f t="shared" si="123"/>
        <v>0</v>
      </c>
      <c r="AN100" s="708">
        <f t="shared" si="124"/>
        <v>0</v>
      </c>
      <c r="AO100" s="755"/>
      <c r="AP100" s="755"/>
    </row>
    <row r="101" spans="1:42" s="708" customFormat="1" x14ac:dyDescent="0.3">
      <c r="A101" s="711" t="s">
        <v>309</v>
      </c>
      <c r="B101" s="701">
        <v>12</v>
      </c>
      <c r="C101" s="710">
        <f t="shared" ref="C101:AE101" si="134">C132-C71</f>
        <v>5095.1056395970063</v>
      </c>
      <c r="D101" s="710">
        <f t="shared" si="134"/>
        <v>3149.9154805744947</v>
      </c>
      <c r="E101" s="710">
        <f t="shared" si="134"/>
        <v>18358.927976528008</v>
      </c>
      <c r="F101" s="710">
        <f t="shared" si="134"/>
        <v>525.75696648507858</v>
      </c>
      <c r="G101" s="710">
        <f t="shared" si="134"/>
        <v>2619.3233128049187</v>
      </c>
      <c r="H101" s="710">
        <f t="shared" si="134"/>
        <v>1204.2147085912002</v>
      </c>
      <c r="I101" s="710">
        <f t="shared" si="134"/>
        <v>689.95049051470687</v>
      </c>
      <c r="J101" s="710">
        <f t="shared" si="134"/>
        <v>1035.7643033999545</v>
      </c>
      <c r="K101" s="710">
        <f t="shared" si="134"/>
        <v>1090.2449239003142</v>
      </c>
      <c r="L101" s="710">
        <f t="shared" si="134"/>
        <v>3261.7770249215391</v>
      </c>
      <c r="M101" s="710">
        <f t="shared" si="134"/>
        <v>962.89545083580288</v>
      </c>
      <c r="N101" s="710">
        <f t="shared" si="134"/>
        <v>100127.44758681333</v>
      </c>
      <c r="O101" s="710">
        <f t="shared" si="134"/>
        <v>21916.551853502566</v>
      </c>
      <c r="P101" s="710">
        <f t="shared" si="134"/>
        <v>41.790364605394949</v>
      </c>
      <c r="Q101" s="710">
        <f t="shared" si="134"/>
        <v>136.08235564684401</v>
      </c>
      <c r="R101" s="710">
        <f t="shared" si="134"/>
        <v>870.30770465519277</v>
      </c>
      <c r="S101" s="710">
        <f t="shared" si="134"/>
        <v>764.43423779973023</v>
      </c>
      <c r="T101" s="710">
        <f t="shared" si="134"/>
        <v>1115.0393840916299</v>
      </c>
      <c r="U101" s="710">
        <f t="shared" si="134"/>
        <v>38547.689971991276</v>
      </c>
      <c r="V101" s="710">
        <f t="shared" si="134"/>
        <v>16909.944072100399</v>
      </c>
      <c r="W101" s="710">
        <f t="shared" si="134"/>
        <v>0</v>
      </c>
      <c r="X101" s="710">
        <f t="shared" si="134"/>
        <v>829.87645678925037</v>
      </c>
      <c r="Y101" s="710">
        <f t="shared" si="134"/>
        <v>3863.0519488769214</v>
      </c>
      <c r="Z101" s="710">
        <f t="shared" si="134"/>
        <v>119.91737649652848</v>
      </c>
      <c r="AA101" s="710">
        <f t="shared" si="134"/>
        <v>90004.457095816004</v>
      </c>
      <c r="AB101" s="710">
        <f t="shared" si="134"/>
        <v>16686.091292175523</v>
      </c>
      <c r="AC101" s="710">
        <f t="shared" si="134"/>
        <v>40558.169332211692</v>
      </c>
      <c r="AD101" s="710">
        <f t="shared" si="134"/>
        <v>188465.96206375567</v>
      </c>
      <c r="AE101" s="710">
        <f t="shared" si="134"/>
        <v>1807.0750482243429</v>
      </c>
      <c r="AF101" s="709">
        <f t="shared" si="118"/>
        <v>560757.76442370517</v>
      </c>
      <c r="AG101" s="704">
        <f>TRP_Simple!$AJ79</f>
        <v>560757.76442370529</v>
      </c>
      <c r="AH101" s="705">
        <f t="shared" si="119"/>
        <v>0</v>
      </c>
      <c r="AI101" s="704" t="str">
        <f t="shared" si="120"/>
        <v>GOOD!</v>
      </c>
      <c r="AJ101" s="708">
        <f t="shared" si="121"/>
        <v>37059.807543516872</v>
      </c>
      <c r="AK101" s="708">
        <f t="shared" si="121"/>
        <v>0</v>
      </c>
      <c r="AL101" s="708">
        <f t="shared" si="121"/>
        <v>3498.3617886948282</v>
      </c>
      <c r="AM101" s="754">
        <f t="shared" si="123"/>
        <v>0</v>
      </c>
      <c r="AN101" s="708">
        <f t="shared" si="124"/>
        <v>40558.169332211699</v>
      </c>
      <c r="AO101" s="755"/>
      <c r="AP101" s="755"/>
    </row>
    <row r="102" spans="1:42" s="708" customFormat="1" x14ac:dyDescent="0.3">
      <c r="A102" s="711" t="s">
        <v>310</v>
      </c>
      <c r="B102" s="701">
        <v>13</v>
      </c>
      <c r="C102" s="710">
        <f t="shared" ref="C102:AE102" si="135">C133-C72</f>
        <v>254</v>
      </c>
      <c r="D102" s="710">
        <f t="shared" si="135"/>
        <v>186</v>
      </c>
      <c r="E102" s="710">
        <f t="shared" si="135"/>
        <v>160.6</v>
      </c>
      <c r="F102" s="710">
        <f t="shared" si="135"/>
        <v>34</v>
      </c>
      <c r="G102" s="710">
        <f t="shared" si="135"/>
        <v>66</v>
      </c>
      <c r="H102" s="710">
        <f t="shared" si="135"/>
        <v>45</v>
      </c>
      <c r="I102" s="710">
        <f t="shared" si="135"/>
        <v>24</v>
      </c>
      <c r="J102" s="710">
        <f t="shared" si="135"/>
        <v>63</v>
      </c>
      <c r="K102" s="710">
        <f t="shared" si="135"/>
        <v>43</v>
      </c>
      <c r="L102" s="710">
        <f t="shared" si="135"/>
        <v>56</v>
      </c>
      <c r="M102" s="710">
        <f t="shared" si="135"/>
        <v>50</v>
      </c>
      <c r="N102" s="710">
        <f t="shared" si="135"/>
        <v>1692.4</v>
      </c>
      <c r="O102" s="710">
        <f t="shared" si="135"/>
        <v>29456</v>
      </c>
      <c r="P102" s="710">
        <f t="shared" si="135"/>
        <v>31.038416524649406</v>
      </c>
      <c r="Q102" s="710">
        <f t="shared" si="135"/>
        <v>61</v>
      </c>
      <c r="R102" s="710">
        <f t="shared" si="135"/>
        <v>157.93318686733878</v>
      </c>
      <c r="S102" s="710">
        <f t="shared" si="135"/>
        <v>159.81496006406178</v>
      </c>
      <c r="T102" s="710">
        <f t="shared" si="135"/>
        <v>133.21343654395005</v>
      </c>
      <c r="U102" s="710">
        <f t="shared" si="135"/>
        <v>12031</v>
      </c>
      <c r="V102" s="710">
        <f t="shared" si="135"/>
        <v>6537</v>
      </c>
      <c r="W102" s="710">
        <f t="shared" si="135"/>
        <v>0</v>
      </c>
      <c r="X102" s="710">
        <f t="shared" si="135"/>
        <v>580.6512959152401</v>
      </c>
      <c r="Y102" s="710">
        <f t="shared" si="135"/>
        <v>2483</v>
      </c>
      <c r="Z102" s="710">
        <f t="shared" si="135"/>
        <v>206.34870408475987</v>
      </c>
      <c r="AA102" s="710">
        <f t="shared" si="135"/>
        <v>10499</v>
      </c>
      <c r="AB102" s="710">
        <f t="shared" si="135"/>
        <v>0</v>
      </c>
      <c r="AC102" s="710">
        <f t="shared" si="135"/>
        <v>186394</v>
      </c>
      <c r="AD102" s="710">
        <f t="shared" si="135"/>
        <v>0</v>
      </c>
      <c r="AE102" s="710">
        <f t="shared" si="135"/>
        <v>0</v>
      </c>
      <c r="AF102" s="709">
        <f t="shared" si="118"/>
        <v>251404</v>
      </c>
      <c r="AG102" s="704">
        <f>TRP_Simple!$AJ80</f>
        <v>251404</v>
      </c>
      <c r="AH102" s="705">
        <f t="shared" si="119"/>
        <v>0</v>
      </c>
      <c r="AI102" s="704" t="str">
        <f t="shared" si="120"/>
        <v>GOOD!</v>
      </c>
      <c r="AJ102" s="708">
        <f t="shared" si="121"/>
        <v>60170</v>
      </c>
      <c r="AK102" s="708">
        <f t="shared" si="121"/>
        <v>80093</v>
      </c>
      <c r="AL102" s="708">
        <f t="shared" si="121"/>
        <v>46131</v>
      </c>
      <c r="AM102" s="754">
        <f t="shared" si="123"/>
        <v>0</v>
      </c>
      <c r="AN102" s="708">
        <f t="shared" si="124"/>
        <v>106301</v>
      </c>
      <c r="AO102" s="755"/>
      <c r="AP102" s="755"/>
    </row>
    <row r="103" spans="1:42" s="708" customFormat="1" x14ac:dyDescent="0.3">
      <c r="A103" s="711" t="s">
        <v>152</v>
      </c>
      <c r="B103" s="701">
        <v>14</v>
      </c>
      <c r="C103" s="710">
        <f t="shared" ref="C103:AE103" si="136">C134-C73</f>
        <v>0.81096344724039426</v>
      </c>
      <c r="D103" s="710">
        <f t="shared" si="136"/>
        <v>19.889460086769134</v>
      </c>
      <c r="E103" s="710">
        <f t="shared" si="136"/>
        <v>6.6821103507817377</v>
      </c>
      <c r="F103" s="710">
        <f t="shared" si="136"/>
        <v>1.8669826210897633</v>
      </c>
      <c r="G103" s="710">
        <f t="shared" si="136"/>
        <v>3.2750081862222555</v>
      </c>
      <c r="H103" s="710">
        <f t="shared" si="136"/>
        <v>5.8651358199437453</v>
      </c>
      <c r="I103" s="710">
        <f t="shared" si="136"/>
        <v>1.8985033447746706</v>
      </c>
      <c r="J103" s="710">
        <f t="shared" si="136"/>
        <v>4.274729649147865</v>
      </c>
      <c r="K103" s="710">
        <f t="shared" si="136"/>
        <v>4.576449413104827</v>
      </c>
      <c r="L103" s="710">
        <f t="shared" si="136"/>
        <v>7.7947935619790947</v>
      </c>
      <c r="M103" s="710">
        <f t="shared" si="136"/>
        <v>2.5522295000147563</v>
      </c>
      <c r="N103" s="710">
        <f t="shared" si="136"/>
        <v>118.6729228401133</v>
      </c>
      <c r="O103" s="710">
        <f t="shared" si="136"/>
        <v>34.656427922715963</v>
      </c>
      <c r="P103" s="710">
        <f t="shared" si="136"/>
        <v>16.013026819235648</v>
      </c>
      <c r="Q103" s="710">
        <f t="shared" si="136"/>
        <v>1.5904061707958808</v>
      </c>
      <c r="R103" s="710">
        <f t="shared" si="136"/>
        <v>35.242247550674342</v>
      </c>
      <c r="S103" s="710">
        <f t="shared" si="136"/>
        <v>13.889164555572577</v>
      </c>
      <c r="T103" s="710">
        <f t="shared" si="136"/>
        <v>12.293520358176485</v>
      </c>
      <c r="U103" s="710">
        <f t="shared" si="136"/>
        <v>845.34094743160426</v>
      </c>
      <c r="V103" s="710">
        <f t="shared" si="136"/>
        <v>622.45667122735063</v>
      </c>
      <c r="W103" s="710">
        <f t="shared" si="136"/>
        <v>0</v>
      </c>
      <c r="X103" s="710">
        <f t="shared" si="136"/>
        <v>21.128226192706123</v>
      </c>
      <c r="Y103" s="710">
        <f t="shared" si="136"/>
        <v>12.943161779312939</v>
      </c>
      <c r="Z103" s="710">
        <f t="shared" si="136"/>
        <v>1.2383997795127575</v>
      </c>
      <c r="AA103" s="710">
        <f t="shared" si="136"/>
        <v>3714.6235049342577</v>
      </c>
      <c r="AB103" s="710">
        <f t="shared" si="136"/>
        <v>168.85843055060457</v>
      </c>
      <c r="AC103" s="710">
        <f t="shared" si="136"/>
        <v>0</v>
      </c>
      <c r="AD103" s="710">
        <f t="shared" si="136"/>
        <v>1351.3973677186211</v>
      </c>
      <c r="AE103" s="710">
        <f t="shared" si="136"/>
        <v>-3.7604463615575083</v>
      </c>
      <c r="AF103" s="709">
        <f t="shared" si="118"/>
        <v>7026.0703454507657</v>
      </c>
      <c r="AG103" s="704">
        <f>TRP_Simple!$AJ81</f>
        <v>7026.0703454507657</v>
      </c>
      <c r="AH103" s="705">
        <f t="shared" si="119"/>
        <v>0</v>
      </c>
      <c r="AI103" s="704" t="str">
        <f t="shared" si="120"/>
        <v>GOOD!</v>
      </c>
      <c r="AJ103" s="708">
        <f t="shared" si="121"/>
        <v>0</v>
      </c>
      <c r="AK103" s="708">
        <f t="shared" si="121"/>
        <v>0</v>
      </c>
      <c r="AL103" s="708">
        <f t="shared" si="121"/>
        <v>0</v>
      </c>
      <c r="AM103" s="754">
        <f t="shared" si="123"/>
        <v>0</v>
      </c>
      <c r="AN103" s="708">
        <f t="shared" si="124"/>
        <v>0</v>
      </c>
      <c r="AO103" s="755"/>
      <c r="AP103" s="755"/>
    </row>
    <row r="104" spans="1:42" s="708" customFormat="1" x14ac:dyDescent="0.3">
      <c r="A104" s="711" t="s">
        <v>153</v>
      </c>
      <c r="B104" s="701">
        <v>15</v>
      </c>
      <c r="C104" s="710">
        <f t="shared" ref="C104:AE104" si="137">C135-C74</f>
        <v>0</v>
      </c>
      <c r="D104" s="710">
        <f t="shared" si="137"/>
        <v>91</v>
      </c>
      <c r="E104" s="710">
        <f t="shared" si="137"/>
        <v>24</v>
      </c>
      <c r="F104" s="710">
        <f t="shared" si="137"/>
        <v>2</v>
      </c>
      <c r="G104" s="710">
        <f t="shared" si="137"/>
        <v>8</v>
      </c>
      <c r="H104" s="710">
        <f t="shared" si="137"/>
        <v>4</v>
      </c>
      <c r="I104" s="710">
        <f t="shared" si="137"/>
        <v>1</v>
      </c>
      <c r="J104" s="710">
        <f t="shared" si="137"/>
        <v>12</v>
      </c>
      <c r="K104" s="710">
        <f t="shared" si="137"/>
        <v>11</v>
      </c>
      <c r="L104" s="710">
        <f t="shared" si="137"/>
        <v>3</v>
      </c>
      <c r="M104" s="710">
        <f t="shared" si="137"/>
        <v>1</v>
      </c>
      <c r="N104" s="710">
        <f t="shared" si="137"/>
        <v>208</v>
      </c>
      <c r="O104" s="710">
        <f t="shared" si="137"/>
        <v>60</v>
      </c>
      <c r="P104" s="710">
        <f t="shared" si="137"/>
        <v>2.5890807547789665</v>
      </c>
      <c r="Q104" s="710">
        <f t="shared" si="137"/>
        <v>397</v>
      </c>
      <c r="R104" s="710">
        <f t="shared" si="137"/>
        <v>27.170719902851395</v>
      </c>
      <c r="S104" s="710">
        <f t="shared" si="137"/>
        <v>19.841675930787485</v>
      </c>
      <c r="T104" s="710">
        <f t="shared" si="137"/>
        <v>26.398523411582154</v>
      </c>
      <c r="U104" s="710">
        <f t="shared" si="137"/>
        <v>1420</v>
      </c>
      <c r="V104" s="710">
        <f t="shared" si="137"/>
        <v>1860</v>
      </c>
      <c r="W104" s="710">
        <f t="shared" si="137"/>
        <v>0</v>
      </c>
      <c r="X104" s="710">
        <f t="shared" si="137"/>
        <v>21</v>
      </c>
      <c r="Y104" s="710">
        <f t="shared" si="137"/>
        <v>14</v>
      </c>
      <c r="Z104" s="710">
        <f t="shared" si="137"/>
        <v>2</v>
      </c>
      <c r="AA104" s="710">
        <f t="shared" si="137"/>
        <v>9238</v>
      </c>
      <c r="AB104" s="710">
        <f t="shared" si="137"/>
        <v>1630</v>
      </c>
      <c r="AC104" s="710">
        <f t="shared" si="137"/>
        <v>0</v>
      </c>
      <c r="AD104" s="710">
        <f t="shared" si="137"/>
        <v>0</v>
      </c>
      <c r="AE104" s="710">
        <f t="shared" si="137"/>
        <v>0</v>
      </c>
      <c r="AF104" s="709">
        <f t="shared" si="118"/>
        <v>15083</v>
      </c>
      <c r="AG104" s="704">
        <f>TRP_Simple!$AJ82</f>
        <v>15083</v>
      </c>
      <c r="AH104" s="705">
        <f t="shared" si="119"/>
        <v>0</v>
      </c>
      <c r="AI104" s="704" t="str">
        <f t="shared" si="120"/>
        <v>GOOD!</v>
      </c>
      <c r="AJ104" s="708">
        <f t="shared" si="121"/>
        <v>0</v>
      </c>
      <c r="AK104" s="708">
        <f t="shared" si="121"/>
        <v>0</v>
      </c>
      <c r="AL104" s="708">
        <f t="shared" si="121"/>
        <v>0</v>
      </c>
      <c r="AM104" s="754">
        <f t="shared" si="123"/>
        <v>0</v>
      </c>
      <c r="AN104" s="708">
        <f t="shared" si="124"/>
        <v>0</v>
      </c>
      <c r="AO104" s="755"/>
      <c r="AP104" s="755"/>
    </row>
    <row r="105" spans="1:42" s="708" customFormat="1" x14ac:dyDescent="0.3">
      <c r="A105" s="711" t="s">
        <v>154</v>
      </c>
      <c r="B105" s="701">
        <v>16</v>
      </c>
      <c r="C105" s="710">
        <f t="shared" ref="C105:AE105" si="138">C136-C75</f>
        <v>30.910398399977201</v>
      </c>
      <c r="D105" s="710">
        <f t="shared" si="138"/>
        <v>244.81962584224635</v>
      </c>
      <c r="E105" s="710">
        <f t="shared" si="138"/>
        <v>104.55240719397531</v>
      </c>
      <c r="F105" s="710">
        <f t="shared" si="138"/>
        <v>25.993325056171052</v>
      </c>
      <c r="G105" s="710">
        <f t="shared" si="138"/>
        <v>58.423315336472839</v>
      </c>
      <c r="H105" s="710">
        <f t="shared" si="138"/>
        <v>44.201950307876508</v>
      </c>
      <c r="I105" s="710">
        <f t="shared" si="138"/>
        <v>7.2055928351744933</v>
      </c>
      <c r="J105" s="710">
        <f t="shared" si="138"/>
        <v>26.249634259852304</v>
      </c>
      <c r="K105" s="710">
        <f t="shared" si="138"/>
        <v>34.869750237290255</v>
      </c>
      <c r="L105" s="710">
        <f t="shared" si="138"/>
        <v>107.32460996060678</v>
      </c>
      <c r="M105" s="710">
        <f t="shared" si="138"/>
        <v>22.262374036743179</v>
      </c>
      <c r="N105" s="710">
        <f t="shared" si="138"/>
        <v>479.59306675190021</v>
      </c>
      <c r="O105" s="710">
        <f t="shared" si="138"/>
        <v>277.4297917202677</v>
      </c>
      <c r="P105" s="710">
        <f t="shared" si="138"/>
        <v>32.563888213271873</v>
      </c>
      <c r="Q105" s="710">
        <f t="shared" si="138"/>
        <v>41.343968891250192</v>
      </c>
      <c r="R105" s="710">
        <f t="shared" si="138"/>
        <v>4314.9672824266045</v>
      </c>
      <c r="S105" s="710">
        <f t="shared" si="138"/>
        <v>347.18840809499818</v>
      </c>
      <c r="T105" s="710">
        <f t="shared" si="138"/>
        <v>206.03736376211634</v>
      </c>
      <c r="U105" s="710">
        <f t="shared" si="138"/>
        <v>8825.754114032794</v>
      </c>
      <c r="V105" s="710">
        <f t="shared" si="138"/>
        <v>641.21136126153488</v>
      </c>
      <c r="W105" s="710">
        <f t="shared" si="138"/>
        <v>0</v>
      </c>
      <c r="X105" s="710">
        <f t="shared" si="138"/>
        <v>172.44089972489158</v>
      </c>
      <c r="Y105" s="710">
        <f t="shared" si="138"/>
        <v>169.03274647107355</v>
      </c>
      <c r="Z105" s="710">
        <f t="shared" si="138"/>
        <v>10.680234650921111</v>
      </c>
      <c r="AA105" s="710">
        <f t="shared" si="138"/>
        <v>566.51723401331901</v>
      </c>
      <c r="AB105" s="710">
        <f t="shared" si="138"/>
        <v>3.3416646918894273</v>
      </c>
      <c r="AC105" s="710">
        <f t="shared" si="138"/>
        <v>0</v>
      </c>
      <c r="AD105" s="710">
        <f t="shared" si="138"/>
        <v>4060.4969655726695</v>
      </c>
      <c r="AE105" s="710">
        <f t="shared" si="138"/>
        <v>-76.147357218562661</v>
      </c>
      <c r="AF105" s="709">
        <f t="shared" si="118"/>
        <v>20779.264616527325</v>
      </c>
      <c r="AG105" s="704">
        <f>TRP_Simple!$AJ83</f>
        <v>20779.264616527325</v>
      </c>
      <c r="AH105" s="705">
        <f t="shared" si="119"/>
        <v>0</v>
      </c>
      <c r="AI105" s="704" t="str">
        <f t="shared" si="120"/>
        <v>GOOD!</v>
      </c>
      <c r="AJ105" s="708">
        <f t="shared" si="121"/>
        <v>0</v>
      </c>
      <c r="AK105" s="708">
        <f t="shared" si="121"/>
        <v>0</v>
      </c>
      <c r="AL105" s="708">
        <f t="shared" si="121"/>
        <v>0</v>
      </c>
      <c r="AM105" s="754">
        <f t="shared" si="123"/>
        <v>0</v>
      </c>
      <c r="AN105" s="708">
        <f t="shared" si="124"/>
        <v>0</v>
      </c>
      <c r="AO105" s="755"/>
      <c r="AP105" s="755"/>
    </row>
    <row r="106" spans="1:42" s="708" customFormat="1" x14ac:dyDescent="0.3">
      <c r="A106" s="711" t="s">
        <v>155</v>
      </c>
      <c r="B106" s="701">
        <v>17</v>
      </c>
      <c r="C106" s="710">
        <f t="shared" ref="C106:AE106" si="139">C137-C76</f>
        <v>0</v>
      </c>
      <c r="D106" s="710">
        <f t="shared" si="139"/>
        <v>81.686161896744409</v>
      </c>
      <c r="E106" s="710">
        <f t="shared" si="139"/>
        <v>34.170696437004466</v>
      </c>
      <c r="F106" s="710">
        <f t="shared" si="139"/>
        <v>8.4921257417407556</v>
      </c>
      <c r="G106" s="710">
        <f t="shared" si="139"/>
        <v>19.814960064061761</v>
      </c>
      <c r="H106" s="710">
        <f t="shared" si="139"/>
        <v>14.557929842984151</v>
      </c>
      <c r="I106" s="710">
        <f t="shared" si="139"/>
        <v>2.2241281704559119</v>
      </c>
      <c r="J106" s="710">
        <f t="shared" si="139"/>
        <v>8.2899322716993087</v>
      </c>
      <c r="K106" s="710">
        <f t="shared" si="139"/>
        <v>10.716253912196667</v>
      </c>
      <c r="L106" s="710">
        <f t="shared" si="139"/>
        <v>36.597018077501829</v>
      </c>
      <c r="M106" s="710">
        <f t="shared" si="139"/>
        <v>7.4811583915335227</v>
      </c>
      <c r="N106" s="710">
        <f t="shared" si="139"/>
        <v>254.15719184209837</v>
      </c>
      <c r="O106" s="710">
        <f t="shared" si="139"/>
        <v>89.571707228360822</v>
      </c>
      <c r="P106" s="710">
        <f t="shared" si="139"/>
        <v>13.457716586102777</v>
      </c>
      <c r="Q106" s="710">
        <f t="shared" si="139"/>
        <v>6.2679975712848428</v>
      </c>
      <c r="R106" s="710">
        <f t="shared" si="139"/>
        <v>316.7173018856418</v>
      </c>
      <c r="S106" s="710">
        <f t="shared" si="139"/>
        <v>1179.9363574525453</v>
      </c>
      <c r="T106" s="710">
        <f t="shared" si="139"/>
        <v>77.696308811099499</v>
      </c>
      <c r="U106" s="710">
        <f t="shared" si="139"/>
        <v>1469.4518929250953</v>
      </c>
      <c r="V106" s="710">
        <f t="shared" si="139"/>
        <v>13.569559526793778</v>
      </c>
      <c r="W106" s="710">
        <f t="shared" si="139"/>
        <v>0</v>
      </c>
      <c r="X106" s="710">
        <f t="shared" si="139"/>
        <v>59.040493252102394</v>
      </c>
      <c r="Y106" s="710">
        <f t="shared" si="139"/>
        <v>58.433912841978056</v>
      </c>
      <c r="Z106" s="710">
        <f t="shared" si="139"/>
        <v>3.4372889907045914</v>
      </c>
      <c r="AA106" s="710">
        <f t="shared" si="139"/>
        <v>107.4163800453303</v>
      </c>
      <c r="AB106" s="710">
        <f t="shared" si="139"/>
        <v>0</v>
      </c>
      <c r="AC106" s="710">
        <f t="shared" si="139"/>
        <v>0</v>
      </c>
      <c r="AD106" s="710">
        <f t="shared" si="139"/>
        <v>2209.6537305915463</v>
      </c>
      <c r="AE106" s="710">
        <f t="shared" si="139"/>
        <v>-4.6294704071239856</v>
      </c>
      <c r="AF106" s="709">
        <f t="shared" si="118"/>
        <v>6078.2087339494828</v>
      </c>
      <c r="AG106" s="704">
        <f>TRP_Simple!$AJ84</f>
        <v>6078.2087339494847</v>
      </c>
      <c r="AH106" s="705">
        <f t="shared" si="119"/>
        <v>0</v>
      </c>
      <c r="AI106" s="704" t="str">
        <f t="shared" si="120"/>
        <v>GOOD!</v>
      </c>
      <c r="AJ106" s="708">
        <f t="shared" si="121"/>
        <v>0</v>
      </c>
      <c r="AK106" s="708">
        <f t="shared" si="121"/>
        <v>0</v>
      </c>
      <c r="AL106" s="708">
        <f t="shared" si="121"/>
        <v>0</v>
      </c>
      <c r="AM106" s="754">
        <f t="shared" si="123"/>
        <v>0</v>
      </c>
      <c r="AN106" s="708">
        <f t="shared" si="124"/>
        <v>0</v>
      </c>
      <c r="AO106" s="755"/>
      <c r="AP106" s="755"/>
    </row>
    <row r="107" spans="1:42" s="708" customFormat="1" x14ac:dyDescent="0.3">
      <c r="A107" s="711" t="s">
        <v>156</v>
      </c>
      <c r="B107" s="701">
        <v>18</v>
      </c>
      <c r="C107" s="710">
        <f t="shared" ref="C107:AE107" si="140">C138-C77</f>
        <v>4.587434780791245</v>
      </c>
      <c r="D107" s="710">
        <f t="shared" si="140"/>
        <v>87.53693306638641</v>
      </c>
      <c r="E107" s="710">
        <f t="shared" si="140"/>
        <v>28.105427734053642</v>
      </c>
      <c r="F107" s="710">
        <f t="shared" si="140"/>
        <v>7.6923496929953332</v>
      </c>
      <c r="G107" s="710">
        <f t="shared" si="140"/>
        <v>23.555680682400634</v>
      </c>
      <c r="H107" s="710">
        <f t="shared" si="140"/>
        <v>11.876189536337359</v>
      </c>
      <c r="I107" s="710">
        <f t="shared" si="140"/>
        <v>6.5292813705314323</v>
      </c>
      <c r="J107" s="710">
        <f t="shared" si="140"/>
        <v>13.771411067734288</v>
      </c>
      <c r="K107" s="710">
        <f t="shared" si="140"/>
        <v>15.750775990457182</v>
      </c>
      <c r="L107" s="710">
        <f t="shared" si="140"/>
        <v>15.455972855808895</v>
      </c>
      <c r="M107" s="710">
        <f t="shared" si="140"/>
        <v>6.4853280767948576</v>
      </c>
      <c r="N107" s="710">
        <f t="shared" si="140"/>
        <v>440.59911880434606</v>
      </c>
      <c r="O107" s="710">
        <f t="shared" si="140"/>
        <v>87.47100312578155</v>
      </c>
      <c r="P107" s="710">
        <f t="shared" si="140"/>
        <v>6.5297466220135254</v>
      </c>
      <c r="Q107" s="710">
        <f t="shared" si="140"/>
        <v>8.8087929571159762</v>
      </c>
      <c r="R107" s="710">
        <f t="shared" si="140"/>
        <v>134.11014498744964</v>
      </c>
      <c r="S107" s="710">
        <f t="shared" si="140"/>
        <v>54.660876004437597</v>
      </c>
      <c r="T107" s="710">
        <f t="shared" si="140"/>
        <v>1239.5986301530504</v>
      </c>
      <c r="U107" s="710">
        <f t="shared" si="140"/>
        <v>3002.7462909312308</v>
      </c>
      <c r="V107" s="710">
        <f t="shared" si="140"/>
        <v>138.37407505182685</v>
      </c>
      <c r="W107" s="710">
        <f t="shared" si="140"/>
        <v>0</v>
      </c>
      <c r="X107" s="710">
        <f t="shared" si="140"/>
        <v>37.970246940054302</v>
      </c>
      <c r="Y107" s="710">
        <f t="shared" si="140"/>
        <v>25.114817550019389</v>
      </c>
      <c r="Z107" s="710">
        <f t="shared" si="140"/>
        <v>2.6766715632798976</v>
      </c>
      <c r="AA107" s="710">
        <f t="shared" si="140"/>
        <v>4170.5888642840346</v>
      </c>
      <c r="AB107" s="710">
        <f t="shared" si="140"/>
        <v>0</v>
      </c>
      <c r="AC107" s="710">
        <f t="shared" si="140"/>
        <v>0</v>
      </c>
      <c r="AD107" s="710">
        <f t="shared" si="140"/>
        <v>7626.4586135790987</v>
      </c>
      <c r="AE107" s="710">
        <f t="shared" si="140"/>
        <v>-7.0940650943800705</v>
      </c>
      <c r="AF107" s="709">
        <f t="shared" si="118"/>
        <v>17189.960612313651</v>
      </c>
      <c r="AG107" s="704">
        <f>TRP_Simple!$AJ85</f>
        <v>17189.960612313651</v>
      </c>
      <c r="AH107" s="705">
        <f t="shared" si="119"/>
        <v>0</v>
      </c>
      <c r="AI107" s="704" t="str">
        <f t="shared" si="120"/>
        <v>GOOD!</v>
      </c>
      <c r="AJ107" s="708">
        <f t="shared" si="121"/>
        <v>0</v>
      </c>
      <c r="AK107" s="708">
        <f t="shared" si="121"/>
        <v>0</v>
      </c>
      <c r="AL107" s="708">
        <f t="shared" si="121"/>
        <v>0</v>
      </c>
      <c r="AM107" s="754">
        <f t="shared" si="123"/>
        <v>0</v>
      </c>
      <c r="AN107" s="708">
        <f t="shared" si="124"/>
        <v>0</v>
      </c>
      <c r="AO107" s="755"/>
      <c r="AP107" s="755"/>
    </row>
    <row r="108" spans="1:42" s="708" customFormat="1" x14ac:dyDescent="0.3">
      <c r="A108" s="711" t="s">
        <v>311</v>
      </c>
      <c r="B108" s="701">
        <v>19</v>
      </c>
      <c r="C108" s="710">
        <f t="shared" ref="C108:AE108" si="141">C139-C78</f>
        <v>5540.8693728078479</v>
      </c>
      <c r="D108" s="710">
        <f t="shared" si="141"/>
        <v>18390.980418600979</v>
      </c>
      <c r="E108" s="710">
        <f t="shared" si="141"/>
        <v>11690.207367906305</v>
      </c>
      <c r="F108" s="710">
        <f t="shared" si="141"/>
        <v>1232.6247525424615</v>
      </c>
      <c r="G108" s="710">
        <f t="shared" si="141"/>
        <v>3268.337707363065</v>
      </c>
      <c r="H108" s="710">
        <f t="shared" si="141"/>
        <v>3110.4352020380311</v>
      </c>
      <c r="I108" s="710">
        <f t="shared" si="141"/>
        <v>860.74527509547715</v>
      </c>
      <c r="J108" s="710">
        <f t="shared" si="141"/>
        <v>2395.2768504653654</v>
      </c>
      <c r="K108" s="710">
        <f t="shared" si="141"/>
        <v>3532.1473763353847</v>
      </c>
      <c r="L108" s="710">
        <f t="shared" si="141"/>
        <v>3396.064396702719</v>
      </c>
      <c r="M108" s="710">
        <f t="shared" si="141"/>
        <v>1571.3661880585644</v>
      </c>
      <c r="N108" s="710">
        <f t="shared" si="141"/>
        <v>74147.915915114529</v>
      </c>
      <c r="O108" s="710">
        <f t="shared" si="141"/>
        <v>32587.466304239282</v>
      </c>
      <c r="P108" s="710">
        <f t="shared" si="141"/>
        <v>2788.4297638819394</v>
      </c>
      <c r="Q108" s="710">
        <f t="shared" si="141"/>
        <v>2846.5977725713346</v>
      </c>
      <c r="R108" s="710">
        <f t="shared" si="141"/>
        <v>13269.011870195869</v>
      </c>
      <c r="S108" s="710">
        <f t="shared" si="141"/>
        <v>4157.6129345191785</v>
      </c>
      <c r="T108" s="710">
        <f t="shared" si="141"/>
        <v>3956.6564817235467</v>
      </c>
      <c r="U108" s="710">
        <f t="shared" si="141"/>
        <v>459882.45075936662</v>
      </c>
      <c r="V108" s="710">
        <f t="shared" si="141"/>
        <v>41888.619079581949</v>
      </c>
      <c r="W108" s="710">
        <f t="shared" si="141"/>
        <v>26.137976912665927</v>
      </c>
      <c r="X108" s="710">
        <f t="shared" si="141"/>
        <v>3671.6944246399071</v>
      </c>
      <c r="Y108" s="710">
        <f t="shared" si="141"/>
        <v>5862.7970687479456</v>
      </c>
      <c r="Z108" s="710">
        <f t="shared" si="141"/>
        <v>1178.4606513356146</v>
      </c>
      <c r="AA108" s="710">
        <f t="shared" si="141"/>
        <v>456826.99944077758</v>
      </c>
      <c r="AB108" s="710">
        <f t="shared" si="141"/>
        <v>85697.375316644044</v>
      </c>
      <c r="AC108" s="710">
        <f t="shared" si="141"/>
        <v>84245.439587407687</v>
      </c>
      <c r="AD108" s="710">
        <f t="shared" si="141"/>
        <v>77926</v>
      </c>
      <c r="AE108" s="710">
        <f t="shared" si="141"/>
        <v>462.52219553146176</v>
      </c>
      <c r="AF108" s="709">
        <f t="shared" si="118"/>
        <v>1406411.2424511076</v>
      </c>
      <c r="AG108" s="704">
        <f>TRP_Simple!$AJ86</f>
        <v>1406411.2424511074</v>
      </c>
      <c r="AH108" s="705">
        <f t="shared" si="119"/>
        <v>0</v>
      </c>
      <c r="AI108" s="704" t="str">
        <f t="shared" si="120"/>
        <v>GOOD!</v>
      </c>
      <c r="AJ108" s="708">
        <f t="shared" si="121"/>
        <v>53789.504265832336</v>
      </c>
      <c r="AK108" s="708">
        <f t="shared" si="121"/>
        <v>25322.512697270955</v>
      </c>
      <c r="AL108" s="708">
        <f t="shared" si="121"/>
        <v>5133.4226243043922</v>
      </c>
      <c r="AM108" s="754">
        <f t="shared" si="123"/>
        <v>0</v>
      </c>
      <c r="AN108" s="708">
        <f t="shared" si="124"/>
        <v>58922.926890136732</v>
      </c>
      <c r="AO108" s="755"/>
      <c r="AP108" s="755"/>
    </row>
    <row r="109" spans="1:42" s="708" customFormat="1" x14ac:dyDescent="0.3">
      <c r="A109" s="711" t="s">
        <v>312</v>
      </c>
      <c r="B109" s="701">
        <v>20</v>
      </c>
      <c r="C109" s="710">
        <f t="shared" ref="C109:AE109" si="142">C140-C79</f>
        <v>14</v>
      </c>
      <c r="D109" s="710">
        <f t="shared" si="142"/>
        <v>61</v>
      </c>
      <c r="E109" s="710">
        <f t="shared" si="142"/>
        <v>19.100000000000001</v>
      </c>
      <c r="F109" s="710">
        <f t="shared" si="142"/>
        <v>23</v>
      </c>
      <c r="G109" s="710">
        <f t="shared" si="142"/>
        <v>5</v>
      </c>
      <c r="H109" s="710">
        <f t="shared" si="142"/>
        <v>7</v>
      </c>
      <c r="I109" s="710">
        <f t="shared" si="142"/>
        <v>18</v>
      </c>
      <c r="J109" s="710">
        <f t="shared" si="142"/>
        <v>12</v>
      </c>
      <c r="K109" s="710">
        <f t="shared" si="142"/>
        <v>15</v>
      </c>
      <c r="L109" s="710">
        <f t="shared" si="142"/>
        <v>10</v>
      </c>
      <c r="M109" s="710">
        <f t="shared" si="142"/>
        <v>12</v>
      </c>
      <c r="N109" s="710">
        <f t="shared" si="142"/>
        <v>564.9</v>
      </c>
      <c r="O109" s="710">
        <f t="shared" si="142"/>
        <v>78</v>
      </c>
      <c r="P109" s="710">
        <f t="shared" si="142"/>
        <v>5.4724760281707496</v>
      </c>
      <c r="Q109" s="710">
        <f t="shared" si="142"/>
        <v>22</v>
      </c>
      <c r="R109" s="710">
        <f t="shared" si="142"/>
        <v>79.637927848387164</v>
      </c>
      <c r="S109" s="710">
        <f t="shared" si="142"/>
        <v>37.645668644642015</v>
      </c>
      <c r="T109" s="710">
        <f t="shared" si="142"/>
        <v>9.2439274788000745</v>
      </c>
      <c r="U109" s="710">
        <f t="shared" si="142"/>
        <v>1640</v>
      </c>
      <c r="V109" s="710">
        <f t="shared" si="142"/>
        <v>0</v>
      </c>
      <c r="W109" s="710">
        <f t="shared" si="142"/>
        <v>0</v>
      </c>
      <c r="X109" s="710">
        <f t="shared" si="142"/>
        <v>40</v>
      </c>
      <c r="Y109" s="710">
        <f t="shared" si="142"/>
        <v>3</v>
      </c>
      <c r="Z109" s="710">
        <f t="shared" si="142"/>
        <v>10</v>
      </c>
      <c r="AA109" s="710">
        <f t="shared" si="142"/>
        <v>10274</v>
      </c>
      <c r="AB109" s="710">
        <f t="shared" si="142"/>
        <v>330712</v>
      </c>
      <c r="AC109" s="710">
        <f t="shared" si="142"/>
        <v>0</v>
      </c>
      <c r="AD109" s="710">
        <f t="shared" si="142"/>
        <v>0</v>
      </c>
      <c r="AE109" s="710">
        <f t="shared" si="142"/>
        <v>0</v>
      </c>
      <c r="AF109" s="709">
        <f t="shared" si="118"/>
        <v>343672</v>
      </c>
      <c r="AG109" s="704">
        <f>TRP_Simple!$AJ87</f>
        <v>343672</v>
      </c>
      <c r="AH109" s="705">
        <f t="shared" si="119"/>
        <v>0</v>
      </c>
      <c r="AI109" s="704" t="str">
        <f t="shared" si="120"/>
        <v>GOOD!</v>
      </c>
      <c r="AJ109" s="708">
        <f t="shared" si="121"/>
        <v>0</v>
      </c>
      <c r="AK109" s="708">
        <f t="shared" si="121"/>
        <v>0</v>
      </c>
      <c r="AL109" s="708">
        <f t="shared" si="121"/>
        <v>0</v>
      </c>
      <c r="AM109" s="754">
        <f t="shared" si="123"/>
        <v>0</v>
      </c>
      <c r="AN109" s="708">
        <f t="shared" si="124"/>
        <v>0</v>
      </c>
      <c r="AO109" s="755"/>
      <c r="AP109" s="755"/>
    </row>
    <row r="110" spans="1:42" s="708" customFormat="1" x14ac:dyDescent="0.3">
      <c r="A110" s="711" t="s">
        <v>144</v>
      </c>
      <c r="B110" s="701">
        <v>21</v>
      </c>
      <c r="C110" s="710">
        <f t="shared" ref="C110:AE110" si="143">C141-C80</f>
        <v>0</v>
      </c>
      <c r="D110" s="710">
        <f t="shared" si="143"/>
        <v>0</v>
      </c>
      <c r="E110" s="710">
        <f t="shared" si="143"/>
        <v>0</v>
      </c>
      <c r="F110" s="710">
        <f t="shared" si="143"/>
        <v>0</v>
      </c>
      <c r="G110" s="710">
        <f t="shared" si="143"/>
        <v>0.14349849344304655</v>
      </c>
      <c r="H110" s="710">
        <f t="shared" si="143"/>
        <v>0.50224472705066336</v>
      </c>
      <c r="I110" s="710">
        <f t="shared" si="143"/>
        <v>0.71749246721523363</v>
      </c>
      <c r="J110" s="710">
        <f t="shared" si="143"/>
        <v>0.21524774016456982</v>
      </c>
      <c r="K110" s="710">
        <f t="shared" si="143"/>
        <v>0</v>
      </c>
      <c r="L110" s="710">
        <f t="shared" si="143"/>
        <v>27.264713754178899</v>
      </c>
      <c r="M110" s="710">
        <f t="shared" si="143"/>
        <v>0</v>
      </c>
      <c r="N110" s="710">
        <f t="shared" si="143"/>
        <v>34.843998456886652</v>
      </c>
      <c r="O110" s="710">
        <f t="shared" si="143"/>
        <v>0</v>
      </c>
      <c r="P110" s="710">
        <f t="shared" si="143"/>
        <v>0</v>
      </c>
      <c r="Q110" s="710">
        <f t="shared" si="143"/>
        <v>0</v>
      </c>
      <c r="R110" s="710">
        <f t="shared" si="143"/>
        <v>0</v>
      </c>
      <c r="S110" s="710">
        <f t="shared" si="143"/>
        <v>0</v>
      </c>
      <c r="T110" s="710">
        <f t="shared" si="143"/>
        <v>0</v>
      </c>
      <c r="U110" s="710">
        <f t="shared" si="143"/>
        <v>2.6742626189193501</v>
      </c>
      <c r="V110" s="710">
        <f t="shared" si="143"/>
        <v>7.6054201524814573</v>
      </c>
      <c r="W110" s="710">
        <f t="shared" si="143"/>
        <v>0.35874623360761593</v>
      </c>
      <c r="X110" s="710">
        <f t="shared" si="143"/>
        <v>0</v>
      </c>
      <c r="Y110" s="710">
        <f t="shared" si="143"/>
        <v>51.946454626382888</v>
      </c>
      <c r="Z110" s="710">
        <f t="shared" si="143"/>
        <v>3.3722145959115934</v>
      </c>
      <c r="AA110" s="710">
        <f t="shared" si="143"/>
        <v>4.6637010368990133</v>
      </c>
      <c r="AB110" s="710">
        <f t="shared" si="143"/>
        <v>0</v>
      </c>
      <c r="AC110" s="710">
        <f t="shared" si="143"/>
        <v>0</v>
      </c>
      <c r="AD110" s="710">
        <f t="shared" si="143"/>
        <v>12</v>
      </c>
      <c r="AE110" s="710">
        <f t="shared" si="143"/>
        <v>-1.9368177698953559</v>
      </c>
      <c r="AF110" s="709">
        <f t="shared" si="118"/>
        <v>144.37117713324562</v>
      </c>
      <c r="AG110" s="704">
        <f>TRP_Simple!$AJ88</f>
        <v>144.37117713324574</v>
      </c>
      <c r="AH110" s="705">
        <f t="shared" si="119"/>
        <v>0</v>
      </c>
      <c r="AI110" s="704" t="str">
        <f t="shared" si="120"/>
        <v>GOOD!</v>
      </c>
      <c r="AJ110" s="708">
        <f t="shared" si="121"/>
        <v>0</v>
      </c>
      <c r="AK110" s="708">
        <f t="shared" si="121"/>
        <v>0</v>
      </c>
      <c r="AL110" s="708">
        <f t="shared" si="121"/>
        <v>0</v>
      </c>
      <c r="AM110" s="754">
        <f t="shared" si="123"/>
        <v>0</v>
      </c>
      <c r="AN110" s="708">
        <f t="shared" si="124"/>
        <v>0</v>
      </c>
      <c r="AO110" s="755"/>
      <c r="AP110" s="755"/>
    </row>
    <row r="111" spans="1:42" s="708" customFormat="1" x14ac:dyDescent="0.3">
      <c r="A111" s="711" t="s">
        <v>148</v>
      </c>
      <c r="B111" s="701">
        <v>22</v>
      </c>
      <c r="C111" s="710">
        <f t="shared" ref="C111:AE111" si="144">C142-C81</f>
        <v>2387.9496665426373</v>
      </c>
      <c r="D111" s="710">
        <f t="shared" si="144"/>
        <v>597.74674939657973</v>
      </c>
      <c r="E111" s="710">
        <f t="shared" si="144"/>
        <v>288.54644914977172</v>
      </c>
      <c r="F111" s="710">
        <f t="shared" si="144"/>
        <v>55.279424995008895</v>
      </c>
      <c r="G111" s="710">
        <f t="shared" si="144"/>
        <v>323.7794892564807</v>
      </c>
      <c r="H111" s="710">
        <f t="shared" si="144"/>
        <v>122.70817416474503</v>
      </c>
      <c r="I111" s="710">
        <f t="shared" si="144"/>
        <v>72.244966404623824</v>
      </c>
      <c r="J111" s="710">
        <f t="shared" si="144"/>
        <v>3817.0271988221793</v>
      </c>
      <c r="K111" s="710">
        <f t="shared" si="144"/>
        <v>102.05432306770874</v>
      </c>
      <c r="L111" s="710">
        <f t="shared" si="144"/>
        <v>0</v>
      </c>
      <c r="M111" s="710">
        <f t="shared" si="144"/>
        <v>0</v>
      </c>
      <c r="N111" s="710">
        <f t="shared" si="144"/>
        <v>1793.8477143984755</v>
      </c>
      <c r="O111" s="710">
        <f t="shared" si="144"/>
        <v>2295.0073366059742</v>
      </c>
      <c r="P111" s="710">
        <f t="shared" si="144"/>
        <v>73.503411257099742</v>
      </c>
      <c r="Q111" s="710">
        <f t="shared" si="144"/>
        <v>854.70495569206071</v>
      </c>
      <c r="R111" s="710">
        <f t="shared" si="144"/>
        <v>4161.1435298440765</v>
      </c>
      <c r="S111" s="710">
        <f t="shared" si="144"/>
        <v>577.70036450827979</v>
      </c>
      <c r="T111" s="710">
        <f t="shared" si="144"/>
        <v>1493.759407282713</v>
      </c>
      <c r="U111" s="710">
        <f t="shared" si="144"/>
        <v>11663.351207738142</v>
      </c>
      <c r="V111" s="710">
        <f t="shared" si="144"/>
        <v>1134.139411710787</v>
      </c>
      <c r="W111" s="710">
        <f t="shared" si="144"/>
        <v>0</v>
      </c>
      <c r="X111" s="710">
        <f t="shared" si="144"/>
        <v>3139.9100511705838</v>
      </c>
      <c r="Y111" s="710">
        <f t="shared" si="144"/>
        <v>297.65844228081716</v>
      </c>
      <c r="Z111" s="710">
        <f t="shared" si="144"/>
        <v>1458.6797137789654</v>
      </c>
      <c r="AA111" s="710">
        <f t="shared" si="144"/>
        <v>26571.786902545926</v>
      </c>
      <c r="AB111" s="710">
        <f t="shared" si="144"/>
        <v>0</v>
      </c>
      <c r="AC111" s="710">
        <f t="shared" si="144"/>
        <v>0</v>
      </c>
      <c r="AD111" s="710">
        <f t="shared" si="144"/>
        <v>12945.479132469529</v>
      </c>
      <c r="AE111" s="710">
        <f t="shared" si="144"/>
        <v>-76.792674480256892</v>
      </c>
      <c r="AF111" s="709">
        <f t="shared" si="118"/>
        <v>76151.215348602898</v>
      </c>
      <c r="AG111" s="704">
        <f>TRP_Simple!$AJ89</f>
        <v>76151.215348602927</v>
      </c>
      <c r="AH111" s="705">
        <f t="shared" si="119"/>
        <v>0</v>
      </c>
      <c r="AI111" s="704" t="str">
        <f t="shared" si="120"/>
        <v>GOOD!</v>
      </c>
      <c r="AJ111" s="708">
        <f t="shared" si="121"/>
        <v>0</v>
      </c>
      <c r="AK111" s="708">
        <f t="shared" si="121"/>
        <v>0</v>
      </c>
      <c r="AL111" s="708">
        <f t="shared" si="121"/>
        <v>0</v>
      </c>
      <c r="AM111" s="754">
        <f t="shared" si="123"/>
        <v>0</v>
      </c>
      <c r="AN111" s="708">
        <f t="shared" si="124"/>
        <v>0</v>
      </c>
      <c r="AO111" s="755"/>
      <c r="AP111" s="755"/>
    </row>
    <row r="112" spans="1:42" s="708" customFormat="1" x14ac:dyDescent="0.3">
      <c r="A112" s="711" t="s">
        <v>149</v>
      </c>
      <c r="B112" s="701">
        <v>23</v>
      </c>
      <c r="C112" s="710">
        <f t="shared" ref="C112:AE112" si="145">C143-C82</f>
        <v>784</v>
      </c>
      <c r="D112" s="710">
        <f t="shared" si="145"/>
        <v>1323</v>
      </c>
      <c r="E112" s="710">
        <f t="shared" si="145"/>
        <v>384.1</v>
      </c>
      <c r="F112" s="710">
        <f t="shared" si="145"/>
        <v>184</v>
      </c>
      <c r="G112" s="710">
        <f t="shared" si="145"/>
        <v>304</v>
      </c>
      <c r="H112" s="710">
        <f t="shared" si="145"/>
        <v>646</v>
      </c>
      <c r="I112" s="710">
        <f t="shared" si="145"/>
        <v>351</v>
      </c>
      <c r="J112" s="710">
        <f t="shared" si="145"/>
        <v>413</v>
      </c>
      <c r="K112" s="710">
        <f t="shared" si="145"/>
        <v>400</v>
      </c>
      <c r="L112" s="710">
        <f t="shared" si="145"/>
        <v>520</v>
      </c>
      <c r="M112" s="710">
        <f t="shared" si="145"/>
        <v>259</v>
      </c>
      <c r="N112" s="710">
        <f t="shared" si="145"/>
        <v>2921.9</v>
      </c>
      <c r="O112" s="710">
        <f t="shared" si="145"/>
        <v>566</v>
      </c>
      <c r="P112" s="710">
        <f t="shared" si="145"/>
        <v>383.39519126131859</v>
      </c>
      <c r="Q112" s="710">
        <f t="shared" si="145"/>
        <v>143</v>
      </c>
      <c r="R112" s="710">
        <f t="shared" si="145"/>
        <v>80.193810296226985</v>
      </c>
      <c r="S112" s="710">
        <f t="shared" si="145"/>
        <v>9.0987061518650947</v>
      </c>
      <c r="T112" s="710">
        <f t="shared" si="145"/>
        <v>13.312292290589316</v>
      </c>
      <c r="U112" s="710">
        <f t="shared" si="145"/>
        <v>6894</v>
      </c>
      <c r="V112" s="710">
        <f t="shared" si="145"/>
        <v>2975</v>
      </c>
      <c r="W112" s="710">
        <f t="shared" si="145"/>
        <v>3</v>
      </c>
      <c r="X112" s="710">
        <f t="shared" si="145"/>
        <v>203.21709863841338</v>
      </c>
      <c r="Y112" s="710">
        <f t="shared" si="145"/>
        <v>10864</v>
      </c>
      <c r="Z112" s="710">
        <f t="shared" si="145"/>
        <v>99.782901361586624</v>
      </c>
      <c r="AA112" s="710">
        <f t="shared" si="145"/>
        <v>17269.455037576878</v>
      </c>
      <c r="AB112" s="710">
        <f t="shared" si="145"/>
        <v>0</v>
      </c>
      <c r="AC112" s="710">
        <f t="shared" si="145"/>
        <v>0</v>
      </c>
      <c r="AD112" s="710">
        <f t="shared" si="145"/>
        <v>3070.4356997849336</v>
      </c>
      <c r="AE112" s="710">
        <f t="shared" si="145"/>
        <v>0</v>
      </c>
      <c r="AF112" s="709">
        <f t="shared" si="118"/>
        <v>51063.890737361806</v>
      </c>
      <c r="AG112" s="704">
        <f>TRP_Simple!$AJ90</f>
        <v>51063.890737361813</v>
      </c>
      <c r="AH112" s="705">
        <f t="shared" si="119"/>
        <v>0</v>
      </c>
      <c r="AI112" s="704" t="str">
        <f t="shared" si="120"/>
        <v>GOOD!</v>
      </c>
      <c r="AJ112" s="708">
        <f t="shared" si="121"/>
        <v>0</v>
      </c>
      <c r="AK112" s="708">
        <f t="shared" si="121"/>
        <v>0</v>
      </c>
      <c r="AL112" s="708">
        <f t="shared" si="121"/>
        <v>0</v>
      </c>
      <c r="AM112" s="754">
        <f t="shared" si="123"/>
        <v>0</v>
      </c>
      <c r="AN112" s="708">
        <f t="shared" si="124"/>
        <v>0</v>
      </c>
      <c r="AO112" s="755"/>
      <c r="AP112" s="755"/>
    </row>
    <row r="113" spans="1:42" s="708" customFormat="1" x14ac:dyDescent="0.3">
      <c r="A113" s="711" t="s">
        <v>150</v>
      </c>
      <c r="B113" s="701">
        <v>24</v>
      </c>
      <c r="C113" s="710">
        <f t="shared" ref="C113:AE113" si="146">C144-C83</f>
        <v>175</v>
      </c>
      <c r="D113" s="710">
        <f t="shared" si="146"/>
        <v>1047</v>
      </c>
      <c r="E113" s="710">
        <f t="shared" si="146"/>
        <v>198.2</v>
      </c>
      <c r="F113" s="710">
        <f t="shared" si="146"/>
        <v>198</v>
      </c>
      <c r="G113" s="710">
        <f t="shared" si="146"/>
        <v>310</v>
      </c>
      <c r="H113" s="710">
        <f t="shared" si="146"/>
        <v>451</v>
      </c>
      <c r="I113" s="710">
        <f t="shared" si="146"/>
        <v>550.11031625111968</v>
      </c>
      <c r="J113" s="710">
        <f t="shared" si="146"/>
        <v>787.14885465547786</v>
      </c>
      <c r="K113" s="710">
        <f t="shared" si="146"/>
        <v>79</v>
      </c>
      <c r="L113" s="710">
        <f t="shared" si="146"/>
        <v>328</v>
      </c>
      <c r="M113" s="710">
        <f t="shared" si="146"/>
        <v>102</v>
      </c>
      <c r="N113" s="710">
        <f t="shared" si="146"/>
        <v>1217.8</v>
      </c>
      <c r="O113" s="710">
        <f t="shared" si="146"/>
        <v>48</v>
      </c>
      <c r="P113" s="710">
        <f t="shared" si="146"/>
        <v>46.434059503521347</v>
      </c>
      <c r="Q113" s="710">
        <f t="shared" si="146"/>
        <v>63</v>
      </c>
      <c r="R113" s="710">
        <f t="shared" si="146"/>
        <v>61.704740981048396</v>
      </c>
      <c r="S113" s="710">
        <f t="shared" si="146"/>
        <v>2.8307085805802519</v>
      </c>
      <c r="T113" s="710">
        <f t="shared" si="146"/>
        <v>2.0304909348500093</v>
      </c>
      <c r="U113" s="710">
        <f t="shared" si="146"/>
        <v>2639</v>
      </c>
      <c r="V113" s="710">
        <f t="shared" si="146"/>
        <v>1494</v>
      </c>
      <c r="W113" s="710">
        <f t="shared" si="146"/>
        <v>0</v>
      </c>
      <c r="X113" s="710">
        <f t="shared" si="146"/>
        <v>1517.4799869160897</v>
      </c>
      <c r="Y113" s="710">
        <f t="shared" si="146"/>
        <v>436</v>
      </c>
      <c r="Z113" s="710">
        <f t="shared" si="146"/>
        <v>3848.9497227885058</v>
      </c>
      <c r="AA113" s="710">
        <f t="shared" si="146"/>
        <v>10467</v>
      </c>
      <c r="AB113" s="710">
        <f t="shared" si="146"/>
        <v>5</v>
      </c>
      <c r="AC113" s="710">
        <f t="shared" si="146"/>
        <v>0</v>
      </c>
      <c r="AD113" s="710">
        <f t="shared" si="146"/>
        <v>463.21663893875046</v>
      </c>
      <c r="AE113" s="710">
        <f t="shared" si="146"/>
        <v>-1.6362446690598227</v>
      </c>
      <c r="AF113" s="709">
        <f t="shared" si="118"/>
        <v>26536.26927488088</v>
      </c>
      <c r="AG113" s="704">
        <f>TRP_Simple!$AJ91</f>
        <v>26536.26927488088</v>
      </c>
      <c r="AH113" s="705">
        <f t="shared" si="119"/>
        <v>0</v>
      </c>
      <c r="AI113" s="704" t="str">
        <f t="shared" si="120"/>
        <v>GOOD!</v>
      </c>
      <c r="AJ113" s="708">
        <f t="shared" si="121"/>
        <v>0</v>
      </c>
      <c r="AK113" s="708">
        <f t="shared" si="121"/>
        <v>0</v>
      </c>
      <c r="AL113" s="708">
        <f t="shared" si="121"/>
        <v>0</v>
      </c>
      <c r="AM113" s="754">
        <f t="shared" si="123"/>
        <v>0</v>
      </c>
      <c r="AN113" s="708">
        <f t="shared" si="124"/>
        <v>0</v>
      </c>
      <c r="AO113" s="755"/>
      <c r="AP113" s="755"/>
    </row>
    <row r="114" spans="1:42" s="703" customFormat="1" x14ac:dyDescent="0.3">
      <c r="A114" s="703" t="s">
        <v>65</v>
      </c>
      <c r="B114" s="707"/>
      <c r="C114" s="706">
        <f t="shared" ref="C114:AF114" si="147">SUM(C90:C113)</f>
        <v>35633.181517434205</v>
      </c>
      <c r="D114" s="706">
        <f t="shared" si="147"/>
        <v>81327.880163743917</v>
      </c>
      <c r="E114" s="706">
        <f t="shared" si="147"/>
        <v>50755.306801554478</v>
      </c>
      <c r="F114" s="706">
        <f t="shared" si="147"/>
        <v>3248.9211270406481</v>
      </c>
      <c r="G114" s="706">
        <f t="shared" si="147"/>
        <v>10758.897284619616</v>
      </c>
      <c r="H114" s="706">
        <f t="shared" si="147"/>
        <v>10148.76520408326</v>
      </c>
      <c r="I114" s="706">
        <f t="shared" si="147"/>
        <v>3611.6855355358784</v>
      </c>
      <c r="J114" s="706">
        <f t="shared" si="147"/>
        <v>11163.587551212908</v>
      </c>
      <c r="K114" s="706">
        <f t="shared" si="147"/>
        <v>9528.0368782457881</v>
      </c>
      <c r="L114" s="706">
        <f t="shared" si="147"/>
        <v>12256.112664617747</v>
      </c>
      <c r="M114" s="706">
        <f t="shared" si="147"/>
        <v>4368.7690260987183</v>
      </c>
      <c r="N114" s="706">
        <f t="shared" si="147"/>
        <v>215376.32980987639</v>
      </c>
      <c r="O114" s="706">
        <f t="shared" si="147"/>
        <v>109079.12207805061</v>
      </c>
      <c r="P114" s="706">
        <f t="shared" si="147"/>
        <v>3462.0313641582493</v>
      </c>
      <c r="Q114" s="706">
        <f t="shared" si="147"/>
        <v>4669.6732691136276</v>
      </c>
      <c r="R114" s="706">
        <f t="shared" si="147"/>
        <v>24051.140749768889</v>
      </c>
      <c r="S114" s="706">
        <f t="shared" si="147"/>
        <v>7472.8236339963378</v>
      </c>
      <c r="T114" s="706">
        <f t="shared" si="147"/>
        <v>8529.3604841294855</v>
      </c>
      <c r="U114" s="706">
        <f t="shared" si="147"/>
        <v>585976.99285055138</v>
      </c>
      <c r="V114" s="706">
        <f t="shared" si="147"/>
        <v>78856.746796507912</v>
      </c>
      <c r="W114" s="706">
        <f t="shared" si="147"/>
        <v>29.496723146273542</v>
      </c>
      <c r="X114" s="706">
        <f t="shared" si="147"/>
        <v>11153.139711986674</v>
      </c>
      <c r="Y114" s="706">
        <f t="shared" si="147"/>
        <v>24748.203272532312</v>
      </c>
      <c r="Z114" s="706">
        <f t="shared" si="147"/>
        <v>6962.909621380757</v>
      </c>
      <c r="AA114" s="706">
        <f t="shared" si="147"/>
        <v>815341.53680947691</v>
      </c>
      <c r="AB114" s="706">
        <f t="shared" si="147"/>
        <v>434990.86670406209</v>
      </c>
      <c r="AC114" s="706">
        <f t="shared" si="147"/>
        <v>324128.64572754409</v>
      </c>
      <c r="AD114" s="706">
        <f t="shared" si="147"/>
        <v>458040.48535780463</v>
      </c>
      <c r="AE114" s="706">
        <f t="shared" si="147"/>
        <v>4820.4243301014949</v>
      </c>
      <c r="AF114" s="706">
        <f t="shared" si="147"/>
        <v>3350491.0730483755</v>
      </c>
      <c r="AG114" s="704">
        <f>TRP_Simple!$AJ94</f>
        <v>3350491.0730483755</v>
      </c>
      <c r="AH114" s="705">
        <f t="shared" si="119"/>
        <v>0</v>
      </c>
      <c r="AI114" s="704" t="str">
        <f t="shared" si="120"/>
        <v>GOOD!</v>
      </c>
      <c r="AJ114" s="757">
        <f>SUM(AJ90:AJ113)</f>
        <v>162641.80872300392</v>
      </c>
      <c r="AK114" s="757">
        <f>SUM(AK90:AK113)</f>
        <v>105415.51269727095</v>
      </c>
      <c r="AL114" s="757">
        <f>SUM(AL90:AL113)</f>
        <v>56071.324307269213</v>
      </c>
      <c r="AM114" s="754">
        <f t="shared" si="123"/>
        <v>0</v>
      </c>
      <c r="AN114" s="708">
        <f t="shared" si="124"/>
        <v>218713.13303027314</v>
      </c>
      <c r="AO114" s="755"/>
      <c r="AP114" s="755"/>
    </row>
    <row r="118" spans="1:42" x14ac:dyDescent="0.3">
      <c r="AN118" s="699" t="s">
        <v>911</v>
      </c>
    </row>
    <row r="119" spans="1:42" x14ac:dyDescent="0.3">
      <c r="A119" s="716" t="s">
        <v>330</v>
      </c>
      <c r="C119" s="723" t="s">
        <v>844</v>
      </c>
      <c r="D119" s="723" t="s">
        <v>844</v>
      </c>
      <c r="E119" s="723" t="s">
        <v>844</v>
      </c>
      <c r="F119" s="723" t="s">
        <v>844</v>
      </c>
      <c r="G119" s="723" t="s">
        <v>844</v>
      </c>
      <c r="H119" s="723" t="s">
        <v>844</v>
      </c>
      <c r="I119" s="723" t="s">
        <v>844</v>
      </c>
      <c r="J119" s="723" t="s">
        <v>844</v>
      </c>
      <c r="K119" s="723" t="s">
        <v>844</v>
      </c>
      <c r="L119" s="723" t="s">
        <v>844</v>
      </c>
      <c r="M119" s="723" t="s">
        <v>844</v>
      </c>
      <c r="N119" s="723" t="s">
        <v>844</v>
      </c>
      <c r="O119" s="723" t="s">
        <v>844</v>
      </c>
      <c r="P119" s="723" t="s">
        <v>844</v>
      </c>
      <c r="Q119" s="723" t="s">
        <v>844</v>
      </c>
      <c r="R119" s="723" t="s">
        <v>844</v>
      </c>
      <c r="S119" s="723" t="s">
        <v>844</v>
      </c>
      <c r="T119" s="723" t="s">
        <v>844</v>
      </c>
      <c r="U119" s="723" t="s">
        <v>844</v>
      </c>
      <c r="V119" s="723" t="s">
        <v>844</v>
      </c>
      <c r="W119" s="723" t="s">
        <v>844</v>
      </c>
      <c r="X119" s="723" t="s">
        <v>844</v>
      </c>
      <c r="Y119" s="723" t="s">
        <v>844</v>
      </c>
      <c r="Z119" s="723" t="s">
        <v>844</v>
      </c>
      <c r="AA119" s="723" t="s">
        <v>844</v>
      </c>
      <c r="AB119" s="723" t="s">
        <v>844</v>
      </c>
      <c r="AC119" s="723" t="s">
        <v>844</v>
      </c>
      <c r="AD119" s="723" t="s">
        <v>844</v>
      </c>
      <c r="AE119" s="723" t="s">
        <v>844</v>
      </c>
      <c r="AF119" s="713" t="s">
        <v>65</v>
      </c>
      <c r="AJ119" s="699" t="s">
        <v>849</v>
      </c>
      <c r="AK119" s="699" t="s">
        <v>849</v>
      </c>
      <c r="AL119" s="699" t="s">
        <v>849</v>
      </c>
      <c r="AN119" s="699" t="s">
        <v>849</v>
      </c>
    </row>
    <row r="120" spans="1:42" x14ac:dyDescent="0.3">
      <c r="A120" s="702" t="s">
        <v>1</v>
      </c>
      <c r="B120" s="701" t="s">
        <v>842</v>
      </c>
      <c r="C120" s="723"/>
      <c r="D120" s="723"/>
      <c r="E120" s="723"/>
      <c r="F120" s="723"/>
      <c r="G120" s="723"/>
      <c r="H120" s="723"/>
      <c r="I120" s="723"/>
      <c r="J120" s="723"/>
      <c r="K120" s="723"/>
      <c r="L120" s="723"/>
      <c r="M120" s="723"/>
      <c r="N120" s="723"/>
      <c r="O120" s="723"/>
      <c r="P120" s="723"/>
      <c r="Q120" s="723"/>
      <c r="R120" s="723"/>
      <c r="S120" s="723"/>
      <c r="T120" s="723"/>
      <c r="U120" s="723"/>
      <c r="V120" s="723"/>
      <c r="W120" s="723"/>
      <c r="X120" s="723"/>
      <c r="Y120" s="723"/>
      <c r="Z120" s="723"/>
      <c r="AA120" s="723"/>
      <c r="AB120" s="723"/>
      <c r="AC120" s="723"/>
      <c r="AD120" s="723"/>
      <c r="AE120" s="723"/>
      <c r="AF120" s="713" t="s">
        <v>65</v>
      </c>
      <c r="AG120" s="712" t="s">
        <v>841</v>
      </c>
      <c r="AH120" s="712"/>
      <c r="AI120" s="712"/>
      <c r="AJ120" s="699" t="s">
        <v>578</v>
      </c>
      <c r="AK120" s="699" t="s">
        <v>579</v>
      </c>
      <c r="AL120" s="699" t="s">
        <v>25</v>
      </c>
      <c r="AM120" s="728" t="s">
        <v>580</v>
      </c>
      <c r="AN120" s="699" t="s">
        <v>910</v>
      </c>
      <c r="AO120" s="728" t="s">
        <v>580</v>
      </c>
    </row>
    <row r="121" spans="1:42" x14ac:dyDescent="0.3">
      <c r="A121" s="711" t="s">
        <v>313</v>
      </c>
      <c r="B121" s="701">
        <v>1</v>
      </c>
      <c r="C121" s="721">
        <f t="array" ref="C121:Z144">TEI_Simple!$B$35:$Y$58</f>
        <v>14230</v>
      </c>
      <c r="D121" s="721">
        <v>30463</v>
      </c>
      <c r="E121" s="721">
        <v>0</v>
      </c>
      <c r="F121" s="721">
        <v>0</v>
      </c>
      <c r="G121" s="721">
        <v>0</v>
      </c>
      <c r="H121" s="721">
        <v>226</v>
      </c>
      <c r="I121" s="721">
        <v>0</v>
      </c>
      <c r="J121" s="721">
        <v>53</v>
      </c>
      <c r="K121" s="721">
        <v>0</v>
      </c>
      <c r="L121" s="721">
        <v>0</v>
      </c>
      <c r="M121" s="721">
        <v>0</v>
      </c>
      <c r="N121" s="721">
        <v>2878</v>
      </c>
      <c r="O121" s="721">
        <v>1861</v>
      </c>
      <c r="P121" s="721">
        <v>0</v>
      </c>
      <c r="Q121" s="721">
        <v>0</v>
      </c>
      <c r="R121" s="721">
        <v>0</v>
      </c>
      <c r="S121" s="721">
        <v>22</v>
      </c>
      <c r="T121" s="721">
        <v>0</v>
      </c>
      <c r="U121" s="721">
        <v>2306</v>
      </c>
      <c r="V121" s="721">
        <v>538</v>
      </c>
      <c r="W121" s="721">
        <v>0</v>
      </c>
      <c r="X121" s="721">
        <v>0</v>
      </c>
      <c r="Y121" s="721">
        <v>250</v>
      </c>
      <c r="Z121" s="721">
        <v>0</v>
      </c>
      <c r="AA121" s="719">
        <f>TRP_Simple!$N68</f>
        <v>30434</v>
      </c>
      <c r="AB121" s="718">
        <f>SUM(TRP_Simple!Q68:R68)</f>
        <v>0</v>
      </c>
      <c r="AC121" s="720">
        <f>TRP_Simple!$Y68</f>
        <v>1486</v>
      </c>
      <c r="AD121" s="719">
        <f>TRP_Simple!$AC68</f>
        <v>10797</v>
      </c>
      <c r="AE121" s="718">
        <f>SUM(TRP_Simple!$Z68:$AA68)</f>
        <v>2929</v>
      </c>
      <c r="AF121" s="706">
        <f t="shared" ref="AF121:AF145" si="148">SUM(C121:AE121)</f>
        <v>98473</v>
      </c>
      <c r="AG121" s="704">
        <f>TRP_Simple!$AF68</f>
        <v>98473</v>
      </c>
      <c r="AH121" s="705">
        <f t="shared" ref="AH121:AH145" si="149">AG121-AF121</f>
        <v>0</v>
      </c>
      <c r="AI121" s="704" t="str">
        <f t="shared" ref="AI121:AI145" si="150">IF(AH121=0,"GOOD!","OUPS")</f>
        <v>GOOD!</v>
      </c>
      <c r="AJ121" s="717">
        <f>TRP_Simple!T68+TRP_Simple!V68</f>
        <v>1357</v>
      </c>
      <c r="AK121" s="699">
        <f>TRP_Simple!U68</f>
        <v>0</v>
      </c>
      <c r="AL121" s="699">
        <f>SUM(TRP_Simple!W68:X68)</f>
        <v>129</v>
      </c>
      <c r="AM121" s="754">
        <f>SUM(AJ121:AL121)-AC121</f>
        <v>0</v>
      </c>
      <c r="AN121" s="708">
        <f>AJ121+AL121</f>
        <v>1486</v>
      </c>
      <c r="AO121" s="754">
        <f>AN121-SUM(AN90,AN60)</f>
        <v>0</v>
      </c>
    </row>
    <row r="122" spans="1:42" x14ac:dyDescent="0.3">
      <c r="A122" s="711" t="s">
        <v>314</v>
      </c>
      <c r="B122" s="701">
        <v>2</v>
      </c>
      <c r="C122" s="721">
        <v>6284</v>
      </c>
      <c r="D122" s="721">
        <v>27915</v>
      </c>
      <c r="E122" s="721">
        <v>63.1</v>
      </c>
      <c r="F122" s="721">
        <v>5</v>
      </c>
      <c r="G122" s="721">
        <v>7</v>
      </c>
      <c r="H122" s="721">
        <v>201</v>
      </c>
      <c r="I122" s="721">
        <v>12</v>
      </c>
      <c r="J122" s="721">
        <v>439</v>
      </c>
      <c r="K122" s="721">
        <v>56</v>
      </c>
      <c r="L122" s="721">
        <v>39</v>
      </c>
      <c r="M122" s="721">
        <v>21</v>
      </c>
      <c r="N122" s="721">
        <v>2865.9</v>
      </c>
      <c r="O122" s="721">
        <v>142</v>
      </c>
      <c r="P122" s="721">
        <v>5.9921360080487851</v>
      </c>
      <c r="Q122" s="721">
        <v>19</v>
      </c>
      <c r="R122" s="721">
        <v>63.182265099539187</v>
      </c>
      <c r="S122" s="721">
        <v>61.470191041326288</v>
      </c>
      <c r="T122" s="721">
        <v>210.35540785108572</v>
      </c>
      <c r="U122" s="721">
        <v>26837</v>
      </c>
      <c r="V122" s="721">
        <v>3301</v>
      </c>
      <c r="W122" s="721">
        <v>0</v>
      </c>
      <c r="X122" s="721">
        <v>46</v>
      </c>
      <c r="Y122" s="721">
        <v>27</v>
      </c>
      <c r="Z122" s="721">
        <v>6</v>
      </c>
      <c r="AA122" s="719">
        <f>TRP_Simple!$N69</f>
        <v>145347</v>
      </c>
      <c r="AB122" s="718">
        <f>SUM(TRP_Simple!Q69:R69)</f>
        <v>0</v>
      </c>
      <c r="AC122" s="720">
        <f>TRP_Simple!$Y69</f>
        <v>0</v>
      </c>
      <c r="AD122" s="719">
        <f>TRP_Simple!$AC69</f>
        <v>32856</v>
      </c>
      <c r="AE122" s="718">
        <f>SUM(TRP_Simple!$Z69:$AA69)</f>
        <v>-259</v>
      </c>
      <c r="AF122" s="706">
        <f t="shared" si="148"/>
        <v>246571</v>
      </c>
      <c r="AG122" s="704">
        <f>TRP_Simple!$AF69</f>
        <v>246571</v>
      </c>
      <c r="AH122" s="705">
        <f t="shared" si="149"/>
        <v>0</v>
      </c>
      <c r="AI122" s="704" t="str">
        <f t="shared" si="150"/>
        <v>GOOD!</v>
      </c>
      <c r="AJ122" s="717">
        <f>TRP_Simple!T69+TRP_Simple!V69</f>
        <v>0</v>
      </c>
      <c r="AK122" s="699">
        <f>TRP_Simple!U69</f>
        <v>0</v>
      </c>
      <c r="AL122" s="699">
        <f>SUM(TRP_Simple!W69:X69)</f>
        <v>0</v>
      </c>
      <c r="AM122" s="754">
        <f t="shared" ref="AM122:AM145" si="151">SUM(AJ122:AL122)-AC122</f>
        <v>0</v>
      </c>
      <c r="AN122" s="708">
        <f t="shared" ref="AN122:AN145" si="152">AJ122+AL122</f>
        <v>0</v>
      </c>
      <c r="AO122" s="754">
        <f t="shared" ref="AO122:AO145" si="153">AN122-SUM(AN91,AN61)</f>
        <v>0</v>
      </c>
    </row>
    <row r="123" spans="1:42" x14ac:dyDescent="0.3">
      <c r="A123" s="711" t="s">
        <v>307</v>
      </c>
      <c r="B123" s="701">
        <v>3</v>
      </c>
      <c r="C123" s="721">
        <v>178</v>
      </c>
      <c r="D123" s="721">
        <v>225.1</v>
      </c>
      <c r="E123" s="721">
        <v>25643.81</v>
      </c>
      <c r="F123" s="721">
        <v>12.7</v>
      </c>
      <c r="G123" s="721">
        <v>69.8</v>
      </c>
      <c r="H123" s="721">
        <v>19.399999999999999</v>
      </c>
      <c r="I123" s="721">
        <v>6</v>
      </c>
      <c r="J123" s="721">
        <v>18.399999999999999</v>
      </c>
      <c r="K123" s="721">
        <v>10.1</v>
      </c>
      <c r="L123" s="721">
        <v>20.399999999999999</v>
      </c>
      <c r="M123" s="721">
        <v>16</v>
      </c>
      <c r="N123" s="721">
        <v>760.89000000000044</v>
      </c>
      <c r="O123" s="721">
        <v>85.5</v>
      </c>
      <c r="P123" s="721">
        <v>4.9129622405190645</v>
      </c>
      <c r="Q123" s="721">
        <v>49.7</v>
      </c>
      <c r="R123" s="721">
        <v>488.57017989504902</v>
      </c>
      <c r="S123" s="721">
        <v>53.475337101557251</v>
      </c>
      <c r="T123" s="721">
        <v>73.541520762874683</v>
      </c>
      <c r="U123" s="721">
        <v>7595.0999999999985</v>
      </c>
      <c r="V123" s="721">
        <v>296.39999999999998</v>
      </c>
      <c r="W123" s="721">
        <v>0</v>
      </c>
      <c r="X123" s="721">
        <v>60.7</v>
      </c>
      <c r="Y123" s="721">
        <v>65.7</v>
      </c>
      <c r="Z123" s="721">
        <v>3.7</v>
      </c>
      <c r="AA123" s="719">
        <f>TRP_Simple!$N70</f>
        <v>58603.4</v>
      </c>
      <c r="AB123" s="718">
        <f>SUM(TRP_Simple!Q70:R70)</f>
        <v>88.2</v>
      </c>
      <c r="AC123" s="720">
        <f>TRP_Simple!$Y70</f>
        <v>24059.8</v>
      </c>
      <c r="AD123" s="719">
        <f>TRP_Simple!$AC70</f>
        <v>51651.9</v>
      </c>
      <c r="AE123" s="718">
        <f>SUM(TRP_Simple!$Z70:$AA70)</f>
        <v>-215.3</v>
      </c>
      <c r="AF123" s="706">
        <f t="shared" si="148"/>
        <v>169945.90000000002</v>
      </c>
      <c r="AG123" s="704">
        <f>TRP_Simple!$AF70</f>
        <v>169945.9</v>
      </c>
      <c r="AH123" s="705">
        <f t="shared" si="149"/>
        <v>0</v>
      </c>
      <c r="AI123" s="704" t="str">
        <f t="shared" si="150"/>
        <v>GOOD!</v>
      </c>
      <c r="AJ123" s="717">
        <f>TRP_Simple!T70+TRP_Simple!V70</f>
        <v>21594.5</v>
      </c>
      <c r="AK123" s="699">
        <f>TRP_Simple!U70</f>
        <v>0</v>
      </c>
      <c r="AL123" s="699">
        <f>SUM(TRP_Simple!W70:X70)</f>
        <v>2465.3000000000002</v>
      </c>
      <c r="AM123" s="754">
        <f t="shared" si="151"/>
        <v>0</v>
      </c>
      <c r="AN123" s="708">
        <f t="shared" si="152"/>
        <v>24059.8</v>
      </c>
      <c r="AO123" s="754">
        <f t="shared" si="153"/>
        <v>0</v>
      </c>
    </row>
    <row r="124" spans="1:42" x14ac:dyDescent="0.3">
      <c r="A124" s="711" t="s">
        <v>122</v>
      </c>
      <c r="B124" s="701">
        <v>4</v>
      </c>
      <c r="C124" s="721">
        <v>323</v>
      </c>
      <c r="D124" s="721">
        <v>841</v>
      </c>
      <c r="E124" s="721">
        <v>746.5</v>
      </c>
      <c r="F124" s="721">
        <v>340</v>
      </c>
      <c r="G124" s="721">
        <v>73</v>
      </c>
      <c r="H124" s="721">
        <v>45</v>
      </c>
      <c r="I124" s="721">
        <v>6</v>
      </c>
      <c r="J124" s="721">
        <v>34</v>
      </c>
      <c r="K124" s="721">
        <v>95</v>
      </c>
      <c r="L124" s="721">
        <v>7</v>
      </c>
      <c r="M124" s="721">
        <v>2</v>
      </c>
      <c r="N124" s="721">
        <v>1647.5</v>
      </c>
      <c r="O124" s="721">
        <v>613</v>
      </c>
      <c r="P124" s="721">
        <v>3.0541445085518344</v>
      </c>
      <c r="Q124" s="721">
        <v>0</v>
      </c>
      <c r="R124" s="721">
        <v>24.568656668260388</v>
      </c>
      <c r="S124" s="721">
        <v>9.8745779814091819</v>
      </c>
      <c r="T124" s="721">
        <v>4.5026208417785938</v>
      </c>
      <c r="U124" s="721">
        <v>573</v>
      </c>
      <c r="V124" s="721">
        <v>334</v>
      </c>
      <c r="W124" s="721">
        <v>0</v>
      </c>
      <c r="X124" s="721">
        <v>0</v>
      </c>
      <c r="Y124" s="721">
        <v>0</v>
      </c>
      <c r="Z124" s="721">
        <v>0</v>
      </c>
      <c r="AA124" s="719">
        <f>TRP_Simple!$N71</f>
        <v>1878</v>
      </c>
      <c r="AB124" s="718">
        <f>SUM(TRP_Simple!Q71:R71)</f>
        <v>0</v>
      </c>
      <c r="AC124" s="720">
        <f>TRP_Simple!$Y71</f>
        <v>0</v>
      </c>
      <c r="AD124" s="719">
        <f>TRP_Simple!$AC71</f>
        <v>2847</v>
      </c>
      <c r="AE124" s="718">
        <f>SUM(TRP_Simple!$Z71:$AA71)</f>
        <v>0</v>
      </c>
      <c r="AF124" s="706">
        <f t="shared" si="148"/>
        <v>10447</v>
      </c>
      <c r="AG124" s="704">
        <f>TRP_Simple!$AF71</f>
        <v>10447</v>
      </c>
      <c r="AH124" s="705">
        <f t="shared" si="149"/>
        <v>0</v>
      </c>
      <c r="AI124" s="704" t="str">
        <f t="shared" si="150"/>
        <v>GOOD!</v>
      </c>
      <c r="AJ124" s="717">
        <f>TRP_Simple!T71+TRP_Simple!V71</f>
        <v>0</v>
      </c>
      <c r="AK124" s="699">
        <f>TRP_Simple!U71</f>
        <v>0</v>
      </c>
      <c r="AL124" s="699">
        <f>SUM(TRP_Simple!W71:X71)</f>
        <v>0</v>
      </c>
      <c r="AM124" s="754">
        <f t="shared" si="151"/>
        <v>0</v>
      </c>
      <c r="AN124" s="708">
        <f t="shared" si="152"/>
        <v>0</v>
      </c>
      <c r="AO124" s="754">
        <f t="shared" si="153"/>
        <v>0</v>
      </c>
    </row>
    <row r="125" spans="1:42" x14ac:dyDescent="0.3">
      <c r="A125" s="711" t="s">
        <v>123</v>
      </c>
      <c r="B125" s="701">
        <v>5</v>
      </c>
      <c r="C125" s="721">
        <v>61</v>
      </c>
      <c r="D125" s="721">
        <v>51</v>
      </c>
      <c r="E125" s="721">
        <v>505.2</v>
      </c>
      <c r="F125" s="721">
        <v>487</v>
      </c>
      <c r="G125" s="721">
        <v>3853</v>
      </c>
      <c r="H125" s="721">
        <v>87</v>
      </c>
      <c r="I125" s="721">
        <v>41</v>
      </c>
      <c r="J125" s="721">
        <v>79</v>
      </c>
      <c r="K125" s="721">
        <v>88</v>
      </c>
      <c r="L125" s="721">
        <v>107</v>
      </c>
      <c r="M125" s="721">
        <v>26</v>
      </c>
      <c r="N125" s="721">
        <v>1889.8</v>
      </c>
      <c r="O125" s="721">
        <v>17528</v>
      </c>
      <c r="P125" s="721">
        <v>2.4340595035213437</v>
      </c>
      <c r="Q125" s="721">
        <v>43</v>
      </c>
      <c r="R125" s="721">
        <v>164.70474098104839</v>
      </c>
      <c r="S125" s="721">
        <v>4.8307085805802519</v>
      </c>
      <c r="T125" s="721">
        <v>1.0304909348500093</v>
      </c>
      <c r="U125" s="721">
        <v>2553</v>
      </c>
      <c r="V125" s="721">
        <v>436</v>
      </c>
      <c r="W125" s="721">
        <v>0</v>
      </c>
      <c r="X125" s="721">
        <v>25</v>
      </c>
      <c r="Y125" s="721">
        <v>26</v>
      </c>
      <c r="Z125" s="721">
        <v>0</v>
      </c>
      <c r="AA125" s="719">
        <f>TRP_Simple!$N72</f>
        <v>1813</v>
      </c>
      <c r="AB125" s="718">
        <f>SUM(TRP_Simple!Q72:R72)</f>
        <v>0</v>
      </c>
      <c r="AC125" s="720">
        <f>TRP_Simple!$Y72</f>
        <v>6</v>
      </c>
      <c r="AD125" s="719">
        <f>TRP_Simple!$AC72</f>
        <v>2431</v>
      </c>
      <c r="AE125" s="718">
        <f>SUM(TRP_Simple!$Z72:$AA72)</f>
        <v>201</v>
      </c>
      <c r="AF125" s="706">
        <f t="shared" si="148"/>
        <v>32509.999999999996</v>
      </c>
      <c r="AG125" s="704">
        <f>TRP_Simple!$AF72</f>
        <v>32510</v>
      </c>
      <c r="AH125" s="705">
        <f t="shared" si="149"/>
        <v>0</v>
      </c>
      <c r="AI125" s="704" t="str">
        <f t="shared" si="150"/>
        <v>GOOD!</v>
      </c>
      <c r="AJ125" s="717">
        <f>TRP_Simple!T72+TRP_Simple!V72</f>
        <v>6</v>
      </c>
      <c r="AK125" s="699">
        <f>TRP_Simple!U72</f>
        <v>0</v>
      </c>
      <c r="AL125" s="699">
        <f>SUM(TRP_Simple!W72:X72)</f>
        <v>0</v>
      </c>
      <c r="AM125" s="754">
        <f t="shared" si="151"/>
        <v>0</v>
      </c>
      <c r="AN125" s="708">
        <f t="shared" si="152"/>
        <v>6</v>
      </c>
      <c r="AO125" s="754">
        <f t="shared" si="153"/>
        <v>0</v>
      </c>
    </row>
    <row r="126" spans="1:42" x14ac:dyDescent="0.3">
      <c r="A126" s="711" t="s">
        <v>308</v>
      </c>
      <c r="B126" s="701">
        <v>6</v>
      </c>
      <c r="C126" s="721">
        <v>131</v>
      </c>
      <c r="D126" s="721">
        <v>2051</v>
      </c>
      <c r="E126" s="721">
        <v>112.89999999999999</v>
      </c>
      <c r="F126" s="721">
        <v>203</v>
      </c>
      <c r="G126" s="721">
        <v>115</v>
      </c>
      <c r="H126" s="721">
        <v>6404</v>
      </c>
      <c r="I126" s="721">
        <v>30</v>
      </c>
      <c r="J126" s="721">
        <v>209</v>
      </c>
      <c r="K126" s="721">
        <v>492</v>
      </c>
      <c r="L126" s="721">
        <v>0</v>
      </c>
      <c r="M126" s="721">
        <v>38</v>
      </c>
      <c r="N126" s="721">
        <v>7696.1</v>
      </c>
      <c r="O126" s="721">
        <v>383</v>
      </c>
      <c r="P126" s="721">
        <v>2.077284766852145</v>
      </c>
      <c r="Q126" s="721">
        <v>12</v>
      </c>
      <c r="R126" s="721">
        <v>64.444117552160179</v>
      </c>
      <c r="S126" s="721">
        <v>33.54696249277692</v>
      </c>
      <c r="T126" s="721">
        <v>6.931635188210759</v>
      </c>
      <c r="U126" s="721">
        <v>4551</v>
      </c>
      <c r="V126" s="721">
        <v>850</v>
      </c>
      <c r="W126" s="721">
        <v>0</v>
      </c>
      <c r="X126" s="721">
        <v>16</v>
      </c>
      <c r="Y126" s="721">
        <v>26</v>
      </c>
      <c r="Z126" s="721">
        <v>3</v>
      </c>
      <c r="AA126" s="719">
        <f>TRP_Simple!$N73</f>
        <v>3920</v>
      </c>
      <c r="AB126" s="718">
        <f>SUM(TRP_Simple!Q73:R73)</f>
        <v>0</v>
      </c>
      <c r="AC126" s="720">
        <f>TRP_Simple!$Y73</f>
        <v>0</v>
      </c>
      <c r="AD126" s="719">
        <f>TRP_Simple!$AC73</f>
        <v>6697</v>
      </c>
      <c r="AE126" s="718">
        <f>SUM(TRP_Simple!$Z73:$AA73)</f>
        <v>45</v>
      </c>
      <c r="AF126" s="706">
        <f t="shared" si="148"/>
        <v>34092</v>
      </c>
      <c r="AG126" s="704">
        <f>TRP_Simple!$AF73</f>
        <v>34092</v>
      </c>
      <c r="AH126" s="705">
        <f t="shared" si="149"/>
        <v>0</v>
      </c>
      <c r="AI126" s="704" t="str">
        <f t="shared" si="150"/>
        <v>GOOD!</v>
      </c>
      <c r="AJ126" s="717">
        <f>TRP_Simple!T73+TRP_Simple!V73</f>
        <v>0</v>
      </c>
      <c r="AK126" s="699">
        <f>TRP_Simple!U73</f>
        <v>0</v>
      </c>
      <c r="AL126" s="699">
        <f>SUM(TRP_Simple!W73:X73)</f>
        <v>0</v>
      </c>
      <c r="AM126" s="754">
        <f t="shared" si="151"/>
        <v>0</v>
      </c>
      <c r="AN126" s="708">
        <f t="shared" si="152"/>
        <v>0</v>
      </c>
      <c r="AO126" s="754">
        <f t="shared" si="153"/>
        <v>0</v>
      </c>
    </row>
    <row r="127" spans="1:42" x14ac:dyDescent="0.3">
      <c r="A127" s="711" t="s">
        <v>130</v>
      </c>
      <c r="B127" s="701">
        <v>7</v>
      </c>
      <c r="C127" s="721">
        <v>2958</v>
      </c>
      <c r="D127" s="721">
        <v>16</v>
      </c>
      <c r="E127" s="721">
        <v>218.7</v>
      </c>
      <c r="F127" s="721">
        <v>203</v>
      </c>
      <c r="G127" s="721">
        <v>44</v>
      </c>
      <c r="H127" s="721">
        <v>176</v>
      </c>
      <c r="I127" s="721">
        <v>1734</v>
      </c>
      <c r="J127" s="721">
        <v>1186</v>
      </c>
      <c r="K127" s="721">
        <v>99</v>
      </c>
      <c r="L127" s="721">
        <v>209</v>
      </c>
      <c r="M127" s="721">
        <v>54</v>
      </c>
      <c r="N127" s="721">
        <v>2418.3000000000002</v>
      </c>
      <c r="O127" s="721">
        <v>131</v>
      </c>
      <c r="P127" s="721">
        <v>1.0930127507545737</v>
      </c>
      <c r="Q127" s="721">
        <v>2</v>
      </c>
      <c r="R127" s="721">
        <v>4.0795873530817985</v>
      </c>
      <c r="S127" s="721">
        <v>3.6065804101243399</v>
      </c>
      <c r="T127" s="721">
        <v>2.2208194860392876</v>
      </c>
      <c r="U127" s="721">
        <v>312</v>
      </c>
      <c r="V127" s="721">
        <v>27</v>
      </c>
      <c r="W127" s="721">
        <v>0</v>
      </c>
      <c r="X127" s="721">
        <v>24</v>
      </c>
      <c r="Y127" s="721">
        <v>0</v>
      </c>
      <c r="Z127" s="721">
        <v>6</v>
      </c>
      <c r="AA127" s="719">
        <f>TRP_Simple!$N74</f>
        <v>98</v>
      </c>
      <c r="AB127" s="718">
        <f>SUM(TRP_Simple!Q74:R74)</f>
        <v>0</v>
      </c>
      <c r="AC127" s="720">
        <f>TRP_Simple!$Y74</f>
        <v>0</v>
      </c>
      <c r="AD127" s="719">
        <f>TRP_Simple!$AC74</f>
        <v>2702</v>
      </c>
      <c r="AE127" s="718">
        <f>SUM(TRP_Simple!$Z74:$AA74)</f>
        <v>0</v>
      </c>
      <c r="AF127" s="706">
        <f t="shared" si="148"/>
        <v>12629</v>
      </c>
      <c r="AG127" s="704">
        <f>TRP_Simple!$AF74</f>
        <v>12629</v>
      </c>
      <c r="AH127" s="705">
        <f t="shared" si="149"/>
        <v>0</v>
      </c>
      <c r="AI127" s="704" t="str">
        <f t="shared" si="150"/>
        <v>GOOD!</v>
      </c>
      <c r="AJ127" s="717">
        <f>TRP_Simple!T74+TRP_Simple!V74</f>
        <v>0</v>
      </c>
      <c r="AK127" s="699">
        <f>TRP_Simple!U74</f>
        <v>0</v>
      </c>
      <c r="AL127" s="699">
        <f>SUM(TRP_Simple!W74:X74)</f>
        <v>0</v>
      </c>
      <c r="AM127" s="754">
        <f t="shared" si="151"/>
        <v>0</v>
      </c>
      <c r="AN127" s="708">
        <f t="shared" si="152"/>
        <v>0</v>
      </c>
      <c r="AO127" s="754">
        <f t="shared" si="153"/>
        <v>0</v>
      </c>
    </row>
    <row r="128" spans="1:42" x14ac:dyDescent="0.3">
      <c r="A128" s="711" t="s">
        <v>131</v>
      </c>
      <c r="B128" s="701">
        <v>8</v>
      </c>
      <c r="C128" s="721">
        <v>0</v>
      </c>
      <c r="D128" s="721">
        <v>165</v>
      </c>
      <c r="E128" s="721">
        <v>386.1</v>
      </c>
      <c r="F128" s="721">
        <v>60</v>
      </c>
      <c r="G128" s="721">
        <v>106</v>
      </c>
      <c r="H128" s="721">
        <v>719</v>
      </c>
      <c r="I128" s="721">
        <v>108</v>
      </c>
      <c r="J128" s="721">
        <v>4411</v>
      </c>
      <c r="K128" s="721">
        <v>8377</v>
      </c>
      <c r="L128" s="721">
        <v>47</v>
      </c>
      <c r="M128" s="721">
        <v>40</v>
      </c>
      <c r="N128" s="721">
        <v>9059.9</v>
      </c>
      <c r="O128" s="721">
        <v>65</v>
      </c>
      <c r="P128" s="721">
        <v>1.1240170010060981</v>
      </c>
      <c r="Q128" s="721">
        <v>3</v>
      </c>
      <c r="R128" s="721">
        <v>4.7727831374423992</v>
      </c>
      <c r="S128" s="721">
        <v>3.808773880165786</v>
      </c>
      <c r="T128" s="721">
        <v>2.2944259813857171</v>
      </c>
      <c r="U128" s="721">
        <v>1174</v>
      </c>
      <c r="V128" s="721">
        <v>212</v>
      </c>
      <c r="W128" s="721">
        <v>0</v>
      </c>
      <c r="X128" s="721">
        <v>1065</v>
      </c>
      <c r="Y128" s="721">
        <v>17</v>
      </c>
      <c r="Z128" s="721">
        <v>5</v>
      </c>
      <c r="AA128" s="719">
        <f>TRP_Simple!$N75</f>
        <v>20</v>
      </c>
      <c r="AB128" s="718">
        <f>SUM(TRP_Simple!Q75:R75)</f>
        <v>0</v>
      </c>
      <c r="AC128" s="720">
        <f>TRP_Simple!$Y75</f>
        <v>0</v>
      </c>
      <c r="AD128" s="719">
        <f>TRP_Simple!$AC75</f>
        <v>18838</v>
      </c>
      <c r="AE128" s="718">
        <f>SUM(TRP_Simple!$Z75:$AA75)</f>
        <v>0</v>
      </c>
      <c r="AF128" s="706">
        <f t="shared" si="148"/>
        <v>44890</v>
      </c>
      <c r="AG128" s="704">
        <f>TRP_Simple!$AF75</f>
        <v>44890</v>
      </c>
      <c r="AH128" s="705">
        <f t="shared" si="149"/>
        <v>0</v>
      </c>
      <c r="AI128" s="704" t="str">
        <f t="shared" si="150"/>
        <v>GOOD!</v>
      </c>
      <c r="AJ128" s="717">
        <f>TRP_Simple!T75+TRP_Simple!V75</f>
        <v>0</v>
      </c>
      <c r="AK128" s="699">
        <f>TRP_Simple!U75</f>
        <v>0</v>
      </c>
      <c r="AL128" s="699">
        <f>SUM(TRP_Simple!W75:X75)</f>
        <v>0</v>
      </c>
      <c r="AM128" s="754">
        <f t="shared" si="151"/>
        <v>0</v>
      </c>
      <c r="AN128" s="708">
        <f t="shared" si="152"/>
        <v>0</v>
      </c>
      <c r="AO128" s="754">
        <f t="shared" si="153"/>
        <v>0</v>
      </c>
    </row>
    <row r="129" spans="1:41" x14ac:dyDescent="0.3">
      <c r="A129" s="711" t="s">
        <v>135</v>
      </c>
      <c r="B129" s="701">
        <v>9</v>
      </c>
      <c r="C129" s="721">
        <v>249</v>
      </c>
      <c r="D129" s="721">
        <v>2677</v>
      </c>
      <c r="E129" s="721">
        <v>3550.8</v>
      </c>
      <c r="F129" s="721">
        <v>41</v>
      </c>
      <c r="G129" s="721">
        <v>148</v>
      </c>
      <c r="H129" s="721">
        <v>269</v>
      </c>
      <c r="I129" s="721">
        <v>138</v>
      </c>
      <c r="J129" s="721">
        <v>312</v>
      </c>
      <c r="K129" s="721">
        <v>1767</v>
      </c>
      <c r="L129" s="721">
        <v>86</v>
      </c>
      <c r="M129" s="721">
        <v>88</v>
      </c>
      <c r="N129" s="721">
        <v>8110.2</v>
      </c>
      <c r="O129" s="721">
        <v>3569</v>
      </c>
      <c r="P129" s="721">
        <v>1.9301275075457365</v>
      </c>
      <c r="Q129" s="721">
        <v>1</v>
      </c>
      <c r="R129" s="721">
        <v>28.795873530817993</v>
      </c>
      <c r="S129" s="721">
        <v>18.065804101243398</v>
      </c>
      <c r="T129" s="721">
        <v>30.208194860392876</v>
      </c>
      <c r="U129" s="721">
        <v>4259</v>
      </c>
      <c r="V129" s="721">
        <v>1</v>
      </c>
      <c r="W129" s="721">
        <v>0</v>
      </c>
      <c r="X129" s="721">
        <v>551</v>
      </c>
      <c r="Y129" s="721">
        <v>336</v>
      </c>
      <c r="Z129" s="721">
        <v>4</v>
      </c>
      <c r="AA129" s="719">
        <f>TRP_Simple!$N76</f>
        <v>5048</v>
      </c>
      <c r="AB129" s="718">
        <f>SUM(TRP_Simple!Q76:R76)</f>
        <v>0</v>
      </c>
      <c r="AC129" s="720">
        <f>TRP_Simple!$Y76</f>
        <v>0</v>
      </c>
      <c r="AD129" s="719">
        <f>TRP_Simple!$AC76</f>
        <v>7017</v>
      </c>
      <c r="AE129" s="718">
        <f>SUM(TRP_Simple!$Z76:$AA76)</f>
        <v>0</v>
      </c>
      <c r="AF129" s="706">
        <f t="shared" si="148"/>
        <v>38301</v>
      </c>
      <c r="AG129" s="704">
        <f>TRP_Simple!$AF76</f>
        <v>38301</v>
      </c>
      <c r="AH129" s="705">
        <f t="shared" si="149"/>
        <v>0</v>
      </c>
      <c r="AI129" s="704" t="str">
        <f t="shared" si="150"/>
        <v>GOOD!</v>
      </c>
      <c r="AJ129" s="717">
        <f>TRP_Simple!T76+TRP_Simple!V76</f>
        <v>0</v>
      </c>
      <c r="AK129" s="699">
        <f>TRP_Simple!U76</f>
        <v>0</v>
      </c>
      <c r="AL129" s="699">
        <f>SUM(TRP_Simple!W76:X76)</f>
        <v>0</v>
      </c>
      <c r="AM129" s="754">
        <f t="shared" si="151"/>
        <v>0</v>
      </c>
      <c r="AN129" s="708">
        <f t="shared" si="152"/>
        <v>0</v>
      </c>
      <c r="AO129" s="754">
        <f t="shared" si="153"/>
        <v>0</v>
      </c>
    </row>
    <row r="130" spans="1:41" x14ac:dyDescent="0.3">
      <c r="A130" s="711" t="s">
        <v>136</v>
      </c>
      <c r="B130" s="701">
        <v>10</v>
      </c>
      <c r="C130" s="721">
        <v>26</v>
      </c>
      <c r="D130" s="721">
        <v>0</v>
      </c>
      <c r="E130" s="721">
        <v>3629.1</v>
      </c>
      <c r="F130" s="721">
        <v>15</v>
      </c>
      <c r="G130" s="721">
        <v>283</v>
      </c>
      <c r="H130" s="721">
        <v>0</v>
      </c>
      <c r="I130" s="721">
        <v>0</v>
      </c>
      <c r="J130" s="721">
        <v>96</v>
      </c>
      <c r="K130" s="721">
        <v>133</v>
      </c>
      <c r="L130" s="721">
        <v>7915</v>
      </c>
      <c r="M130" s="721">
        <v>1</v>
      </c>
      <c r="N130" s="721">
        <v>13839.9</v>
      </c>
      <c r="O130" s="721">
        <v>2284</v>
      </c>
      <c r="P130" s="721">
        <v>10.147157259306407</v>
      </c>
      <c r="Q130" s="721">
        <v>0</v>
      </c>
      <c r="R130" s="721">
        <v>32.648244021342194</v>
      </c>
      <c r="S130" s="721">
        <v>12.481158391533523</v>
      </c>
      <c r="T130" s="721">
        <v>3.7234403278178818</v>
      </c>
      <c r="U130" s="721">
        <v>491</v>
      </c>
      <c r="V130" s="721">
        <v>0</v>
      </c>
      <c r="W130" s="721">
        <v>0</v>
      </c>
      <c r="X130" s="721">
        <v>87</v>
      </c>
      <c r="Y130" s="721">
        <v>47</v>
      </c>
      <c r="Z130" s="721">
        <v>4</v>
      </c>
      <c r="AA130" s="719">
        <f>TRP_Simple!$N77</f>
        <v>0</v>
      </c>
      <c r="AB130" s="718">
        <f>SUM(TRP_Simple!Q77:R77)</f>
        <v>0</v>
      </c>
      <c r="AC130" s="720">
        <f>TRP_Simple!$Y77</f>
        <v>0</v>
      </c>
      <c r="AD130" s="719">
        <f>TRP_Simple!$AC77</f>
        <v>16496</v>
      </c>
      <c r="AE130" s="718">
        <f>SUM(TRP_Simple!$Z77:$AA77)</f>
        <v>80</v>
      </c>
      <c r="AF130" s="706">
        <f t="shared" si="148"/>
        <v>45486</v>
      </c>
      <c r="AG130" s="704">
        <f>TRP_Simple!$AF77</f>
        <v>45486</v>
      </c>
      <c r="AH130" s="705">
        <f t="shared" si="149"/>
        <v>0</v>
      </c>
      <c r="AI130" s="704" t="str">
        <f t="shared" si="150"/>
        <v>GOOD!</v>
      </c>
      <c r="AJ130" s="717">
        <f>TRP_Simple!T77+TRP_Simple!V77</f>
        <v>0</v>
      </c>
      <c r="AK130" s="699">
        <f>TRP_Simple!U77</f>
        <v>0</v>
      </c>
      <c r="AL130" s="699">
        <f>SUM(TRP_Simple!W77:X77)</f>
        <v>0</v>
      </c>
      <c r="AM130" s="754">
        <f t="shared" si="151"/>
        <v>0</v>
      </c>
      <c r="AN130" s="708">
        <f t="shared" si="152"/>
        <v>0</v>
      </c>
      <c r="AO130" s="754">
        <f t="shared" si="153"/>
        <v>0</v>
      </c>
    </row>
    <row r="131" spans="1:41" x14ac:dyDescent="0.3">
      <c r="A131" s="711" t="s">
        <v>137</v>
      </c>
      <c r="B131" s="701">
        <v>11</v>
      </c>
      <c r="C131" s="721">
        <v>0</v>
      </c>
      <c r="D131" s="721">
        <v>87</v>
      </c>
      <c r="E131" s="721">
        <v>470.1</v>
      </c>
      <c r="F131" s="721">
        <v>141</v>
      </c>
      <c r="G131" s="721">
        <v>110</v>
      </c>
      <c r="H131" s="721">
        <v>9</v>
      </c>
      <c r="I131" s="721">
        <v>98</v>
      </c>
      <c r="J131" s="721">
        <v>11</v>
      </c>
      <c r="K131" s="721">
        <v>40</v>
      </c>
      <c r="L131" s="721">
        <v>817</v>
      </c>
      <c r="M131" s="721">
        <v>4969</v>
      </c>
      <c r="N131" s="721">
        <v>8925.9</v>
      </c>
      <c r="O131" s="721">
        <v>1225</v>
      </c>
      <c r="P131" s="721">
        <v>0</v>
      </c>
      <c r="Q131" s="721">
        <v>0</v>
      </c>
      <c r="R131" s="721">
        <v>0</v>
      </c>
      <c r="S131" s="721">
        <v>0</v>
      </c>
      <c r="T131" s="721">
        <v>0</v>
      </c>
      <c r="U131" s="721">
        <v>384</v>
      </c>
      <c r="V131" s="721">
        <v>0</v>
      </c>
      <c r="W131" s="721">
        <v>0</v>
      </c>
      <c r="X131" s="721">
        <v>71</v>
      </c>
      <c r="Y131" s="721">
        <v>0</v>
      </c>
      <c r="Z131" s="721">
        <v>0</v>
      </c>
      <c r="AA131" s="719">
        <f>TRP_Simple!$N78</f>
        <v>164</v>
      </c>
      <c r="AB131" s="718">
        <f>SUM(TRP_Simple!Q78:R78)</f>
        <v>0</v>
      </c>
      <c r="AC131" s="720">
        <f>TRP_Simple!$Y78</f>
        <v>0</v>
      </c>
      <c r="AD131" s="719">
        <f>TRP_Simple!$AC78</f>
        <v>9350</v>
      </c>
      <c r="AE131" s="718">
        <f>SUM(TRP_Simple!$Z78:$AA78)</f>
        <v>330</v>
      </c>
      <c r="AF131" s="706">
        <f t="shared" si="148"/>
        <v>27202</v>
      </c>
      <c r="AG131" s="704">
        <f>TRP_Simple!$AF78</f>
        <v>27202</v>
      </c>
      <c r="AH131" s="705">
        <f t="shared" si="149"/>
        <v>0</v>
      </c>
      <c r="AI131" s="704" t="str">
        <f t="shared" si="150"/>
        <v>GOOD!</v>
      </c>
      <c r="AJ131" s="717">
        <f>TRP_Simple!T78+TRP_Simple!V78</f>
        <v>0</v>
      </c>
      <c r="AK131" s="699">
        <f>TRP_Simple!U78</f>
        <v>0</v>
      </c>
      <c r="AL131" s="699">
        <f>SUM(TRP_Simple!W78:X78)</f>
        <v>0</v>
      </c>
      <c r="AM131" s="754">
        <f t="shared" si="151"/>
        <v>0</v>
      </c>
      <c r="AN131" s="708">
        <f t="shared" si="152"/>
        <v>0</v>
      </c>
      <c r="AO131" s="754">
        <f t="shared" si="153"/>
        <v>0</v>
      </c>
    </row>
    <row r="132" spans="1:41" x14ac:dyDescent="0.3">
      <c r="A132" s="711" t="s">
        <v>309</v>
      </c>
      <c r="B132" s="701">
        <v>12</v>
      </c>
      <c r="C132" s="721">
        <v>8645</v>
      </c>
      <c r="D132" s="721">
        <v>4343.8999999999996</v>
      </c>
      <c r="E132" s="721">
        <v>26565.690000000002</v>
      </c>
      <c r="F132" s="721">
        <v>754.3</v>
      </c>
      <c r="G132" s="721">
        <v>3491.2</v>
      </c>
      <c r="H132" s="721">
        <v>1757.6</v>
      </c>
      <c r="I132" s="721">
        <v>906</v>
      </c>
      <c r="J132" s="721">
        <v>1665.6</v>
      </c>
      <c r="K132" s="721">
        <v>1951.9</v>
      </c>
      <c r="L132" s="721">
        <v>5135.6000000000004</v>
      </c>
      <c r="M132" s="721">
        <v>2082</v>
      </c>
      <c r="N132" s="721">
        <v>156859.60999999999</v>
      </c>
      <c r="O132" s="721">
        <v>31466.5</v>
      </c>
      <c r="P132" s="721">
        <v>63.068147752705165</v>
      </c>
      <c r="Q132" s="721">
        <v>216.3</v>
      </c>
      <c r="R132" s="721">
        <v>1233.7501435816509</v>
      </c>
      <c r="S132" s="721">
        <v>902.04574842852162</v>
      </c>
      <c r="T132" s="721">
        <v>1677.6359602371233</v>
      </c>
      <c r="U132" s="721">
        <v>58364.9</v>
      </c>
      <c r="V132" s="721">
        <v>23996.6</v>
      </c>
      <c r="W132" s="721">
        <v>0</v>
      </c>
      <c r="X132" s="721">
        <v>1227.3</v>
      </c>
      <c r="Y132" s="721">
        <v>4686.3</v>
      </c>
      <c r="Z132" s="721">
        <v>165.3</v>
      </c>
      <c r="AA132" s="719">
        <f>TRP_Simple!$N79</f>
        <v>179280.6</v>
      </c>
      <c r="AB132" s="718">
        <f>SUM(TRP_Simple!Q79:R79)</f>
        <v>27652.799999999999</v>
      </c>
      <c r="AC132" s="720">
        <f>TRP_Simple!$Y79</f>
        <v>74125.2</v>
      </c>
      <c r="AD132" s="719">
        <f>TRP_Simple!$AC79</f>
        <v>209671.1</v>
      </c>
      <c r="AE132" s="718">
        <f>SUM(TRP_Simple!$Z79:$AA79)</f>
        <v>2655.3</v>
      </c>
      <c r="AF132" s="706">
        <f t="shared" si="148"/>
        <v>831543.1</v>
      </c>
      <c r="AG132" s="704">
        <f>TRP_Simple!$AF79</f>
        <v>831543.1</v>
      </c>
      <c r="AH132" s="705">
        <f t="shared" si="149"/>
        <v>0</v>
      </c>
      <c r="AI132" s="704" t="str">
        <f t="shared" si="150"/>
        <v>GOOD!</v>
      </c>
      <c r="AJ132" s="717">
        <f>TRP_Simple!T79+TRP_Simple!V79</f>
        <v>67731.5</v>
      </c>
      <c r="AK132" s="699">
        <f>TRP_Simple!U79</f>
        <v>0</v>
      </c>
      <c r="AL132" s="699">
        <f>SUM(TRP_Simple!W79:X79)</f>
        <v>6393.7</v>
      </c>
      <c r="AM132" s="754">
        <f t="shared" si="151"/>
        <v>0</v>
      </c>
      <c r="AN132" s="708">
        <f t="shared" si="152"/>
        <v>74125.2</v>
      </c>
      <c r="AO132" s="754">
        <f t="shared" si="153"/>
        <v>0</v>
      </c>
    </row>
    <row r="133" spans="1:41" x14ac:dyDescent="0.3">
      <c r="A133" s="711" t="s">
        <v>310</v>
      </c>
      <c r="B133" s="701">
        <v>13</v>
      </c>
      <c r="C133" s="721">
        <v>254</v>
      </c>
      <c r="D133" s="721">
        <v>186</v>
      </c>
      <c r="E133" s="721">
        <v>160.6</v>
      </c>
      <c r="F133" s="721">
        <v>34</v>
      </c>
      <c r="G133" s="721">
        <v>66</v>
      </c>
      <c r="H133" s="721">
        <v>45</v>
      </c>
      <c r="I133" s="721">
        <v>24</v>
      </c>
      <c r="J133" s="721">
        <v>63</v>
      </c>
      <c r="K133" s="721">
        <v>43</v>
      </c>
      <c r="L133" s="721">
        <v>56</v>
      </c>
      <c r="M133" s="721">
        <v>50</v>
      </c>
      <c r="N133" s="721">
        <v>1692.4</v>
      </c>
      <c r="O133" s="721">
        <v>29456</v>
      </c>
      <c r="P133" s="721">
        <v>31.038416524649406</v>
      </c>
      <c r="Q133" s="721">
        <v>61</v>
      </c>
      <c r="R133" s="721">
        <v>157.93318686733878</v>
      </c>
      <c r="S133" s="721">
        <v>159.81496006406178</v>
      </c>
      <c r="T133" s="721">
        <v>133.21343654395005</v>
      </c>
      <c r="U133" s="721">
        <v>12031</v>
      </c>
      <c r="V133" s="721">
        <v>6537</v>
      </c>
      <c r="W133" s="721">
        <v>0</v>
      </c>
      <c r="X133" s="721">
        <v>580.6512959152401</v>
      </c>
      <c r="Y133" s="721">
        <v>2483</v>
      </c>
      <c r="Z133" s="721">
        <v>206.34870408475987</v>
      </c>
      <c r="AA133" s="719">
        <f>TRP_Simple!$N80</f>
        <v>10499</v>
      </c>
      <c r="AB133" s="718">
        <f>SUM(TRP_Simple!Q80:R80)</f>
        <v>0</v>
      </c>
      <c r="AC133" s="720">
        <f>TRP_Simple!$Y80</f>
        <v>186394</v>
      </c>
      <c r="AD133" s="719">
        <f>TRP_Simple!$AC80</f>
        <v>0</v>
      </c>
      <c r="AE133" s="718">
        <f>SUM(TRP_Simple!$Z80:$AA80)</f>
        <v>0</v>
      </c>
      <c r="AF133" s="706">
        <f t="shared" si="148"/>
        <v>251404</v>
      </c>
      <c r="AG133" s="704">
        <f>TRP_Simple!$AF80</f>
        <v>251404</v>
      </c>
      <c r="AH133" s="705">
        <f t="shared" si="149"/>
        <v>0</v>
      </c>
      <c r="AI133" s="704" t="str">
        <f t="shared" si="150"/>
        <v>GOOD!</v>
      </c>
      <c r="AJ133" s="717">
        <f>TRP_Simple!T80+TRP_Simple!V80</f>
        <v>60170</v>
      </c>
      <c r="AK133" s="699">
        <f>TRP_Simple!U80</f>
        <v>80093</v>
      </c>
      <c r="AL133" s="699">
        <f>SUM(TRP_Simple!W80:X80)</f>
        <v>46131</v>
      </c>
      <c r="AM133" s="754">
        <f t="shared" si="151"/>
        <v>0</v>
      </c>
      <c r="AN133" s="708">
        <f t="shared" si="152"/>
        <v>106301</v>
      </c>
      <c r="AO133" s="754">
        <f t="shared" si="153"/>
        <v>0</v>
      </c>
    </row>
    <row r="134" spans="1:41" x14ac:dyDescent="0.3">
      <c r="A134" s="711" t="s">
        <v>152</v>
      </c>
      <c r="B134" s="701">
        <v>14</v>
      </c>
      <c r="C134" s="721">
        <v>1</v>
      </c>
      <c r="D134" s="721">
        <v>24.525717101615914</v>
      </c>
      <c r="E134" s="721">
        <v>8.2397182925076482</v>
      </c>
      <c r="F134" s="721">
        <v>2.3021785105640311</v>
      </c>
      <c r="G134" s="721">
        <v>4.0384165246494064</v>
      </c>
      <c r="H134" s="721">
        <v>7.2323060181097674</v>
      </c>
      <c r="I134" s="721">
        <v>2.3410467527667702</v>
      </c>
      <c r="J134" s="721">
        <v>5.271174260312506</v>
      </c>
      <c r="K134" s="721">
        <v>5.6432252633308009</v>
      </c>
      <c r="L134" s="721">
        <v>9.6117692955259422</v>
      </c>
      <c r="M134" s="721">
        <v>3.1471572593064083</v>
      </c>
      <c r="N134" s="721">
        <v>150.9723425661663</v>
      </c>
      <c r="O134" s="721">
        <v>42.734882861425376</v>
      </c>
      <c r="P134" s="721">
        <v>19.745682587453167</v>
      </c>
      <c r="Q134" s="721">
        <v>1.9611317577972609</v>
      </c>
      <c r="R134" s="721">
        <v>43.457257747681773</v>
      </c>
      <c r="S134" s="721">
        <v>17.126745481360032</v>
      </c>
      <c r="T134" s="721">
        <v>15.159154706676086</v>
      </c>
      <c r="U134" s="721">
        <v>1026.9201075909079</v>
      </c>
      <c r="V134" s="721">
        <v>777.57335277087657</v>
      </c>
      <c r="W134" s="721">
        <v>0</v>
      </c>
      <c r="X134" s="721">
        <v>26.053241073445168</v>
      </c>
      <c r="Y134" s="721">
        <v>15.960228322690595</v>
      </c>
      <c r="Z134" s="721">
        <v>1.5270722542759172</v>
      </c>
      <c r="AA134" s="719">
        <f>TRP_Simple!$N81</f>
        <v>4179.7052337638343</v>
      </c>
      <c r="AB134" s="718">
        <f>SUM(TRP_Simple!Q81:R81)</f>
        <v>190</v>
      </c>
      <c r="AC134" s="720">
        <f>TRP_Simple!$Y81</f>
        <v>0</v>
      </c>
      <c r="AD134" s="719">
        <f>TRP_Simple!$AC81</f>
        <v>1351.3973677186211</v>
      </c>
      <c r="AE134" s="718">
        <f>SUM(TRP_Simple!$Z81:$AA81)</f>
        <v>-4.4956162864710594</v>
      </c>
      <c r="AF134" s="706">
        <f t="shared" si="148"/>
        <v>7929.1508941954298</v>
      </c>
      <c r="AG134" s="704">
        <f>TRP_Simple!$AF81</f>
        <v>7929.1508941954307</v>
      </c>
      <c r="AH134" s="705">
        <f t="shared" si="149"/>
        <v>0</v>
      </c>
      <c r="AI134" s="704" t="str">
        <f t="shared" si="150"/>
        <v>GOOD!</v>
      </c>
      <c r="AJ134" s="717">
        <f>TRP_Simple!T81+TRP_Simple!V81</f>
        <v>0</v>
      </c>
      <c r="AK134" s="699">
        <f>TRP_Simple!U81</f>
        <v>0</v>
      </c>
      <c r="AL134" s="699">
        <f>SUM(TRP_Simple!W81:X81)</f>
        <v>0</v>
      </c>
      <c r="AM134" s="754">
        <f t="shared" si="151"/>
        <v>0</v>
      </c>
      <c r="AN134" s="708">
        <f t="shared" si="152"/>
        <v>0</v>
      </c>
      <c r="AO134" s="754">
        <f t="shared" si="153"/>
        <v>0</v>
      </c>
    </row>
    <row r="135" spans="1:41" x14ac:dyDescent="0.3">
      <c r="A135" s="711" t="s">
        <v>153</v>
      </c>
      <c r="B135" s="701">
        <v>15</v>
      </c>
      <c r="C135" s="721">
        <v>0</v>
      </c>
      <c r="D135" s="721">
        <v>91</v>
      </c>
      <c r="E135" s="721">
        <v>24</v>
      </c>
      <c r="F135" s="721">
        <v>2</v>
      </c>
      <c r="G135" s="721">
        <v>8</v>
      </c>
      <c r="H135" s="721">
        <v>4</v>
      </c>
      <c r="I135" s="721">
        <v>1</v>
      </c>
      <c r="J135" s="721">
        <v>12</v>
      </c>
      <c r="K135" s="721">
        <v>11</v>
      </c>
      <c r="L135" s="721">
        <v>3</v>
      </c>
      <c r="M135" s="721">
        <v>1</v>
      </c>
      <c r="N135" s="721">
        <v>208</v>
      </c>
      <c r="O135" s="721">
        <v>60</v>
      </c>
      <c r="P135" s="721">
        <v>2.5890807547789665</v>
      </c>
      <c r="Q135" s="721">
        <v>397</v>
      </c>
      <c r="R135" s="721">
        <v>27.170719902851395</v>
      </c>
      <c r="S135" s="721">
        <v>19.841675930787485</v>
      </c>
      <c r="T135" s="721">
        <v>26.398523411582154</v>
      </c>
      <c r="U135" s="721">
        <v>1420</v>
      </c>
      <c r="V135" s="721">
        <v>1860</v>
      </c>
      <c r="W135" s="721">
        <v>0</v>
      </c>
      <c r="X135" s="721">
        <v>21</v>
      </c>
      <c r="Y135" s="721">
        <v>14</v>
      </c>
      <c r="Z135" s="721">
        <v>2</v>
      </c>
      <c r="AA135" s="719">
        <f>TRP_Simple!$N82</f>
        <v>9238</v>
      </c>
      <c r="AB135" s="718">
        <f>SUM(TRP_Simple!Q82:R82)</f>
        <v>1630</v>
      </c>
      <c r="AC135" s="720">
        <f>TRP_Simple!$Y82</f>
        <v>0</v>
      </c>
      <c r="AD135" s="719">
        <f>TRP_Simple!$AC82</f>
        <v>0</v>
      </c>
      <c r="AE135" s="718">
        <f>SUM(TRP_Simple!$Z82:$AA82)</f>
        <v>0</v>
      </c>
      <c r="AF135" s="706">
        <f t="shared" si="148"/>
        <v>15083</v>
      </c>
      <c r="AG135" s="704">
        <f>TRP_Simple!$AF82</f>
        <v>15083</v>
      </c>
      <c r="AH135" s="705">
        <f t="shared" si="149"/>
        <v>0</v>
      </c>
      <c r="AI135" s="704" t="str">
        <f t="shared" si="150"/>
        <v>GOOD!</v>
      </c>
      <c r="AJ135" s="717">
        <f>TRP_Simple!T82+TRP_Simple!V82</f>
        <v>0</v>
      </c>
      <c r="AK135" s="699">
        <f>TRP_Simple!U82</f>
        <v>0</v>
      </c>
      <c r="AL135" s="699">
        <f>SUM(TRP_Simple!W82:X82)</f>
        <v>0</v>
      </c>
      <c r="AM135" s="754">
        <f t="shared" si="151"/>
        <v>0</v>
      </c>
      <c r="AN135" s="708">
        <f t="shared" si="152"/>
        <v>0</v>
      </c>
      <c r="AO135" s="754">
        <f t="shared" si="153"/>
        <v>0</v>
      </c>
    </row>
    <row r="136" spans="1:41" x14ac:dyDescent="0.3">
      <c r="A136" s="711" t="s">
        <v>154</v>
      </c>
      <c r="B136" s="701">
        <v>16</v>
      </c>
      <c r="C136" s="721">
        <v>37</v>
      </c>
      <c r="D136" s="721">
        <v>293.05109688168227</v>
      </c>
      <c r="E136" s="721">
        <v>125.15008755694134</v>
      </c>
      <c r="F136" s="721">
        <v>31.114222943145187</v>
      </c>
      <c r="G136" s="721">
        <v>69.933186867338776</v>
      </c>
      <c r="H136" s="721">
        <v>52.910096473963179</v>
      </c>
      <c r="I136" s="721">
        <v>8.625153627966597</v>
      </c>
      <c r="J136" s="721">
        <v>31.421027158784586</v>
      </c>
      <c r="K136" s="721">
        <v>41.739376571111784</v>
      </c>
      <c r="L136" s="721">
        <v>128.46843696926857</v>
      </c>
      <c r="M136" s="721">
        <v>26.64824402134219</v>
      </c>
      <c r="N136" s="721">
        <v>947.34710094127377</v>
      </c>
      <c r="O136" s="721">
        <v>332.0857324717457</v>
      </c>
      <c r="P136" s="721">
        <v>38.979240846405524</v>
      </c>
      <c r="Q136" s="721">
        <v>49.48906931517859</v>
      </c>
      <c r="R136" s="721">
        <v>5165.0511709322427</v>
      </c>
      <c r="S136" s="721">
        <v>347.18840809499818</v>
      </c>
      <c r="T136" s="721">
        <v>246.62841159640078</v>
      </c>
      <c r="U136" s="721">
        <v>10564.499945735228</v>
      </c>
      <c r="V136" s="721">
        <v>767.53525010192971</v>
      </c>
      <c r="W136" s="721">
        <v>0</v>
      </c>
      <c r="X136" s="721">
        <v>206.41316903329511</v>
      </c>
      <c r="Y136" s="721">
        <v>202.33358168021331</v>
      </c>
      <c r="Z136" s="721">
        <v>12.784328334130194</v>
      </c>
      <c r="AA136" s="719">
        <f>TRP_Simple!$N83</f>
        <v>678.12576813983299</v>
      </c>
      <c r="AB136" s="718">
        <f>SUM(TRP_Simple!Q83:R83)</f>
        <v>4</v>
      </c>
      <c r="AC136" s="720">
        <f>TRP_Simple!$Y83</f>
        <v>0</v>
      </c>
      <c r="AD136" s="719">
        <f>TRP_Simple!$AC83</f>
        <v>4060.4969655726695</v>
      </c>
      <c r="AE136" s="718">
        <f>SUM(TRP_Simple!$Z83:$AA83)</f>
        <v>-100.51338873228696</v>
      </c>
      <c r="AF136" s="706">
        <f t="shared" si="148"/>
        <v>24368.505683134805</v>
      </c>
      <c r="AG136" s="704">
        <f>TRP_Simple!$AF83</f>
        <v>24368.505683134805</v>
      </c>
      <c r="AH136" s="705">
        <f t="shared" si="149"/>
        <v>0</v>
      </c>
      <c r="AI136" s="704" t="str">
        <f t="shared" si="150"/>
        <v>GOOD!</v>
      </c>
      <c r="AJ136" s="717">
        <f>TRP_Simple!T83+TRP_Simple!V83</f>
        <v>0</v>
      </c>
      <c r="AK136" s="699">
        <f>TRP_Simple!U83</f>
        <v>0</v>
      </c>
      <c r="AL136" s="699">
        <f>SUM(TRP_Simple!W83:X83)</f>
        <v>0</v>
      </c>
      <c r="AM136" s="754">
        <f t="shared" si="151"/>
        <v>0</v>
      </c>
      <c r="AN136" s="708">
        <f t="shared" si="152"/>
        <v>0</v>
      </c>
      <c r="AO136" s="754">
        <f t="shared" si="153"/>
        <v>0</v>
      </c>
    </row>
    <row r="137" spans="1:41" x14ac:dyDescent="0.3">
      <c r="A137" s="711" t="s">
        <v>155</v>
      </c>
      <c r="B137" s="701">
        <v>17</v>
      </c>
      <c r="C137" s="721">
        <v>0</v>
      </c>
      <c r="D137" s="721">
        <v>81.686161896744409</v>
      </c>
      <c r="E137" s="721">
        <v>34.170696437004466</v>
      </c>
      <c r="F137" s="721">
        <v>8.4921257417407556</v>
      </c>
      <c r="G137" s="721">
        <v>19.814960064061761</v>
      </c>
      <c r="H137" s="721">
        <v>14.557929842984151</v>
      </c>
      <c r="I137" s="721">
        <v>2.2241281704559119</v>
      </c>
      <c r="J137" s="721">
        <v>8.2899322716993087</v>
      </c>
      <c r="K137" s="721">
        <v>10.716253912196667</v>
      </c>
      <c r="L137" s="721">
        <v>36.597018077501829</v>
      </c>
      <c r="M137" s="721">
        <v>7.4811583915335227</v>
      </c>
      <c r="N137" s="721">
        <v>254.15719184209837</v>
      </c>
      <c r="O137" s="721">
        <v>89.571707228360822</v>
      </c>
      <c r="P137" s="721">
        <v>13.457716586102777</v>
      </c>
      <c r="Q137" s="721">
        <v>6.2679975712848428</v>
      </c>
      <c r="R137" s="721">
        <v>316.7173018856418</v>
      </c>
      <c r="S137" s="721">
        <v>1689.6910904033648</v>
      </c>
      <c r="T137" s="721">
        <v>77.696308811099499</v>
      </c>
      <c r="U137" s="721">
        <v>1579.8540072333467</v>
      </c>
      <c r="V137" s="721">
        <v>18.782058013440064</v>
      </c>
      <c r="W137" s="721">
        <v>0</v>
      </c>
      <c r="X137" s="721">
        <v>59.040493252102394</v>
      </c>
      <c r="Y137" s="721">
        <v>58.433912841978056</v>
      </c>
      <c r="Z137" s="721">
        <v>3.4372889907045914</v>
      </c>
      <c r="AA137" s="719">
        <f>TRP_Simple!$N84</f>
        <v>359.12064085227956</v>
      </c>
      <c r="AB137" s="718">
        <f>SUM(TRP_Simple!Q84:R84)</f>
        <v>0</v>
      </c>
      <c r="AC137" s="720">
        <f>TRP_Simple!$Y84</f>
        <v>0</v>
      </c>
      <c r="AD137" s="719">
        <f>TRP_Simple!$AC84</f>
        <v>4431.6470531296109</v>
      </c>
      <c r="AE137" s="718">
        <f>SUM(TRP_Simple!$Z84:$AA84)</f>
        <v>-29.31805315600975</v>
      </c>
      <c r="AF137" s="706">
        <f t="shared" si="148"/>
        <v>9152.5870802913269</v>
      </c>
      <c r="AG137" s="704">
        <f>TRP_Simple!$AF84</f>
        <v>9152.5870802913305</v>
      </c>
      <c r="AH137" s="705">
        <f t="shared" si="149"/>
        <v>0</v>
      </c>
      <c r="AI137" s="704" t="str">
        <f t="shared" si="150"/>
        <v>GOOD!</v>
      </c>
      <c r="AJ137" s="717">
        <f>TRP_Simple!T84+TRP_Simple!V84</f>
        <v>0</v>
      </c>
      <c r="AK137" s="699">
        <f>TRP_Simple!U84</f>
        <v>0</v>
      </c>
      <c r="AL137" s="699">
        <f>SUM(TRP_Simple!W84:X84)</f>
        <v>0</v>
      </c>
      <c r="AM137" s="754">
        <f t="shared" si="151"/>
        <v>0</v>
      </c>
      <c r="AN137" s="708">
        <f t="shared" si="152"/>
        <v>0</v>
      </c>
      <c r="AO137" s="754">
        <f t="shared" si="153"/>
        <v>0</v>
      </c>
    </row>
    <row r="138" spans="1:41" x14ac:dyDescent="0.3">
      <c r="A138" s="711" t="s">
        <v>156</v>
      </c>
      <c r="B138" s="701">
        <v>18</v>
      </c>
      <c r="C138" s="721">
        <v>9</v>
      </c>
      <c r="D138" s="721">
        <v>171.73702411995743</v>
      </c>
      <c r="E138" s="721">
        <v>55.139497713546547</v>
      </c>
      <c r="F138" s="721">
        <v>15.091472804550028</v>
      </c>
      <c r="G138" s="721">
        <v>46.213436543950067</v>
      </c>
      <c r="H138" s="721">
        <v>23.299667664942906</v>
      </c>
      <c r="I138" s="721">
        <v>12.809671448810722</v>
      </c>
      <c r="J138" s="721">
        <v>27.017866309203598</v>
      </c>
      <c r="K138" s="721">
        <v>30.901144253360748</v>
      </c>
      <c r="L138" s="721">
        <v>30.322775657703694</v>
      </c>
      <c r="M138" s="721">
        <v>12.723440327817881</v>
      </c>
      <c r="N138" s="721">
        <v>559.82336465046149</v>
      </c>
      <c r="O138" s="721">
        <v>171.60767743846816</v>
      </c>
      <c r="P138" s="721">
        <v>12.810584216738533</v>
      </c>
      <c r="Q138" s="721">
        <v>17.281801355739308</v>
      </c>
      <c r="R138" s="721">
        <v>263.10811217219396</v>
      </c>
      <c r="S138" s="721">
        <v>107.23812055047608</v>
      </c>
      <c r="T138" s="721">
        <v>2431.9446933811641</v>
      </c>
      <c r="U138" s="721">
        <v>4843.7259394405164</v>
      </c>
      <c r="V138" s="721">
        <v>318.10933911375366</v>
      </c>
      <c r="W138" s="721">
        <v>0</v>
      </c>
      <c r="X138" s="721">
        <v>74.493096641157337</v>
      </c>
      <c r="Y138" s="721">
        <v>49.272277155118047</v>
      </c>
      <c r="Z138" s="721">
        <v>5.2513104208892969</v>
      </c>
      <c r="AA138" s="719">
        <f>TRP_Simple!$N85</f>
        <v>7336.0483572440535</v>
      </c>
      <c r="AB138" s="718">
        <f>SUM(TRP_Simple!Q85:R85)</f>
        <v>0</v>
      </c>
      <c r="AC138" s="720">
        <f>TRP_Simple!$Y85</f>
        <v>0</v>
      </c>
      <c r="AD138" s="719">
        <f>TRP_Simple!$AC85</f>
        <v>7626.4586135790987</v>
      </c>
      <c r="AE138" s="718">
        <f>SUM(TRP_Simple!$Z85:$AA85)</f>
        <v>-10.67294182523224</v>
      </c>
      <c r="AF138" s="706">
        <f t="shared" si="148"/>
        <v>24240.756342378441</v>
      </c>
      <c r="AG138" s="704">
        <f>TRP_Simple!$AF85</f>
        <v>24240.756342378438</v>
      </c>
      <c r="AH138" s="705">
        <f t="shared" si="149"/>
        <v>0</v>
      </c>
      <c r="AI138" s="704" t="str">
        <f t="shared" si="150"/>
        <v>GOOD!</v>
      </c>
      <c r="AJ138" s="717">
        <f>TRP_Simple!T85+TRP_Simple!V85</f>
        <v>0</v>
      </c>
      <c r="AK138" s="699">
        <f>TRP_Simple!U85</f>
        <v>0</v>
      </c>
      <c r="AL138" s="699">
        <f>SUM(TRP_Simple!W85:X85)</f>
        <v>0</v>
      </c>
      <c r="AM138" s="754">
        <f t="shared" si="151"/>
        <v>0</v>
      </c>
      <c r="AN138" s="708">
        <f t="shared" si="152"/>
        <v>0</v>
      </c>
      <c r="AO138" s="754">
        <f t="shared" si="153"/>
        <v>0</v>
      </c>
    </row>
    <row r="139" spans="1:41" x14ac:dyDescent="0.3">
      <c r="A139" s="711" t="s">
        <v>311</v>
      </c>
      <c r="B139" s="701">
        <v>19</v>
      </c>
      <c r="C139" s="721">
        <v>5883</v>
      </c>
      <c r="D139" s="721">
        <v>19552</v>
      </c>
      <c r="E139" s="721">
        <v>12508.300000000001</v>
      </c>
      <c r="F139" s="721">
        <v>1338</v>
      </c>
      <c r="G139" s="721">
        <v>3515</v>
      </c>
      <c r="H139" s="721">
        <v>3328</v>
      </c>
      <c r="I139" s="721">
        <v>924</v>
      </c>
      <c r="J139" s="721">
        <v>2550</v>
      </c>
      <c r="K139" s="721">
        <v>3747</v>
      </c>
      <c r="L139" s="721">
        <v>3660</v>
      </c>
      <c r="M139" s="721">
        <v>1682</v>
      </c>
      <c r="N139" s="721">
        <v>81094.700000000012</v>
      </c>
      <c r="O139" s="721">
        <v>35131</v>
      </c>
      <c r="P139" s="721">
        <v>2989.2803112744596</v>
      </c>
      <c r="Q139" s="721">
        <v>3014</v>
      </c>
      <c r="R139" s="721">
        <v>14099.386429700722</v>
      </c>
      <c r="S139" s="721">
        <v>4572.5340034788123</v>
      </c>
      <c r="T139" s="721">
        <v>4286.799255546006</v>
      </c>
      <c r="U139" s="721">
        <v>490248</v>
      </c>
      <c r="V139" s="721">
        <v>44833</v>
      </c>
      <c r="W139" s="721">
        <v>27</v>
      </c>
      <c r="X139" s="721">
        <v>3999.3307539074472</v>
      </c>
      <c r="Y139" s="721">
        <v>6382</v>
      </c>
      <c r="Z139" s="721">
        <v>1264.6692460925531</v>
      </c>
      <c r="AA139" s="719">
        <f>TRP_Simple!$N86</f>
        <v>460726</v>
      </c>
      <c r="AB139" s="718">
        <f>SUM(TRP_Simple!Q86:R86)</f>
        <v>86021</v>
      </c>
      <c r="AC139" s="720">
        <f>TRP_Simple!$Y86</f>
        <v>89966</v>
      </c>
      <c r="AD139" s="719">
        <f>TRP_Simple!$AC86</f>
        <v>77926</v>
      </c>
      <c r="AE139" s="718">
        <f>SUM(TRP_Simple!$Z86:$AA86)</f>
        <v>491</v>
      </c>
      <c r="AF139" s="706">
        <f t="shared" si="148"/>
        <v>1465759</v>
      </c>
      <c r="AG139" s="704">
        <f>TRP_Simple!$AF86</f>
        <v>1465759</v>
      </c>
      <c r="AH139" s="705">
        <f t="shared" si="149"/>
        <v>0</v>
      </c>
      <c r="AI139" s="704" t="str">
        <f t="shared" si="150"/>
        <v>GOOD!</v>
      </c>
      <c r="AJ139" s="717">
        <f>TRP_Simple!T86+TRP_Simple!V86</f>
        <v>57442</v>
      </c>
      <c r="AK139" s="699">
        <f>TRP_Simple!U86</f>
        <v>27042</v>
      </c>
      <c r="AL139" s="699">
        <f>SUM(TRP_Simple!W86:X86)</f>
        <v>5482</v>
      </c>
      <c r="AM139" s="754">
        <f t="shared" si="151"/>
        <v>0</v>
      </c>
      <c r="AN139" s="708">
        <f t="shared" si="152"/>
        <v>62924</v>
      </c>
      <c r="AO139" s="754">
        <f t="shared" si="153"/>
        <v>0</v>
      </c>
    </row>
    <row r="140" spans="1:41" x14ac:dyDescent="0.3">
      <c r="A140" s="711" t="s">
        <v>312</v>
      </c>
      <c r="B140" s="701">
        <v>20</v>
      </c>
      <c r="C140" s="721">
        <v>14</v>
      </c>
      <c r="D140" s="721">
        <v>61</v>
      </c>
      <c r="E140" s="721">
        <v>19.100000000000001</v>
      </c>
      <c r="F140" s="721">
        <v>23</v>
      </c>
      <c r="G140" s="721">
        <v>5</v>
      </c>
      <c r="H140" s="721">
        <v>7</v>
      </c>
      <c r="I140" s="721">
        <v>18</v>
      </c>
      <c r="J140" s="721">
        <v>12</v>
      </c>
      <c r="K140" s="721">
        <v>15</v>
      </c>
      <c r="L140" s="721">
        <v>10</v>
      </c>
      <c r="M140" s="721">
        <v>12</v>
      </c>
      <c r="N140" s="721">
        <v>564.9</v>
      </c>
      <c r="O140" s="721">
        <v>78</v>
      </c>
      <c r="P140" s="721">
        <v>5.4724760281707496</v>
      </c>
      <c r="Q140" s="721">
        <v>22</v>
      </c>
      <c r="R140" s="721">
        <v>79.637927848387164</v>
      </c>
      <c r="S140" s="721">
        <v>37.645668644642015</v>
      </c>
      <c r="T140" s="721">
        <v>9.2439274788000745</v>
      </c>
      <c r="U140" s="721">
        <v>1640</v>
      </c>
      <c r="V140" s="721">
        <v>0</v>
      </c>
      <c r="W140" s="721">
        <v>0</v>
      </c>
      <c r="X140" s="721">
        <v>40</v>
      </c>
      <c r="Y140" s="721">
        <v>3</v>
      </c>
      <c r="Z140" s="721">
        <v>10</v>
      </c>
      <c r="AA140" s="719">
        <f>TRP_Simple!$N87</f>
        <v>10274</v>
      </c>
      <c r="AB140" s="718">
        <f>SUM(TRP_Simple!Q87:R87)</f>
        <v>330712</v>
      </c>
      <c r="AC140" s="720">
        <f>TRP_Simple!$Y87</f>
        <v>0</v>
      </c>
      <c r="AD140" s="719">
        <f>TRP_Simple!$AC87</f>
        <v>0</v>
      </c>
      <c r="AE140" s="718">
        <f>SUM(TRP_Simple!$Z87:$AA87)</f>
        <v>0</v>
      </c>
      <c r="AF140" s="706">
        <f t="shared" si="148"/>
        <v>343672</v>
      </c>
      <c r="AG140" s="704">
        <f>TRP_Simple!$AF87</f>
        <v>343672</v>
      </c>
      <c r="AH140" s="705">
        <f t="shared" si="149"/>
        <v>0</v>
      </c>
      <c r="AI140" s="704" t="str">
        <f t="shared" si="150"/>
        <v>GOOD!</v>
      </c>
      <c r="AJ140" s="717">
        <f>TRP_Simple!T87+TRP_Simple!V87</f>
        <v>0</v>
      </c>
      <c r="AK140" s="699">
        <f>TRP_Simple!U87</f>
        <v>0</v>
      </c>
      <c r="AL140" s="699">
        <f>SUM(TRP_Simple!W87:X87)</f>
        <v>0</v>
      </c>
      <c r="AM140" s="754">
        <f t="shared" si="151"/>
        <v>0</v>
      </c>
      <c r="AN140" s="708">
        <f t="shared" si="152"/>
        <v>0</v>
      </c>
      <c r="AO140" s="754">
        <f t="shared" si="153"/>
        <v>0</v>
      </c>
    </row>
    <row r="141" spans="1:41" x14ac:dyDescent="0.3">
      <c r="A141" s="711" t="s">
        <v>144</v>
      </c>
      <c r="B141" s="701">
        <v>21</v>
      </c>
      <c r="C141" s="721">
        <v>0</v>
      </c>
      <c r="D141" s="721">
        <v>0</v>
      </c>
      <c r="E141" s="721">
        <v>0</v>
      </c>
      <c r="F141" s="721">
        <v>0</v>
      </c>
      <c r="G141" s="721">
        <v>2</v>
      </c>
      <c r="H141" s="721">
        <v>7</v>
      </c>
      <c r="I141" s="721">
        <v>10</v>
      </c>
      <c r="J141" s="721">
        <v>3</v>
      </c>
      <c r="K141" s="721">
        <v>0</v>
      </c>
      <c r="L141" s="721">
        <v>380</v>
      </c>
      <c r="M141" s="721">
        <v>0</v>
      </c>
      <c r="N141" s="721">
        <v>486</v>
      </c>
      <c r="O141" s="721">
        <v>0</v>
      </c>
      <c r="P141" s="721">
        <v>0</v>
      </c>
      <c r="Q141" s="721">
        <v>0</v>
      </c>
      <c r="R141" s="721">
        <v>0</v>
      </c>
      <c r="S141" s="721">
        <v>0</v>
      </c>
      <c r="T141" s="721">
        <v>0</v>
      </c>
      <c r="U141" s="721">
        <v>37</v>
      </c>
      <c r="V141" s="721">
        <v>106</v>
      </c>
      <c r="W141" s="721">
        <v>5</v>
      </c>
      <c r="X141" s="721">
        <v>0</v>
      </c>
      <c r="Y141" s="721">
        <v>724</v>
      </c>
      <c r="Z141" s="721">
        <v>47</v>
      </c>
      <c r="AA141" s="719">
        <f>TRP_Simple!$N88</f>
        <v>65</v>
      </c>
      <c r="AB141" s="718">
        <f>SUM(TRP_Simple!Q88:R88)</f>
        <v>0</v>
      </c>
      <c r="AC141" s="720">
        <f>TRP_Simple!$Y88</f>
        <v>0</v>
      </c>
      <c r="AD141" s="719">
        <f>TRP_Simple!$AC88</f>
        <v>12</v>
      </c>
      <c r="AE141" s="718">
        <f>SUM(TRP_Simple!$Z88:$AA88)</f>
        <v>-26</v>
      </c>
      <c r="AF141" s="706">
        <f t="shared" si="148"/>
        <v>1858</v>
      </c>
      <c r="AG141" s="704">
        <f>TRP_Simple!$AF88</f>
        <v>1858</v>
      </c>
      <c r="AH141" s="705">
        <f t="shared" si="149"/>
        <v>0</v>
      </c>
      <c r="AI141" s="704" t="str">
        <f t="shared" si="150"/>
        <v>GOOD!</v>
      </c>
      <c r="AJ141" s="717">
        <f>TRP_Simple!T88+TRP_Simple!V88</f>
        <v>0</v>
      </c>
      <c r="AK141" s="699">
        <f>TRP_Simple!U88</f>
        <v>0</v>
      </c>
      <c r="AL141" s="699">
        <f>SUM(TRP_Simple!W88:X88)</f>
        <v>0</v>
      </c>
      <c r="AM141" s="754">
        <f t="shared" si="151"/>
        <v>0</v>
      </c>
      <c r="AN141" s="708">
        <f t="shared" si="152"/>
        <v>0</v>
      </c>
      <c r="AO141" s="754">
        <f t="shared" si="153"/>
        <v>0</v>
      </c>
    </row>
    <row r="142" spans="1:41" x14ac:dyDescent="0.3">
      <c r="A142" s="711" t="s">
        <v>148</v>
      </c>
      <c r="B142" s="701">
        <v>22</v>
      </c>
      <c r="C142" s="721">
        <v>3931</v>
      </c>
      <c r="D142" s="721">
        <v>984</v>
      </c>
      <c r="E142" s="721">
        <v>475</v>
      </c>
      <c r="F142" s="721">
        <v>91</v>
      </c>
      <c r="G142" s="721">
        <v>533</v>
      </c>
      <c r="H142" s="721">
        <v>202</v>
      </c>
      <c r="I142" s="721">
        <v>129.73678910730703</v>
      </c>
      <c r="J142" s="721">
        <v>6931</v>
      </c>
      <c r="K142" s="721">
        <v>168</v>
      </c>
      <c r="L142" s="721">
        <v>0</v>
      </c>
      <c r="M142" s="721">
        <v>0</v>
      </c>
      <c r="N142" s="721">
        <v>2953</v>
      </c>
      <c r="O142" s="721">
        <v>3778</v>
      </c>
      <c r="P142" s="721">
        <v>121</v>
      </c>
      <c r="Q142" s="721">
        <v>1407</v>
      </c>
      <c r="R142" s="721">
        <v>6850</v>
      </c>
      <c r="S142" s="721">
        <v>951</v>
      </c>
      <c r="T142" s="721">
        <v>2459</v>
      </c>
      <c r="U142" s="721">
        <v>19200</v>
      </c>
      <c r="V142" s="721">
        <v>1867</v>
      </c>
      <c r="W142" s="721">
        <v>0</v>
      </c>
      <c r="X142" s="721">
        <v>31399.100511705845</v>
      </c>
      <c r="Y142" s="721">
        <v>490</v>
      </c>
      <c r="Z142" s="721">
        <v>7293.3985688948287</v>
      </c>
      <c r="AA142" s="719">
        <f>TRP_Simple!$N89</f>
        <v>43742</v>
      </c>
      <c r="AB142" s="718">
        <f>SUM(TRP_Simple!Q89:R89)</f>
        <v>0</v>
      </c>
      <c r="AC142" s="720">
        <f>TRP_Simple!$Y89</f>
        <v>0</v>
      </c>
      <c r="AD142" s="719">
        <f>TRP_Simple!$AC89</f>
        <v>14197.783361061249</v>
      </c>
      <c r="AE142" s="718">
        <f>SUM(TRP_Simple!$Z89:$AA89)</f>
        <v>-215.65129591524013</v>
      </c>
      <c r="AF142" s="706">
        <f t="shared" si="148"/>
        <v>149937.36793485397</v>
      </c>
      <c r="AG142" s="704">
        <f>TRP_Simple!$AF89</f>
        <v>149937.367934854</v>
      </c>
      <c r="AH142" s="705">
        <f t="shared" si="149"/>
        <v>0</v>
      </c>
      <c r="AI142" s="704" t="str">
        <f t="shared" si="150"/>
        <v>GOOD!</v>
      </c>
      <c r="AJ142" s="717">
        <f>TRP_Simple!T89+TRP_Simple!V89</f>
        <v>0</v>
      </c>
      <c r="AK142" s="699">
        <f>TRP_Simple!U89</f>
        <v>0</v>
      </c>
      <c r="AL142" s="699">
        <f>SUM(TRP_Simple!W89:X89)</f>
        <v>0</v>
      </c>
      <c r="AM142" s="754">
        <f t="shared" si="151"/>
        <v>0</v>
      </c>
      <c r="AN142" s="708">
        <f t="shared" si="152"/>
        <v>0</v>
      </c>
      <c r="AO142" s="754">
        <f t="shared" si="153"/>
        <v>0</v>
      </c>
    </row>
    <row r="143" spans="1:41" x14ac:dyDescent="0.3">
      <c r="A143" s="711" t="s">
        <v>149</v>
      </c>
      <c r="B143" s="701">
        <v>23</v>
      </c>
      <c r="C143" s="721">
        <v>784</v>
      </c>
      <c r="D143" s="721">
        <v>1323</v>
      </c>
      <c r="E143" s="721">
        <v>384.1</v>
      </c>
      <c r="F143" s="721">
        <v>184</v>
      </c>
      <c r="G143" s="721">
        <v>304</v>
      </c>
      <c r="H143" s="721">
        <v>646</v>
      </c>
      <c r="I143" s="721">
        <v>351</v>
      </c>
      <c r="J143" s="721">
        <v>413</v>
      </c>
      <c r="K143" s="721">
        <v>400</v>
      </c>
      <c r="L143" s="721">
        <v>520</v>
      </c>
      <c r="M143" s="721">
        <v>259</v>
      </c>
      <c r="N143" s="721">
        <v>2921.9</v>
      </c>
      <c r="O143" s="721">
        <v>566</v>
      </c>
      <c r="P143" s="721">
        <v>383.39519126131859</v>
      </c>
      <c r="Q143" s="721">
        <v>143</v>
      </c>
      <c r="R143" s="721">
        <v>80.193810296226985</v>
      </c>
      <c r="S143" s="721">
        <v>9.0987061518650947</v>
      </c>
      <c r="T143" s="721">
        <v>13.312292290589316</v>
      </c>
      <c r="U143" s="721">
        <v>6894</v>
      </c>
      <c r="V143" s="721">
        <v>2975</v>
      </c>
      <c r="W143" s="721">
        <v>3</v>
      </c>
      <c r="X143" s="721">
        <v>203.21709863841338</v>
      </c>
      <c r="Y143" s="721">
        <v>10864</v>
      </c>
      <c r="Z143" s="721">
        <v>99.782901361586624</v>
      </c>
      <c r="AA143" s="719">
        <f>TRP_Simple!$N90</f>
        <v>17844</v>
      </c>
      <c r="AB143" s="718">
        <f>SUM(TRP_Simple!Q90:R90)</f>
        <v>0</v>
      </c>
      <c r="AC143" s="720">
        <f>TRP_Simple!$Y90</f>
        <v>0</v>
      </c>
      <c r="AD143" s="719">
        <f>TRP_Simple!$AC90</f>
        <v>3122</v>
      </c>
      <c r="AE143" s="718">
        <f>SUM(TRP_Simple!$Z90:$AA90)</f>
        <v>0</v>
      </c>
      <c r="AF143" s="706">
        <f t="shared" si="148"/>
        <v>51690</v>
      </c>
      <c r="AG143" s="704">
        <f>TRP_Simple!$AF90</f>
        <v>51690</v>
      </c>
      <c r="AH143" s="705">
        <f t="shared" si="149"/>
        <v>0</v>
      </c>
      <c r="AI143" s="704" t="str">
        <f t="shared" si="150"/>
        <v>GOOD!</v>
      </c>
      <c r="AJ143" s="717">
        <f>TRP_Simple!T90+TRP_Simple!V90</f>
        <v>0</v>
      </c>
      <c r="AK143" s="699">
        <f>TRP_Simple!U90</f>
        <v>0</v>
      </c>
      <c r="AL143" s="699">
        <f>SUM(TRP_Simple!W90:X90)</f>
        <v>0</v>
      </c>
      <c r="AM143" s="754">
        <f t="shared" si="151"/>
        <v>0</v>
      </c>
      <c r="AN143" s="708">
        <f t="shared" si="152"/>
        <v>0</v>
      </c>
      <c r="AO143" s="754">
        <f t="shared" si="153"/>
        <v>0</v>
      </c>
    </row>
    <row r="144" spans="1:41" x14ac:dyDescent="0.3">
      <c r="A144" s="711" t="s">
        <v>150</v>
      </c>
      <c r="B144" s="701">
        <v>24</v>
      </c>
      <c r="C144" s="721">
        <v>175</v>
      </c>
      <c r="D144" s="721">
        <v>1047</v>
      </c>
      <c r="E144" s="721">
        <v>198.2</v>
      </c>
      <c r="F144" s="721">
        <v>198</v>
      </c>
      <c r="G144" s="721">
        <v>310</v>
      </c>
      <c r="H144" s="721">
        <v>451</v>
      </c>
      <c r="I144" s="721">
        <v>587.263210892693</v>
      </c>
      <c r="J144" s="721">
        <v>846</v>
      </c>
      <c r="K144" s="721">
        <v>79</v>
      </c>
      <c r="L144" s="721">
        <v>328</v>
      </c>
      <c r="M144" s="721">
        <v>102</v>
      </c>
      <c r="N144" s="721">
        <v>1217.8</v>
      </c>
      <c r="O144" s="721">
        <v>48</v>
      </c>
      <c r="P144" s="721">
        <v>46.434059503521347</v>
      </c>
      <c r="Q144" s="721">
        <v>63</v>
      </c>
      <c r="R144" s="721">
        <v>61.704740981048396</v>
      </c>
      <c r="S144" s="721">
        <v>2.8307085805802519</v>
      </c>
      <c r="T144" s="721">
        <v>2.0304909348500093</v>
      </c>
      <c r="U144" s="721">
        <v>2639</v>
      </c>
      <c r="V144" s="721">
        <v>1494</v>
      </c>
      <c r="W144" s="721">
        <v>0</v>
      </c>
      <c r="X144" s="721">
        <v>8482.2459486067492</v>
      </c>
      <c r="Y144" s="721">
        <v>436</v>
      </c>
      <c r="Z144" s="721">
        <v>9216.2549707925755</v>
      </c>
      <c r="AA144" s="719">
        <f>TRP_Simple!$N91</f>
        <v>10467</v>
      </c>
      <c r="AB144" s="718">
        <f>SUM(TRP_Simple!Q91:R91)</f>
        <v>5</v>
      </c>
      <c r="AC144" s="720">
        <f>TRP_Simple!$Y91</f>
        <v>0</v>
      </c>
      <c r="AD144" s="719">
        <f>TRP_Simple!$AC91</f>
        <v>463.21663893875046</v>
      </c>
      <c r="AE144" s="718">
        <f>SUM(TRP_Simple!$Z91:$AA91)</f>
        <v>-2.3487040847598615</v>
      </c>
      <c r="AF144" s="706">
        <f t="shared" si="148"/>
        <v>38963.632065146005</v>
      </c>
      <c r="AG144" s="704">
        <f>TRP_Simple!$AF91</f>
        <v>38963.632065146012</v>
      </c>
      <c r="AH144" s="705">
        <f t="shared" si="149"/>
        <v>0</v>
      </c>
      <c r="AI144" s="704" t="str">
        <f t="shared" si="150"/>
        <v>GOOD!</v>
      </c>
      <c r="AJ144" s="717">
        <f>TRP_Simple!T91+TRP_Simple!V91</f>
        <v>0</v>
      </c>
      <c r="AK144" s="699">
        <f>TRP_Simple!U91</f>
        <v>0</v>
      </c>
      <c r="AL144" s="699">
        <f>SUM(TRP_Simple!W91:X91)</f>
        <v>0</v>
      </c>
      <c r="AM144" s="754">
        <f t="shared" si="151"/>
        <v>0</v>
      </c>
      <c r="AN144" s="708">
        <f t="shared" si="152"/>
        <v>0</v>
      </c>
      <c r="AO144" s="754">
        <f t="shared" si="153"/>
        <v>0</v>
      </c>
    </row>
    <row r="145" spans="1:41" x14ac:dyDescent="0.3">
      <c r="A145" s="703" t="s">
        <v>65</v>
      </c>
      <c r="B145" s="707"/>
      <c r="C145" s="706">
        <f t="shared" ref="C145:AE145" si="154">SUM(C121:C144)</f>
        <v>44173</v>
      </c>
      <c r="D145" s="706">
        <f t="shared" si="154"/>
        <v>92649.999999999985</v>
      </c>
      <c r="E145" s="706">
        <f t="shared" si="154"/>
        <v>75884</v>
      </c>
      <c r="F145" s="706">
        <f t="shared" si="154"/>
        <v>4189</v>
      </c>
      <c r="G145" s="706">
        <f t="shared" si="154"/>
        <v>13182.999999999998</v>
      </c>
      <c r="H145" s="706">
        <f t="shared" si="154"/>
        <v>14701</v>
      </c>
      <c r="I145" s="706">
        <f t="shared" si="154"/>
        <v>5150</v>
      </c>
      <c r="J145" s="706">
        <f t="shared" si="154"/>
        <v>19416</v>
      </c>
      <c r="K145" s="706">
        <f t="shared" si="154"/>
        <v>17661</v>
      </c>
      <c r="L145" s="706">
        <f t="shared" si="154"/>
        <v>19545</v>
      </c>
      <c r="M145" s="706">
        <f t="shared" si="154"/>
        <v>9493</v>
      </c>
      <c r="N145" s="706">
        <f t="shared" si="154"/>
        <v>310003.00000000006</v>
      </c>
      <c r="O145" s="706">
        <f t="shared" si="154"/>
        <v>129106</v>
      </c>
      <c r="P145" s="706">
        <f t="shared" si="154"/>
        <v>3760.03580888241</v>
      </c>
      <c r="Q145" s="706">
        <f t="shared" si="154"/>
        <v>5528</v>
      </c>
      <c r="R145" s="706">
        <f t="shared" si="154"/>
        <v>29253.877250154725</v>
      </c>
      <c r="S145" s="706">
        <f t="shared" si="154"/>
        <v>9039.2159297901871</v>
      </c>
      <c r="T145" s="706">
        <f t="shared" si="154"/>
        <v>11713.871011172678</v>
      </c>
      <c r="U145" s="706">
        <f t="shared" si="154"/>
        <v>661524</v>
      </c>
      <c r="V145" s="706">
        <f t="shared" si="154"/>
        <v>91546</v>
      </c>
      <c r="W145" s="706">
        <f t="shared" si="154"/>
        <v>35</v>
      </c>
      <c r="X145" s="706">
        <f t="shared" si="154"/>
        <v>48264.545608773697</v>
      </c>
      <c r="Y145" s="706">
        <f t="shared" si="154"/>
        <v>27203</v>
      </c>
      <c r="Z145" s="706">
        <f t="shared" si="154"/>
        <v>18359.454391226303</v>
      </c>
      <c r="AA145" s="706">
        <f t="shared" si="154"/>
        <v>1002014</v>
      </c>
      <c r="AB145" s="706">
        <f t="shared" si="154"/>
        <v>446303</v>
      </c>
      <c r="AC145" s="706">
        <f t="shared" si="154"/>
        <v>376037</v>
      </c>
      <c r="AD145" s="706">
        <f t="shared" si="154"/>
        <v>484545</v>
      </c>
      <c r="AE145" s="706">
        <f t="shared" si="154"/>
        <v>5867.9999999999991</v>
      </c>
      <c r="AF145" s="706">
        <f t="shared" si="148"/>
        <v>3976148</v>
      </c>
      <c r="AG145" s="704">
        <f>TRP_Simple!$AF94</f>
        <v>3976148</v>
      </c>
      <c r="AH145" s="705">
        <f t="shared" si="149"/>
        <v>0</v>
      </c>
      <c r="AI145" s="704" t="str">
        <f t="shared" si="150"/>
        <v>GOOD!</v>
      </c>
      <c r="AJ145" s="706">
        <f>SUM(AJ121:AJ144)</f>
        <v>208301</v>
      </c>
      <c r="AK145" s="706">
        <f>SUM(AK121:AK144)</f>
        <v>107135</v>
      </c>
      <c r="AL145" s="706">
        <f>SUM(AL121:AL144)</f>
        <v>60601</v>
      </c>
      <c r="AM145" s="754">
        <f t="shared" si="151"/>
        <v>0</v>
      </c>
      <c r="AN145" s="708">
        <f t="shared" si="152"/>
        <v>268902</v>
      </c>
      <c r="AO145" s="754">
        <f t="shared" si="153"/>
        <v>0</v>
      </c>
    </row>
    <row r="146" spans="1:41" x14ac:dyDescent="0.3">
      <c r="A146" s="699"/>
      <c r="C146" s="708"/>
      <c r="AH146" s="715"/>
      <c r="AJ146" s="754">
        <f>AJ145-AJ114-AJ84</f>
        <v>0</v>
      </c>
      <c r="AK146" s="754">
        <f>AK145-AK114-AK84</f>
        <v>0</v>
      </c>
      <c r="AL146" s="754">
        <f>AL145-AL114-AL84</f>
        <v>0</v>
      </c>
    </row>
    <row r="147" spans="1:41" x14ac:dyDescent="0.3">
      <c r="A147" s="750" t="s">
        <v>832</v>
      </c>
      <c r="B147" s="751"/>
      <c r="C147" s="728"/>
      <c r="D147" s="728"/>
      <c r="E147" s="728"/>
      <c r="F147" s="728"/>
      <c r="G147" s="728"/>
      <c r="H147" s="728"/>
      <c r="I147" s="728"/>
      <c r="J147" s="728"/>
      <c r="K147" s="728"/>
      <c r="L147" s="728"/>
      <c r="M147" s="728"/>
      <c r="N147" s="728"/>
      <c r="O147" s="728"/>
      <c r="P147" s="728"/>
      <c r="Q147" s="728"/>
      <c r="R147" s="728"/>
      <c r="S147" s="728"/>
      <c r="T147" s="728"/>
      <c r="U147" s="728"/>
      <c r="V147" s="728"/>
      <c r="W147" s="728"/>
      <c r="X147" s="728"/>
      <c r="Y147" s="728"/>
      <c r="Z147" s="728"/>
      <c r="AA147" s="728"/>
      <c r="AB147" s="728"/>
      <c r="AC147" s="728"/>
      <c r="AD147" s="728"/>
      <c r="AE147" s="728"/>
      <c r="AF147" s="752"/>
    </row>
    <row r="148" spans="1:41" x14ac:dyDescent="0.3">
      <c r="A148" s="753" t="str">
        <f t="shared" ref="A148:B171" si="155">A121</f>
        <v>  Agriculture, sylviculture et pêche</v>
      </c>
      <c r="B148" s="753">
        <f t="shared" si="155"/>
        <v>1</v>
      </c>
      <c r="C148" s="754">
        <f t="shared" ref="C148:C172" si="156">C121-SUM(C60,C90)</f>
        <v>0</v>
      </c>
      <c r="D148" s="754">
        <f t="shared" ref="D148:AF157" si="157">D121-SUM(D60,D90)</f>
        <v>0</v>
      </c>
      <c r="E148" s="754">
        <f t="shared" si="157"/>
        <v>0</v>
      </c>
      <c r="F148" s="754">
        <f t="shared" si="157"/>
        <v>0</v>
      </c>
      <c r="G148" s="754">
        <f t="shared" si="157"/>
        <v>0</v>
      </c>
      <c r="H148" s="754">
        <f t="shared" si="157"/>
        <v>0</v>
      </c>
      <c r="I148" s="754">
        <f t="shared" si="157"/>
        <v>0</v>
      </c>
      <c r="J148" s="754">
        <f t="shared" si="157"/>
        <v>0</v>
      </c>
      <c r="K148" s="754">
        <f t="shared" si="157"/>
        <v>0</v>
      </c>
      <c r="L148" s="754">
        <f t="shared" si="157"/>
        <v>0</v>
      </c>
      <c r="M148" s="754">
        <f t="shared" si="157"/>
        <v>0</v>
      </c>
      <c r="N148" s="754">
        <f t="shared" si="157"/>
        <v>0</v>
      </c>
      <c r="O148" s="754">
        <f t="shared" si="157"/>
        <v>0</v>
      </c>
      <c r="P148" s="754">
        <f t="shared" si="157"/>
        <v>0</v>
      </c>
      <c r="Q148" s="754">
        <f t="shared" si="157"/>
        <v>0</v>
      </c>
      <c r="R148" s="754">
        <f t="shared" si="157"/>
        <v>0</v>
      </c>
      <c r="S148" s="754">
        <f t="shared" si="157"/>
        <v>0</v>
      </c>
      <c r="T148" s="754">
        <f t="shared" si="157"/>
        <v>0</v>
      </c>
      <c r="U148" s="754">
        <f t="shared" si="157"/>
        <v>0</v>
      </c>
      <c r="V148" s="754">
        <f t="shared" si="157"/>
        <v>0</v>
      </c>
      <c r="W148" s="754">
        <f t="shared" si="157"/>
        <v>0</v>
      </c>
      <c r="X148" s="754">
        <f t="shared" si="157"/>
        <v>0</v>
      </c>
      <c r="Y148" s="754">
        <f t="shared" si="157"/>
        <v>0</v>
      </c>
      <c r="Z148" s="754">
        <f t="shared" si="157"/>
        <v>0</v>
      </c>
      <c r="AA148" s="754">
        <f t="shared" si="157"/>
        <v>0</v>
      </c>
      <c r="AB148" s="754">
        <f t="shared" si="157"/>
        <v>0</v>
      </c>
      <c r="AC148" s="754">
        <f t="shared" si="157"/>
        <v>0</v>
      </c>
      <c r="AD148" s="754">
        <f t="shared" si="157"/>
        <v>0</v>
      </c>
      <c r="AE148" s="754">
        <f t="shared" si="157"/>
        <v>0</v>
      </c>
      <c r="AF148" s="754">
        <f t="shared" si="157"/>
        <v>0</v>
      </c>
    </row>
    <row r="149" spans="1:41" x14ac:dyDescent="0.3">
      <c r="A149" s="753" t="str">
        <f t="shared" si="155"/>
        <v xml:space="preserve"> Industrie agro-alimentaire</v>
      </c>
      <c r="B149" s="753">
        <f t="shared" si="155"/>
        <v>2</v>
      </c>
      <c r="C149" s="754">
        <f t="shared" si="156"/>
        <v>0</v>
      </c>
      <c r="D149" s="754">
        <f t="shared" ref="D149:R149" si="158">D122-SUM(D61,D91)</f>
        <v>0</v>
      </c>
      <c r="E149" s="754">
        <f t="shared" si="158"/>
        <v>0</v>
      </c>
      <c r="F149" s="754">
        <f t="shared" si="158"/>
        <v>0</v>
      </c>
      <c r="G149" s="754">
        <f t="shared" si="158"/>
        <v>0</v>
      </c>
      <c r="H149" s="754">
        <f t="shared" si="158"/>
        <v>0</v>
      </c>
      <c r="I149" s="754">
        <f t="shared" si="158"/>
        <v>0</v>
      </c>
      <c r="J149" s="754">
        <f t="shared" si="158"/>
        <v>0</v>
      </c>
      <c r="K149" s="754">
        <f t="shared" si="158"/>
        <v>0</v>
      </c>
      <c r="L149" s="754">
        <f t="shared" si="158"/>
        <v>0</v>
      </c>
      <c r="M149" s="754">
        <f t="shared" si="158"/>
        <v>0</v>
      </c>
      <c r="N149" s="754">
        <f t="shared" si="158"/>
        <v>0</v>
      </c>
      <c r="O149" s="754">
        <f t="shared" si="158"/>
        <v>0</v>
      </c>
      <c r="P149" s="754">
        <f t="shared" si="158"/>
        <v>0</v>
      </c>
      <c r="Q149" s="754">
        <f t="shared" si="158"/>
        <v>0</v>
      </c>
      <c r="R149" s="754">
        <f t="shared" si="158"/>
        <v>0</v>
      </c>
      <c r="S149" s="754">
        <f t="shared" si="157"/>
        <v>0</v>
      </c>
      <c r="T149" s="754">
        <f t="shared" si="157"/>
        <v>0</v>
      </c>
      <c r="U149" s="754">
        <f t="shared" si="157"/>
        <v>0</v>
      </c>
      <c r="V149" s="754">
        <f t="shared" si="157"/>
        <v>0</v>
      </c>
      <c r="W149" s="754">
        <f t="shared" si="157"/>
        <v>0</v>
      </c>
      <c r="X149" s="754">
        <f t="shared" si="157"/>
        <v>0</v>
      </c>
      <c r="Y149" s="754">
        <f t="shared" si="157"/>
        <v>0</v>
      </c>
      <c r="Z149" s="754">
        <f t="shared" si="157"/>
        <v>0</v>
      </c>
      <c r="AA149" s="754">
        <f t="shared" si="157"/>
        <v>0</v>
      </c>
      <c r="AB149" s="754">
        <f t="shared" si="157"/>
        <v>0</v>
      </c>
      <c r="AC149" s="754">
        <f t="shared" si="157"/>
        <v>0</v>
      </c>
      <c r="AD149" s="754">
        <f t="shared" si="157"/>
        <v>0</v>
      </c>
      <c r="AE149" s="754">
        <f t="shared" si="157"/>
        <v>0</v>
      </c>
      <c r="AF149" s="754">
        <f t="shared" si="157"/>
        <v>0</v>
      </c>
    </row>
    <row r="150" spans="1:41" x14ac:dyDescent="0.3">
      <c r="A150" s="753" t="str">
        <f t="shared" si="155"/>
        <v>Automobile</v>
      </c>
      <c r="B150" s="753">
        <f t="shared" si="155"/>
        <v>3</v>
      </c>
      <c r="C150" s="754">
        <f t="shared" si="156"/>
        <v>0</v>
      </c>
      <c r="D150" s="754">
        <f t="shared" si="157"/>
        <v>0</v>
      </c>
      <c r="E150" s="754">
        <f t="shared" si="157"/>
        <v>0</v>
      </c>
      <c r="F150" s="754">
        <f t="shared" si="157"/>
        <v>0</v>
      </c>
      <c r="G150" s="754">
        <f t="shared" si="157"/>
        <v>0</v>
      </c>
      <c r="H150" s="754">
        <f t="shared" si="157"/>
        <v>0</v>
      </c>
      <c r="I150" s="754">
        <f t="shared" si="157"/>
        <v>0</v>
      </c>
      <c r="J150" s="754">
        <f t="shared" si="157"/>
        <v>0</v>
      </c>
      <c r="K150" s="754">
        <f t="shared" si="157"/>
        <v>0</v>
      </c>
      <c r="L150" s="754">
        <f t="shared" si="157"/>
        <v>0</v>
      </c>
      <c r="M150" s="754">
        <f t="shared" si="157"/>
        <v>0</v>
      </c>
      <c r="N150" s="754">
        <f t="shared" si="157"/>
        <v>0</v>
      </c>
      <c r="O150" s="754">
        <f t="shared" si="157"/>
        <v>0</v>
      </c>
      <c r="P150" s="754">
        <f t="shared" si="157"/>
        <v>0</v>
      </c>
      <c r="Q150" s="754">
        <f t="shared" si="157"/>
        <v>0</v>
      </c>
      <c r="R150" s="754">
        <f t="shared" si="157"/>
        <v>0</v>
      </c>
      <c r="S150" s="754">
        <f t="shared" si="157"/>
        <v>0</v>
      </c>
      <c r="T150" s="754">
        <f t="shared" si="157"/>
        <v>0</v>
      </c>
      <c r="U150" s="754">
        <f t="shared" si="157"/>
        <v>0</v>
      </c>
      <c r="V150" s="754">
        <f t="shared" si="157"/>
        <v>0</v>
      </c>
      <c r="W150" s="754">
        <f t="shared" si="157"/>
        <v>0</v>
      </c>
      <c r="X150" s="754">
        <f t="shared" si="157"/>
        <v>0</v>
      </c>
      <c r="Y150" s="754">
        <f t="shared" si="157"/>
        <v>0</v>
      </c>
      <c r="Z150" s="754">
        <f t="shared" si="157"/>
        <v>0</v>
      </c>
      <c r="AA150" s="754">
        <f t="shared" si="157"/>
        <v>0</v>
      </c>
      <c r="AB150" s="754">
        <f t="shared" si="157"/>
        <v>0</v>
      </c>
      <c r="AC150" s="754">
        <f t="shared" si="157"/>
        <v>0</v>
      </c>
      <c r="AD150" s="754">
        <f t="shared" si="157"/>
        <v>0</v>
      </c>
      <c r="AE150" s="754">
        <f t="shared" si="157"/>
        <v>0</v>
      </c>
      <c r="AF150" s="754">
        <f t="shared" si="157"/>
        <v>0</v>
      </c>
    </row>
    <row r="151" spans="1:41" x14ac:dyDescent="0.3">
      <c r="A151" s="753" t="str">
        <f t="shared" si="155"/>
        <v>FABRICATION DE VERRE ET D ARTICLES EN VE</v>
      </c>
      <c r="B151" s="753">
        <f t="shared" si="155"/>
        <v>4</v>
      </c>
      <c r="C151" s="754">
        <f t="shared" si="156"/>
        <v>0</v>
      </c>
      <c r="D151" s="754">
        <f t="shared" si="157"/>
        <v>0</v>
      </c>
      <c r="E151" s="754">
        <f t="shared" si="157"/>
        <v>0</v>
      </c>
      <c r="F151" s="754">
        <f t="shared" si="157"/>
        <v>0</v>
      </c>
      <c r="G151" s="754">
        <f t="shared" si="157"/>
        <v>0</v>
      </c>
      <c r="H151" s="754">
        <f t="shared" si="157"/>
        <v>0</v>
      </c>
      <c r="I151" s="754">
        <f t="shared" si="157"/>
        <v>0</v>
      </c>
      <c r="J151" s="754">
        <f t="shared" si="157"/>
        <v>0</v>
      </c>
      <c r="K151" s="754">
        <f t="shared" si="157"/>
        <v>0</v>
      </c>
      <c r="L151" s="754">
        <f t="shared" si="157"/>
        <v>0</v>
      </c>
      <c r="M151" s="754">
        <f t="shared" si="157"/>
        <v>0</v>
      </c>
      <c r="N151" s="754">
        <f t="shared" si="157"/>
        <v>0</v>
      </c>
      <c r="O151" s="754">
        <f t="shared" si="157"/>
        <v>0</v>
      </c>
      <c r="P151" s="754">
        <f t="shared" si="157"/>
        <v>0</v>
      </c>
      <c r="Q151" s="754">
        <f t="shared" si="157"/>
        <v>0</v>
      </c>
      <c r="R151" s="754">
        <f t="shared" si="157"/>
        <v>0</v>
      </c>
      <c r="S151" s="754">
        <f t="shared" si="157"/>
        <v>0</v>
      </c>
      <c r="T151" s="754">
        <f t="shared" si="157"/>
        <v>0</v>
      </c>
      <c r="U151" s="754">
        <f t="shared" si="157"/>
        <v>0</v>
      </c>
      <c r="V151" s="754">
        <f t="shared" si="157"/>
        <v>0</v>
      </c>
      <c r="W151" s="754">
        <f t="shared" si="157"/>
        <v>0</v>
      </c>
      <c r="X151" s="754">
        <f t="shared" si="157"/>
        <v>0</v>
      </c>
      <c r="Y151" s="754">
        <f t="shared" si="157"/>
        <v>0</v>
      </c>
      <c r="Z151" s="754">
        <f t="shared" si="157"/>
        <v>0</v>
      </c>
      <c r="AA151" s="754">
        <f t="shared" si="157"/>
        <v>0</v>
      </c>
      <c r="AB151" s="754">
        <f t="shared" si="157"/>
        <v>0</v>
      </c>
      <c r="AC151" s="754">
        <f t="shared" si="157"/>
        <v>0</v>
      </c>
      <c r="AD151" s="754">
        <f t="shared" si="157"/>
        <v>0</v>
      </c>
      <c r="AE151" s="754">
        <f t="shared" si="157"/>
        <v>0</v>
      </c>
      <c r="AF151" s="754">
        <f t="shared" si="157"/>
        <v>0</v>
      </c>
    </row>
    <row r="152" spans="1:41" x14ac:dyDescent="0.3">
      <c r="A152" s="753" t="str">
        <f t="shared" si="155"/>
        <v>FABRICATION DE PRODUITS CERAMIQUES ET DE</v>
      </c>
      <c r="B152" s="753">
        <f t="shared" si="155"/>
        <v>5</v>
      </c>
      <c r="C152" s="754">
        <f t="shared" si="156"/>
        <v>0</v>
      </c>
      <c r="D152" s="754">
        <f t="shared" si="157"/>
        <v>0</v>
      </c>
      <c r="E152" s="754">
        <f t="shared" si="157"/>
        <v>0</v>
      </c>
      <c r="F152" s="754">
        <f t="shared" si="157"/>
        <v>0</v>
      </c>
      <c r="G152" s="754">
        <f t="shared" si="157"/>
        <v>0</v>
      </c>
      <c r="H152" s="754">
        <f t="shared" si="157"/>
        <v>0</v>
      </c>
      <c r="I152" s="754">
        <f t="shared" si="157"/>
        <v>0</v>
      </c>
      <c r="J152" s="754">
        <f t="shared" si="157"/>
        <v>0</v>
      </c>
      <c r="K152" s="754">
        <f t="shared" si="157"/>
        <v>0</v>
      </c>
      <c r="L152" s="754">
        <f t="shared" si="157"/>
        <v>0</v>
      </c>
      <c r="M152" s="754">
        <f t="shared" si="157"/>
        <v>0</v>
      </c>
      <c r="N152" s="754">
        <f t="shared" si="157"/>
        <v>0</v>
      </c>
      <c r="O152" s="754">
        <f t="shared" si="157"/>
        <v>0</v>
      </c>
      <c r="P152" s="754">
        <f t="shared" si="157"/>
        <v>0</v>
      </c>
      <c r="Q152" s="754">
        <f t="shared" si="157"/>
        <v>0</v>
      </c>
      <c r="R152" s="754">
        <f t="shared" si="157"/>
        <v>0</v>
      </c>
      <c r="S152" s="754">
        <f t="shared" si="157"/>
        <v>0</v>
      </c>
      <c r="T152" s="754">
        <f t="shared" si="157"/>
        <v>0</v>
      </c>
      <c r="U152" s="754">
        <f t="shared" si="157"/>
        <v>0</v>
      </c>
      <c r="V152" s="754">
        <f t="shared" si="157"/>
        <v>0</v>
      </c>
      <c r="W152" s="754">
        <f t="shared" si="157"/>
        <v>0</v>
      </c>
      <c r="X152" s="754">
        <f t="shared" si="157"/>
        <v>0</v>
      </c>
      <c r="Y152" s="754">
        <f t="shared" si="157"/>
        <v>0</v>
      </c>
      <c r="Z152" s="754">
        <f t="shared" si="157"/>
        <v>0</v>
      </c>
      <c r="AA152" s="754">
        <f t="shared" si="157"/>
        <v>0</v>
      </c>
      <c r="AB152" s="754">
        <f t="shared" si="157"/>
        <v>0</v>
      </c>
      <c r="AC152" s="754">
        <f t="shared" si="157"/>
        <v>0</v>
      </c>
      <c r="AD152" s="754">
        <f t="shared" si="157"/>
        <v>0</v>
      </c>
      <c r="AE152" s="754">
        <f t="shared" si="157"/>
        <v>0</v>
      </c>
      <c r="AF152" s="754">
        <f t="shared" si="157"/>
        <v>0</v>
      </c>
    </row>
    <row r="153" spans="1:41" x14ac:dyDescent="0.3">
      <c r="A153" s="753" t="str">
        <f t="shared" si="155"/>
        <v>Papier ert carton</v>
      </c>
      <c r="B153" s="753">
        <f t="shared" si="155"/>
        <v>6</v>
      </c>
      <c r="C153" s="754">
        <f t="shared" si="156"/>
        <v>0</v>
      </c>
      <c r="D153" s="754">
        <f t="shared" si="157"/>
        <v>0</v>
      </c>
      <c r="E153" s="754">
        <f t="shared" si="157"/>
        <v>0</v>
      </c>
      <c r="F153" s="754">
        <f t="shared" si="157"/>
        <v>0</v>
      </c>
      <c r="G153" s="754">
        <f t="shared" si="157"/>
        <v>0</v>
      </c>
      <c r="H153" s="754">
        <f t="shared" si="157"/>
        <v>0</v>
      </c>
      <c r="I153" s="754">
        <f t="shared" si="157"/>
        <v>0</v>
      </c>
      <c r="J153" s="754">
        <f t="shared" si="157"/>
        <v>0</v>
      </c>
      <c r="K153" s="754">
        <f t="shared" si="157"/>
        <v>0</v>
      </c>
      <c r="L153" s="754">
        <f t="shared" si="157"/>
        <v>0</v>
      </c>
      <c r="M153" s="754">
        <f t="shared" si="157"/>
        <v>0</v>
      </c>
      <c r="N153" s="754">
        <f t="shared" si="157"/>
        <v>0</v>
      </c>
      <c r="O153" s="754">
        <f t="shared" si="157"/>
        <v>0</v>
      </c>
      <c r="P153" s="754">
        <f t="shared" si="157"/>
        <v>0</v>
      </c>
      <c r="Q153" s="754">
        <f t="shared" si="157"/>
        <v>0</v>
      </c>
      <c r="R153" s="754">
        <f t="shared" si="157"/>
        <v>0</v>
      </c>
      <c r="S153" s="754">
        <f t="shared" si="157"/>
        <v>0</v>
      </c>
      <c r="T153" s="754">
        <f t="shared" si="157"/>
        <v>0</v>
      </c>
      <c r="U153" s="754">
        <f t="shared" si="157"/>
        <v>0</v>
      </c>
      <c r="V153" s="754">
        <f t="shared" si="157"/>
        <v>0</v>
      </c>
      <c r="W153" s="754">
        <f t="shared" si="157"/>
        <v>0</v>
      </c>
      <c r="X153" s="754">
        <f t="shared" si="157"/>
        <v>0</v>
      </c>
      <c r="Y153" s="754">
        <f t="shared" si="157"/>
        <v>0</v>
      </c>
      <c r="Z153" s="754">
        <f t="shared" si="157"/>
        <v>0</v>
      </c>
      <c r="AA153" s="754">
        <f t="shared" si="157"/>
        <v>0</v>
      </c>
      <c r="AB153" s="754">
        <f t="shared" si="157"/>
        <v>0</v>
      </c>
      <c r="AC153" s="754">
        <f t="shared" si="157"/>
        <v>0</v>
      </c>
      <c r="AD153" s="754">
        <f t="shared" si="157"/>
        <v>0</v>
      </c>
      <c r="AE153" s="754">
        <f t="shared" si="157"/>
        <v>0</v>
      </c>
      <c r="AF153" s="754">
        <f t="shared" si="157"/>
        <v>0</v>
      </c>
    </row>
    <row r="154" spans="1:41" x14ac:dyDescent="0.3">
      <c r="A154" s="753" t="str">
        <f t="shared" si="155"/>
        <v>INDUSTRIE CHIMIQUE MINERALE</v>
      </c>
      <c r="B154" s="753">
        <f t="shared" si="155"/>
        <v>7</v>
      </c>
      <c r="C154" s="754">
        <f t="shared" si="156"/>
        <v>0</v>
      </c>
      <c r="D154" s="754">
        <f t="shared" si="157"/>
        <v>0</v>
      </c>
      <c r="E154" s="754">
        <f t="shared" si="157"/>
        <v>0</v>
      </c>
      <c r="F154" s="754">
        <f t="shared" si="157"/>
        <v>0</v>
      </c>
      <c r="G154" s="754">
        <f t="shared" si="157"/>
        <v>0</v>
      </c>
      <c r="H154" s="754">
        <f t="shared" si="157"/>
        <v>0</v>
      </c>
      <c r="I154" s="754">
        <f t="shared" si="157"/>
        <v>0</v>
      </c>
      <c r="J154" s="754">
        <f t="shared" si="157"/>
        <v>0</v>
      </c>
      <c r="K154" s="754">
        <f t="shared" si="157"/>
        <v>0</v>
      </c>
      <c r="L154" s="754">
        <f t="shared" si="157"/>
        <v>0</v>
      </c>
      <c r="M154" s="754">
        <f t="shared" si="157"/>
        <v>0</v>
      </c>
      <c r="N154" s="754">
        <f t="shared" si="157"/>
        <v>0</v>
      </c>
      <c r="O154" s="754">
        <f t="shared" si="157"/>
        <v>0</v>
      </c>
      <c r="P154" s="754">
        <f t="shared" si="157"/>
        <v>0</v>
      </c>
      <c r="Q154" s="754">
        <f t="shared" si="157"/>
        <v>0</v>
      </c>
      <c r="R154" s="754">
        <f t="shared" si="157"/>
        <v>0</v>
      </c>
      <c r="S154" s="754">
        <f t="shared" si="157"/>
        <v>0</v>
      </c>
      <c r="T154" s="754">
        <f t="shared" si="157"/>
        <v>0</v>
      </c>
      <c r="U154" s="754">
        <f t="shared" si="157"/>
        <v>0</v>
      </c>
      <c r="V154" s="754">
        <f t="shared" si="157"/>
        <v>0</v>
      </c>
      <c r="W154" s="754">
        <f t="shared" si="157"/>
        <v>0</v>
      </c>
      <c r="X154" s="754">
        <f t="shared" si="157"/>
        <v>0</v>
      </c>
      <c r="Y154" s="754">
        <f t="shared" si="157"/>
        <v>0</v>
      </c>
      <c r="Z154" s="754">
        <f t="shared" si="157"/>
        <v>0</v>
      </c>
      <c r="AA154" s="754">
        <f t="shared" si="157"/>
        <v>0</v>
      </c>
      <c r="AB154" s="754">
        <f t="shared" si="157"/>
        <v>0</v>
      </c>
      <c r="AC154" s="754">
        <f t="shared" si="157"/>
        <v>0</v>
      </c>
      <c r="AD154" s="754">
        <f t="shared" si="157"/>
        <v>0</v>
      </c>
      <c r="AE154" s="754">
        <f t="shared" si="157"/>
        <v>0</v>
      </c>
      <c r="AF154" s="754">
        <f t="shared" si="157"/>
        <v>0</v>
      </c>
    </row>
    <row r="155" spans="1:41" x14ac:dyDescent="0.3">
      <c r="A155" s="753" t="str">
        <f t="shared" si="155"/>
        <v>INDUSTRIE CHIMIQUE ORGANIQUE</v>
      </c>
      <c r="B155" s="753">
        <f t="shared" si="155"/>
        <v>8</v>
      </c>
      <c r="C155" s="754">
        <f t="shared" si="156"/>
        <v>0</v>
      </c>
      <c r="D155" s="754">
        <f t="shared" si="157"/>
        <v>0</v>
      </c>
      <c r="E155" s="754">
        <f t="shared" si="157"/>
        <v>0</v>
      </c>
      <c r="F155" s="754">
        <f t="shared" si="157"/>
        <v>0</v>
      </c>
      <c r="G155" s="754">
        <f t="shared" si="157"/>
        <v>0</v>
      </c>
      <c r="H155" s="754">
        <f t="shared" si="157"/>
        <v>0</v>
      </c>
      <c r="I155" s="754">
        <f t="shared" si="157"/>
        <v>0</v>
      </c>
      <c r="J155" s="754">
        <f t="shared" si="157"/>
        <v>0</v>
      </c>
      <c r="K155" s="754">
        <f t="shared" si="157"/>
        <v>0</v>
      </c>
      <c r="L155" s="754">
        <f t="shared" si="157"/>
        <v>0</v>
      </c>
      <c r="M155" s="754">
        <f t="shared" si="157"/>
        <v>0</v>
      </c>
      <c r="N155" s="754">
        <f t="shared" si="157"/>
        <v>0</v>
      </c>
      <c r="O155" s="754">
        <f t="shared" si="157"/>
        <v>0</v>
      </c>
      <c r="P155" s="754">
        <f t="shared" si="157"/>
        <v>0</v>
      </c>
      <c r="Q155" s="754">
        <f t="shared" si="157"/>
        <v>0</v>
      </c>
      <c r="R155" s="754">
        <f t="shared" si="157"/>
        <v>0</v>
      </c>
      <c r="S155" s="754">
        <f t="shared" si="157"/>
        <v>0</v>
      </c>
      <c r="T155" s="754">
        <f t="shared" si="157"/>
        <v>0</v>
      </c>
      <c r="U155" s="754">
        <f t="shared" si="157"/>
        <v>0</v>
      </c>
      <c r="V155" s="754">
        <f t="shared" si="157"/>
        <v>0</v>
      </c>
      <c r="W155" s="754">
        <f t="shared" si="157"/>
        <v>0</v>
      </c>
      <c r="X155" s="754">
        <f t="shared" si="157"/>
        <v>0</v>
      </c>
      <c r="Y155" s="754">
        <f t="shared" si="157"/>
        <v>0</v>
      </c>
      <c r="Z155" s="754">
        <f t="shared" si="157"/>
        <v>0</v>
      </c>
      <c r="AA155" s="754">
        <f t="shared" si="157"/>
        <v>0</v>
      </c>
      <c r="AB155" s="754">
        <f t="shared" si="157"/>
        <v>0</v>
      </c>
      <c r="AC155" s="754">
        <f t="shared" si="157"/>
        <v>0</v>
      </c>
      <c r="AD155" s="754">
        <f t="shared" si="157"/>
        <v>0</v>
      </c>
      <c r="AE155" s="754">
        <f t="shared" si="157"/>
        <v>0</v>
      </c>
      <c r="AF155" s="754">
        <f t="shared" si="157"/>
        <v>0</v>
      </c>
    </row>
    <row r="156" spans="1:41" x14ac:dyDescent="0.3">
      <c r="A156" s="753" t="str">
        <f t="shared" si="155"/>
        <v>TRANSFORMATION DES MATIERES PLASTIQUES</v>
      </c>
      <c r="B156" s="753">
        <f t="shared" si="155"/>
        <v>9</v>
      </c>
      <c r="C156" s="754">
        <f t="shared" si="156"/>
        <v>0</v>
      </c>
      <c r="D156" s="754">
        <f t="shared" si="157"/>
        <v>0</v>
      </c>
      <c r="E156" s="754">
        <f t="shared" si="157"/>
        <v>0</v>
      </c>
      <c r="F156" s="754">
        <f t="shared" si="157"/>
        <v>0</v>
      </c>
      <c r="G156" s="754">
        <f t="shared" si="157"/>
        <v>0</v>
      </c>
      <c r="H156" s="754">
        <f t="shared" si="157"/>
        <v>0</v>
      </c>
      <c r="I156" s="754">
        <f t="shared" si="157"/>
        <v>0</v>
      </c>
      <c r="J156" s="754">
        <f t="shared" si="157"/>
        <v>0</v>
      </c>
      <c r="K156" s="754">
        <f t="shared" si="157"/>
        <v>0</v>
      </c>
      <c r="L156" s="754">
        <f t="shared" si="157"/>
        <v>0</v>
      </c>
      <c r="M156" s="754">
        <f t="shared" si="157"/>
        <v>0</v>
      </c>
      <c r="N156" s="754">
        <f t="shared" si="157"/>
        <v>0</v>
      </c>
      <c r="O156" s="754">
        <f t="shared" si="157"/>
        <v>0</v>
      </c>
      <c r="P156" s="754">
        <f t="shared" si="157"/>
        <v>0</v>
      </c>
      <c r="Q156" s="754">
        <f t="shared" si="157"/>
        <v>0</v>
      </c>
      <c r="R156" s="754">
        <f t="shared" si="157"/>
        <v>0</v>
      </c>
      <c r="S156" s="754">
        <f t="shared" si="157"/>
        <v>0</v>
      </c>
      <c r="T156" s="754">
        <f t="shared" si="157"/>
        <v>0</v>
      </c>
      <c r="U156" s="754">
        <f t="shared" si="157"/>
        <v>0</v>
      </c>
      <c r="V156" s="754">
        <f t="shared" si="157"/>
        <v>0</v>
      </c>
      <c r="W156" s="754">
        <f t="shared" si="157"/>
        <v>0</v>
      </c>
      <c r="X156" s="754">
        <f t="shared" si="157"/>
        <v>0</v>
      </c>
      <c r="Y156" s="754">
        <f t="shared" si="157"/>
        <v>0</v>
      </c>
      <c r="Z156" s="754">
        <f t="shared" si="157"/>
        <v>0</v>
      </c>
      <c r="AA156" s="754">
        <f t="shared" si="157"/>
        <v>0</v>
      </c>
      <c r="AB156" s="754">
        <f t="shared" si="157"/>
        <v>0</v>
      </c>
      <c r="AC156" s="754">
        <f t="shared" si="157"/>
        <v>0</v>
      </c>
      <c r="AD156" s="754">
        <f t="shared" si="157"/>
        <v>0</v>
      </c>
      <c r="AE156" s="754">
        <f t="shared" si="157"/>
        <v>0</v>
      </c>
      <c r="AF156" s="754">
        <f t="shared" si="157"/>
        <v>0</v>
      </c>
    </row>
    <row r="157" spans="1:41" x14ac:dyDescent="0.3">
      <c r="A157" s="753" t="str">
        <f t="shared" si="155"/>
        <v>SIDERURGIE ET PREMIERE TRANSFORMATION DE</v>
      </c>
      <c r="B157" s="753">
        <f t="shared" si="155"/>
        <v>10</v>
      </c>
      <c r="C157" s="754">
        <f t="shared" si="156"/>
        <v>0</v>
      </c>
      <c r="D157" s="754">
        <f t="shared" si="157"/>
        <v>0</v>
      </c>
      <c r="E157" s="754">
        <f t="shared" si="157"/>
        <v>0</v>
      </c>
      <c r="F157" s="754">
        <f t="shared" si="157"/>
        <v>0</v>
      </c>
      <c r="G157" s="754">
        <f t="shared" si="157"/>
        <v>0</v>
      </c>
      <c r="H157" s="754">
        <f t="shared" si="157"/>
        <v>0</v>
      </c>
      <c r="I157" s="754">
        <f t="shared" si="157"/>
        <v>0</v>
      </c>
      <c r="J157" s="754">
        <f t="shared" si="157"/>
        <v>0</v>
      </c>
      <c r="K157" s="754">
        <f t="shared" si="157"/>
        <v>0</v>
      </c>
      <c r="L157" s="754">
        <f t="shared" si="157"/>
        <v>0</v>
      </c>
      <c r="M157" s="754">
        <f t="shared" ref="D157:AF166" si="159">M130-SUM(M69,M99)</f>
        <v>0</v>
      </c>
      <c r="N157" s="754">
        <f t="shared" si="159"/>
        <v>0</v>
      </c>
      <c r="O157" s="754">
        <f t="shared" si="159"/>
        <v>0</v>
      </c>
      <c r="P157" s="754">
        <f t="shared" si="159"/>
        <v>0</v>
      </c>
      <c r="Q157" s="754">
        <f t="shared" si="159"/>
        <v>0</v>
      </c>
      <c r="R157" s="754">
        <f t="shared" si="159"/>
        <v>0</v>
      </c>
      <c r="S157" s="754">
        <f t="shared" si="159"/>
        <v>0</v>
      </c>
      <c r="T157" s="754">
        <f t="shared" si="159"/>
        <v>0</v>
      </c>
      <c r="U157" s="754">
        <f t="shared" si="159"/>
        <v>0</v>
      </c>
      <c r="V157" s="754">
        <f t="shared" si="159"/>
        <v>0</v>
      </c>
      <c r="W157" s="754">
        <f t="shared" si="159"/>
        <v>0</v>
      </c>
      <c r="X157" s="754">
        <f t="shared" si="159"/>
        <v>0</v>
      </c>
      <c r="Y157" s="754">
        <f t="shared" si="159"/>
        <v>0</v>
      </c>
      <c r="Z157" s="754">
        <f t="shared" si="159"/>
        <v>0</v>
      </c>
      <c r="AA157" s="754">
        <f t="shared" si="159"/>
        <v>0</v>
      </c>
      <c r="AB157" s="754">
        <f t="shared" si="159"/>
        <v>0</v>
      </c>
      <c r="AC157" s="754">
        <f t="shared" si="159"/>
        <v>0</v>
      </c>
      <c r="AD157" s="754">
        <f t="shared" si="159"/>
        <v>0</v>
      </c>
      <c r="AE157" s="754">
        <f t="shared" si="159"/>
        <v>0</v>
      </c>
      <c r="AF157" s="754">
        <f t="shared" si="159"/>
        <v>0</v>
      </c>
    </row>
    <row r="158" spans="1:41" x14ac:dyDescent="0.3">
      <c r="A158" s="753" t="str">
        <f t="shared" si="155"/>
        <v>PRODUCTION DE METAUX NON FERREUX</v>
      </c>
      <c r="B158" s="753">
        <f t="shared" si="155"/>
        <v>11</v>
      </c>
      <c r="C158" s="754">
        <f t="shared" si="156"/>
        <v>0</v>
      </c>
      <c r="D158" s="754">
        <f t="shared" si="159"/>
        <v>0</v>
      </c>
      <c r="E158" s="754">
        <f t="shared" si="159"/>
        <v>0</v>
      </c>
      <c r="F158" s="754">
        <f t="shared" si="159"/>
        <v>0</v>
      </c>
      <c r="G158" s="754">
        <f t="shared" si="159"/>
        <v>0</v>
      </c>
      <c r="H158" s="754">
        <f t="shared" si="159"/>
        <v>0</v>
      </c>
      <c r="I158" s="754">
        <f t="shared" si="159"/>
        <v>0</v>
      </c>
      <c r="J158" s="754">
        <f t="shared" si="159"/>
        <v>0</v>
      </c>
      <c r="K158" s="754">
        <f t="shared" si="159"/>
        <v>0</v>
      </c>
      <c r="L158" s="754">
        <f t="shared" si="159"/>
        <v>0</v>
      </c>
      <c r="M158" s="754">
        <f t="shared" si="159"/>
        <v>0</v>
      </c>
      <c r="N158" s="754">
        <f t="shared" si="159"/>
        <v>0</v>
      </c>
      <c r="O158" s="754">
        <f t="shared" si="159"/>
        <v>0</v>
      </c>
      <c r="P158" s="754">
        <f t="shared" si="159"/>
        <v>0</v>
      </c>
      <c r="Q158" s="754">
        <f t="shared" si="159"/>
        <v>0</v>
      </c>
      <c r="R158" s="754">
        <f t="shared" si="159"/>
        <v>0</v>
      </c>
      <c r="S158" s="754">
        <f t="shared" si="159"/>
        <v>0</v>
      </c>
      <c r="T158" s="754">
        <f t="shared" si="159"/>
        <v>0</v>
      </c>
      <c r="U158" s="754">
        <f t="shared" si="159"/>
        <v>0</v>
      </c>
      <c r="V158" s="754">
        <f t="shared" si="159"/>
        <v>0</v>
      </c>
      <c r="W158" s="754">
        <f t="shared" si="159"/>
        <v>0</v>
      </c>
      <c r="X158" s="754">
        <f t="shared" si="159"/>
        <v>0</v>
      </c>
      <c r="Y158" s="754">
        <f t="shared" si="159"/>
        <v>0</v>
      </c>
      <c r="Z158" s="754">
        <f t="shared" si="159"/>
        <v>0</v>
      </c>
      <c r="AA158" s="754">
        <f t="shared" si="159"/>
        <v>0</v>
      </c>
      <c r="AB158" s="754">
        <f t="shared" si="159"/>
        <v>0</v>
      </c>
      <c r="AC158" s="754">
        <f t="shared" si="159"/>
        <v>0</v>
      </c>
      <c r="AD158" s="754">
        <f t="shared" si="159"/>
        <v>0</v>
      </c>
      <c r="AE158" s="754">
        <f t="shared" si="159"/>
        <v>0</v>
      </c>
      <c r="AF158" s="754">
        <f t="shared" si="159"/>
        <v>0</v>
      </c>
    </row>
    <row r="159" spans="1:41" x14ac:dyDescent="0.3">
      <c r="A159" s="753" t="str">
        <f t="shared" si="155"/>
        <v>Autres</v>
      </c>
      <c r="B159" s="753">
        <f t="shared" si="155"/>
        <v>12</v>
      </c>
      <c r="C159" s="754">
        <f t="shared" si="156"/>
        <v>0</v>
      </c>
      <c r="D159" s="754">
        <f t="shared" si="159"/>
        <v>0</v>
      </c>
      <c r="E159" s="754">
        <f t="shared" si="159"/>
        <v>0</v>
      </c>
      <c r="F159" s="754">
        <f t="shared" si="159"/>
        <v>0</v>
      </c>
      <c r="G159" s="754">
        <f t="shared" si="159"/>
        <v>0</v>
      </c>
      <c r="H159" s="754">
        <f t="shared" si="159"/>
        <v>0</v>
      </c>
      <c r="I159" s="754">
        <f t="shared" si="159"/>
        <v>0</v>
      </c>
      <c r="J159" s="754">
        <f t="shared" si="159"/>
        <v>0</v>
      </c>
      <c r="K159" s="754">
        <f t="shared" si="159"/>
        <v>0</v>
      </c>
      <c r="L159" s="754">
        <f t="shared" si="159"/>
        <v>0</v>
      </c>
      <c r="M159" s="754">
        <f t="shared" si="159"/>
        <v>0</v>
      </c>
      <c r="N159" s="754">
        <f t="shared" si="159"/>
        <v>0</v>
      </c>
      <c r="O159" s="754">
        <f t="shared" si="159"/>
        <v>0</v>
      </c>
      <c r="P159" s="754">
        <f t="shared" si="159"/>
        <v>0</v>
      </c>
      <c r="Q159" s="754">
        <f t="shared" si="159"/>
        <v>0</v>
      </c>
      <c r="R159" s="754">
        <f t="shared" si="159"/>
        <v>0</v>
      </c>
      <c r="S159" s="754">
        <f t="shared" si="159"/>
        <v>0</v>
      </c>
      <c r="T159" s="754">
        <f t="shared" si="159"/>
        <v>0</v>
      </c>
      <c r="U159" s="754">
        <f t="shared" si="159"/>
        <v>0</v>
      </c>
      <c r="V159" s="754">
        <f t="shared" si="159"/>
        <v>0</v>
      </c>
      <c r="W159" s="754">
        <f t="shared" si="159"/>
        <v>0</v>
      </c>
      <c r="X159" s="754">
        <f t="shared" si="159"/>
        <v>0</v>
      </c>
      <c r="Y159" s="754">
        <f t="shared" si="159"/>
        <v>0</v>
      </c>
      <c r="Z159" s="754">
        <f t="shared" si="159"/>
        <v>0</v>
      </c>
      <c r="AA159" s="754">
        <f t="shared" si="159"/>
        <v>0</v>
      </c>
      <c r="AB159" s="754">
        <f t="shared" si="159"/>
        <v>0</v>
      </c>
      <c r="AC159" s="754">
        <f t="shared" si="159"/>
        <v>0</v>
      </c>
      <c r="AD159" s="754">
        <f t="shared" si="159"/>
        <v>0</v>
      </c>
      <c r="AE159" s="754">
        <f t="shared" si="159"/>
        <v>0</v>
      </c>
      <c r="AF159" s="754">
        <f t="shared" si="159"/>
        <v>0</v>
      </c>
    </row>
    <row r="160" spans="1:41" x14ac:dyDescent="0.3">
      <c r="A160" s="753" t="str">
        <f t="shared" si="155"/>
        <v>BTP</v>
      </c>
      <c r="B160" s="753">
        <f t="shared" si="155"/>
        <v>13</v>
      </c>
      <c r="C160" s="754">
        <f t="shared" si="156"/>
        <v>0</v>
      </c>
      <c r="D160" s="754">
        <f t="shared" si="159"/>
        <v>0</v>
      </c>
      <c r="E160" s="754">
        <f t="shared" si="159"/>
        <v>0</v>
      </c>
      <c r="F160" s="754">
        <f t="shared" si="159"/>
        <v>0</v>
      </c>
      <c r="G160" s="754">
        <f t="shared" si="159"/>
        <v>0</v>
      </c>
      <c r="H160" s="754">
        <f t="shared" si="159"/>
        <v>0</v>
      </c>
      <c r="I160" s="754">
        <f t="shared" si="159"/>
        <v>0</v>
      </c>
      <c r="J160" s="754">
        <f t="shared" si="159"/>
        <v>0</v>
      </c>
      <c r="K160" s="754">
        <f t="shared" si="159"/>
        <v>0</v>
      </c>
      <c r="L160" s="754">
        <f t="shared" si="159"/>
        <v>0</v>
      </c>
      <c r="M160" s="754">
        <f t="shared" si="159"/>
        <v>0</v>
      </c>
      <c r="N160" s="754">
        <f t="shared" si="159"/>
        <v>0</v>
      </c>
      <c r="O160" s="754">
        <f t="shared" si="159"/>
        <v>0</v>
      </c>
      <c r="P160" s="754">
        <f t="shared" si="159"/>
        <v>0</v>
      </c>
      <c r="Q160" s="754">
        <f t="shared" si="159"/>
        <v>0</v>
      </c>
      <c r="R160" s="754">
        <f t="shared" si="159"/>
        <v>0</v>
      </c>
      <c r="S160" s="754">
        <f t="shared" si="159"/>
        <v>0</v>
      </c>
      <c r="T160" s="754">
        <f t="shared" si="159"/>
        <v>0</v>
      </c>
      <c r="U160" s="754">
        <f t="shared" si="159"/>
        <v>0</v>
      </c>
      <c r="V160" s="754">
        <f t="shared" si="159"/>
        <v>0</v>
      </c>
      <c r="W160" s="754">
        <f t="shared" si="159"/>
        <v>0</v>
      </c>
      <c r="X160" s="754">
        <f t="shared" si="159"/>
        <v>0</v>
      </c>
      <c r="Y160" s="754">
        <f t="shared" si="159"/>
        <v>0</v>
      </c>
      <c r="Z160" s="754">
        <f t="shared" si="159"/>
        <v>0</v>
      </c>
      <c r="AA160" s="754">
        <f t="shared" si="159"/>
        <v>0</v>
      </c>
      <c r="AB160" s="754">
        <f t="shared" si="159"/>
        <v>0</v>
      </c>
      <c r="AC160" s="754">
        <f t="shared" si="159"/>
        <v>0</v>
      </c>
      <c r="AD160" s="754">
        <f t="shared" si="159"/>
        <v>0</v>
      </c>
      <c r="AE160" s="754">
        <f t="shared" si="159"/>
        <v>0</v>
      </c>
      <c r="AF160" s="754">
        <f t="shared" si="159"/>
        <v>0</v>
      </c>
    </row>
    <row r="161" spans="1:32" x14ac:dyDescent="0.3">
      <c r="A161" s="753" t="str">
        <f t="shared" si="155"/>
        <v>TRANSPORTS FERROVIAIRES</v>
      </c>
      <c r="B161" s="753">
        <f t="shared" si="155"/>
        <v>14</v>
      </c>
      <c r="C161" s="754">
        <f t="shared" si="156"/>
        <v>0</v>
      </c>
      <c r="D161" s="754">
        <f t="shared" si="159"/>
        <v>0</v>
      </c>
      <c r="E161" s="754">
        <f t="shared" si="159"/>
        <v>0</v>
      </c>
      <c r="F161" s="754">
        <f t="shared" si="159"/>
        <v>0</v>
      </c>
      <c r="G161" s="754">
        <f t="shared" si="159"/>
        <v>0</v>
      </c>
      <c r="H161" s="754">
        <f t="shared" si="159"/>
        <v>0</v>
      </c>
      <c r="I161" s="754">
        <f t="shared" si="159"/>
        <v>0</v>
      </c>
      <c r="J161" s="754">
        <f t="shared" si="159"/>
        <v>0</v>
      </c>
      <c r="K161" s="754">
        <f t="shared" si="159"/>
        <v>0</v>
      </c>
      <c r="L161" s="754">
        <f t="shared" si="159"/>
        <v>0</v>
      </c>
      <c r="M161" s="754">
        <f t="shared" si="159"/>
        <v>0</v>
      </c>
      <c r="N161" s="754">
        <f t="shared" si="159"/>
        <v>0</v>
      </c>
      <c r="O161" s="754">
        <f t="shared" si="159"/>
        <v>0</v>
      </c>
      <c r="P161" s="754">
        <f t="shared" si="159"/>
        <v>0</v>
      </c>
      <c r="Q161" s="754">
        <f t="shared" si="159"/>
        <v>0</v>
      </c>
      <c r="R161" s="754">
        <f t="shared" si="159"/>
        <v>0</v>
      </c>
      <c r="S161" s="754">
        <f t="shared" si="159"/>
        <v>0</v>
      </c>
      <c r="T161" s="754">
        <f t="shared" si="159"/>
        <v>0</v>
      </c>
      <c r="U161" s="754">
        <f t="shared" si="159"/>
        <v>0</v>
      </c>
      <c r="V161" s="754">
        <f t="shared" si="159"/>
        <v>0</v>
      </c>
      <c r="W161" s="754">
        <f t="shared" si="159"/>
        <v>0</v>
      </c>
      <c r="X161" s="754">
        <f t="shared" si="159"/>
        <v>0</v>
      </c>
      <c r="Y161" s="754">
        <f t="shared" si="159"/>
        <v>0</v>
      </c>
      <c r="Z161" s="754">
        <f t="shared" si="159"/>
        <v>0</v>
      </c>
      <c r="AA161" s="754">
        <f t="shared" si="159"/>
        <v>0</v>
      </c>
      <c r="AB161" s="754">
        <f t="shared" si="159"/>
        <v>0</v>
      </c>
      <c r="AC161" s="754">
        <f t="shared" si="159"/>
        <v>0</v>
      </c>
      <c r="AD161" s="754">
        <f t="shared" si="159"/>
        <v>0</v>
      </c>
      <c r="AE161" s="754">
        <f t="shared" si="159"/>
        <v>0</v>
      </c>
      <c r="AF161" s="754">
        <f t="shared" si="159"/>
        <v>0</v>
      </c>
    </row>
    <row r="162" spans="1:32" x14ac:dyDescent="0.3">
      <c r="A162" s="753" t="str">
        <f t="shared" si="155"/>
        <v>TRANSPORT ROUTIER DE VOYAGEURS</v>
      </c>
      <c r="B162" s="753">
        <f t="shared" si="155"/>
        <v>15</v>
      </c>
      <c r="C162" s="754">
        <f t="shared" si="156"/>
        <v>0</v>
      </c>
      <c r="D162" s="754">
        <f t="shared" si="159"/>
        <v>0</v>
      </c>
      <c r="E162" s="754">
        <f t="shared" si="159"/>
        <v>0</v>
      </c>
      <c r="F162" s="754">
        <f t="shared" si="159"/>
        <v>0</v>
      </c>
      <c r="G162" s="754">
        <f t="shared" si="159"/>
        <v>0</v>
      </c>
      <c r="H162" s="754">
        <f t="shared" si="159"/>
        <v>0</v>
      </c>
      <c r="I162" s="754">
        <f t="shared" si="159"/>
        <v>0</v>
      </c>
      <c r="J162" s="754">
        <f t="shared" si="159"/>
        <v>0</v>
      </c>
      <c r="K162" s="754">
        <f t="shared" si="159"/>
        <v>0</v>
      </c>
      <c r="L162" s="754">
        <f t="shared" si="159"/>
        <v>0</v>
      </c>
      <c r="M162" s="754">
        <f t="shared" si="159"/>
        <v>0</v>
      </c>
      <c r="N162" s="754">
        <f t="shared" si="159"/>
        <v>0</v>
      </c>
      <c r="O162" s="754">
        <f t="shared" si="159"/>
        <v>0</v>
      </c>
      <c r="P162" s="754">
        <f t="shared" si="159"/>
        <v>0</v>
      </c>
      <c r="Q162" s="754">
        <f t="shared" si="159"/>
        <v>0</v>
      </c>
      <c r="R162" s="754">
        <f t="shared" si="159"/>
        <v>0</v>
      </c>
      <c r="S162" s="754">
        <f t="shared" si="159"/>
        <v>0</v>
      </c>
      <c r="T162" s="754">
        <f t="shared" si="159"/>
        <v>0</v>
      </c>
      <c r="U162" s="754">
        <f t="shared" si="159"/>
        <v>0</v>
      </c>
      <c r="V162" s="754">
        <f t="shared" si="159"/>
        <v>0</v>
      </c>
      <c r="W162" s="754">
        <f t="shared" si="159"/>
        <v>0</v>
      </c>
      <c r="X162" s="754">
        <f t="shared" si="159"/>
        <v>0</v>
      </c>
      <c r="Y162" s="754">
        <f t="shared" si="159"/>
        <v>0</v>
      </c>
      <c r="Z162" s="754">
        <f t="shared" si="159"/>
        <v>0</v>
      </c>
      <c r="AA162" s="754">
        <f t="shared" si="159"/>
        <v>0</v>
      </c>
      <c r="AB162" s="754">
        <f t="shared" si="159"/>
        <v>0</v>
      </c>
      <c r="AC162" s="754">
        <f t="shared" si="159"/>
        <v>0</v>
      </c>
      <c r="AD162" s="754">
        <f t="shared" si="159"/>
        <v>0</v>
      </c>
      <c r="AE162" s="754">
        <f t="shared" si="159"/>
        <v>0</v>
      </c>
      <c r="AF162" s="754">
        <f t="shared" si="159"/>
        <v>0</v>
      </c>
    </row>
    <row r="163" spans="1:32" x14ac:dyDescent="0.3">
      <c r="A163" s="753" t="str">
        <f t="shared" si="155"/>
        <v xml:space="preserve">TRANSPORT ROUTIER (OU PAR CONDUITES) DE </v>
      </c>
      <c r="B163" s="753">
        <f t="shared" si="155"/>
        <v>16</v>
      </c>
      <c r="C163" s="754">
        <f t="shared" si="156"/>
        <v>0</v>
      </c>
      <c r="D163" s="754">
        <f t="shared" si="159"/>
        <v>0</v>
      </c>
      <c r="E163" s="754">
        <f t="shared" si="159"/>
        <v>0</v>
      </c>
      <c r="F163" s="754">
        <f t="shared" si="159"/>
        <v>0</v>
      </c>
      <c r="G163" s="754">
        <f t="shared" si="159"/>
        <v>0</v>
      </c>
      <c r="H163" s="754">
        <f t="shared" si="159"/>
        <v>0</v>
      </c>
      <c r="I163" s="754">
        <f t="shared" si="159"/>
        <v>0</v>
      </c>
      <c r="J163" s="754">
        <f t="shared" si="159"/>
        <v>0</v>
      </c>
      <c r="K163" s="754">
        <f t="shared" si="159"/>
        <v>0</v>
      </c>
      <c r="L163" s="754">
        <f t="shared" si="159"/>
        <v>0</v>
      </c>
      <c r="M163" s="754">
        <f t="shared" si="159"/>
        <v>0</v>
      </c>
      <c r="N163" s="754">
        <f t="shared" si="159"/>
        <v>0</v>
      </c>
      <c r="O163" s="754">
        <f t="shared" si="159"/>
        <v>0</v>
      </c>
      <c r="P163" s="754">
        <f t="shared" si="159"/>
        <v>0</v>
      </c>
      <c r="Q163" s="754">
        <f t="shared" si="159"/>
        <v>0</v>
      </c>
      <c r="R163" s="754">
        <f t="shared" si="159"/>
        <v>0</v>
      </c>
      <c r="S163" s="754">
        <f t="shared" si="159"/>
        <v>0</v>
      </c>
      <c r="T163" s="754">
        <f t="shared" si="159"/>
        <v>0</v>
      </c>
      <c r="U163" s="754">
        <f t="shared" si="159"/>
        <v>0</v>
      </c>
      <c r="V163" s="754">
        <f t="shared" si="159"/>
        <v>0</v>
      </c>
      <c r="W163" s="754">
        <f t="shared" si="159"/>
        <v>0</v>
      </c>
      <c r="X163" s="754">
        <f t="shared" si="159"/>
        <v>0</v>
      </c>
      <c r="Y163" s="754">
        <f t="shared" si="159"/>
        <v>0</v>
      </c>
      <c r="Z163" s="754">
        <f t="shared" si="159"/>
        <v>0</v>
      </c>
      <c r="AA163" s="754">
        <f t="shared" si="159"/>
        <v>0</v>
      </c>
      <c r="AB163" s="754">
        <f t="shared" si="159"/>
        <v>0</v>
      </c>
      <c r="AC163" s="754">
        <f t="shared" si="159"/>
        <v>0</v>
      </c>
      <c r="AD163" s="754">
        <f t="shared" si="159"/>
        <v>0</v>
      </c>
      <c r="AE163" s="754">
        <f t="shared" si="159"/>
        <v>0</v>
      </c>
      <c r="AF163" s="754">
        <f t="shared" si="159"/>
        <v>0</v>
      </c>
    </row>
    <row r="164" spans="1:32" x14ac:dyDescent="0.3">
      <c r="A164" s="753" t="str">
        <f t="shared" si="155"/>
        <v>TRANSPORTS PAR EAU</v>
      </c>
      <c r="B164" s="753">
        <f t="shared" si="155"/>
        <v>17</v>
      </c>
      <c r="C164" s="754">
        <f t="shared" si="156"/>
        <v>0</v>
      </c>
      <c r="D164" s="754">
        <f t="shared" si="159"/>
        <v>0</v>
      </c>
      <c r="E164" s="754">
        <f t="shared" si="159"/>
        <v>0</v>
      </c>
      <c r="F164" s="754">
        <f t="shared" si="159"/>
        <v>0</v>
      </c>
      <c r="G164" s="754">
        <f t="shared" si="159"/>
        <v>0</v>
      </c>
      <c r="H164" s="754">
        <f t="shared" si="159"/>
        <v>0</v>
      </c>
      <c r="I164" s="754">
        <f t="shared" si="159"/>
        <v>0</v>
      </c>
      <c r="J164" s="754">
        <f t="shared" si="159"/>
        <v>0</v>
      </c>
      <c r="K164" s="754">
        <f t="shared" si="159"/>
        <v>0</v>
      </c>
      <c r="L164" s="754">
        <f t="shared" si="159"/>
        <v>0</v>
      </c>
      <c r="M164" s="754">
        <f t="shared" si="159"/>
        <v>0</v>
      </c>
      <c r="N164" s="754">
        <f t="shared" si="159"/>
        <v>0</v>
      </c>
      <c r="O164" s="754">
        <f t="shared" si="159"/>
        <v>0</v>
      </c>
      <c r="P164" s="754">
        <f t="shared" si="159"/>
        <v>0</v>
      </c>
      <c r="Q164" s="754">
        <f t="shared" si="159"/>
        <v>0</v>
      </c>
      <c r="R164" s="754">
        <f t="shared" si="159"/>
        <v>0</v>
      </c>
      <c r="S164" s="754">
        <f t="shared" si="159"/>
        <v>0</v>
      </c>
      <c r="T164" s="754">
        <f t="shared" si="159"/>
        <v>0</v>
      </c>
      <c r="U164" s="754">
        <f t="shared" si="159"/>
        <v>0</v>
      </c>
      <c r="V164" s="754">
        <f t="shared" si="159"/>
        <v>0</v>
      </c>
      <c r="W164" s="754">
        <f t="shared" si="159"/>
        <v>0</v>
      </c>
      <c r="X164" s="754">
        <f t="shared" si="159"/>
        <v>0</v>
      </c>
      <c r="Y164" s="754">
        <f t="shared" si="159"/>
        <v>0</v>
      </c>
      <c r="Z164" s="754">
        <f t="shared" si="159"/>
        <v>0</v>
      </c>
      <c r="AA164" s="754">
        <f t="shared" si="159"/>
        <v>0</v>
      </c>
      <c r="AB164" s="754">
        <f t="shared" si="159"/>
        <v>0</v>
      </c>
      <c r="AC164" s="754">
        <f t="shared" si="159"/>
        <v>0</v>
      </c>
      <c r="AD164" s="754">
        <f t="shared" si="159"/>
        <v>0</v>
      </c>
      <c r="AE164" s="754">
        <f t="shared" si="159"/>
        <v>0</v>
      </c>
      <c r="AF164" s="754">
        <f t="shared" si="159"/>
        <v>0</v>
      </c>
    </row>
    <row r="165" spans="1:32" x14ac:dyDescent="0.3">
      <c r="A165" s="753" t="str">
        <f t="shared" si="155"/>
        <v>TRANSPORTS AERIENS</v>
      </c>
      <c r="B165" s="753">
        <f t="shared" si="155"/>
        <v>18</v>
      </c>
      <c r="C165" s="754">
        <f t="shared" si="156"/>
        <v>0</v>
      </c>
      <c r="D165" s="754">
        <f t="shared" si="159"/>
        <v>0</v>
      </c>
      <c r="E165" s="754">
        <f t="shared" si="159"/>
        <v>0</v>
      </c>
      <c r="F165" s="754">
        <f t="shared" si="159"/>
        <v>0</v>
      </c>
      <c r="G165" s="754">
        <f t="shared" si="159"/>
        <v>0</v>
      </c>
      <c r="H165" s="754">
        <f t="shared" si="159"/>
        <v>0</v>
      </c>
      <c r="I165" s="754">
        <f t="shared" si="159"/>
        <v>0</v>
      </c>
      <c r="J165" s="754">
        <f t="shared" si="159"/>
        <v>0</v>
      </c>
      <c r="K165" s="754">
        <f t="shared" si="159"/>
        <v>0</v>
      </c>
      <c r="L165" s="754">
        <f t="shared" si="159"/>
        <v>0</v>
      </c>
      <c r="M165" s="754">
        <f t="shared" si="159"/>
        <v>0</v>
      </c>
      <c r="N165" s="754">
        <f t="shared" si="159"/>
        <v>0</v>
      </c>
      <c r="O165" s="754">
        <f t="shared" si="159"/>
        <v>0</v>
      </c>
      <c r="P165" s="754">
        <f t="shared" si="159"/>
        <v>0</v>
      </c>
      <c r="Q165" s="754">
        <f t="shared" si="159"/>
        <v>0</v>
      </c>
      <c r="R165" s="754">
        <f t="shared" si="159"/>
        <v>0</v>
      </c>
      <c r="S165" s="754">
        <f t="shared" si="159"/>
        <v>0</v>
      </c>
      <c r="T165" s="754">
        <f t="shared" si="159"/>
        <v>0</v>
      </c>
      <c r="U165" s="754">
        <f t="shared" si="159"/>
        <v>0</v>
      </c>
      <c r="V165" s="754">
        <f t="shared" si="159"/>
        <v>0</v>
      </c>
      <c r="W165" s="754">
        <f t="shared" si="159"/>
        <v>0</v>
      </c>
      <c r="X165" s="754">
        <f t="shared" si="159"/>
        <v>0</v>
      </c>
      <c r="Y165" s="754">
        <f t="shared" si="159"/>
        <v>0</v>
      </c>
      <c r="Z165" s="754">
        <f t="shared" si="159"/>
        <v>0</v>
      </c>
      <c r="AA165" s="754">
        <f t="shared" si="159"/>
        <v>0</v>
      </c>
      <c r="AB165" s="754">
        <f t="shared" si="159"/>
        <v>0</v>
      </c>
      <c r="AC165" s="754">
        <f t="shared" si="159"/>
        <v>0</v>
      </c>
      <c r="AD165" s="754">
        <f t="shared" si="159"/>
        <v>0</v>
      </c>
      <c r="AE165" s="754">
        <f t="shared" si="159"/>
        <v>0</v>
      </c>
      <c r="AF165" s="754">
        <f t="shared" si="159"/>
        <v>0</v>
      </c>
    </row>
    <row r="166" spans="1:32" x14ac:dyDescent="0.3">
      <c r="A166" s="753" t="str">
        <f t="shared" si="155"/>
        <v>Services marchands</v>
      </c>
      <c r="B166" s="753">
        <f t="shared" si="155"/>
        <v>19</v>
      </c>
      <c r="C166" s="754">
        <f t="shared" si="156"/>
        <v>0</v>
      </c>
      <c r="D166" s="754">
        <f t="shared" si="159"/>
        <v>0</v>
      </c>
      <c r="E166" s="754">
        <f t="shared" si="159"/>
        <v>0</v>
      </c>
      <c r="F166" s="754">
        <f t="shared" si="159"/>
        <v>0</v>
      </c>
      <c r="G166" s="754">
        <f t="shared" ref="D166:AF171" si="160">G139-SUM(G78,G108)</f>
        <v>0</v>
      </c>
      <c r="H166" s="754">
        <f t="shared" si="160"/>
        <v>0</v>
      </c>
      <c r="I166" s="754">
        <f t="shared" si="160"/>
        <v>0</v>
      </c>
      <c r="J166" s="754">
        <f t="shared" si="160"/>
        <v>0</v>
      </c>
      <c r="K166" s="754">
        <f t="shared" si="160"/>
        <v>0</v>
      </c>
      <c r="L166" s="754">
        <f t="shared" si="160"/>
        <v>0</v>
      </c>
      <c r="M166" s="754">
        <f t="shared" si="160"/>
        <v>0</v>
      </c>
      <c r="N166" s="754">
        <f t="shared" si="160"/>
        <v>0</v>
      </c>
      <c r="O166" s="754">
        <f t="shared" si="160"/>
        <v>0</v>
      </c>
      <c r="P166" s="754">
        <f t="shared" si="160"/>
        <v>0</v>
      </c>
      <c r="Q166" s="754">
        <f t="shared" si="160"/>
        <v>0</v>
      </c>
      <c r="R166" s="754">
        <f t="shared" si="160"/>
        <v>0</v>
      </c>
      <c r="S166" s="754">
        <f t="shared" si="160"/>
        <v>0</v>
      </c>
      <c r="T166" s="754">
        <f t="shared" si="160"/>
        <v>0</v>
      </c>
      <c r="U166" s="754">
        <f t="shared" si="160"/>
        <v>0</v>
      </c>
      <c r="V166" s="754">
        <f t="shared" si="160"/>
        <v>0</v>
      </c>
      <c r="W166" s="754">
        <f t="shared" si="160"/>
        <v>0</v>
      </c>
      <c r="X166" s="754">
        <f t="shared" si="160"/>
        <v>0</v>
      </c>
      <c r="Y166" s="754">
        <f t="shared" si="160"/>
        <v>0</v>
      </c>
      <c r="Z166" s="754">
        <f t="shared" si="160"/>
        <v>0</v>
      </c>
      <c r="AA166" s="754">
        <f t="shared" si="160"/>
        <v>0</v>
      </c>
      <c r="AB166" s="754">
        <f t="shared" si="160"/>
        <v>0</v>
      </c>
      <c r="AC166" s="754">
        <f t="shared" si="160"/>
        <v>0</v>
      </c>
      <c r="AD166" s="754">
        <f t="shared" si="160"/>
        <v>0</v>
      </c>
      <c r="AE166" s="754">
        <f t="shared" si="160"/>
        <v>0</v>
      </c>
      <c r="AF166" s="754">
        <f t="shared" si="160"/>
        <v>0</v>
      </c>
    </row>
    <row r="167" spans="1:32" x14ac:dyDescent="0.3">
      <c r="A167" s="753" t="str">
        <f t="shared" si="155"/>
        <v>Services non marchands</v>
      </c>
      <c r="B167" s="753">
        <f t="shared" si="155"/>
        <v>20</v>
      </c>
      <c r="C167" s="754">
        <f t="shared" si="156"/>
        <v>0</v>
      </c>
      <c r="D167" s="754">
        <f t="shared" si="160"/>
        <v>0</v>
      </c>
      <c r="E167" s="754">
        <f t="shared" si="160"/>
        <v>0</v>
      </c>
      <c r="F167" s="754">
        <f t="shared" si="160"/>
        <v>0</v>
      </c>
      <c r="G167" s="754">
        <f t="shared" si="160"/>
        <v>0</v>
      </c>
      <c r="H167" s="754">
        <f t="shared" si="160"/>
        <v>0</v>
      </c>
      <c r="I167" s="754">
        <f t="shared" si="160"/>
        <v>0</v>
      </c>
      <c r="J167" s="754">
        <f t="shared" si="160"/>
        <v>0</v>
      </c>
      <c r="K167" s="754">
        <f t="shared" si="160"/>
        <v>0</v>
      </c>
      <c r="L167" s="754">
        <f t="shared" si="160"/>
        <v>0</v>
      </c>
      <c r="M167" s="754">
        <f t="shared" si="160"/>
        <v>0</v>
      </c>
      <c r="N167" s="754">
        <f t="shared" si="160"/>
        <v>0</v>
      </c>
      <c r="O167" s="754">
        <f t="shared" si="160"/>
        <v>0</v>
      </c>
      <c r="P167" s="754">
        <f t="shared" si="160"/>
        <v>0</v>
      </c>
      <c r="Q167" s="754">
        <f t="shared" si="160"/>
        <v>0</v>
      </c>
      <c r="R167" s="754">
        <f t="shared" si="160"/>
        <v>0</v>
      </c>
      <c r="S167" s="754">
        <f t="shared" si="160"/>
        <v>0</v>
      </c>
      <c r="T167" s="754">
        <f t="shared" si="160"/>
        <v>0</v>
      </c>
      <c r="U167" s="754">
        <f t="shared" si="160"/>
        <v>0</v>
      </c>
      <c r="V167" s="754">
        <f t="shared" si="160"/>
        <v>0</v>
      </c>
      <c r="W167" s="754">
        <f t="shared" si="160"/>
        <v>0</v>
      </c>
      <c r="X167" s="754">
        <f t="shared" si="160"/>
        <v>0</v>
      </c>
      <c r="Y167" s="754">
        <f t="shared" si="160"/>
        <v>0</v>
      </c>
      <c r="Z167" s="754">
        <f t="shared" si="160"/>
        <v>0</v>
      </c>
      <c r="AA167" s="754">
        <f t="shared" si="160"/>
        <v>0</v>
      </c>
      <c r="AB167" s="754">
        <f t="shared" si="160"/>
        <v>0</v>
      </c>
      <c r="AC167" s="754">
        <f t="shared" si="160"/>
        <v>0</v>
      </c>
      <c r="AD167" s="754">
        <f t="shared" si="160"/>
        <v>0</v>
      </c>
      <c r="AE167" s="754">
        <f t="shared" si="160"/>
        <v>0</v>
      </c>
      <c r="AF167" s="754">
        <f t="shared" si="160"/>
        <v>0</v>
      </c>
    </row>
    <row r="168" spans="1:32" x14ac:dyDescent="0.3">
      <c r="A168" s="753" t="str">
        <f t="shared" si="155"/>
        <v>EXTRACTION ET AGGLOMERATION DE LA HOUILL</v>
      </c>
      <c r="B168" s="753">
        <f t="shared" si="155"/>
        <v>21</v>
      </c>
      <c r="C168" s="754">
        <f t="shared" si="156"/>
        <v>0</v>
      </c>
      <c r="D168" s="754">
        <f t="shared" si="160"/>
        <v>0</v>
      </c>
      <c r="E168" s="754">
        <f t="shared" si="160"/>
        <v>0</v>
      </c>
      <c r="F168" s="754">
        <f t="shared" si="160"/>
        <v>0</v>
      </c>
      <c r="G168" s="754">
        <f t="shared" si="160"/>
        <v>0</v>
      </c>
      <c r="H168" s="754">
        <f t="shared" si="160"/>
        <v>0</v>
      </c>
      <c r="I168" s="754">
        <f t="shared" si="160"/>
        <v>0</v>
      </c>
      <c r="J168" s="754">
        <f t="shared" si="160"/>
        <v>0</v>
      </c>
      <c r="K168" s="754">
        <f t="shared" si="160"/>
        <v>0</v>
      </c>
      <c r="L168" s="754">
        <f t="shared" si="160"/>
        <v>0</v>
      </c>
      <c r="M168" s="754">
        <f t="shared" si="160"/>
        <v>0</v>
      </c>
      <c r="N168" s="754">
        <f t="shared" si="160"/>
        <v>0</v>
      </c>
      <c r="O168" s="754">
        <f t="shared" si="160"/>
        <v>0</v>
      </c>
      <c r="P168" s="754">
        <f t="shared" si="160"/>
        <v>0</v>
      </c>
      <c r="Q168" s="754">
        <f t="shared" si="160"/>
        <v>0</v>
      </c>
      <c r="R168" s="754">
        <f t="shared" si="160"/>
        <v>0</v>
      </c>
      <c r="S168" s="754">
        <f t="shared" si="160"/>
        <v>0</v>
      </c>
      <c r="T168" s="754">
        <f t="shared" si="160"/>
        <v>0</v>
      </c>
      <c r="U168" s="754">
        <f t="shared" si="160"/>
        <v>0</v>
      </c>
      <c r="V168" s="754">
        <f t="shared" si="160"/>
        <v>0</v>
      </c>
      <c r="W168" s="754">
        <f t="shared" si="160"/>
        <v>0</v>
      </c>
      <c r="X168" s="754">
        <f t="shared" si="160"/>
        <v>0</v>
      </c>
      <c r="Y168" s="754">
        <f t="shared" si="160"/>
        <v>0</v>
      </c>
      <c r="Z168" s="754">
        <f t="shared" si="160"/>
        <v>0</v>
      </c>
      <c r="AA168" s="754">
        <f t="shared" si="160"/>
        <v>0</v>
      </c>
      <c r="AB168" s="754">
        <f t="shared" si="160"/>
        <v>0</v>
      </c>
      <c r="AC168" s="754">
        <f t="shared" si="160"/>
        <v>0</v>
      </c>
      <c r="AD168" s="754">
        <f t="shared" si="160"/>
        <v>0</v>
      </c>
      <c r="AE168" s="754">
        <f t="shared" si="160"/>
        <v>0</v>
      </c>
      <c r="AF168" s="754">
        <f t="shared" si="160"/>
        <v>0</v>
      </c>
    </row>
    <row r="169" spans="1:32" x14ac:dyDescent="0.3">
      <c r="A169" s="753" t="str">
        <f t="shared" si="155"/>
        <v>RAFFINAGE DE PETROLE</v>
      </c>
      <c r="B169" s="753">
        <f t="shared" si="155"/>
        <v>22</v>
      </c>
      <c r="C169" s="754">
        <f t="shared" si="156"/>
        <v>0</v>
      </c>
      <c r="D169" s="754">
        <f t="shared" si="160"/>
        <v>0</v>
      </c>
      <c r="E169" s="754">
        <f t="shared" si="160"/>
        <v>0</v>
      </c>
      <c r="F169" s="754">
        <f t="shared" si="160"/>
        <v>0</v>
      </c>
      <c r="G169" s="754">
        <f t="shared" si="160"/>
        <v>0</v>
      </c>
      <c r="H169" s="754">
        <f t="shared" si="160"/>
        <v>0</v>
      </c>
      <c r="I169" s="754">
        <f t="shared" si="160"/>
        <v>0</v>
      </c>
      <c r="J169" s="754">
        <f t="shared" si="160"/>
        <v>0</v>
      </c>
      <c r="K169" s="754">
        <f t="shared" si="160"/>
        <v>0</v>
      </c>
      <c r="L169" s="754">
        <f t="shared" si="160"/>
        <v>0</v>
      </c>
      <c r="M169" s="754">
        <f t="shared" si="160"/>
        <v>0</v>
      </c>
      <c r="N169" s="754">
        <f t="shared" si="160"/>
        <v>0</v>
      </c>
      <c r="O169" s="754">
        <f t="shared" si="160"/>
        <v>0</v>
      </c>
      <c r="P169" s="754">
        <f t="shared" si="160"/>
        <v>0</v>
      </c>
      <c r="Q169" s="754">
        <f t="shared" si="160"/>
        <v>0</v>
      </c>
      <c r="R169" s="754">
        <f t="shared" si="160"/>
        <v>0</v>
      </c>
      <c r="S169" s="754">
        <f t="shared" si="160"/>
        <v>0</v>
      </c>
      <c r="T169" s="754">
        <f t="shared" si="160"/>
        <v>0</v>
      </c>
      <c r="U169" s="754">
        <f t="shared" si="160"/>
        <v>0</v>
      </c>
      <c r="V169" s="754">
        <f t="shared" si="160"/>
        <v>0</v>
      </c>
      <c r="W169" s="754">
        <f t="shared" si="160"/>
        <v>0</v>
      </c>
      <c r="X169" s="754">
        <f t="shared" si="160"/>
        <v>0</v>
      </c>
      <c r="Y169" s="754">
        <f t="shared" si="160"/>
        <v>0</v>
      </c>
      <c r="Z169" s="754">
        <f t="shared" si="160"/>
        <v>0</v>
      </c>
      <c r="AA169" s="754">
        <f t="shared" si="160"/>
        <v>0</v>
      </c>
      <c r="AB169" s="754">
        <f t="shared" si="160"/>
        <v>0</v>
      </c>
      <c r="AC169" s="754">
        <f t="shared" si="160"/>
        <v>0</v>
      </c>
      <c r="AD169" s="754">
        <f t="shared" si="160"/>
        <v>0</v>
      </c>
      <c r="AE169" s="754">
        <f t="shared" si="160"/>
        <v>0</v>
      </c>
      <c r="AF169" s="754">
        <f t="shared" si="160"/>
        <v>0</v>
      </c>
    </row>
    <row r="170" spans="1:32" x14ac:dyDescent="0.3">
      <c r="A170" s="753" t="str">
        <f t="shared" si="155"/>
        <v>PRODUCTION ET DISTRIBUTION D ELECTRICITE</v>
      </c>
      <c r="B170" s="753">
        <f t="shared" si="155"/>
        <v>23</v>
      </c>
      <c r="C170" s="754">
        <f t="shared" si="156"/>
        <v>0</v>
      </c>
      <c r="D170" s="754">
        <f t="shared" si="160"/>
        <v>0</v>
      </c>
      <c r="E170" s="754">
        <f t="shared" si="160"/>
        <v>0</v>
      </c>
      <c r="F170" s="754">
        <f t="shared" si="160"/>
        <v>0</v>
      </c>
      <c r="G170" s="754">
        <f t="shared" si="160"/>
        <v>0</v>
      </c>
      <c r="H170" s="754">
        <f t="shared" si="160"/>
        <v>0</v>
      </c>
      <c r="I170" s="754">
        <f t="shared" si="160"/>
        <v>0</v>
      </c>
      <c r="J170" s="754">
        <f t="shared" si="160"/>
        <v>0</v>
      </c>
      <c r="K170" s="754">
        <f t="shared" si="160"/>
        <v>0</v>
      </c>
      <c r="L170" s="754">
        <f t="shared" si="160"/>
        <v>0</v>
      </c>
      <c r="M170" s="754">
        <f t="shared" si="160"/>
        <v>0</v>
      </c>
      <c r="N170" s="754">
        <f t="shared" si="160"/>
        <v>0</v>
      </c>
      <c r="O170" s="754">
        <f t="shared" si="160"/>
        <v>0</v>
      </c>
      <c r="P170" s="754">
        <f t="shared" si="160"/>
        <v>0</v>
      </c>
      <c r="Q170" s="754">
        <f t="shared" si="160"/>
        <v>0</v>
      </c>
      <c r="R170" s="754">
        <f t="shared" si="160"/>
        <v>0</v>
      </c>
      <c r="S170" s="754">
        <f t="shared" si="160"/>
        <v>0</v>
      </c>
      <c r="T170" s="754">
        <f t="shared" si="160"/>
        <v>0</v>
      </c>
      <c r="U170" s="754">
        <f t="shared" si="160"/>
        <v>0</v>
      </c>
      <c r="V170" s="754">
        <f t="shared" si="160"/>
        <v>0</v>
      </c>
      <c r="W170" s="754">
        <f t="shared" si="160"/>
        <v>0</v>
      </c>
      <c r="X170" s="754">
        <f t="shared" si="160"/>
        <v>0</v>
      </c>
      <c r="Y170" s="754">
        <f t="shared" si="160"/>
        <v>0</v>
      </c>
      <c r="Z170" s="754">
        <f t="shared" si="160"/>
        <v>0</v>
      </c>
      <c r="AA170" s="754">
        <f t="shared" si="160"/>
        <v>0</v>
      </c>
      <c r="AB170" s="754">
        <f t="shared" si="160"/>
        <v>0</v>
      </c>
      <c r="AC170" s="754">
        <f t="shared" si="160"/>
        <v>0</v>
      </c>
      <c r="AD170" s="754">
        <f t="shared" si="160"/>
        <v>0</v>
      </c>
      <c r="AE170" s="754">
        <f t="shared" si="160"/>
        <v>0</v>
      </c>
      <c r="AF170" s="754">
        <f t="shared" si="160"/>
        <v>0</v>
      </c>
    </row>
    <row r="171" spans="1:32" x14ac:dyDescent="0.3">
      <c r="A171" s="753" t="str">
        <f t="shared" si="155"/>
        <v>PRODUCTION ET DISTRIBUTION DE COMBUSTIBL</v>
      </c>
      <c r="B171" s="753">
        <f t="shared" si="155"/>
        <v>24</v>
      </c>
      <c r="C171" s="754">
        <f t="shared" si="156"/>
        <v>0</v>
      </c>
      <c r="D171" s="754">
        <f t="shared" si="160"/>
        <v>0</v>
      </c>
      <c r="E171" s="754">
        <f t="shared" si="160"/>
        <v>0</v>
      </c>
      <c r="F171" s="754">
        <f t="shared" si="160"/>
        <v>0</v>
      </c>
      <c r="G171" s="754">
        <f t="shared" si="160"/>
        <v>0</v>
      </c>
      <c r="H171" s="754">
        <f t="shared" si="160"/>
        <v>0</v>
      </c>
      <c r="I171" s="754">
        <f t="shared" si="160"/>
        <v>0</v>
      </c>
      <c r="J171" s="754">
        <f t="shared" si="160"/>
        <v>0</v>
      </c>
      <c r="K171" s="754">
        <f t="shared" si="160"/>
        <v>0</v>
      </c>
      <c r="L171" s="754">
        <f t="shared" si="160"/>
        <v>0</v>
      </c>
      <c r="M171" s="754">
        <f t="shared" si="160"/>
        <v>0</v>
      </c>
      <c r="N171" s="754">
        <f t="shared" si="160"/>
        <v>0</v>
      </c>
      <c r="O171" s="754">
        <f t="shared" si="160"/>
        <v>0</v>
      </c>
      <c r="P171" s="754">
        <f t="shared" si="160"/>
        <v>0</v>
      </c>
      <c r="Q171" s="754">
        <f t="shared" si="160"/>
        <v>0</v>
      </c>
      <c r="R171" s="754">
        <f t="shared" si="160"/>
        <v>0</v>
      </c>
      <c r="S171" s="754">
        <f t="shared" si="160"/>
        <v>0</v>
      </c>
      <c r="T171" s="754">
        <f t="shared" si="160"/>
        <v>0</v>
      </c>
      <c r="U171" s="754">
        <f t="shared" si="160"/>
        <v>0</v>
      </c>
      <c r="V171" s="754">
        <f t="shared" si="160"/>
        <v>0</v>
      </c>
      <c r="W171" s="754">
        <f t="shared" si="160"/>
        <v>0</v>
      </c>
      <c r="X171" s="754">
        <f t="shared" si="160"/>
        <v>0</v>
      </c>
      <c r="Y171" s="754">
        <f t="shared" si="160"/>
        <v>0</v>
      </c>
      <c r="Z171" s="754">
        <f t="shared" si="160"/>
        <v>0</v>
      </c>
      <c r="AA171" s="754">
        <f t="shared" si="160"/>
        <v>0</v>
      </c>
      <c r="AB171" s="754">
        <f t="shared" si="160"/>
        <v>0</v>
      </c>
      <c r="AC171" s="754">
        <f t="shared" si="160"/>
        <v>0</v>
      </c>
      <c r="AD171" s="754">
        <f t="shared" si="160"/>
        <v>0</v>
      </c>
      <c r="AE171" s="754">
        <f t="shared" si="160"/>
        <v>0</v>
      </c>
      <c r="AF171" s="754">
        <f t="shared" si="160"/>
        <v>0</v>
      </c>
    </row>
    <row r="172" spans="1:32" x14ac:dyDescent="0.3">
      <c r="A172" s="753" t="str">
        <f>A145</f>
        <v>TOTAL</v>
      </c>
      <c r="B172" s="753"/>
      <c r="C172" s="754">
        <f t="shared" si="156"/>
        <v>0</v>
      </c>
      <c r="D172" s="754">
        <f t="shared" ref="D172:AF172" si="161">D145-SUM(D84,D114)</f>
        <v>0</v>
      </c>
      <c r="E172" s="754">
        <f t="shared" si="161"/>
        <v>0</v>
      </c>
      <c r="F172" s="754">
        <f t="shared" si="161"/>
        <v>0</v>
      </c>
      <c r="G172" s="754">
        <f t="shared" si="161"/>
        <v>0</v>
      </c>
      <c r="H172" s="754">
        <f t="shared" si="161"/>
        <v>0</v>
      </c>
      <c r="I172" s="754">
        <f t="shared" si="161"/>
        <v>0</v>
      </c>
      <c r="J172" s="754">
        <f t="shared" si="161"/>
        <v>0</v>
      </c>
      <c r="K172" s="754">
        <f t="shared" si="161"/>
        <v>0</v>
      </c>
      <c r="L172" s="754">
        <f t="shared" si="161"/>
        <v>0</v>
      </c>
      <c r="M172" s="754">
        <f t="shared" si="161"/>
        <v>0</v>
      </c>
      <c r="N172" s="754">
        <f t="shared" si="161"/>
        <v>0</v>
      </c>
      <c r="O172" s="754">
        <f t="shared" si="161"/>
        <v>0</v>
      </c>
      <c r="P172" s="754">
        <f t="shared" si="161"/>
        <v>0</v>
      </c>
      <c r="Q172" s="754">
        <f t="shared" si="161"/>
        <v>0</v>
      </c>
      <c r="R172" s="754">
        <f t="shared" si="161"/>
        <v>0</v>
      </c>
      <c r="S172" s="754">
        <f t="shared" si="161"/>
        <v>0</v>
      </c>
      <c r="T172" s="754">
        <f t="shared" si="161"/>
        <v>0</v>
      </c>
      <c r="U172" s="754">
        <f t="shared" si="161"/>
        <v>0</v>
      </c>
      <c r="V172" s="754">
        <f t="shared" si="161"/>
        <v>0</v>
      </c>
      <c r="W172" s="754">
        <f t="shared" si="161"/>
        <v>0</v>
      </c>
      <c r="X172" s="754">
        <f t="shared" si="161"/>
        <v>0</v>
      </c>
      <c r="Y172" s="754">
        <f t="shared" si="161"/>
        <v>0</v>
      </c>
      <c r="Z172" s="754">
        <f t="shared" si="161"/>
        <v>0</v>
      </c>
      <c r="AA172" s="754">
        <f t="shared" si="161"/>
        <v>0</v>
      </c>
      <c r="AB172" s="754">
        <f t="shared" si="161"/>
        <v>0</v>
      </c>
      <c r="AC172" s="754">
        <f t="shared" si="161"/>
        <v>0</v>
      </c>
      <c r="AD172" s="754">
        <f t="shared" si="161"/>
        <v>0</v>
      </c>
      <c r="AE172" s="754">
        <f t="shared" si="161"/>
        <v>0</v>
      </c>
      <c r="AF172" s="754">
        <f t="shared" si="161"/>
        <v>0</v>
      </c>
    </row>
  </sheetData>
  <pageMargins left="0.78740157499999996" right="0.78740157499999996" top="0.984251969" bottom="0.984251969" header="0.4921259845" footer="0.4921259845"/>
  <pageSetup orientation="portrait"/>
  <headerFooter alignWithMargins="0"/>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FF0000"/>
  </sheetPr>
  <dimension ref="A1:BM131"/>
  <sheetViews>
    <sheetView workbookViewId="0">
      <pane xSplit="2" ySplit="2" topLeftCell="L67" activePane="bottomRight" state="frozen"/>
      <selection pane="topRight" activeCell="C1" sqref="C1"/>
      <selection pane="bottomLeft" activeCell="A3" sqref="A3"/>
      <selection pane="bottomRight" activeCell="L68" sqref="L68:L91"/>
    </sheetView>
  </sheetViews>
  <sheetFormatPr baseColWidth="10" defaultColWidth="9.1796875" defaultRowHeight="12.5" outlineLevelRow="2" x14ac:dyDescent="0.25"/>
  <cols>
    <col min="1" max="1" width="34.453125" style="65" customWidth="1"/>
    <col min="2" max="2" width="11.453125" style="65" customWidth="1"/>
    <col min="3" max="3" width="12" style="65" customWidth="1"/>
    <col min="4" max="5" width="13.81640625" style="65" customWidth="1"/>
    <col min="6" max="6" width="19.453125" style="65" bestFit="1" customWidth="1"/>
    <col min="7" max="7" width="20.1796875" style="65" customWidth="1"/>
    <col min="8" max="8" width="12.453125" style="65" bestFit="1" customWidth="1"/>
    <col min="9" max="9" width="13" style="65" customWidth="1"/>
    <col min="10" max="11" width="12" style="65" bestFit="1" customWidth="1"/>
    <col min="12" max="12" width="11.453125" style="65" bestFit="1" customWidth="1"/>
    <col min="13" max="13" width="20.1796875" style="65" customWidth="1"/>
    <col min="14" max="14" width="13.81640625" style="65" customWidth="1"/>
    <col min="15" max="15" width="14.81640625" style="65" customWidth="1"/>
    <col min="16" max="16" width="14" style="65" customWidth="1"/>
    <col min="17" max="17" width="13.453125" style="65" customWidth="1"/>
    <col min="18" max="18" width="16.54296875" style="65" bestFit="1" customWidth="1"/>
    <col min="19" max="19" width="24.453125" style="65" customWidth="1"/>
    <col min="20" max="20" width="18.81640625" style="65" customWidth="1"/>
    <col min="21" max="21" width="17.453125" style="65" customWidth="1"/>
    <col min="22" max="22" width="15.54296875" style="65" customWidth="1"/>
    <col min="23" max="23" width="17.453125" style="65" customWidth="1"/>
    <col min="24" max="24" width="20.453125" style="65" customWidth="1"/>
    <col min="25" max="25" width="16.81640625" style="65" bestFit="1" customWidth="1"/>
    <col min="26" max="26" width="10.1796875" style="65" bestFit="1" customWidth="1"/>
    <col min="27" max="27" width="12.453125" style="65" bestFit="1" customWidth="1"/>
    <col min="28" max="28" width="13.1796875" style="65" customWidth="1"/>
    <col min="29" max="29" width="12.81640625" style="65" bestFit="1" customWidth="1"/>
    <col min="30" max="32" width="12" style="65" bestFit="1" customWidth="1"/>
    <col min="33" max="33" width="16" style="65" bestFit="1" customWidth="1"/>
    <col min="34" max="34" width="12" style="65" bestFit="1" customWidth="1"/>
    <col min="35" max="35" width="15.1796875" style="65" customWidth="1"/>
    <col min="36" max="36" width="14" style="65" bestFit="1" customWidth="1"/>
    <col min="37" max="37" width="28.81640625" style="65" bestFit="1" customWidth="1"/>
    <col min="38" max="38" width="28.81640625" style="65" customWidth="1"/>
    <col min="39" max="39" width="22.453125" style="65" bestFit="1" customWidth="1"/>
    <col min="40" max="40" width="19.453125" style="65" bestFit="1" customWidth="1"/>
    <col min="41" max="41" width="17.54296875" style="65" bestFit="1" customWidth="1"/>
    <col min="42" max="44" width="17.54296875" style="65" customWidth="1"/>
    <col min="45" max="46" width="12.453125" style="65" bestFit="1" customWidth="1"/>
    <col min="47" max="47" width="14.1796875" style="65" bestFit="1" customWidth="1"/>
    <col min="48" max="48" width="14.453125" style="65" bestFit="1" customWidth="1"/>
    <col min="49" max="49" width="17.453125" style="65" bestFit="1" customWidth="1"/>
    <col min="50" max="50" width="12.453125" style="65" bestFit="1" customWidth="1"/>
    <col min="51" max="51" width="16" style="65" bestFit="1" customWidth="1"/>
    <col min="52" max="52" width="12.54296875" style="65" bestFit="1" customWidth="1"/>
    <col min="53" max="53" width="9.453125" style="65" bestFit="1" customWidth="1"/>
    <col min="54" max="55" width="14.453125" style="65" bestFit="1" customWidth="1"/>
    <col min="56" max="56" width="14" style="65" bestFit="1" customWidth="1"/>
    <col min="57" max="57" width="10.54296875" style="65" bestFit="1" customWidth="1"/>
    <col min="58" max="58" width="13.1796875" style="65" bestFit="1" customWidth="1"/>
    <col min="59" max="59" width="9.1796875" style="65"/>
    <col min="60" max="60" width="12.453125" style="65" bestFit="1" customWidth="1"/>
    <col min="61" max="62" width="13.453125" style="65" bestFit="1" customWidth="1"/>
    <col min="63" max="63" width="11.54296875" style="65" bestFit="1" customWidth="1"/>
    <col min="64" max="64" width="30" style="65" bestFit="1" customWidth="1"/>
    <col min="65" max="65" width="11.81640625" style="65" bestFit="1" customWidth="1"/>
    <col min="66" max="16384" width="9.1796875" style="65"/>
  </cols>
  <sheetData>
    <row r="1" spans="1:65" ht="13" x14ac:dyDescent="0.3">
      <c r="AK1" s="768"/>
      <c r="AL1" s="768"/>
      <c r="AM1" s="768"/>
      <c r="AN1" s="768"/>
      <c r="AO1" s="768" t="s">
        <v>867</v>
      </c>
      <c r="AP1" s="768"/>
      <c r="AQ1" s="768"/>
      <c r="AR1" s="768"/>
      <c r="AS1" s="69" t="s">
        <v>869</v>
      </c>
      <c r="AT1" s="69" t="s">
        <v>869</v>
      </c>
      <c r="AU1" s="69" t="s">
        <v>680</v>
      </c>
      <c r="AV1" s="69" t="s">
        <v>889</v>
      </c>
      <c r="AW1" s="69" t="s">
        <v>868</v>
      </c>
      <c r="AX1" s="69" t="s">
        <v>869</v>
      </c>
      <c r="AY1" s="69" t="s">
        <v>860</v>
      </c>
      <c r="BB1" s="69" t="s">
        <v>705</v>
      </c>
      <c r="BC1" s="69" t="s">
        <v>886</v>
      </c>
      <c r="BF1" s="697"/>
      <c r="BG1" s="697"/>
    </row>
    <row r="2" spans="1:65" ht="13.5" thickBot="1" x14ac:dyDescent="0.35">
      <c r="C2" s="65" t="s">
        <v>680</v>
      </c>
      <c r="D2" s="65" t="s">
        <v>681</v>
      </c>
      <c r="E2" s="65" t="s">
        <v>682</v>
      </c>
      <c r="F2" s="65" t="s">
        <v>683</v>
      </c>
      <c r="G2" s="65" t="s">
        <v>684</v>
      </c>
      <c r="H2" s="65" t="s">
        <v>316</v>
      </c>
      <c r="I2" s="65" t="s">
        <v>317</v>
      </c>
      <c r="J2" s="65" t="s">
        <v>685</v>
      </c>
      <c r="K2" s="65" t="s">
        <v>686</v>
      </c>
      <c r="L2" s="65" t="s">
        <v>687</v>
      </c>
      <c r="M2" s="65" t="s">
        <v>688</v>
      </c>
      <c r="N2" s="65" t="s">
        <v>689</v>
      </c>
      <c r="O2" s="65" t="s">
        <v>691</v>
      </c>
      <c r="P2" s="65" t="s">
        <v>692</v>
      </c>
      <c r="Q2" s="65" t="s">
        <v>690</v>
      </c>
      <c r="R2" s="65" t="s">
        <v>693</v>
      </c>
      <c r="S2" s="65" t="s">
        <v>21</v>
      </c>
      <c r="T2" s="65" t="s">
        <v>694</v>
      </c>
      <c r="U2" s="65" t="s">
        <v>695</v>
      </c>
      <c r="V2" s="95" t="s">
        <v>906</v>
      </c>
      <c r="W2" s="65" t="s">
        <v>697</v>
      </c>
      <c r="X2" s="65" t="s">
        <v>698</v>
      </c>
      <c r="Y2" s="65" t="s">
        <v>699</v>
      </c>
      <c r="Z2" s="65" t="s">
        <v>700</v>
      </c>
      <c r="AA2" s="65" t="s">
        <v>701</v>
      </c>
      <c r="AB2" s="65" t="s">
        <v>702</v>
      </c>
      <c r="AC2" s="65" t="s">
        <v>703</v>
      </c>
      <c r="AD2" s="65" t="s">
        <v>704</v>
      </c>
      <c r="AE2" s="65" t="s">
        <v>705</v>
      </c>
      <c r="AF2" s="65" t="s">
        <v>706</v>
      </c>
      <c r="AG2" s="154" t="s">
        <v>836</v>
      </c>
      <c r="AH2" s="154" t="s">
        <v>837</v>
      </c>
      <c r="AI2" s="697" t="s">
        <v>839</v>
      </c>
      <c r="AJ2" s="697" t="s">
        <v>840</v>
      </c>
      <c r="AK2" s="697" t="s">
        <v>863</v>
      </c>
      <c r="AL2" s="697" t="s">
        <v>907</v>
      </c>
      <c r="AM2" s="697" t="s">
        <v>908</v>
      </c>
      <c r="AN2" s="697" t="s">
        <v>909</v>
      </c>
      <c r="AO2" s="697" t="s">
        <v>882</v>
      </c>
      <c r="AP2" s="697" t="s">
        <v>883</v>
      </c>
      <c r="AQ2" s="697" t="s">
        <v>884</v>
      </c>
      <c r="AR2" s="697" t="s">
        <v>885</v>
      </c>
      <c r="AS2" s="697" t="s">
        <v>864</v>
      </c>
      <c r="AT2" s="697" t="s">
        <v>865</v>
      </c>
      <c r="AU2" s="697" t="s">
        <v>887</v>
      </c>
      <c r="AV2" s="697" t="s">
        <v>888</v>
      </c>
      <c r="AW2" s="697" t="s">
        <v>866</v>
      </c>
      <c r="AX2" s="697" t="s">
        <v>870</v>
      </c>
      <c r="AY2" s="631" t="s">
        <v>871</v>
      </c>
      <c r="AZ2" s="697" t="s">
        <v>874</v>
      </c>
      <c r="BA2" s="697" t="s">
        <v>873</v>
      </c>
      <c r="BB2" s="769" t="s">
        <v>875</v>
      </c>
      <c r="BC2" s="631" t="s">
        <v>872</v>
      </c>
      <c r="BD2" s="697" t="s">
        <v>876</v>
      </c>
      <c r="BE2" s="118" t="s">
        <v>580</v>
      </c>
      <c r="BF2" s="697" t="s">
        <v>878</v>
      </c>
      <c r="BG2" s="697" t="s">
        <v>877</v>
      </c>
      <c r="BH2" s="118" t="s">
        <v>580</v>
      </c>
      <c r="BI2" s="697" t="s">
        <v>880</v>
      </c>
      <c r="BJ2" s="697" t="s">
        <v>881</v>
      </c>
      <c r="BK2" s="118" t="s">
        <v>580</v>
      </c>
      <c r="BM2" s="697"/>
    </row>
    <row r="3" spans="1:65" ht="13" hidden="1" outlineLevel="1" x14ac:dyDescent="0.3">
      <c r="B3" s="58"/>
      <c r="C3" s="58"/>
      <c r="D3" s="67"/>
      <c r="E3" s="67"/>
      <c r="F3" s="67"/>
      <c r="G3" s="67"/>
      <c r="H3" s="67"/>
      <c r="I3" s="67"/>
      <c r="J3" s="67"/>
      <c r="K3" s="67"/>
      <c r="L3" s="67"/>
      <c r="M3" s="67"/>
      <c r="N3" s="67"/>
      <c r="O3" s="67"/>
      <c r="P3" s="67"/>
      <c r="Q3" s="67"/>
      <c r="R3" s="67"/>
      <c r="S3" s="67"/>
      <c r="T3" s="67"/>
      <c r="U3" s="67"/>
      <c r="V3" s="67"/>
      <c r="W3" s="67"/>
      <c r="X3" s="67"/>
      <c r="Y3" s="67"/>
      <c r="Z3" s="67"/>
      <c r="AA3" s="67"/>
      <c r="AB3" s="67"/>
      <c r="AC3" s="67"/>
      <c r="AD3" s="67"/>
      <c r="AE3" s="67"/>
      <c r="AF3" s="68"/>
      <c r="AY3" s="124"/>
      <c r="BC3" s="124"/>
      <c r="BK3" s="71"/>
    </row>
    <row r="4" spans="1:65" ht="13" hidden="1" outlineLevel="1" x14ac:dyDescent="0.3">
      <c r="B4" s="58"/>
      <c r="C4" s="58" t="s">
        <v>707</v>
      </c>
      <c r="D4" s="64" t="s">
        <v>708</v>
      </c>
      <c r="E4" s="64" t="s">
        <v>709</v>
      </c>
      <c r="F4" s="64" t="s">
        <v>710</v>
      </c>
      <c r="G4" s="64" t="s">
        <v>711</v>
      </c>
      <c r="H4" s="64" t="s">
        <v>712</v>
      </c>
      <c r="I4" s="64" t="s">
        <v>713</v>
      </c>
      <c r="J4" s="64" t="s">
        <v>714</v>
      </c>
      <c r="K4" s="64" t="s">
        <v>715</v>
      </c>
      <c r="L4" s="64" t="s">
        <v>716</v>
      </c>
      <c r="M4" s="64" t="s">
        <v>717</v>
      </c>
      <c r="N4" s="64" t="s">
        <v>718</v>
      </c>
      <c r="O4" s="64" t="s">
        <v>719</v>
      </c>
      <c r="P4" s="64" t="s">
        <v>720</v>
      </c>
      <c r="Q4" s="64" t="s">
        <v>721</v>
      </c>
      <c r="R4" s="64" t="s">
        <v>722</v>
      </c>
      <c r="S4" s="64" t="s">
        <v>723</v>
      </c>
      <c r="T4" s="64" t="s">
        <v>724</v>
      </c>
      <c r="U4" s="64" t="s">
        <v>725</v>
      </c>
      <c r="V4" s="64" t="s">
        <v>726</v>
      </c>
      <c r="W4" s="64" t="s">
        <v>727</v>
      </c>
      <c r="X4" s="64" t="s">
        <v>728</v>
      </c>
      <c r="Y4" s="64" t="s">
        <v>729</v>
      </c>
      <c r="Z4" s="64" t="s">
        <v>730</v>
      </c>
      <c r="AA4" s="64" t="s">
        <v>731</v>
      </c>
      <c r="AB4" s="64" t="s">
        <v>732</v>
      </c>
      <c r="AC4" s="64" t="s">
        <v>733</v>
      </c>
      <c r="AD4" s="64" t="s">
        <v>734</v>
      </c>
      <c r="AE4" s="64" t="s">
        <v>735</v>
      </c>
      <c r="AF4" s="59" t="s">
        <v>736</v>
      </c>
      <c r="AY4" s="124"/>
      <c r="BC4" s="124"/>
      <c r="BK4" s="71"/>
    </row>
    <row r="5" spans="1:65" ht="13" hidden="1" outlineLevel="1" x14ac:dyDescent="0.3">
      <c r="A5" s="65" t="s">
        <v>313</v>
      </c>
      <c r="B5" s="58">
        <v>1</v>
      </c>
      <c r="C5" s="58">
        <v>69531</v>
      </c>
      <c r="D5" s="64">
        <v>9072</v>
      </c>
      <c r="E5" s="64">
        <v>0</v>
      </c>
      <c r="F5" s="64">
        <v>0</v>
      </c>
      <c r="G5" s="64">
        <v>78603</v>
      </c>
      <c r="H5" s="64">
        <v>19391</v>
      </c>
      <c r="I5" s="64">
        <v>1515</v>
      </c>
      <c r="J5" s="64">
        <v>1886</v>
      </c>
      <c r="K5" s="64">
        <v>1785</v>
      </c>
      <c r="L5" s="64">
        <v>-2922</v>
      </c>
      <c r="M5" s="64">
        <v>98473</v>
      </c>
      <c r="N5" s="64">
        <v>30434</v>
      </c>
      <c r="O5" s="64">
        <v>0</v>
      </c>
      <c r="P5" s="64">
        <v>0</v>
      </c>
      <c r="Q5" s="64">
        <v>0</v>
      </c>
      <c r="R5" s="64">
        <v>0</v>
      </c>
      <c r="S5" s="64">
        <v>30434</v>
      </c>
      <c r="T5" s="64">
        <v>1357</v>
      </c>
      <c r="U5" s="64">
        <v>0</v>
      </c>
      <c r="V5" s="64">
        <v>0</v>
      </c>
      <c r="W5" s="64">
        <v>129</v>
      </c>
      <c r="X5" s="64">
        <v>0</v>
      </c>
      <c r="Y5" s="64">
        <v>1486</v>
      </c>
      <c r="Z5" s="64">
        <v>0</v>
      </c>
      <c r="AA5" s="64">
        <v>2929</v>
      </c>
      <c r="AB5" s="64">
        <v>4415</v>
      </c>
      <c r="AC5" s="64">
        <v>10797</v>
      </c>
      <c r="AD5" s="64">
        <v>45646</v>
      </c>
      <c r="AE5" s="64">
        <v>52827</v>
      </c>
      <c r="AF5" s="59">
        <v>98473</v>
      </c>
      <c r="AY5" s="124"/>
      <c r="BC5" s="124"/>
      <c r="BK5" s="71"/>
    </row>
    <row r="6" spans="1:65" ht="13" hidden="1" outlineLevel="1" x14ac:dyDescent="0.3">
      <c r="A6" s="65" t="s">
        <v>314</v>
      </c>
      <c r="B6" s="60">
        <v>2</v>
      </c>
      <c r="C6" s="60">
        <v>129616</v>
      </c>
      <c r="D6" s="65">
        <v>25729</v>
      </c>
      <c r="E6" s="65">
        <v>0</v>
      </c>
      <c r="F6" s="65">
        <v>0</v>
      </c>
      <c r="G6" s="65">
        <v>155345</v>
      </c>
      <c r="H6" s="65">
        <v>60376</v>
      </c>
      <c r="I6" s="65">
        <v>6990</v>
      </c>
      <c r="J6" s="65">
        <v>24501</v>
      </c>
      <c r="K6" s="65">
        <v>11013</v>
      </c>
      <c r="L6" s="65">
        <v>-641</v>
      </c>
      <c r="M6" s="65">
        <v>246571</v>
      </c>
      <c r="N6" s="65">
        <v>145347</v>
      </c>
      <c r="O6" s="65">
        <v>0</v>
      </c>
      <c r="P6" s="65">
        <v>0</v>
      </c>
      <c r="Q6" s="65">
        <v>0</v>
      </c>
      <c r="R6" s="65">
        <v>0</v>
      </c>
      <c r="S6" s="65">
        <v>145347</v>
      </c>
      <c r="T6" s="65">
        <v>0</v>
      </c>
      <c r="U6" s="65">
        <v>0</v>
      </c>
      <c r="V6" s="65">
        <v>0</v>
      </c>
      <c r="W6" s="65">
        <v>0</v>
      </c>
      <c r="X6" s="65">
        <v>0</v>
      </c>
      <c r="Y6" s="65">
        <v>0</v>
      </c>
      <c r="Z6" s="65">
        <v>0</v>
      </c>
      <c r="AA6" s="65">
        <v>-259</v>
      </c>
      <c r="AB6" s="65">
        <v>-259</v>
      </c>
      <c r="AC6" s="65">
        <v>32856</v>
      </c>
      <c r="AD6" s="65">
        <v>177944</v>
      </c>
      <c r="AE6" s="65">
        <v>68627</v>
      </c>
      <c r="AF6" s="61">
        <v>246571</v>
      </c>
      <c r="AY6" s="124"/>
      <c r="BC6" s="124"/>
      <c r="BK6" s="71"/>
    </row>
    <row r="7" spans="1:65" ht="13" hidden="1" outlineLevel="1" x14ac:dyDescent="0.3">
      <c r="A7" s="65" t="s">
        <v>307</v>
      </c>
      <c r="B7" s="60">
        <v>3</v>
      </c>
      <c r="C7" s="60">
        <v>89440.2</v>
      </c>
      <c r="D7" s="65">
        <v>46716.800000000003</v>
      </c>
      <c r="E7" s="65">
        <v>0</v>
      </c>
      <c r="F7" s="65">
        <v>0</v>
      </c>
      <c r="G7" s="65">
        <v>136157</v>
      </c>
      <c r="H7" s="65">
        <v>20279.599999999999</v>
      </c>
      <c r="I7" s="65">
        <v>2348</v>
      </c>
      <c r="J7" s="65">
        <v>11161.3</v>
      </c>
      <c r="K7" s="65">
        <v>10776.4</v>
      </c>
      <c r="L7" s="65">
        <v>0</v>
      </c>
      <c r="M7" s="65">
        <v>169945.9</v>
      </c>
      <c r="N7" s="65">
        <v>58603.4</v>
      </c>
      <c r="O7" s="65">
        <v>0</v>
      </c>
      <c r="P7" s="65">
        <v>88.2</v>
      </c>
      <c r="Q7" s="65">
        <v>88.2</v>
      </c>
      <c r="R7" s="65">
        <v>0</v>
      </c>
      <c r="S7" s="65">
        <v>58691.6</v>
      </c>
      <c r="T7" s="65">
        <v>21352.5</v>
      </c>
      <c r="U7" s="65">
        <v>0</v>
      </c>
      <c r="V7" s="65">
        <v>242</v>
      </c>
      <c r="W7" s="65">
        <v>2198.3000000000002</v>
      </c>
      <c r="X7" s="65">
        <v>267</v>
      </c>
      <c r="Y7" s="65">
        <v>24059.8</v>
      </c>
      <c r="Z7" s="65">
        <v>0</v>
      </c>
      <c r="AA7" s="65">
        <v>-215.3</v>
      </c>
      <c r="AB7" s="65">
        <v>23844.5</v>
      </c>
      <c r="AC7" s="65">
        <v>51651.9</v>
      </c>
      <c r="AD7" s="65">
        <v>134188</v>
      </c>
      <c r="AE7" s="65">
        <v>35757.9</v>
      </c>
      <c r="AF7" s="61">
        <v>169945.9</v>
      </c>
      <c r="AY7" s="124"/>
      <c r="BC7" s="124"/>
      <c r="BK7" s="71"/>
    </row>
    <row r="8" spans="1:65" ht="13" hidden="1" outlineLevel="1" x14ac:dyDescent="0.3">
      <c r="A8" s="65" t="s">
        <v>122</v>
      </c>
      <c r="B8" s="60">
        <v>4</v>
      </c>
      <c r="C8" s="60">
        <v>6754</v>
      </c>
      <c r="D8" s="65">
        <v>2399</v>
      </c>
      <c r="E8" s="65">
        <v>0</v>
      </c>
      <c r="F8" s="65">
        <v>0</v>
      </c>
      <c r="G8" s="65">
        <v>9153</v>
      </c>
      <c r="H8" s="65">
        <v>477</v>
      </c>
      <c r="I8" s="65">
        <v>488</v>
      </c>
      <c r="J8" s="65">
        <v>329</v>
      </c>
      <c r="K8" s="65">
        <v>323</v>
      </c>
      <c r="L8" s="65">
        <v>0</v>
      </c>
      <c r="M8" s="65">
        <v>10447</v>
      </c>
      <c r="N8" s="65">
        <v>1878</v>
      </c>
      <c r="O8" s="65">
        <v>0</v>
      </c>
      <c r="P8" s="65">
        <v>0</v>
      </c>
      <c r="Q8" s="65">
        <v>0</v>
      </c>
      <c r="R8" s="65">
        <v>0</v>
      </c>
      <c r="S8" s="65">
        <v>1878</v>
      </c>
      <c r="T8" s="65">
        <v>0</v>
      </c>
      <c r="U8" s="65">
        <v>0</v>
      </c>
      <c r="V8" s="65">
        <v>0</v>
      </c>
      <c r="W8" s="65">
        <v>0</v>
      </c>
      <c r="X8" s="65">
        <v>0</v>
      </c>
      <c r="Y8" s="65">
        <v>0</v>
      </c>
      <c r="Z8" s="65">
        <v>0</v>
      </c>
      <c r="AA8" s="65">
        <v>0</v>
      </c>
      <c r="AB8" s="65">
        <v>0</v>
      </c>
      <c r="AC8" s="65">
        <v>2847</v>
      </c>
      <c r="AD8" s="65">
        <v>4725</v>
      </c>
      <c r="AE8" s="65">
        <v>5722</v>
      </c>
      <c r="AF8" s="61">
        <v>10447</v>
      </c>
      <c r="AY8" s="124"/>
      <c r="BC8" s="124"/>
      <c r="BK8" s="71"/>
    </row>
    <row r="9" spans="1:65" ht="13" hidden="1" outlineLevel="1" x14ac:dyDescent="0.3">
      <c r="A9" s="65" t="s">
        <v>123</v>
      </c>
      <c r="B9" s="60">
        <v>5</v>
      </c>
      <c r="C9" s="60">
        <v>19667</v>
      </c>
      <c r="D9" s="65">
        <v>3674</v>
      </c>
      <c r="E9" s="65">
        <v>0</v>
      </c>
      <c r="F9" s="65">
        <v>0</v>
      </c>
      <c r="G9" s="65">
        <v>23341</v>
      </c>
      <c r="H9" s="65">
        <v>7756</v>
      </c>
      <c r="I9" s="65">
        <v>1155</v>
      </c>
      <c r="J9" s="65">
        <v>258</v>
      </c>
      <c r="K9" s="65">
        <v>246</v>
      </c>
      <c r="L9" s="65">
        <v>0</v>
      </c>
      <c r="M9" s="65">
        <v>32510</v>
      </c>
      <c r="N9" s="65">
        <v>1813</v>
      </c>
      <c r="O9" s="65">
        <v>0</v>
      </c>
      <c r="P9" s="65">
        <v>0</v>
      </c>
      <c r="Q9" s="65">
        <v>0</v>
      </c>
      <c r="R9" s="65">
        <v>0</v>
      </c>
      <c r="S9" s="65">
        <v>1813</v>
      </c>
      <c r="T9" s="65">
        <v>6</v>
      </c>
      <c r="U9" s="65">
        <v>0</v>
      </c>
      <c r="V9" s="65">
        <v>0</v>
      </c>
      <c r="W9" s="65">
        <v>0</v>
      </c>
      <c r="X9" s="65">
        <v>0</v>
      </c>
      <c r="Y9" s="65">
        <v>6</v>
      </c>
      <c r="Z9" s="65">
        <v>0</v>
      </c>
      <c r="AA9" s="65">
        <v>201</v>
      </c>
      <c r="AB9" s="65">
        <v>207</v>
      </c>
      <c r="AC9" s="65">
        <v>2431</v>
      </c>
      <c r="AD9" s="65">
        <v>4451</v>
      </c>
      <c r="AE9" s="65">
        <v>28059</v>
      </c>
      <c r="AF9" s="61">
        <v>32510</v>
      </c>
      <c r="AY9" s="124"/>
      <c r="BC9" s="124"/>
      <c r="BK9" s="71"/>
    </row>
    <row r="10" spans="1:65" ht="13" hidden="1" outlineLevel="1" x14ac:dyDescent="0.3">
      <c r="A10" s="65" t="s">
        <v>308</v>
      </c>
      <c r="B10" s="60">
        <v>6</v>
      </c>
      <c r="C10" s="60">
        <v>19908</v>
      </c>
      <c r="D10" s="65">
        <v>8574</v>
      </c>
      <c r="E10" s="65">
        <v>0</v>
      </c>
      <c r="F10" s="65">
        <v>0</v>
      </c>
      <c r="G10" s="65">
        <v>28482</v>
      </c>
      <c r="H10" s="65">
        <v>3604</v>
      </c>
      <c r="I10" s="65">
        <v>1144</v>
      </c>
      <c r="J10" s="65">
        <v>862</v>
      </c>
      <c r="K10" s="65">
        <v>846</v>
      </c>
      <c r="L10" s="65">
        <v>0</v>
      </c>
      <c r="M10" s="65">
        <v>34092</v>
      </c>
      <c r="N10" s="65">
        <v>3920</v>
      </c>
      <c r="O10" s="65">
        <v>0</v>
      </c>
      <c r="P10" s="65">
        <v>0</v>
      </c>
      <c r="Q10" s="65">
        <v>0</v>
      </c>
      <c r="R10" s="65">
        <v>0</v>
      </c>
      <c r="S10" s="65">
        <v>3920</v>
      </c>
      <c r="T10" s="65">
        <v>0</v>
      </c>
      <c r="U10" s="65">
        <v>0</v>
      </c>
      <c r="V10" s="65">
        <v>0</v>
      </c>
      <c r="W10" s="65">
        <v>0</v>
      </c>
      <c r="X10" s="65">
        <v>0</v>
      </c>
      <c r="Y10" s="65">
        <v>0</v>
      </c>
      <c r="Z10" s="65">
        <v>0</v>
      </c>
      <c r="AA10" s="65">
        <v>45</v>
      </c>
      <c r="AB10" s="65">
        <v>45</v>
      </c>
      <c r="AC10" s="65">
        <v>6697</v>
      </c>
      <c r="AD10" s="65">
        <v>10662</v>
      </c>
      <c r="AE10" s="65">
        <v>23430</v>
      </c>
      <c r="AF10" s="61">
        <v>34092</v>
      </c>
      <c r="AY10" s="124"/>
      <c r="BC10" s="124"/>
      <c r="BK10" s="71"/>
    </row>
    <row r="11" spans="1:65" ht="13" hidden="1" outlineLevel="1" x14ac:dyDescent="0.3">
      <c r="A11" s="65" t="s">
        <v>130</v>
      </c>
      <c r="B11" s="60">
        <v>7</v>
      </c>
      <c r="C11" s="60">
        <v>5993</v>
      </c>
      <c r="D11" s="65">
        <v>4433</v>
      </c>
      <c r="E11" s="65">
        <v>0</v>
      </c>
      <c r="F11" s="65">
        <v>0</v>
      </c>
      <c r="G11" s="65">
        <v>10426</v>
      </c>
      <c r="H11" s="65">
        <v>1096</v>
      </c>
      <c r="I11" s="65">
        <v>1053</v>
      </c>
      <c r="J11" s="65">
        <v>54</v>
      </c>
      <c r="K11" s="65">
        <v>12</v>
      </c>
      <c r="L11" s="65">
        <v>0</v>
      </c>
      <c r="M11" s="65">
        <v>12629</v>
      </c>
      <c r="N11" s="65">
        <v>98</v>
      </c>
      <c r="O11" s="65">
        <v>0</v>
      </c>
      <c r="P11" s="65">
        <v>0</v>
      </c>
      <c r="Q11" s="65">
        <v>0</v>
      </c>
      <c r="R11" s="65">
        <v>0</v>
      </c>
      <c r="S11" s="65">
        <v>98</v>
      </c>
      <c r="T11" s="65">
        <v>0</v>
      </c>
      <c r="U11" s="65">
        <v>0</v>
      </c>
      <c r="V11" s="65">
        <v>0</v>
      </c>
      <c r="W11" s="65">
        <v>0</v>
      </c>
      <c r="X11" s="65">
        <v>0</v>
      </c>
      <c r="Y11" s="65">
        <v>0</v>
      </c>
      <c r="Z11" s="65">
        <v>0</v>
      </c>
      <c r="AA11" s="65">
        <v>0</v>
      </c>
      <c r="AB11" s="65">
        <v>0</v>
      </c>
      <c r="AC11" s="65">
        <v>2702</v>
      </c>
      <c r="AD11" s="65">
        <v>2800</v>
      </c>
      <c r="AE11" s="65">
        <v>9829</v>
      </c>
      <c r="AF11" s="61">
        <v>12629</v>
      </c>
      <c r="AY11" s="124"/>
      <c r="BC11" s="124"/>
      <c r="BK11" s="71"/>
    </row>
    <row r="12" spans="1:65" ht="13" hidden="1" outlineLevel="1" x14ac:dyDescent="0.3">
      <c r="A12" s="65" t="s">
        <v>131</v>
      </c>
      <c r="B12" s="60">
        <v>8</v>
      </c>
      <c r="C12" s="60">
        <v>23764</v>
      </c>
      <c r="D12" s="65">
        <v>17741</v>
      </c>
      <c r="E12" s="65">
        <v>0</v>
      </c>
      <c r="F12" s="65">
        <v>0</v>
      </c>
      <c r="G12" s="65">
        <v>41505</v>
      </c>
      <c r="H12" s="65">
        <v>2600</v>
      </c>
      <c r="I12" s="65">
        <v>661</v>
      </c>
      <c r="J12" s="65">
        <v>124</v>
      </c>
      <c r="K12" s="65">
        <v>70</v>
      </c>
      <c r="L12" s="65">
        <v>0</v>
      </c>
      <c r="M12" s="65">
        <v>44890</v>
      </c>
      <c r="N12" s="65">
        <v>20</v>
      </c>
      <c r="O12" s="65">
        <v>0</v>
      </c>
      <c r="P12" s="65">
        <v>0</v>
      </c>
      <c r="Q12" s="65">
        <v>0</v>
      </c>
      <c r="R12" s="65">
        <v>0</v>
      </c>
      <c r="S12" s="65">
        <v>20</v>
      </c>
      <c r="T12" s="65">
        <v>0</v>
      </c>
      <c r="U12" s="65">
        <v>0</v>
      </c>
      <c r="V12" s="65">
        <v>0</v>
      </c>
      <c r="W12" s="65">
        <v>0</v>
      </c>
      <c r="X12" s="65">
        <v>0</v>
      </c>
      <c r="Y12" s="65">
        <v>0</v>
      </c>
      <c r="Z12" s="65">
        <v>0</v>
      </c>
      <c r="AA12" s="65">
        <v>0</v>
      </c>
      <c r="AB12" s="65">
        <v>0</v>
      </c>
      <c r="AC12" s="65">
        <v>18838</v>
      </c>
      <c r="AD12" s="65">
        <v>18858</v>
      </c>
      <c r="AE12" s="65">
        <v>26032</v>
      </c>
      <c r="AF12" s="61">
        <v>44890</v>
      </c>
      <c r="AY12" s="124"/>
      <c r="BC12" s="124"/>
      <c r="BK12" s="71"/>
    </row>
    <row r="13" spans="1:65" ht="13" hidden="1" outlineLevel="1" x14ac:dyDescent="0.3">
      <c r="A13" s="65" t="s">
        <v>135</v>
      </c>
      <c r="B13" s="60">
        <v>9</v>
      </c>
      <c r="C13" s="60">
        <v>25169</v>
      </c>
      <c r="D13" s="65">
        <v>9041</v>
      </c>
      <c r="E13" s="65">
        <v>0</v>
      </c>
      <c r="F13" s="65">
        <v>0</v>
      </c>
      <c r="G13" s="65">
        <v>34210</v>
      </c>
      <c r="H13" s="65">
        <v>2072</v>
      </c>
      <c r="I13" s="65">
        <v>1189</v>
      </c>
      <c r="J13" s="65">
        <v>830</v>
      </c>
      <c r="K13" s="65">
        <v>768</v>
      </c>
      <c r="L13" s="65">
        <v>0</v>
      </c>
      <c r="M13" s="65">
        <v>38301</v>
      </c>
      <c r="N13" s="65">
        <v>5048</v>
      </c>
      <c r="O13" s="65">
        <v>0</v>
      </c>
      <c r="P13" s="65">
        <v>0</v>
      </c>
      <c r="Q13" s="65">
        <v>0</v>
      </c>
      <c r="R13" s="65">
        <v>0</v>
      </c>
      <c r="S13" s="65">
        <v>5048</v>
      </c>
      <c r="T13" s="65">
        <v>0</v>
      </c>
      <c r="U13" s="65">
        <v>0</v>
      </c>
      <c r="V13" s="65">
        <v>0</v>
      </c>
      <c r="W13" s="65">
        <v>0</v>
      </c>
      <c r="X13" s="65">
        <v>0</v>
      </c>
      <c r="Y13" s="65">
        <v>0</v>
      </c>
      <c r="Z13" s="65">
        <v>0</v>
      </c>
      <c r="AA13" s="65">
        <v>0</v>
      </c>
      <c r="AB13" s="65">
        <v>0</v>
      </c>
      <c r="AC13" s="65">
        <v>7017</v>
      </c>
      <c r="AD13" s="65">
        <v>12065</v>
      </c>
      <c r="AE13" s="65">
        <v>26236</v>
      </c>
      <c r="AF13" s="61">
        <v>38301</v>
      </c>
      <c r="AY13" s="124"/>
      <c r="BC13" s="124"/>
      <c r="BK13" s="71"/>
    </row>
    <row r="14" spans="1:65" ht="13" hidden="1" outlineLevel="1" x14ac:dyDescent="0.3">
      <c r="A14" s="65" t="s">
        <v>136</v>
      </c>
      <c r="B14" s="60">
        <v>10</v>
      </c>
      <c r="C14" s="60">
        <v>27396</v>
      </c>
      <c r="D14" s="65">
        <v>14686</v>
      </c>
      <c r="E14" s="65">
        <v>0</v>
      </c>
      <c r="F14" s="65">
        <v>0</v>
      </c>
      <c r="G14" s="65">
        <v>42082</v>
      </c>
      <c r="H14" s="65">
        <v>2431</v>
      </c>
      <c r="I14" s="65">
        <v>965</v>
      </c>
      <c r="J14" s="65">
        <v>8</v>
      </c>
      <c r="K14" s="65">
        <v>5</v>
      </c>
      <c r="L14" s="65">
        <v>0</v>
      </c>
      <c r="M14" s="65">
        <v>45486</v>
      </c>
      <c r="N14" s="65">
        <v>0</v>
      </c>
      <c r="O14" s="65">
        <v>0</v>
      </c>
      <c r="P14" s="65">
        <v>0</v>
      </c>
      <c r="Q14" s="65">
        <v>0</v>
      </c>
      <c r="R14" s="65">
        <v>0</v>
      </c>
      <c r="S14" s="65">
        <v>0</v>
      </c>
      <c r="T14" s="65">
        <v>0</v>
      </c>
      <c r="U14" s="65">
        <v>0</v>
      </c>
      <c r="V14" s="65">
        <v>0</v>
      </c>
      <c r="W14" s="65">
        <v>0</v>
      </c>
      <c r="X14" s="65">
        <v>0</v>
      </c>
      <c r="Y14" s="65">
        <v>0</v>
      </c>
      <c r="Z14" s="65">
        <v>0</v>
      </c>
      <c r="AA14" s="65">
        <v>80</v>
      </c>
      <c r="AB14" s="65">
        <v>80</v>
      </c>
      <c r="AC14" s="65">
        <v>16496</v>
      </c>
      <c r="AD14" s="65">
        <v>16576</v>
      </c>
      <c r="AE14" s="65">
        <v>28910</v>
      </c>
      <c r="AF14" s="61">
        <v>45486</v>
      </c>
      <c r="AY14" s="124"/>
      <c r="BC14" s="124"/>
      <c r="BK14" s="71"/>
    </row>
    <row r="15" spans="1:65" ht="13" hidden="1" outlineLevel="1" x14ac:dyDescent="0.3">
      <c r="A15" s="65" t="s">
        <v>137</v>
      </c>
      <c r="B15" s="60">
        <v>11</v>
      </c>
      <c r="C15" s="60">
        <v>12661</v>
      </c>
      <c r="D15" s="65">
        <v>12431</v>
      </c>
      <c r="E15" s="65">
        <v>0</v>
      </c>
      <c r="F15" s="65">
        <v>0</v>
      </c>
      <c r="G15" s="65">
        <v>25092</v>
      </c>
      <c r="H15" s="65">
        <v>1737</v>
      </c>
      <c r="I15" s="65">
        <v>361</v>
      </c>
      <c r="J15" s="65">
        <v>12</v>
      </c>
      <c r="K15" s="65">
        <v>0</v>
      </c>
      <c r="L15" s="65">
        <v>0</v>
      </c>
      <c r="M15" s="65">
        <v>27202</v>
      </c>
      <c r="N15" s="65">
        <v>164</v>
      </c>
      <c r="O15" s="65">
        <v>0</v>
      </c>
      <c r="P15" s="65">
        <v>0</v>
      </c>
      <c r="Q15" s="65">
        <v>0</v>
      </c>
      <c r="R15" s="65">
        <v>0</v>
      </c>
      <c r="S15" s="65">
        <v>164</v>
      </c>
      <c r="T15" s="65">
        <v>0</v>
      </c>
      <c r="U15" s="65">
        <v>0</v>
      </c>
      <c r="V15" s="65">
        <v>0</v>
      </c>
      <c r="W15" s="65">
        <v>0</v>
      </c>
      <c r="X15" s="65">
        <v>0</v>
      </c>
      <c r="Y15" s="65">
        <v>0</v>
      </c>
      <c r="Z15" s="65">
        <v>330</v>
      </c>
      <c r="AA15" s="65">
        <v>0</v>
      </c>
      <c r="AB15" s="65">
        <v>330</v>
      </c>
      <c r="AC15" s="65">
        <v>9350</v>
      </c>
      <c r="AD15" s="65">
        <v>9844</v>
      </c>
      <c r="AE15" s="65">
        <v>17358</v>
      </c>
      <c r="AF15" s="61">
        <v>27202</v>
      </c>
      <c r="AY15" s="124"/>
      <c r="BC15" s="124"/>
      <c r="BK15" s="71"/>
    </row>
    <row r="16" spans="1:65" ht="13" hidden="1" outlineLevel="1" x14ac:dyDescent="0.3">
      <c r="A16" s="95" t="s">
        <v>760</v>
      </c>
      <c r="B16" s="60">
        <v>12</v>
      </c>
      <c r="C16" s="60">
        <v>434957.8</v>
      </c>
      <c r="D16" s="65">
        <v>211205.2</v>
      </c>
      <c r="E16" s="65">
        <v>0</v>
      </c>
      <c r="F16" s="65">
        <v>0</v>
      </c>
      <c r="G16" s="65">
        <v>646163</v>
      </c>
      <c r="H16" s="65">
        <v>136719.4</v>
      </c>
      <c r="I16" s="65">
        <v>15795</v>
      </c>
      <c r="J16" s="65">
        <v>32908.699999999997</v>
      </c>
      <c r="K16" s="65">
        <v>30532.6</v>
      </c>
      <c r="L16" s="65">
        <v>-43</v>
      </c>
      <c r="M16" s="65">
        <v>831543.1</v>
      </c>
      <c r="N16" s="65">
        <v>179280.6</v>
      </c>
      <c r="O16" s="65">
        <v>0</v>
      </c>
      <c r="P16" s="65">
        <v>27652.799999999999</v>
      </c>
      <c r="Q16" s="65">
        <v>27652.799999999999</v>
      </c>
      <c r="R16" s="65">
        <v>0</v>
      </c>
      <c r="S16" s="65">
        <v>206933.4</v>
      </c>
      <c r="T16" s="65">
        <v>64075.5</v>
      </c>
      <c r="U16" s="65">
        <v>0</v>
      </c>
      <c r="V16" s="65">
        <v>3656</v>
      </c>
      <c r="W16" s="65">
        <v>5715.7</v>
      </c>
      <c r="X16" s="65">
        <v>678</v>
      </c>
      <c r="Y16" s="65">
        <v>74125.2</v>
      </c>
      <c r="Z16" s="65">
        <v>476</v>
      </c>
      <c r="AA16" s="65">
        <v>2179.3000000000002</v>
      </c>
      <c r="AB16" s="65">
        <v>76780.5</v>
      </c>
      <c r="AC16" s="65">
        <v>209671.1</v>
      </c>
      <c r="AD16" s="65">
        <v>493385</v>
      </c>
      <c r="AE16" s="65">
        <v>338158.1</v>
      </c>
      <c r="AF16" s="61">
        <v>831543.1</v>
      </c>
      <c r="AY16" s="124"/>
      <c r="BC16" s="124"/>
      <c r="BK16" s="71"/>
    </row>
    <row r="17" spans="1:63" ht="13" hidden="1" outlineLevel="1" x14ac:dyDescent="0.3">
      <c r="A17" s="65" t="s">
        <v>310</v>
      </c>
      <c r="B17" s="60">
        <v>13</v>
      </c>
      <c r="C17" s="60">
        <v>229731</v>
      </c>
      <c r="D17" s="65">
        <v>0</v>
      </c>
      <c r="E17" s="65">
        <v>0</v>
      </c>
      <c r="F17" s="65">
        <v>0</v>
      </c>
      <c r="G17" s="65">
        <v>229731</v>
      </c>
      <c r="H17" s="65">
        <v>0</v>
      </c>
      <c r="I17" s="65">
        <v>0</v>
      </c>
      <c r="J17" s="65">
        <v>21742</v>
      </c>
      <c r="K17" s="65">
        <v>20944</v>
      </c>
      <c r="L17" s="65">
        <v>-69</v>
      </c>
      <c r="M17" s="65">
        <v>251404</v>
      </c>
      <c r="N17" s="65">
        <v>10499</v>
      </c>
      <c r="O17" s="65">
        <v>0</v>
      </c>
      <c r="P17" s="65">
        <v>0</v>
      </c>
      <c r="Q17" s="65">
        <v>0</v>
      </c>
      <c r="R17" s="65">
        <v>0</v>
      </c>
      <c r="S17" s="65">
        <v>10499</v>
      </c>
      <c r="T17" s="65">
        <v>51899</v>
      </c>
      <c r="U17" s="65">
        <v>80093</v>
      </c>
      <c r="V17" s="65">
        <v>8271</v>
      </c>
      <c r="W17" s="65">
        <v>44828</v>
      </c>
      <c r="X17" s="65">
        <v>1303</v>
      </c>
      <c r="Y17" s="65">
        <v>186394</v>
      </c>
      <c r="Z17" s="65">
        <v>0</v>
      </c>
      <c r="AA17" s="65">
        <v>0</v>
      </c>
      <c r="AB17" s="65">
        <v>186394</v>
      </c>
      <c r="AC17" s="65">
        <v>0</v>
      </c>
      <c r="AD17" s="65">
        <v>196893</v>
      </c>
      <c r="AE17" s="65">
        <v>54511</v>
      </c>
      <c r="AF17" s="61">
        <v>251404</v>
      </c>
      <c r="AY17" s="124"/>
      <c r="BC17" s="124"/>
      <c r="BK17" s="71"/>
    </row>
    <row r="18" spans="1:63" ht="13" hidden="1" outlineLevel="1" x14ac:dyDescent="0.3">
      <c r="A18" s="65" t="s">
        <v>152</v>
      </c>
      <c r="B18" s="60">
        <v>14</v>
      </c>
      <c r="C18" s="60">
        <v>10144.709689341518</v>
      </c>
      <c r="D18" s="65">
        <v>0</v>
      </c>
      <c r="E18" s="65">
        <v>1038.7094018848941</v>
      </c>
      <c r="F18" s="65">
        <v>-119</v>
      </c>
      <c r="G18" s="65">
        <v>11064.419091226413</v>
      </c>
      <c r="H18" s="65">
        <v>0</v>
      </c>
      <c r="I18" s="65">
        <v>-1632.5393712912962</v>
      </c>
      <c r="J18" s="65">
        <v>291.27117426031253</v>
      </c>
      <c r="K18" s="65">
        <v>291.27117426031253</v>
      </c>
      <c r="L18" s="65">
        <v>-1794</v>
      </c>
      <c r="M18" s="65">
        <v>7929.1508941954298</v>
      </c>
      <c r="N18" s="65">
        <v>4179.7052337638343</v>
      </c>
      <c r="O18" s="65">
        <v>0</v>
      </c>
      <c r="P18" s="65">
        <v>190</v>
      </c>
      <c r="Q18" s="65">
        <v>190</v>
      </c>
      <c r="R18" s="65">
        <v>0</v>
      </c>
      <c r="S18" s="65">
        <v>4369.7052337638343</v>
      </c>
      <c r="T18" s="65">
        <v>0</v>
      </c>
      <c r="U18" s="65">
        <v>0</v>
      </c>
      <c r="V18" s="65">
        <v>0</v>
      </c>
      <c r="W18" s="65">
        <v>0</v>
      </c>
      <c r="X18" s="65">
        <v>0</v>
      </c>
      <c r="Y18" s="65">
        <v>0</v>
      </c>
      <c r="Z18" s="65">
        <v>0</v>
      </c>
      <c r="AA18" s="65">
        <v>-4.4956162864710594</v>
      </c>
      <c r="AB18" s="65">
        <v>-4.4956162864710594</v>
      </c>
      <c r="AC18" s="65">
        <v>1351.3973677186211</v>
      </c>
      <c r="AD18" s="65">
        <v>5716.6069851959837</v>
      </c>
      <c r="AE18" s="65">
        <v>2212.5439089994456</v>
      </c>
      <c r="AF18" s="61">
        <v>7929.1508941954298</v>
      </c>
      <c r="AY18" s="124"/>
      <c r="BC18" s="124"/>
      <c r="BK18" s="71"/>
    </row>
    <row r="19" spans="1:63" ht="13" hidden="1" outlineLevel="1" x14ac:dyDescent="0.3">
      <c r="A19" s="65" t="s">
        <v>153</v>
      </c>
      <c r="B19" s="60">
        <v>15</v>
      </c>
      <c r="C19" s="60">
        <v>17708</v>
      </c>
      <c r="D19" s="65">
        <v>0</v>
      </c>
      <c r="E19" s="65">
        <v>0</v>
      </c>
      <c r="F19" s="65">
        <v>0</v>
      </c>
      <c r="G19" s="65">
        <v>17708</v>
      </c>
      <c r="H19" s="65">
        <v>0</v>
      </c>
      <c r="I19" s="65">
        <v>0</v>
      </c>
      <c r="J19" s="65">
        <v>768</v>
      </c>
      <c r="K19" s="65">
        <v>704</v>
      </c>
      <c r="L19" s="65">
        <v>-3393</v>
      </c>
      <c r="M19" s="65">
        <v>15083</v>
      </c>
      <c r="N19" s="65">
        <v>9238</v>
      </c>
      <c r="O19" s="65">
        <v>0</v>
      </c>
      <c r="P19" s="65">
        <v>1630</v>
      </c>
      <c r="Q19" s="65">
        <v>1630</v>
      </c>
      <c r="R19" s="65">
        <v>0</v>
      </c>
      <c r="S19" s="65">
        <v>10868</v>
      </c>
      <c r="T19" s="65">
        <v>0</v>
      </c>
      <c r="U19" s="65">
        <v>0</v>
      </c>
      <c r="V19" s="65">
        <v>0</v>
      </c>
      <c r="W19" s="65">
        <v>0</v>
      </c>
      <c r="X19" s="65">
        <v>0</v>
      </c>
      <c r="Y19" s="65">
        <v>0</v>
      </c>
      <c r="Z19" s="65">
        <v>0</v>
      </c>
      <c r="AA19" s="65">
        <v>0</v>
      </c>
      <c r="AB19" s="65">
        <v>0</v>
      </c>
      <c r="AC19" s="65">
        <v>0</v>
      </c>
      <c r="AD19" s="65">
        <v>10868</v>
      </c>
      <c r="AE19" s="65">
        <v>4215</v>
      </c>
      <c r="AF19" s="61">
        <v>15083</v>
      </c>
      <c r="AY19" s="124"/>
      <c r="BC19" s="124"/>
      <c r="BK19" s="71"/>
    </row>
    <row r="20" spans="1:63" ht="13" hidden="1" outlineLevel="1" x14ac:dyDescent="0.3">
      <c r="A20" s="65" t="s">
        <v>154</v>
      </c>
      <c r="B20" s="60">
        <v>16</v>
      </c>
      <c r="C20" s="60">
        <v>51998.142604885004</v>
      </c>
      <c r="D20" s="65">
        <v>0</v>
      </c>
      <c r="E20" s="65">
        <v>8981.7359886894628</v>
      </c>
      <c r="F20" s="65">
        <v>-3788</v>
      </c>
      <c r="G20" s="65">
        <v>57191.878593574467</v>
      </c>
      <c r="H20" s="65">
        <v>0</v>
      </c>
      <c r="I20" s="65">
        <v>-33066.79393759845</v>
      </c>
      <c r="J20" s="65">
        <v>243.4210271587846</v>
      </c>
      <c r="K20" s="65">
        <v>243.4210271587846</v>
      </c>
      <c r="L20" s="65">
        <v>0</v>
      </c>
      <c r="M20" s="65">
        <v>24368.505683134805</v>
      </c>
      <c r="N20" s="65">
        <v>678.12576813983299</v>
      </c>
      <c r="O20" s="65">
        <v>0</v>
      </c>
      <c r="P20" s="65">
        <v>4</v>
      </c>
      <c r="Q20" s="65">
        <v>4</v>
      </c>
      <c r="R20" s="65">
        <v>0</v>
      </c>
      <c r="S20" s="65">
        <v>682.12576813983299</v>
      </c>
      <c r="T20" s="65">
        <v>0</v>
      </c>
      <c r="U20" s="65">
        <v>0</v>
      </c>
      <c r="V20" s="65">
        <v>0</v>
      </c>
      <c r="W20" s="65">
        <v>0</v>
      </c>
      <c r="X20" s="65">
        <v>0</v>
      </c>
      <c r="Y20" s="65">
        <v>0</v>
      </c>
      <c r="Z20" s="65">
        <v>0</v>
      </c>
      <c r="AA20" s="65">
        <v>-100.51338873228696</v>
      </c>
      <c r="AB20" s="65">
        <v>-100.51338873228696</v>
      </c>
      <c r="AC20" s="65">
        <v>4060.4969655726695</v>
      </c>
      <c r="AD20" s="65">
        <v>4642.1093449802156</v>
      </c>
      <c r="AE20" s="65">
        <v>19726.396338154587</v>
      </c>
      <c r="AF20" s="61">
        <v>24368.505683134805</v>
      </c>
      <c r="AY20" s="124"/>
      <c r="BC20" s="124"/>
      <c r="BK20" s="71"/>
    </row>
    <row r="21" spans="1:63" ht="13" hidden="1" outlineLevel="1" x14ac:dyDescent="0.3">
      <c r="A21" s="65" t="s">
        <v>155</v>
      </c>
      <c r="B21" s="60">
        <v>17</v>
      </c>
      <c r="C21" s="60">
        <v>12381.120558721816</v>
      </c>
      <c r="D21" s="65">
        <v>0</v>
      </c>
      <c r="E21" s="65">
        <v>6131.2772460482047</v>
      </c>
      <c r="F21" s="65">
        <v>-6704</v>
      </c>
      <c r="G21" s="65">
        <v>11808.39780477002</v>
      </c>
      <c r="H21" s="65">
        <v>0</v>
      </c>
      <c r="I21" s="65">
        <v>-2539.100656750391</v>
      </c>
      <c r="J21" s="65">
        <v>13.289932271699309</v>
      </c>
      <c r="K21" s="65">
        <v>13.289932271699309</v>
      </c>
      <c r="L21" s="65">
        <v>-130</v>
      </c>
      <c r="M21" s="65">
        <v>9152.5870802913287</v>
      </c>
      <c r="N21" s="65">
        <v>359.12064085227956</v>
      </c>
      <c r="O21" s="65">
        <v>0</v>
      </c>
      <c r="P21" s="65">
        <v>0</v>
      </c>
      <c r="Q21" s="65">
        <v>0</v>
      </c>
      <c r="R21" s="65">
        <v>0</v>
      </c>
      <c r="S21" s="65">
        <v>359.12064085227956</v>
      </c>
      <c r="T21" s="65">
        <v>0</v>
      </c>
      <c r="U21" s="65">
        <v>0</v>
      </c>
      <c r="V21" s="65">
        <v>0</v>
      </c>
      <c r="W21" s="65">
        <v>0</v>
      </c>
      <c r="X21" s="65">
        <v>0</v>
      </c>
      <c r="Y21" s="65">
        <v>0</v>
      </c>
      <c r="Z21" s="65">
        <v>0</v>
      </c>
      <c r="AA21" s="65">
        <v>-29.31805315600975</v>
      </c>
      <c r="AB21" s="65">
        <v>-29.31805315600975</v>
      </c>
      <c r="AC21" s="65">
        <v>4431.6470531296109</v>
      </c>
      <c r="AD21" s="65">
        <v>4761.4496408258801</v>
      </c>
      <c r="AE21" s="65">
        <v>4391.1374394654486</v>
      </c>
      <c r="AF21" s="61">
        <v>9152.5870802913287</v>
      </c>
      <c r="AY21" s="124"/>
      <c r="BC21" s="124"/>
      <c r="BK21" s="71"/>
    </row>
    <row r="22" spans="1:63" ht="13" hidden="1" outlineLevel="1" x14ac:dyDescent="0.3">
      <c r="A22" s="65" t="s">
        <v>156</v>
      </c>
      <c r="B22" s="60">
        <v>18</v>
      </c>
      <c r="C22" s="60">
        <v>18849.027147051664</v>
      </c>
      <c r="D22" s="65">
        <v>0</v>
      </c>
      <c r="E22" s="65">
        <v>7701.2773633774395</v>
      </c>
      <c r="F22" s="65">
        <v>-2151</v>
      </c>
      <c r="G22" s="65">
        <v>24399.304510429101</v>
      </c>
      <c r="H22" s="65">
        <v>0</v>
      </c>
      <c r="I22" s="65">
        <v>-634.56603435986642</v>
      </c>
      <c r="J22" s="65">
        <v>543.01786630920355</v>
      </c>
      <c r="K22" s="65">
        <v>158.01786630920361</v>
      </c>
      <c r="L22" s="65">
        <v>-67</v>
      </c>
      <c r="M22" s="65">
        <v>24240.756342378441</v>
      </c>
      <c r="N22" s="65">
        <v>7336.0483572440535</v>
      </c>
      <c r="O22" s="65">
        <v>0</v>
      </c>
      <c r="P22" s="65">
        <v>0</v>
      </c>
      <c r="Q22" s="65">
        <v>0</v>
      </c>
      <c r="R22" s="65">
        <v>0</v>
      </c>
      <c r="S22" s="65">
        <v>7336.0483572440535</v>
      </c>
      <c r="T22" s="65">
        <v>0</v>
      </c>
      <c r="U22" s="65">
        <v>0</v>
      </c>
      <c r="V22" s="65">
        <v>0</v>
      </c>
      <c r="W22" s="65">
        <v>0</v>
      </c>
      <c r="X22" s="65">
        <v>0</v>
      </c>
      <c r="Y22" s="65">
        <v>0</v>
      </c>
      <c r="Z22" s="65">
        <v>0</v>
      </c>
      <c r="AA22" s="65">
        <v>-10.67294182523224</v>
      </c>
      <c r="AB22" s="65">
        <v>-10.67294182523224</v>
      </c>
      <c r="AC22" s="65">
        <v>7626.4586135790987</v>
      </c>
      <c r="AD22" s="65">
        <v>14951.834028997921</v>
      </c>
      <c r="AE22" s="65">
        <v>9288.922313380519</v>
      </c>
      <c r="AF22" s="61">
        <v>24240.756342378441</v>
      </c>
      <c r="AY22" s="124"/>
      <c r="BC22" s="124"/>
      <c r="BK22" s="71"/>
    </row>
    <row r="23" spans="1:63" ht="13" hidden="1" outlineLevel="1" x14ac:dyDescent="0.3">
      <c r="A23" s="65" t="s">
        <v>311</v>
      </c>
      <c r="B23" s="60">
        <v>19</v>
      </c>
      <c r="C23" s="60">
        <v>1606209</v>
      </c>
      <c r="D23" s="65">
        <v>0</v>
      </c>
      <c r="E23" s="65">
        <v>42347</v>
      </c>
      <c r="F23" s="65">
        <v>-109</v>
      </c>
      <c r="G23" s="65">
        <v>1648447</v>
      </c>
      <c r="H23" s="65">
        <v>-271836</v>
      </c>
      <c r="I23" s="65">
        <v>0</v>
      </c>
      <c r="J23" s="65">
        <v>65171</v>
      </c>
      <c r="K23" s="65">
        <v>37902</v>
      </c>
      <c r="L23" s="65">
        <v>-1388</v>
      </c>
      <c r="M23" s="65">
        <v>1440394</v>
      </c>
      <c r="N23" s="65">
        <v>470867</v>
      </c>
      <c r="O23" s="65">
        <v>0</v>
      </c>
      <c r="P23" s="65">
        <v>81912</v>
      </c>
      <c r="Q23" s="65">
        <v>81912</v>
      </c>
      <c r="R23" s="65">
        <v>4109</v>
      </c>
      <c r="S23" s="65">
        <v>556888</v>
      </c>
      <c r="T23" s="65">
        <v>54082</v>
      </c>
      <c r="U23" s="65">
        <v>27042</v>
      </c>
      <c r="V23" s="65">
        <v>3360</v>
      </c>
      <c r="W23" s="65">
        <v>5334</v>
      </c>
      <c r="X23" s="65">
        <v>148</v>
      </c>
      <c r="Y23" s="65">
        <v>89966</v>
      </c>
      <c r="Z23" s="65">
        <v>0</v>
      </c>
      <c r="AA23" s="65">
        <v>491</v>
      </c>
      <c r="AB23" s="65">
        <v>90457</v>
      </c>
      <c r="AC23" s="65">
        <v>42420</v>
      </c>
      <c r="AD23" s="65">
        <v>689765</v>
      </c>
      <c r="AE23" s="65">
        <v>750629</v>
      </c>
      <c r="AF23" s="61">
        <v>1440394</v>
      </c>
      <c r="AY23" s="124"/>
      <c r="BC23" s="124"/>
      <c r="BK23" s="71"/>
    </row>
    <row r="24" spans="1:63" ht="13" hidden="1" outlineLevel="1" x14ac:dyDescent="0.3">
      <c r="A24" s="65" t="s">
        <v>312</v>
      </c>
      <c r="B24" s="60">
        <v>20</v>
      </c>
      <c r="C24" s="60">
        <v>343672</v>
      </c>
      <c r="D24" s="65">
        <v>0</v>
      </c>
      <c r="E24" s="65">
        <v>0</v>
      </c>
      <c r="F24" s="65">
        <v>0</v>
      </c>
      <c r="G24" s="65">
        <v>343672</v>
      </c>
      <c r="H24" s="65">
        <v>0</v>
      </c>
      <c r="I24" s="65">
        <v>0</v>
      </c>
      <c r="J24" s="65">
        <v>0</v>
      </c>
      <c r="K24" s="65">
        <v>0</v>
      </c>
      <c r="L24" s="65">
        <v>0</v>
      </c>
      <c r="M24" s="65">
        <v>343672</v>
      </c>
      <c r="N24" s="65">
        <v>10274</v>
      </c>
      <c r="O24" s="65">
        <v>146868</v>
      </c>
      <c r="P24" s="65">
        <v>164227</v>
      </c>
      <c r="Q24" s="65">
        <v>311095</v>
      </c>
      <c r="R24" s="65">
        <v>19617</v>
      </c>
      <c r="S24" s="65">
        <v>340986</v>
      </c>
      <c r="T24" s="65">
        <v>0</v>
      </c>
      <c r="U24" s="65">
        <v>0</v>
      </c>
      <c r="V24" s="65">
        <v>0</v>
      </c>
      <c r="W24" s="65">
        <v>0</v>
      </c>
      <c r="X24" s="65">
        <v>0</v>
      </c>
      <c r="Y24" s="65">
        <v>0</v>
      </c>
      <c r="Z24" s="65">
        <v>0</v>
      </c>
      <c r="AA24" s="65">
        <v>0</v>
      </c>
      <c r="AB24" s="65">
        <v>0</v>
      </c>
      <c r="AC24" s="65">
        <v>0</v>
      </c>
      <c r="AD24" s="65">
        <v>340986</v>
      </c>
      <c r="AE24" s="65">
        <v>2686</v>
      </c>
      <c r="AF24" s="61">
        <v>343672</v>
      </c>
      <c r="AY24" s="124"/>
      <c r="BC24" s="124"/>
      <c r="BK24" s="71"/>
    </row>
    <row r="25" spans="1:63" ht="13" hidden="1" outlineLevel="1" x14ac:dyDescent="0.3">
      <c r="A25" s="95" t="s">
        <v>761</v>
      </c>
      <c r="B25" s="60">
        <v>21</v>
      </c>
      <c r="C25" s="60">
        <v>131</v>
      </c>
      <c r="D25" s="65">
        <v>1561</v>
      </c>
      <c r="E25" s="65">
        <v>0</v>
      </c>
      <c r="F25" s="65">
        <v>0</v>
      </c>
      <c r="G25" s="65">
        <v>1692</v>
      </c>
      <c r="H25" s="65">
        <v>67</v>
      </c>
      <c r="I25" s="65">
        <v>65</v>
      </c>
      <c r="J25" s="65">
        <v>34</v>
      </c>
      <c r="K25" s="65">
        <v>28</v>
      </c>
      <c r="L25" s="65">
        <v>0</v>
      </c>
      <c r="M25" s="65">
        <v>1858</v>
      </c>
      <c r="N25" s="65">
        <v>65</v>
      </c>
      <c r="O25" s="65">
        <v>0</v>
      </c>
      <c r="P25" s="65">
        <v>0</v>
      </c>
      <c r="Q25" s="65">
        <v>0</v>
      </c>
      <c r="R25" s="65">
        <v>0</v>
      </c>
      <c r="S25" s="65">
        <v>65</v>
      </c>
      <c r="T25" s="65">
        <v>0</v>
      </c>
      <c r="U25" s="65">
        <v>0</v>
      </c>
      <c r="V25" s="65">
        <v>0</v>
      </c>
      <c r="W25" s="65">
        <v>0</v>
      </c>
      <c r="X25" s="65">
        <v>0</v>
      </c>
      <c r="Y25" s="65">
        <v>0</v>
      </c>
      <c r="Z25" s="65">
        <v>0</v>
      </c>
      <c r="AA25" s="65">
        <v>-26</v>
      </c>
      <c r="AB25" s="65">
        <v>-26</v>
      </c>
      <c r="AC25" s="65">
        <v>12</v>
      </c>
      <c r="AD25" s="65">
        <v>51</v>
      </c>
      <c r="AE25" s="65">
        <v>1807</v>
      </c>
      <c r="AF25" s="61">
        <v>1858</v>
      </c>
      <c r="AY25" s="124"/>
      <c r="BC25" s="124"/>
      <c r="BK25" s="71"/>
    </row>
    <row r="26" spans="1:63" ht="13" hidden="1" outlineLevel="1" x14ac:dyDescent="0.3">
      <c r="A26" s="95" t="s">
        <v>762</v>
      </c>
      <c r="B26" s="60">
        <v>22</v>
      </c>
      <c r="C26" s="60">
        <v>50376.336478262776</v>
      </c>
      <c r="D26" s="65">
        <v>49515.781708331509</v>
      </c>
      <c r="E26" s="65">
        <v>0</v>
      </c>
      <c r="F26" s="65">
        <v>0</v>
      </c>
      <c r="G26" s="65">
        <v>99892.118186594278</v>
      </c>
      <c r="H26" s="65">
        <v>13219.039380937787</v>
      </c>
      <c r="I26" s="65">
        <v>2504.9516439735562</v>
      </c>
      <c r="J26" s="65">
        <v>34321.258723348365</v>
      </c>
      <c r="K26" s="65">
        <v>9330</v>
      </c>
      <c r="L26" s="65">
        <v>0</v>
      </c>
      <c r="M26" s="65">
        <v>149937.367934854</v>
      </c>
      <c r="N26" s="65">
        <v>43742</v>
      </c>
      <c r="O26" s="65">
        <v>0</v>
      </c>
      <c r="P26" s="65">
        <v>0</v>
      </c>
      <c r="Q26" s="65">
        <v>0</v>
      </c>
      <c r="R26" s="65">
        <v>0</v>
      </c>
      <c r="S26" s="65">
        <v>43742</v>
      </c>
      <c r="T26" s="65">
        <v>0</v>
      </c>
      <c r="U26" s="65">
        <v>0</v>
      </c>
      <c r="V26" s="65">
        <v>0</v>
      </c>
      <c r="W26" s="65">
        <v>0</v>
      </c>
      <c r="X26" s="65">
        <v>0</v>
      </c>
      <c r="Y26" s="65">
        <v>0</v>
      </c>
      <c r="Z26" s="65">
        <v>0</v>
      </c>
      <c r="AA26" s="65">
        <v>-215.65129591524013</v>
      </c>
      <c r="AB26" s="65">
        <v>-215.65129591524013</v>
      </c>
      <c r="AC26" s="65">
        <v>14197.783361061249</v>
      </c>
      <c r="AD26" s="65">
        <v>57724.132065146012</v>
      </c>
      <c r="AE26" s="65">
        <v>92213.235869707976</v>
      </c>
      <c r="AF26" s="61">
        <v>149937.367934854</v>
      </c>
      <c r="AY26" s="124"/>
      <c r="BC26" s="124"/>
      <c r="BK26" s="71"/>
    </row>
    <row r="27" spans="1:63" ht="13" hidden="1" outlineLevel="1" x14ac:dyDescent="0.3">
      <c r="A27" s="95" t="s">
        <v>763</v>
      </c>
      <c r="B27" s="60">
        <v>23</v>
      </c>
      <c r="C27" s="60">
        <v>46037</v>
      </c>
      <c r="D27" s="65">
        <v>548</v>
      </c>
      <c r="E27" s="65">
        <v>0</v>
      </c>
      <c r="F27" s="65">
        <v>0</v>
      </c>
      <c r="G27" s="65">
        <v>46585</v>
      </c>
      <c r="H27" s="65">
        <v>0</v>
      </c>
      <c r="I27" s="65">
        <v>0</v>
      </c>
      <c r="J27" s="65">
        <v>6640</v>
      </c>
      <c r="K27" s="65">
        <v>3199</v>
      </c>
      <c r="L27" s="65">
        <v>-1535</v>
      </c>
      <c r="M27" s="65">
        <v>51690</v>
      </c>
      <c r="N27" s="65">
        <v>17844</v>
      </c>
      <c r="O27" s="65">
        <v>0</v>
      </c>
      <c r="P27" s="65">
        <v>0</v>
      </c>
      <c r="Q27" s="65">
        <v>0</v>
      </c>
      <c r="R27" s="65">
        <v>0</v>
      </c>
      <c r="S27" s="65">
        <v>17844</v>
      </c>
      <c r="T27" s="65">
        <v>0</v>
      </c>
      <c r="U27" s="65">
        <v>0</v>
      </c>
      <c r="V27" s="65">
        <v>0</v>
      </c>
      <c r="W27" s="65">
        <v>0</v>
      </c>
      <c r="X27" s="65">
        <v>0</v>
      </c>
      <c r="Y27" s="65">
        <v>0</v>
      </c>
      <c r="Z27" s="65">
        <v>0</v>
      </c>
      <c r="AA27" s="65">
        <v>0</v>
      </c>
      <c r="AB27" s="65">
        <v>0</v>
      </c>
      <c r="AC27" s="65">
        <v>3122</v>
      </c>
      <c r="AD27" s="65">
        <v>20966</v>
      </c>
      <c r="AE27" s="65">
        <v>30724</v>
      </c>
      <c r="AF27" s="61">
        <v>51690</v>
      </c>
      <c r="AY27" s="124"/>
      <c r="BC27" s="124"/>
      <c r="BK27" s="71"/>
    </row>
    <row r="28" spans="1:63" ht="13" hidden="1" outlineLevel="1" x14ac:dyDescent="0.3">
      <c r="A28" s="95" t="s">
        <v>764</v>
      </c>
      <c r="B28" s="60">
        <v>24</v>
      </c>
      <c r="C28" s="60">
        <v>23989.663521737228</v>
      </c>
      <c r="D28" s="65">
        <v>11284.218291668491</v>
      </c>
      <c r="E28" s="65">
        <v>0</v>
      </c>
      <c r="F28" s="65">
        <v>0</v>
      </c>
      <c r="G28" s="65">
        <v>35273.881813405715</v>
      </c>
      <c r="H28" s="65">
        <v>10.960619062212686</v>
      </c>
      <c r="I28" s="65">
        <v>1639.0483560264436</v>
      </c>
      <c r="J28" s="65">
        <v>2039.7412766516352</v>
      </c>
      <c r="K28" s="65">
        <v>1827</v>
      </c>
      <c r="L28" s="65">
        <v>0</v>
      </c>
      <c r="M28" s="65">
        <v>38963.632065146012</v>
      </c>
      <c r="N28" s="65">
        <v>10467</v>
      </c>
      <c r="O28" s="65">
        <v>0</v>
      </c>
      <c r="P28" s="65">
        <v>5</v>
      </c>
      <c r="Q28" s="65">
        <v>5</v>
      </c>
      <c r="R28" s="65">
        <v>0</v>
      </c>
      <c r="S28" s="65">
        <v>10472</v>
      </c>
      <c r="T28" s="65">
        <v>0</v>
      </c>
      <c r="U28" s="65">
        <v>0</v>
      </c>
      <c r="V28" s="65">
        <v>0</v>
      </c>
      <c r="W28" s="65">
        <v>0</v>
      </c>
      <c r="X28" s="65">
        <v>0</v>
      </c>
      <c r="Y28" s="65">
        <v>0</v>
      </c>
      <c r="Z28" s="65">
        <v>0</v>
      </c>
      <c r="AA28" s="65">
        <v>-2.3487040847598615</v>
      </c>
      <c r="AB28" s="65">
        <v>-2.3487040847598615</v>
      </c>
      <c r="AC28" s="65">
        <v>463.21663893875046</v>
      </c>
      <c r="AD28" s="65">
        <v>10932.86793485399</v>
      </c>
      <c r="AE28" s="65">
        <v>28030.764130292016</v>
      </c>
      <c r="AF28" s="61">
        <v>38963.632065146012</v>
      </c>
      <c r="AY28" s="124"/>
      <c r="BC28" s="124"/>
      <c r="BK28" s="71"/>
    </row>
    <row r="29" spans="1:63" ht="13" hidden="1" outlineLevel="1" x14ac:dyDescent="0.3">
      <c r="A29" s="65" t="s">
        <v>80</v>
      </c>
      <c r="B29" s="60">
        <v>25</v>
      </c>
      <c r="C29" s="60">
        <v>0</v>
      </c>
      <c r="D29" s="65">
        <v>0</v>
      </c>
      <c r="E29" s="65">
        <v>25365</v>
      </c>
      <c r="F29" s="65">
        <v>0</v>
      </c>
      <c r="G29" s="65">
        <v>25365</v>
      </c>
      <c r="H29" s="65">
        <v>0</v>
      </c>
      <c r="I29" s="65">
        <v>0</v>
      </c>
      <c r="J29" s="65">
        <v>0</v>
      </c>
      <c r="K29" s="65">
        <v>0</v>
      </c>
      <c r="L29" s="65">
        <v>0</v>
      </c>
      <c r="M29" s="65">
        <v>25365</v>
      </c>
      <c r="N29" s="65">
        <v>-10141</v>
      </c>
      <c r="O29" s="65">
        <v>0</v>
      </c>
      <c r="P29" s="65">
        <v>0</v>
      </c>
      <c r="Q29" s="65">
        <v>0</v>
      </c>
      <c r="R29" s="65">
        <v>0</v>
      </c>
      <c r="S29" s="65">
        <v>-10141</v>
      </c>
      <c r="T29" s="65">
        <v>0</v>
      </c>
      <c r="U29" s="65">
        <v>0</v>
      </c>
      <c r="V29" s="65">
        <v>0</v>
      </c>
      <c r="W29" s="65">
        <v>0</v>
      </c>
      <c r="X29" s="65">
        <v>0</v>
      </c>
      <c r="Y29" s="65">
        <v>0</v>
      </c>
      <c r="Z29" s="65">
        <v>0</v>
      </c>
      <c r="AA29" s="65">
        <v>0</v>
      </c>
      <c r="AB29" s="65">
        <v>0</v>
      </c>
      <c r="AC29" s="65">
        <v>35506</v>
      </c>
      <c r="AD29" s="65">
        <v>25365</v>
      </c>
      <c r="AE29" s="65">
        <v>0</v>
      </c>
      <c r="AF29" s="61">
        <v>25365</v>
      </c>
      <c r="AY29" s="124"/>
      <c r="BC29" s="124"/>
      <c r="BK29" s="71"/>
    </row>
    <row r="30" spans="1:63" ht="13" hidden="1" outlineLevel="1" x14ac:dyDescent="0.3">
      <c r="A30" s="65" t="s">
        <v>183</v>
      </c>
      <c r="B30" s="60">
        <v>26</v>
      </c>
      <c r="C30" s="60">
        <v>0</v>
      </c>
      <c r="D30" s="65">
        <v>-12871</v>
      </c>
      <c r="E30" s="65">
        <v>0</v>
      </c>
      <c r="F30" s="65">
        <v>12871</v>
      </c>
      <c r="G30" s="65">
        <v>0</v>
      </c>
      <c r="H30" s="65">
        <v>0</v>
      </c>
      <c r="I30" s="65">
        <v>0</v>
      </c>
      <c r="J30" s="65">
        <v>0</v>
      </c>
      <c r="K30" s="65">
        <v>0</v>
      </c>
      <c r="L30" s="65">
        <v>0</v>
      </c>
      <c r="M30" s="65">
        <v>0</v>
      </c>
      <c r="N30" s="65">
        <v>0</v>
      </c>
      <c r="O30" s="65">
        <v>0</v>
      </c>
      <c r="P30" s="65">
        <v>0</v>
      </c>
      <c r="Q30" s="65">
        <v>0</v>
      </c>
      <c r="R30" s="65">
        <v>0</v>
      </c>
      <c r="S30" s="65">
        <v>0</v>
      </c>
      <c r="T30" s="65">
        <v>0</v>
      </c>
      <c r="U30" s="65">
        <v>0</v>
      </c>
      <c r="V30" s="65">
        <v>0</v>
      </c>
      <c r="W30" s="65">
        <v>0</v>
      </c>
      <c r="X30" s="65">
        <v>0</v>
      </c>
      <c r="Y30" s="65">
        <v>0</v>
      </c>
      <c r="Z30" s="65">
        <v>0</v>
      </c>
      <c r="AA30" s="65">
        <v>0</v>
      </c>
      <c r="AB30" s="65">
        <v>0</v>
      </c>
      <c r="AC30" s="65">
        <v>0</v>
      </c>
      <c r="AD30" s="65">
        <v>0</v>
      </c>
      <c r="AE30" s="65">
        <v>0</v>
      </c>
      <c r="AF30" s="61">
        <v>0</v>
      </c>
      <c r="AY30" s="124"/>
      <c r="BC30" s="124"/>
      <c r="BK30" s="71"/>
    </row>
    <row r="31" spans="1:63" ht="13" hidden="1" outlineLevel="1" x14ac:dyDescent="0.3">
      <c r="A31" s="65" t="s">
        <v>81</v>
      </c>
      <c r="B31" s="60">
        <v>27</v>
      </c>
      <c r="C31" s="60">
        <v>3276084</v>
      </c>
      <c r="D31" s="65">
        <v>415740</v>
      </c>
      <c r="E31" s="65">
        <v>91565</v>
      </c>
      <c r="F31" s="65">
        <v>0</v>
      </c>
      <c r="G31" s="65">
        <v>3783389</v>
      </c>
      <c r="H31" s="65">
        <v>0</v>
      </c>
      <c r="I31" s="65">
        <v>0</v>
      </c>
      <c r="J31" s="65">
        <v>204741</v>
      </c>
      <c r="K31" s="65">
        <v>131017</v>
      </c>
      <c r="L31" s="65">
        <v>-11982</v>
      </c>
      <c r="M31" s="65">
        <v>3976148</v>
      </c>
      <c r="N31" s="65">
        <v>1002014</v>
      </c>
      <c r="O31" s="65">
        <v>146868</v>
      </c>
      <c r="P31" s="65">
        <v>275709</v>
      </c>
      <c r="Q31" s="65">
        <v>422577</v>
      </c>
      <c r="R31" s="65">
        <v>23726</v>
      </c>
      <c r="S31" s="65">
        <v>1448317</v>
      </c>
      <c r="T31" s="65">
        <v>192772</v>
      </c>
      <c r="U31" s="65">
        <v>107135</v>
      </c>
      <c r="V31" s="65">
        <v>15529</v>
      </c>
      <c r="W31" s="65">
        <v>58205</v>
      </c>
      <c r="X31" s="65">
        <v>2396</v>
      </c>
      <c r="Y31" s="65">
        <v>376037</v>
      </c>
      <c r="Z31" s="65">
        <v>806</v>
      </c>
      <c r="AA31" s="65">
        <v>5062</v>
      </c>
      <c r="AB31" s="65">
        <v>381905</v>
      </c>
      <c r="AC31" s="65">
        <v>484545</v>
      </c>
      <c r="AD31" s="65">
        <v>2314767</v>
      </c>
      <c r="AE31" s="65">
        <v>1661381</v>
      </c>
      <c r="AF31" s="61">
        <v>3976148</v>
      </c>
      <c r="AY31" s="124"/>
      <c r="BC31" s="124"/>
      <c r="BK31" s="71"/>
    </row>
    <row r="32" spans="1:63" ht="13.5" hidden="1" outlineLevel="2" thickBot="1" x14ac:dyDescent="0.35">
      <c r="B32" s="62" t="s">
        <v>862</v>
      </c>
      <c r="C32" s="62">
        <v>6552168</v>
      </c>
      <c r="D32" s="66">
        <v>831480</v>
      </c>
      <c r="E32" s="66">
        <v>183130</v>
      </c>
      <c r="F32" s="66">
        <v>0</v>
      </c>
      <c r="G32" s="66">
        <v>7566778</v>
      </c>
      <c r="H32" s="66">
        <v>1.1368683772161603E-13</v>
      </c>
      <c r="I32" s="66">
        <v>-2.9558577807620168E-12</v>
      </c>
      <c r="J32" s="66">
        <v>409482</v>
      </c>
      <c r="K32" s="66">
        <v>262034</v>
      </c>
      <c r="L32" s="66">
        <v>-23964</v>
      </c>
      <c r="M32" s="66">
        <v>7952296</v>
      </c>
      <c r="N32" s="66">
        <v>2004028</v>
      </c>
      <c r="O32" s="66">
        <v>293736</v>
      </c>
      <c r="P32" s="66">
        <v>551418</v>
      </c>
      <c r="Q32" s="66">
        <v>845154</v>
      </c>
      <c r="R32" s="66">
        <v>47452</v>
      </c>
      <c r="S32" s="66">
        <v>2896634</v>
      </c>
      <c r="T32" s="66">
        <v>385544</v>
      </c>
      <c r="U32" s="66">
        <v>214270</v>
      </c>
      <c r="V32" s="66">
        <v>31058</v>
      </c>
      <c r="W32" s="66">
        <v>116410</v>
      </c>
      <c r="X32" s="66">
        <v>4792</v>
      </c>
      <c r="Y32" s="66">
        <v>752074</v>
      </c>
      <c r="Z32" s="66">
        <v>1612</v>
      </c>
      <c r="AA32" s="66">
        <v>10124</v>
      </c>
      <c r="AB32" s="66">
        <v>763810</v>
      </c>
      <c r="AC32" s="66">
        <v>969090</v>
      </c>
      <c r="AD32" s="66">
        <v>4629534</v>
      </c>
      <c r="AE32" s="66">
        <v>3322762</v>
      </c>
      <c r="AF32" s="63">
        <v>7952296</v>
      </c>
      <c r="AY32" s="124"/>
      <c r="BC32" s="124"/>
      <c r="BK32" s="71"/>
    </row>
    <row r="33" spans="1:63" ht="13.5" hidden="1" outlineLevel="2" thickBot="1" x14ac:dyDescent="0.35">
      <c r="B33"/>
      <c r="C33"/>
      <c r="D33"/>
      <c r="E33"/>
      <c r="F33"/>
      <c r="G33"/>
      <c r="H33"/>
      <c r="I33"/>
      <c r="J33"/>
      <c r="K33"/>
      <c r="L33"/>
      <c r="M33"/>
      <c r="N33"/>
      <c r="O33"/>
      <c r="P33"/>
      <c r="Q33"/>
      <c r="R33"/>
      <c r="S33"/>
      <c r="T33"/>
      <c r="U33"/>
      <c r="V33"/>
      <c r="W33"/>
      <c r="X33"/>
      <c r="Y33"/>
      <c r="Z33"/>
      <c r="AA33"/>
      <c r="AB33"/>
      <c r="AC33"/>
      <c r="AD33"/>
      <c r="AE33"/>
      <c r="AF33"/>
      <c r="AY33" s="124"/>
      <c r="BC33" s="124"/>
      <c r="BK33" s="71"/>
    </row>
    <row r="34" spans="1:63" ht="13" hidden="1" outlineLevel="1" collapsed="1" x14ac:dyDescent="0.3">
      <c r="B34"/>
      <c r="C34"/>
      <c r="D34"/>
      <c r="E34"/>
      <c r="F34"/>
      <c r="G34"/>
      <c r="H34"/>
      <c r="I34"/>
      <c r="J34"/>
      <c r="K34"/>
      <c r="L34"/>
      <c r="M34"/>
      <c r="N34"/>
      <c r="O34"/>
      <c r="P34"/>
      <c r="Q34"/>
      <c r="R34"/>
      <c r="S34"/>
      <c r="T34"/>
      <c r="U34"/>
      <c r="V34"/>
      <c r="W34"/>
      <c r="X34"/>
      <c r="Y34"/>
      <c r="Z34"/>
      <c r="AA34"/>
      <c r="AB34"/>
      <c r="AC34"/>
      <c r="AD34"/>
      <c r="AE34"/>
      <c r="AF34"/>
      <c r="AY34" s="124"/>
      <c r="BC34" s="124"/>
      <c r="BK34" s="71"/>
    </row>
    <row r="35" spans="1:63" ht="13" hidden="1" outlineLevel="1" x14ac:dyDescent="0.3">
      <c r="B35"/>
      <c r="C35"/>
      <c r="D35"/>
      <c r="E35"/>
      <c r="F35"/>
      <c r="G35"/>
      <c r="H35"/>
      <c r="I35"/>
      <c r="J35"/>
      <c r="K35"/>
      <c r="L35"/>
      <c r="M35"/>
      <c r="N35"/>
      <c r="O35"/>
      <c r="P35"/>
      <c r="Q35"/>
      <c r="R35"/>
      <c r="S35"/>
      <c r="T35"/>
      <c r="U35"/>
      <c r="V35"/>
      <c r="W35"/>
      <c r="X35"/>
      <c r="Y35"/>
      <c r="Z35"/>
      <c r="AA35"/>
      <c r="AB35"/>
      <c r="AC35"/>
      <c r="AD35"/>
      <c r="AE35"/>
      <c r="AF35"/>
      <c r="AY35" s="124"/>
      <c r="BC35" s="124"/>
      <c r="BK35" s="71"/>
    </row>
    <row r="36" spans="1:63" ht="13" hidden="1" outlineLevel="1" x14ac:dyDescent="0.3">
      <c r="AY36" s="124"/>
      <c r="BC36" s="124"/>
      <c r="BK36" s="71"/>
    </row>
    <row r="37" spans="1:63" ht="13" hidden="1" outlineLevel="1" x14ac:dyDescent="0.3">
      <c r="A37" s="69" t="s">
        <v>737</v>
      </c>
      <c r="AY37" s="124"/>
      <c r="BC37" s="124"/>
      <c r="BK37" s="71"/>
    </row>
    <row r="38" spans="1:63" ht="13" hidden="1" outlineLevel="1" x14ac:dyDescent="0.3">
      <c r="A38" s="65" t="str">
        <f>A5</f>
        <v>  Agriculture, sylviculture et pêche</v>
      </c>
      <c r="B38" s="65">
        <f>B5</f>
        <v>1</v>
      </c>
      <c r="C38" s="65">
        <f>GETPIVOTDATA(CONCATENATE(C$4),$B$3,"L",$B68)</f>
        <v>69531</v>
      </c>
      <c r="D38" s="65">
        <f t="shared" ref="D38:AF38" si="0">GETPIVOTDATA(CONCATENATE(D$4),$B$3,"L",$B68)</f>
        <v>9072</v>
      </c>
      <c r="E38" s="65">
        <f t="shared" si="0"/>
        <v>0</v>
      </c>
      <c r="F38" s="65">
        <f t="shared" si="0"/>
        <v>0</v>
      </c>
      <c r="G38" s="65">
        <f t="shared" si="0"/>
        <v>78603</v>
      </c>
      <c r="H38" s="65">
        <f t="shared" si="0"/>
        <v>19391</v>
      </c>
      <c r="I38" s="65">
        <f t="shared" si="0"/>
        <v>1515</v>
      </c>
      <c r="J38" s="65">
        <f t="shared" si="0"/>
        <v>1886</v>
      </c>
      <c r="K38" s="65">
        <f t="shared" si="0"/>
        <v>1785</v>
      </c>
      <c r="L38" s="65">
        <f t="shared" si="0"/>
        <v>-2922</v>
      </c>
      <c r="M38" s="65">
        <f t="shared" si="0"/>
        <v>98473</v>
      </c>
      <c r="N38" s="65">
        <f t="shared" si="0"/>
        <v>30434</v>
      </c>
      <c r="O38" s="65">
        <f t="shared" si="0"/>
        <v>0</v>
      </c>
      <c r="P38" s="65">
        <f t="shared" si="0"/>
        <v>0</v>
      </c>
      <c r="Q38" s="65">
        <f t="shared" si="0"/>
        <v>0</v>
      </c>
      <c r="R38" s="65">
        <f t="shared" si="0"/>
        <v>0</v>
      </c>
      <c r="S38" s="65">
        <f t="shared" si="0"/>
        <v>30434</v>
      </c>
      <c r="T38" s="65">
        <f t="shared" si="0"/>
        <v>1357</v>
      </c>
      <c r="U38" s="65">
        <f t="shared" si="0"/>
        <v>0</v>
      </c>
      <c r="V38" s="65">
        <f t="shared" si="0"/>
        <v>0</v>
      </c>
      <c r="W38" s="65">
        <f t="shared" si="0"/>
        <v>129</v>
      </c>
      <c r="X38" s="65">
        <f t="shared" si="0"/>
        <v>0</v>
      </c>
      <c r="Y38" s="65">
        <f t="shared" si="0"/>
        <v>1486</v>
      </c>
      <c r="Z38" s="65">
        <f t="shared" si="0"/>
        <v>0</v>
      </c>
      <c r="AA38" s="65">
        <f t="shared" si="0"/>
        <v>2929</v>
      </c>
      <c r="AB38" s="65">
        <f t="shared" si="0"/>
        <v>4415</v>
      </c>
      <c r="AC38" s="65">
        <f t="shared" si="0"/>
        <v>10797</v>
      </c>
      <c r="AD38" s="65">
        <f t="shared" si="0"/>
        <v>45646</v>
      </c>
      <c r="AE38" s="65">
        <f t="shared" si="0"/>
        <v>52827</v>
      </c>
      <c r="AF38" s="65">
        <f t="shared" si="0"/>
        <v>98473</v>
      </c>
      <c r="AY38" s="124"/>
      <c r="BC38" s="124"/>
      <c r="BK38" s="71"/>
    </row>
    <row r="39" spans="1:63" ht="13" hidden="1" outlineLevel="1" x14ac:dyDescent="0.3">
      <c r="A39" s="65" t="str">
        <f t="shared" ref="A39:B64" si="1">A6</f>
        <v xml:space="preserve"> Industrie agro-alimentaire</v>
      </c>
      <c r="B39" s="65">
        <f t="shared" si="1"/>
        <v>2</v>
      </c>
      <c r="C39" s="65">
        <f t="shared" ref="C39:AF39" si="2">GETPIVOTDATA(CONCATENATE(C$4),$B$3,"L",$B69)</f>
        <v>129616</v>
      </c>
      <c r="D39" s="65">
        <f t="shared" si="2"/>
        <v>25729</v>
      </c>
      <c r="E39" s="65">
        <f t="shared" si="2"/>
        <v>0</v>
      </c>
      <c r="F39" s="65">
        <f t="shared" si="2"/>
        <v>0</v>
      </c>
      <c r="G39" s="65">
        <f t="shared" si="2"/>
        <v>155345</v>
      </c>
      <c r="H39" s="65">
        <f t="shared" si="2"/>
        <v>60376</v>
      </c>
      <c r="I39" s="65">
        <f t="shared" si="2"/>
        <v>6990</v>
      </c>
      <c r="J39" s="65">
        <f t="shared" si="2"/>
        <v>24501</v>
      </c>
      <c r="K39" s="65">
        <f t="shared" si="2"/>
        <v>11013</v>
      </c>
      <c r="L39" s="65">
        <f t="shared" si="2"/>
        <v>-641</v>
      </c>
      <c r="M39" s="65">
        <f t="shared" si="2"/>
        <v>246571</v>
      </c>
      <c r="N39" s="65">
        <f t="shared" si="2"/>
        <v>145347</v>
      </c>
      <c r="O39" s="65">
        <f t="shared" si="2"/>
        <v>0</v>
      </c>
      <c r="P39" s="65">
        <f t="shared" si="2"/>
        <v>0</v>
      </c>
      <c r="Q39" s="65">
        <f t="shared" si="2"/>
        <v>0</v>
      </c>
      <c r="R39" s="65">
        <f t="shared" si="2"/>
        <v>0</v>
      </c>
      <c r="S39" s="65">
        <f t="shared" si="2"/>
        <v>145347</v>
      </c>
      <c r="T39" s="65">
        <f t="shared" si="2"/>
        <v>0</v>
      </c>
      <c r="U39" s="65">
        <f t="shared" si="2"/>
        <v>0</v>
      </c>
      <c r="V39" s="65">
        <f t="shared" si="2"/>
        <v>0</v>
      </c>
      <c r="W39" s="65">
        <f t="shared" si="2"/>
        <v>0</v>
      </c>
      <c r="X39" s="65">
        <f t="shared" si="2"/>
        <v>0</v>
      </c>
      <c r="Y39" s="65">
        <f t="shared" si="2"/>
        <v>0</v>
      </c>
      <c r="Z39" s="65">
        <f t="shared" si="2"/>
        <v>0</v>
      </c>
      <c r="AA39" s="65">
        <f t="shared" si="2"/>
        <v>-259</v>
      </c>
      <c r="AB39" s="65">
        <f t="shared" si="2"/>
        <v>-259</v>
      </c>
      <c r="AC39" s="65">
        <f t="shared" si="2"/>
        <v>32856</v>
      </c>
      <c r="AD39" s="65">
        <f t="shared" si="2"/>
        <v>177944</v>
      </c>
      <c r="AE39" s="65">
        <f t="shared" si="2"/>
        <v>68627</v>
      </c>
      <c r="AF39" s="65">
        <f t="shared" si="2"/>
        <v>246571</v>
      </c>
      <c r="AY39" s="124"/>
      <c r="BC39" s="124"/>
      <c r="BK39" s="71"/>
    </row>
    <row r="40" spans="1:63" ht="13" hidden="1" outlineLevel="1" x14ac:dyDescent="0.3">
      <c r="A40" s="65" t="str">
        <f t="shared" si="1"/>
        <v>Automobile</v>
      </c>
      <c r="B40" s="65">
        <f t="shared" si="1"/>
        <v>3</v>
      </c>
      <c r="C40" s="65">
        <f t="shared" ref="C40:AF40" si="3">GETPIVOTDATA(CONCATENATE(C$4),$B$3,"L",$B70)</f>
        <v>89440.2</v>
      </c>
      <c r="D40" s="65">
        <f t="shared" si="3"/>
        <v>46716.800000000003</v>
      </c>
      <c r="E40" s="65">
        <f t="shared" si="3"/>
        <v>0</v>
      </c>
      <c r="F40" s="65">
        <f t="shared" si="3"/>
        <v>0</v>
      </c>
      <c r="G40" s="65">
        <f t="shared" si="3"/>
        <v>136157</v>
      </c>
      <c r="H40" s="65">
        <f t="shared" si="3"/>
        <v>20279.599999999999</v>
      </c>
      <c r="I40" s="65">
        <f t="shared" si="3"/>
        <v>2348</v>
      </c>
      <c r="J40" s="65">
        <f t="shared" si="3"/>
        <v>11161.3</v>
      </c>
      <c r="K40" s="65">
        <f t="shared" si="3"/>
        <v>10776.4</v>
      </c>
      <c r="L40" s="65">
        <f t="shared" si="3"/>
        <v>0</v>
      </c>
      <c r="M40" s="65">
        <f t="shared" si="3"/>
        <v>169945.9</v>
      </c>
      <c r="N40" s="65">
        <f t="shared" si="3"/>
        <v>58603.4</v>
      </c>
      <c r="O40" s="65">
        <f t="shared" si="3"/>
        <v>0</v>
      </c>
      <c r="P40" s="65">
        <f t="shared" si="3"/>
        <v>88.2</v>
      </c>
      <c r="Q40" s="65">
        <f t="shared" si="3"/>
        <v>88.2</v>
      </c>
      <c r="R40" s="65">
        <f t="shared" si="3"/>
        <v>0</v>
      </c>
      <c r="S40" s="65">
        <f t="shared" si="3"/>
        <v>58691.6</v>
      </c>
      <c r="T40" s="65">
        <f t="shared" si="3"/>
        <v>21352.5</v>
      </c>
      <c r="U40" s="65">
        <f t="shared" si="3"/>
        <v>0</v>
      </c>
      <c r="V40" s="65">
        <f t="shared" si="3"/>
        <v>242</v>
      </c>
      <c r="W40" s="65">
        <f t="shared" si="3"/>
        <v>2198.3000000000002</v>
      </c>
      <c r="X40" s="65">
        <f t="shared" si="3"/>
        <v>267</v>
      </c>
      <c r="Y40" s="65">
        <f t="shared" si="3"/>
        <v>24059.8</v>
      </c>
      <c r="Z40" s="65">
        <f t="shared" si="3"/>
        <v>0</v>
      </c>
      <c r="AA40" s="65">
        <f t="shared" si="3"/>
        <v>-215.3</v>
      </c>
      <c r="AB40" s="65">
        <f t="shared" si="3"/>
        <v>23844.5</v>
      </c>
      <c r="AC40" s="65">
        <f t="shared" si="3"/>
        <v>51651.9</v>
      </c>
      <c r="AD40" s="65">
        <f t="shared" si="3"/>
        <v>134188</v>
      </c>
      <c r="AE40" s="65">
        <f t="shared" si="3"/>
        <v>35757.9</v>
      </c>
      <c r="AF40" s="65">
        <f t="shared" si="3"/>
        <v>169945.9</v>
      </c>
      <c r="AY40" s="124"/>
      <c r="BC40" s="124"/>
      <c r="BK40" s="71"/>
    </row>
    <row r="41" spans="1:63" ht="13" hidden="1" outlineLevel="1" x14ac:dyDescent="0.3">
      <c r="A41" s="65" t="str">
        <f t="shared" si="1"/>
        <v>FABRICATION DE VERRE ET D ARTICLES EN VE</v>
      </c>
      <c r="B41" s="65">
        <f t="shared" si="1"/>
        <v>4</v>
      </c>
      <c r="C41" s="65">
        <f t="shared" ref="C41:AF41" si="4">GETPIVOTDATA(CONCATENATE(C$4),$B$3,"L",$B71)</f>
        <v>6754</v>
      </c>
      <c r="D41" s="65">
        <f t="shared" si="4"/>
        <v>2399</v>
      </c>
      <c r="E41" s="65">
        <f t="shared" si="4"/>
        <v>0</v>
      </c>
      <c r="F41" s="65">
        <f t="shared" si="4"/>
        <v>0</v>
      </c>
      <c r="G41" s="65">
        <f t="shared" si="4"/>
        <v>9153</v>
      </c>
      <c r="H41" s="65">
        <f t="shared" si="4"/>
        <v>477</v>
      </c>
      <c r="I41" s="65">
        <f t="shared" si="4"/>
        <v>488</v>
      </c>
      <c r="J41" s="65">
        <f t="shared" si="4"/>
        <v>329</v>
      </c>
      <c r="K41" s="65">
        <f t="shared" si="4"/>
        <v>323</v>
      </c>
      <c r="L41" s="65">
        <f t="shared" si="4"/>
        <v>0</v>
      </c>
      <c r="M41" s="65">
        <f t="shared" si="4"/>
        <v>10447</v>
      </c>
      <c r="N41" s="65">
        <f t="shared" si="4"/>
        <v>1878</v>
      </c>
      <c r="O41" s="65">
        <f t="shared" si="4"/>
        <v>0</v>
      </c>
      <c r="P41" s="65">
        <f t="shared" si="4"/>
        <v>0</v>
      </c>
      <c r="Q41" s="65">
        <f t="shared" si="4"/>
        <v>0</v>
      </c>
      <c r="R41" s="65">
        <f t="shared" si="4"/>
        <v>0</v>
      </c>
      <c r="S41" s="65">
        <f t="shared" si="4"/>
        <v>1878</v>
      </c>
      <c r="T41" s="65">
        <f t="shared" si="4"/>
        <v>0</v>
      </c>
      <c r="U41" s="65">
        <f t="shared" si="4"/>
        <v>0</v>
      </c>
      <c r="V41" s="65">
        <f t="shared" si="4"/>
        <v>0</v>
      </c>
      <c r="W41" s="65">
        <f t="shared" si="4"/>
        <v>0</v>
      </c>
      <c r="X41" s="65">
        <f t="shared" si="4"/>
        <v>0</v>
      </c>
      <c r="Y41" s="65">
        <f t="shared" si="4"/>
        <v>0</v>
      </c>
      <c r="Z41" s="65">
        <f t="shared" si="4"/>
        <v>0</v>
      </c>
      <c r="AA41" s="65">
        <f t="shared" si="4"/>
        <v>0</v>
      </c>
      <c r="AB41" s="65">
        <f t="shared" si="4"/>
        <v>0</v>
      </c>
      <c r="AC41" s="65">
        <f t="shared" si="4"/>
        <v>2847</v>
      </c>
      <c r="AD41" s="65">
        <f t="shared" si="4"/>
        <v>4725</v>
      </c>
      <c r="AE41" s="65">
        <f t="shared" si="4"/>
        <v>5722</v>
      </c>
      <c r="AF41" s="65">
        <f t="shared" si="4"/>
        <v>10447</v>
      </c>
      <c r="AY41" s="124"/>
      <c r="BC41" s="124"/>
      <c r="BK41" s="71"/>
    </row>
    <row r="42" spans="1:63" ht="13" hidden="1" outlineLevel="1" x14ac:dyDescent="0.3">
      <c r="A42" s="65" t="str">
        <f t="shared" si="1"/>
        <v>FABRICATION DE PRODUITS CERAMIQUES ET DE</v>
      </c>
      <c r="B42" s="65">
        <f t="shared" si="1"/>
        <v>5</v>
      </c>
      <c r="C42" s="65">
        <f t="shared" ref="C42:AF42" si="5">GETPIVOTDATA(CONCATENATE(C$4),$B$3,"L",$B72)</f>
        <v>19667</v>
      </c>
      <c r="D42" s="65">
        <f t="shared" si="5"/>
        <v>3674</v>
      </c>
      <c r="E42" s="65">
        <f t="shared" si="5"/>
        <v>0</v>
      </c>
      <c r="F42" s="65">
        <f t="shared" si="5"/>
        <v>0</v>
      </c>
      <c r="G42" s="65">
        <f t="shared" si="5"/>
        <v>23341</v>
      </c>
      <c r="H42" s="65">
        <f t="shared" si="5"/>
        <v>7756</v>
      </c>
      <c r="I42" s="65">
        <f t="shared" si="5"/>
        <v>1155</v>
      </c>
      <c r="J42" s="65">
        <f t="shared" si="5"/>
        <v>258</v>
      </c>
      <c r="K42" s="65">
        <f t="shared" si="5"/>
        <v>246</v>
      </c>
      <c r="L42" s="65">
        <f t="shared" si="5"/>
        <v>0</v>
      </c>
      <c r="M42" s="65">
        <f t="shared" si="5"/>
        <v>32510</v>
      </c>
      <c r="N42" s="65">
        <f t="shared" si="5"/>
        <v>1813</v>
      </c>
      <c r="O42" s="65">
        <f t="shared" si="5"/>
        <v>0</v>
      </c>
      <c r="P42" s="65">
        <f t="shared" si="5"/>
        <v>0</v>
      </c>
      <c r="Q42" s="65">
        <f t="shared" si="5"/>
        <v>0</v>
      </c>
      <c r="R42" s="65">
        <f t="shared" si="5"/>
        <v>0</v>
      </c>
      <c r="S42" s="65">
        <f t="shared" si="5"/>
        <v>1813</v>
      </c>
      <c r="T42" s="65">
        <f t="shared" si="5"/>
        <v>6</v>
      </c>
      <c r="U42" s="65">
        <f t="shared" si="5"/>
        <v>0</v>
      </c>
      <c r="V42" s="65">
        <f t="shared" si="5"/>
        <v>0</v>
      </c>
      <c r="W42" s="65">
        <f t="shared" si="5"/>
        <v>0</v>
      </c>
      <c r="X42" s="65">
        <f t="shared" si="5"/>
        <v>0</v>
      </c>
      <c r="Y42" s="65">
        <f t="shared" si="5"/>
        <v>6</v>
      </c>
      <c r="Z42" s="65">
        <f t="shared" si="5"/>
        <v>0</v>
      </c>
      <c r="AA42" s="65">
        <f t="shared" si="5"/>
        <v>201</v>
      </c>
      <c r="AB42" s="65">
        <f t="shared" si="5"/>
        <v>207</v>
      </c>
      <c r="AC42" s="65">
        <f t="shared" si="5"/>
        <v>2431</v>
      </c>
      <c r="AD42" s="65">
        <f t="shared" si="5"/>
        <v>4451</v>
      </c>
      <c r="AE42" s="65">
        <f t="shared" si="5"/>
        <v>28059</v>
      </c>
      <c r="AF42" s="65">
        <f t="shared" si="5"/>
        <v>32510</v>
      </c>
      <c r="AY42" s="124"/>
      <c r="BC42" s="124"/>
      <c r="BK42" s="71"/>
    </row>
    <row r="43" spans="1:63" ht="13" hidden="1" outlineLevel="1" x14ac:dyDescent="0.3">
      <c r="A43" s="65" t="str">
        <f t="shared" si="1"/>
        <v>Papier ert carton</v>
      </c>
      <c r="B43" s="65">
        <f t="shared" si="1"/>
        <v>6</v>
      </c>
      <c r="C43" s="65">
        <f t="shared" ref="C43:AF43" si="6">GETPIVOTDATA(CONCATENATE(C$4),$B$3,"L",$B73)</f>
        <v>19908</v>
      </c>
      <c r="D43" s="65">
        <f t="shared" si="6"/>
        <v>8574</v>
      </c>
      <c r="E43" s="65">
        <f t="shared" si="6"/>
        <v>0</v>
      </c>
      <c r="F43" s="65">
        <f t="shared" si="6"/>
        <v>0</v>
      </c>
      <c r="G43" s="65">
        <f t="shared" si="6"/>
        <v>28482</v>
      </c>
      <c r="H43" s="65">
        <f t="shared" si="6"/>
        <v>3604</v>
      </c>
      <c r="I43" s="65">
        <f t="shared" si="6"/>
        <v>1144</v>
      </c>
      <c r="J43" s="65">
        <f t="shared" si="6"/>
        <v>862</v>
      </c>
      <c r="K43" s="65">
        <f t="shared" si="6"/>
        <v>846</v>
      </c>
      <c r="L43" s="65">
        <f t="shared" si="6"/>
        <v>0</v>
      </c>
      <c r="M43" s="65">
        <f t="shared" si="6"/>
        <v>34092</v>
      </c>
      <c r="N43" s="65">
        <f t="shared" si="6"/>
        <v>3920</v>
      </c>
      <c r="O43" s="65">
        <f t="shared" si="6"/>
        <v>0</v>
      </c>
      <c r="P43" s="65">
        <f t="shared" si="6"/>
        <v>0</v>
      </c>
      <c r="Q43" s="65">
        <f t="shared" si="6"/>
        <v>0</v>
      </c>
      <c r="R43" s="65">
        <f t="shared" si="6"/>
        <v>0</v>
      </c>
      <c r="S43" s="65">
        <f t="shared" si="6"/>
        <v>3920</v>
      </c>
      <c r="T43" s="65">
        <f t="shared" si="6"/>
        <v>0</v>
      </c>
      <c r="U43" s="65">
        <f t="shared" si="6"/>
        <v>0</v>
      </c>
      <c r="V43" s="65">
        <f t="shared" si="6"/>
        <v>0</v>
      </c>
      <c r="W43" s="65">
        <f t="shared" si="6"/>
        <v>0</v>
      </c>
      <c r="X43" s="65">
        <f t="shared" si="6"/>
        <v>0</v>
      </c>
      <c r="Y43" s="65">
        <f t="shared" si="6"/>
        <v>0</v>
      </c>
      <c r="Z43" s="65">
        <f t="shared" si="6"/>
        <v>0</v>
      </c>
      <c r="AA43" s="65">
        <f t="shared" si="6"/>
        <v>45</v>
      </c>
      <c r="AB43" s="65">
        <f t="shared" si="6"/>
        <v>45</v>
      </c>
      <c r="AC43" s="65">
        <f t="shared" si="6"/>
        <v>6697</v>
      </c>
      <c r="AD43" s="65">
        <f t="shared" si="6"/>
        <v>10662</v>
      </c>
      <c r="AE43" s="65">
        <f t="shared" si="6"/>
        <v>23430</v>
      </c>
      <c r="AF43" s="65">
        <f t="shared" si="6"/>
        <v>34092</v>
      </c>
      <c r="AY43" s="124"/>
      <c r="BC43" s="124"/>
      <c r="BK43" s="71"/>
    </row>
    <row r="44" spans="1:63" ht="13" hidden="1" outlineLevel="1" x14ac:dyDescent="0.3">
      <c r="A44" s="65" t="str">
        <f t="shared" si="1"/>
        <v>INDUSTRIE CHIMIQUE MINERALE</v>
      </c>
      <c r="B44" s="65">
        <f t="shared" si="1"/>
        <v>7</v>
      </c>
      <c r="C44" s="65">
        <f t="shared" ref="C44:AF44" si="7">GETPIVOTDATA(CONCATENATE(C$4),$B$3,"L",$B74)</f>
        <v>5993</v>
      </c>
      <c r="D44" s="65">
        <f t="shared" si="7"/>
        <v>4433</v>
      </c>
      <c r="E44" s="65">
        <f t="shared" si="7"/>
        <v>0</v>
      </c>
      <c r="F44" s="65">
        <f t="shared" si="7"/>
        <v>0</v>
      </c>
      <c r="G44" s="65">
        <f t="shared" si="7"/>
        <v>10426</v>
      </c>
      <c r="H44" s="65">
        <f t="shared" si="7"/>
        <v>1096</v>
      </c>
      <c r="I44" s="65">
        <f t="shared" si="7"/>
        <v>1053</v>
      </c>
      <c r="J44" s="65">
        <f t="shared" si="7"/>
        <v>54</v>
      </c>
      <c r="K44" s="65">
        <f t="shared" si="7"/>
        <v>12</v>
      </c>
      <c r="L44" s="65">
        <f t="shared" si="7"/>
        <v>0</v>
      </c>
      <c r="M44" s="65">
        <f t="shared" si="7"/>
        <v>12629</v>
      </c>
      <c r="N44" s="65">
        <f t="shared" si="7"/>
        <v>98</v>
      </c>
      <c r="O44" s="65">
        <f t="shared" si="7"/>
        <v>0</v>
      </c>
      <c r="P44" s="65">
        <f t="shared" si="7"/>
        <v>0</v>
      </c>
      <c r="Q44" s="65">
        <f t="shared" si="7"/>
        <v>0</v>
      </c>
      <c r="R44" s="65">
        <f t="shared" si="7"/>
        <v>0</v>
      </c>
      <c r="S44" s="65">
        <f t="shared" si="7"/>
        <v>98</v>
      </c>
      <c r="T44" s="65">
        <f t="shared" si="7"/>
        <v>0</v>
      </c>
      <c r="U44" s="65">
        <f t="shared" si="7"/>
        <v>0</v>
      </c>
      <c r="V44" s="65">
        <f t="shared" si="7"/>
        <v>0</v>
      </c>
      <c r="W44" s="65">
        <f t="shared" si="7"/>
        <v>0</v>
      </c>
      <c r="X44" s="65">
        <f t="shared" si="7"/>
        <v>0</v>
      </c>
      <c r="Y44" s="65">
        <f t="shared" si="7"/>
        <v>0</v>
      </c>
      <c r="Z44" s="65">
        <f t="shared" si="7"/>
        <v>0</v>
      </c>
      <c r="AA44" s="65">
        <f t="shared" si="7"/>
        <v>0</v>
      </c>
      <c r="AB44" s="65">
        <f t="shared" si="7"/>
        <v>0</v>
      </c>
      <c r="AC44" s="65">
        <f t="shared" si="7"/>
        <v>2702</v>
      </c>
      <c r="AD44" s="65">
        <f t="shared" si="7"/>
        <v>2800</v>
      </c>
      <c r="AE44" s="65">
        <f t="shared" si="7"/>
        <v>9829</v>
      </c>
      <c r="AF44" s="65">
        <f t="shared" si="7"/>
        <v>12629</v>
      </c>
      <c r="AY44" s="124"/>
      <c r="BC44" s="124"/>
      <c r="BK44" s="71"/>
    </row>
    <row r="45" spans="1:63" ht="13" hidden="1" outlineLevel="1" x14ac:dyDescent="0.3">
      <c r="A45" s="65" t="str">
        <f t="shared" si="1"/>
        <v>INDUSTRIE CHIMIQUE ORGANIQUE</v>
      </c>
      <c r="B45" s="65">
        <f t="shared" si="1"/>
        <v>8</v>
      </c>
      <c r="C45" s="65">
        <f t="shared" ref="C45:AF45" si="8">GETPIVOTDATA(CONCATENATE(C$4),$B$3,"L",$B75)</f>
        <v>23764</v>
      </c>
      <c r="D45" s="65">
        <f t="shared" si="8"/>
        <v>17741</v>
      </c>
      <c r="E45" s="65">
        <f t="shared" si="8"/>
        <v>0</v>
      </c>
      <c r="F45" s="65">
        <f t="shared" si="8"/>
        <v>0</v>
      </c>
      <c r="G45" s="65">
        <f t="shared" si="8"/>
        <v>41505</v>
      </c>
      <c r="H45" s="65">
        <f t="shared" si="8"/>
        <v>2600</v>
      </c>
      <c r="I45" s="65">
        <f t="shared" si="8"/>
        <v>661</v>
      </c>
      <c r="J45" s="65">
        <f t="shared" si="8"/>
        <v>124</v>
      </c>
      <c r="K45" s="65">
        <f t="shared" si="8"/>
        <v>70</v>
      </c>
      <c r="L45" s="65">
        <f t="shared" si="8"/>
        <v>0</v>
      </c>
      <c r="M45" s="65">
        <f t="shared" si="8"/>
        <v>44890</v>
      </c>
      <c r="N45" s="65">
        <f t="shared" si="8"/>
        <v>20</v>
      </c>
      <c r="O45" s="65">
        <f t="shared" si="8"/>
        <v>0</v>
      </c>
      <c r="P45" s="65">
        <f t="shared" si="8"/>
        <v>0</v>
      </c>
      <c r="Q45" s="65">
        <f t="shared" si="8"/>
        <v>0</v>
      </c>
      <c r="R45" s="65">
        <f t="shared" si="8"/>
        <v>0</v>
      </c>
      <c r="S45" s="65">
        <f t="shared" si="8"/>
        <v>20</v>
      </c>
      <c r="T45" s="65">
        <f t="shared" si="8"/>
        <v>0</v>
      </c>
      <c r="U45" s="65">
        <f t="shared" si="8"/>
        <v>0</v>
      </c>
      <c r="V45" s="65">
        <f t="shared" si="8"/>
        <v>0</v>
      </c>
      <c r="W45" s="65">
        <f t="shared" si="8"/>
        <v>0</v>
      </c>
      <c r="X45" s="65">
        <f t="shared" si="8"/>
        <v>0</v>
      </c>
      <c r="Y45" s="65">
        <f t="shared" si="8"/>
        <v>0</v>
      </c>
      <c r="Z45" s="65">
        <f t="shared" si="8"/>
        <v>0</v>
      </c>
      <c r="AA45" s="65">
        <f t="shared" si="8"/>
        <v>0</v>
      </c>
      <c r="AB45" s="65">
        <f t="shared" si="8"/>
        <v>0</v>
      </c>
      <c r="AC45" s="65">
        <f t="shared" si="8"/>
        <v>18838</v>
      </c>
      <c r="AD45" s="65">
        <f t="shared" si="8"/>
        <v>18858</v>
      </c>
      <c r="AE45" s="65">
        <f t="shared" si="8"/>
        <v>26032</v>
      </c>
      <c r="AF45" s="65">
        <f t="shared" si="8"/>
        <v>44890</v>
      </c>
      <c r="AY45" s="124"/>
      <c r="BC45" s="124"/>
      <c r="BK45" s="71"/>
    </row>
    <row r="46" spans="1:63" ht="13" hidden="1" outlineLevel="1" x14ac:dyDescent="0.3">
      <c r="A46" s="65" t="str">
        <f t="shared" si="1"/>
        <v>TRANSFORMATION DES MATIERES PLASTIQUES</v>
      </c>
      <c r="B46" s="65">
        <f t="shared" si="1"/>
        <v>9</v>
      </c>
      <c r="C46" s="65">
        <f t="shared" ref="C46:AF46" si="9">GETPIVOTDATA(CONCATENATE(C$4),$B$3,"L",$B76)</f>
        <v>25169</v>
      </c>
      <c r="D46" s="65">
        <f t="shared" si="9"/>
        <v>9041</v>
      </c>
      <c r="E46" s="65">
        <f t="shared" si="9"/>
        <v>0</v>
      </c>
      <c r="F46" s="65">
        <f t="shared" si="9"/>
        <v>0</v>
      </c>
      <c r="G46" s="65">
        <f t="shared" si="9"/>
        <v>34210</v>
      </c>
      <c r="H46" s="65">
        <f t="shared" si="9"/>
        <v>2072</v>
      </c>
      <c r="I46" s="65">
        <f t="shared" si="9"/>
        <v>1189</v>
      </c>
      <c r="J46" s="65">
        <f t="shared" si="9"/>
        <v>830</v>
      </c>
      <c r="K46" s="65">
        <f t="shared" si="9"/>
        <v>768</v>
      </c>
      <c r="L46" s="65">
        <f t="shared" si="9"/>
        <v>0</v>
      </c>
      <c r="M46" s="65">
        <f t="shared" si="9"/>
        <v>38301</v>
      </c>
      <c r="N46" s="65">
        <f t="shared" si="9"/>
        <v>5048</v>
      </c>
      <c r="O46" s="65">
        <f t="shared" si="9"/>
        <v>0</v>
      </c>
      <c r="P46" s="65">
        <f t="shared" si="9"/>
        <v>0</v>
      </c>
      <c r="Q46" s="65">
        <f t="shared" si="9"/>
        <v>0</v>
      </c>
      <c r="R46" s="65">
        <f t="shared" si="9"/>
        <v>0</v>
      </c>
      <c r="S46" s="65">
        <f t="shared" si="9"/>
        <v>5048</v>
      </c>
      <c r="T46" s="65">
        <f t="shared" si="9"/>
        <v>0</v>
      </c>
      <c r="U46" s="65">
        <f t="shared" si="9"/>
        <v>0</v>
      </c>
      <c r="V46" s="65">
        <f t="shared" si="9"/>
        <v>0</v>
      </c>
      <c r="W46" s="65">
        <f t="shared" si="9"/>
        <v>0</v>
      </c>
      <c r="X46" s="65">
        <f t="shared" si="9"/>
        <v>0</v>
      </c>
      <c r="Y46" s="65">
        <f t="shared" si="9"/>
        <v>0</v>
      </c>
      <c r="Z46" s="65">
        <f t="shared" si="9"/>
        <v>0</v>
      </c>
      <c r="AA46" s="65">
        <f t="shared" si="9"/>
        <v>0</v>
      </c>
      <c r="AB46" s="65">
        <f t="shared" si="9"/>
        <v>0</v>
      </c>
      <c r="AC46" s="65">
        <f t="shared" si="9"/>
        <v>7017</v>
      </c>
      <c r="AD46" s="65">
        <f t="shared" si="9"/>
        <v>12065</v>
      </c>
      <c r="AE46" s="65">
        <f t="shared" si="9"/>
        <v>26236</v>
      </c>
      <c r="AF46" s="65">
        <f t="shared" si="9"/>
        <v>38301</v>
      </c>
      <c r="AY46" s="124"/>
      <c r="BC46" s="124"/>
      <c r="BK46" s="71"/>
    </row>
    <row r="47" spans="1:63" ht="13" hidden="1" outlineLevel="1" x14ac:dyDescent="0.3">
      <c r="A47" s="65" t="str">
        <f t="shared" si="1"/>
        <v>SIDERURGIE ET PREMIERE TRANSFORMATION DE</v>
      </c>
      <c r="B47" s="65">
        <f t="shared" si="1"/>
        <v>10</v>
      </c>
      <c r="C47" s="65">
        <f t="shared" ref="C47:AF47" si="10">GETPIVOTDATA(CONCATENATE(C$4),$B$3,"L",$B77)</f>
        <v>27396</v>
      </c>
      <c r="D47" s="65">
        <f t="shared" si="10"/>
        <v>14686</v>
      </c>
      <c r="E47" s="65">
        <f t="shared" si="10"/>
        <v>0</v>
      </c>
      <c r="F47" s="65">
        <f t="shared" si="10"/>
        <v>0</v>
      </c>
      <c r="G47" s="65">
        <f t="shared" si="10"/>
        <v>42082</v>
      </c>
      <c r="H47" s="65">
        <f t="shared" si="10"/>
        <v>2431</v>
      </c>
      <c r="I47" s="65">
        <f t="shared" si="10"/>
        <v>965</v>
      </c>
      <c r="J47" s="65">
        <f t="shared" si="10"/>
        <v>8</v>
      </c>
      <c r="K47" s="65">
        <f t="shared" si="10"/>
        <v>5</v>
      </c>
      <c r="L47" s="65">
        <f t="shared" si="10"/>
        <v>0</v>
      </c>
      <c r="M47" s="65">
        <f t="shared" si="10"/>
        <v>45486</v>
      </c>
      <c r="N47" s="65">
        <f t="shared" si="10"/>
        <v>0</v>
      </c>
      <c r="O47" s="65">
        <f t="shared" si="10"/>
        <v>0</v>
      </c>
      <c r="P47" s="65">
        <f t="shared" si="10"/>
        <v>0</v>
      </c>
      <c r="Q47" s="65">
        <f t="shared" si="10"/>
        <v>0</v>
      </c>
      <c r="R47" s="65">
        <f t="shared" si="10"/>
        <v>0</v>
      </c>
      <c r="S47" s="65">
        <f t="shared" si="10"/>
        <v>0</v>
      </c>
      <c r="T47" s="65">
        <f t="shared" si="10"/>
        <v>0</v>
      </c>
      <c r="U47" s="65">
        <f t="shared" si="10"/>
        <v>0</v>
      </c>
      <c r="V47" s="65">
        <f t="shared" si="10"/>
        <v>0</v>
      </c>
      <c r="W47" s="65">
        <f t="shared" si="10"/>
        <v>0</v>
      </c>
      <c r="X47" s="65">
        <f t="shared" si="10"/>
        <v>0</v>
      </c>
      <c r="Y47" s="65">
        <f t="shared" si="10"/>
        <v>0</v>
      </c>
      <c r="Z47" s="65">
        <f t="shared" si="10"/>
        <v>0</v>
      </c>
      <c r="AA47" s="65">
        <f t="shared" si="10"/>
        <v>80</v>
      </c>
      <c r="AB47" s="65">
        <f t="shared" si="10"/>
        <v>80</v>
      </c>
      <c r="AC47" s="65">
        <f t="shared" si="10"/>
        <v>16496</v>
      </c>
      <c r="AD47" s="65">
        <f t="shared" si="10"/>
        <v>16576</v>
      </c>
      <c r="AE47" s="65">
        <f t="shared" si="10"/>
        <v>28910</v>
      </c>
      <c r="AF47" s="65">
        <f t="shared" si="10"/>
        <v>45486</v>
      </c>
      <c r="AY47" s="124"/>
      <c r="BC47" s="124"/>
      <c r="BK47" s="71"/>
    </row>
    <row r="48" spans="1:63" ht="13" hidden="1" outlineLevel="1" x14ac:dyDescent="0.3">
      <c r="A48" s="65" t="str">
        <f t="shared" si="1"/>
        <v>PRODUCTION DE METAUX NON FERREUX</v>
      </c>
      <c r="B48" s="65">
        <f t="shared" si="1"/>
        <v>11</v>
      </c>
      <c r="C48" s="65">
        <f t="shared" ref="C48:AF48" si="11">GETPIVOTDATA(CONCATENATE(C$4),$B$3,"L",$B78)</f>
        <v>12661</v>
      </c>
      <c r="D48" s="65">
        <f t="shared" si="11"/>
        <v>12431</v>
      </c>
      <c r="E48" s="65">
        <f t="shared" si="11"/>
        <v>0</v>
      </c>
      <c r="F48" s="65">
        <f t="shared" si="11"/>
        <v>0</v>
      </c>
      <c r="G48" s="65">
        <f t="shared" si="11"/>
        <v>25092</v>
      </c>
      <c r="H48" s="65">
        <f t="shared" si="11"/>
        <v>1737</v>
      </c>
      <c r="I48" s="65">
        <f t="shared" si="11"/>
        <v>361</v>
      </c>
      <c r="J48" s="65">
        <f t="shared" si="11"/>
        <v>12</v>
      </c>
      <c r="K48" s="65">
        <f t="shared" si="11"/>
        <v>0</v>
      </c>
      <c r="L48" s="65">
        <f t="shared" si="11"/>
        <v>0</v>
      </c>
      <c r="M48" s="65">
        <f t="shared" si="11"/>
        <v>27202</v>
      </c>
      <c r="N48" s="65">
        <f t="shared" si="11"/>
        <v>164</v>
      </c>
      <c r="O48" s="65">
        <f t="shared" si="11"/>
        <v>0</v>
      </c>
      <c r="P48" s="65">
        <f t="shared" si="11"/>
        <v>0</v>
      </c>
      <c r="Q48" s="65">
        <f t="shared" si="11"/>
        <v>0</v>
      </c>
      <c r="R48" s="65">
        <f t="shared" si="11"/>
        <v>0</v>
      </c>
      <c r="S48" s="65">
        <f t="shared" si="11"/>
        <v>164</v>
      </c>
      <c r="T48" s="65">
        <f t="shared" si="11"/>
        <v>0</v>
      </c>
      <c r="U48" s="65">
        <f t="shared" si="11"/>
        <v>0</v>
      </c>
      <c r="V48" s="65">
        <f t="shared" si="11"/>
        <v>0</v>
      </c>
      <c r="W48" s="65">
        <f t="shared" si="11"/>
        <v>0</v>
      </c>
      <c r="X48" s="65">
        <f t="shared" si="11"/>
        <v>0</v>
      </c>
      <c r="Y48" s="65">
        <f t="shared" si="11"/>
        <v>0</v>
      </c>
      <c r="Z48" s="65">
        <f t="shared" si="11"/>
        <v>330</v>
      </c>
      <c r="AA48" s="65">
        <f t="shared" si="11"/>
        <v>0</v>
      </c>
      <c r="AB48" s="65">
        <f t="shared" si="11"/>
        <v>330</v>
      </c>
      <c r="AC48" s="65">
        <f t="shared" si="11"/>
        <v>9350</v>
      </c>
      <c r="AD48" s="65">
        <f t="shared" si="11"/>
        <v>9844</v>
      </c>
      <c r="AE48" s="65">
        <f t="shared" si="11"/>
        <v>17358</v>
      </c>
      <c r="AF48" s="65">
        <f t="shared" si="11"/>
        <v>27202</v>
      </c>
      <c r="AY48" s="124"/>
      <c r="BC48" s="124"/>
      <c r="BK48" s="71"/>
    </row>
    <row r="49" spans="1:63" ht="13" hidden="1" outlineLevel="1" x14ac:dyDescent="0.3">
      <c r="A49" s="65" t="str">
        <f t="shared" si="1"/>
        <v>Autres industries</v>
      </c>
      <c r="B49" s="65">
        <f t="shared" si="1"/>
        <v>12</v>
      </c>
      <c r="C49" s="65">
        <f t="shared" ref="C49:AF49" si="12">GETPIVOTDATA(CONCATENATE(C$4),$B$3,"L",$B79)</f>
        <v>434957.8</v>
      </c>
      <c r="D49" s="65">
        <f t="shared" si="12"/>
        <v>211205.2</v>
      </c>
      <c r="E49" s="65">
        <f t="shared" si="12"/>
        <v>0</v>
      </c>
      <c r="F49" s="65">
        <f t="shared" si="12"/>
        <v>0</v>
      </c>
      <c r="G49" s="65">
        <f t="shared" si="12"/>
        <v>646163</v>
      </c>
      <c r="H49" s="65">
        <f t="shared" si="12"/>
        <v>136719.4</v>
      </c>
      <c r="I49" s="65">
        <f t="shared" si="12"/>
        <v>15795</v>
      </c>
      <c r="J49" s="65">
        <f t="shared" si="12"/>
        <v>32908.699999999997</v>
      </c>
      <c r="K49" s="65">
        <f t="shared" si="12"/>
        <v>30532.6</v>
      </c>
      <c r="L49" s="65">
        <f t="shared" si="12"/>
        <v>-43</v>
      </c>
      <c r="M49" s="65">
        <f t="shared" si="12"/>
        <v>831543.1</v>
      </c>
      <c r="N49" s="65">
        <f t="shared" si="12"/>
        <v>179280.6</v>
      </c>
      <c r="O49" s="65">
        <f t="shared" si="12"/>
        <v>0</v>
      </c>
      <c r="P49" s="65">
        <f t="shared" si="12"/>
        <v>27652.799999999999</v>
      </c>
      <c r="Q49" s="65">
        <f t="shared" si="12"/>
        <v>27652.799999999999</v>
      </c>
      <c r="R49" s="65">
        <f t="shared" si="12"/>
        <v>0</v>
      </c>
      <c r="S49" s="65">
        <f t="shared" si="12"/>
        <v>206933.4</v>
      </c>
      <c r="T49" s="65">
        <f t="shared" si="12"/>
        <v>64075.5</v>
      </c>
      <c r="U49" s="65">
        <f t="shared" si="12"/>
        <v>0</v>
      </c>
      <c r="V49" s="65">
        <f t="shared" si="12"/>
        <v>3656</v>
      </c>
      <c r="W49" s="65">
        <f t="shared" si="12"/>
        <v>5715.7</v>
      </c>
      <c r="X49" s="65">
        <f t="shared" si="12"/>
        <v>678</v>
      </c>
      <c r="Y49" s="65">
        <f t="shared" si="12"/>
        <v>74125.2</v>
      </c>
      <c r="Z49" s="65">
        <f t="shared" si="12"/>
        <v>476</v>
      </c>
      <c r="AA49" s="65">
        <f t="shared" si="12"/>
        <v>2179.3000000000002</v>
      </c>
      <c r="AB49" s="65">
        <f t="shared" si="12"/>
        <v>76780.5</v>
      </c>
      <c r="AC49" s="65">
        <f t="shared" si="12"/>
        <v>209671.1</v>
      </c>
      <c r="AD49" s="65">
        <f t="shared" si="12"/>
        <v>493385</v>
      </c>
      <c r="AE49" s="65">
        <f t="shared" si="12"/>
        <v>338158.1</v>
      </c>
      <c r="AF49" s="65">
        <f t="shared" si="12"/>
        <v>831543.1</v>
      </c>
      <c r="AY49" s="124"/>
      <c r="BC49" s="124"/>
      <c r="BK49" s="71"/>
    </row>
    <row r="50" spans="1:63" ht="13" hidden="1" outlineLevel="1" x14ac:dyDescent="0.3">
      <c r="A50" s="65" t="str">
        <f t="shared" si="1"/>
        <v>BTP</v>
      </c>
      <c r="B50" s="65">
        <f t="shared" si="1"/>
        <v>13</v>
      </c>
      <c r="C50" s="65">
        <f t="shared" ref="C50:AF50" si="13">GETPIVOTDATA(CONCATENATE(C$4),$B$3,"L",$B80)</f>
        <v>229731</v>
      </c>
      <c r="D50" s="65">
        <f t="shared" si="13"/>
        <v>0</v>
      </c>
      <c r="E50" s="65">
        <f t="shared" si="13"/>
        <v>0</v>
      </c>
      <c r="F50" s="65">
        <f t="shared" si="13"/>
        <v>0</v>
      </c>
      <c r="G50" s="65">
        <f t="shared" si="13"/>
        <v>229731</v>
      </c>
      <c r="H50" s="65">
        <f t="shared" si="13"/>
        <v>0</v>
      </c>
      <c r="I50" s="65">
        <f t="shared" si="13"/>
        <v>0</v>
      </c>
      <c r="J50" s="65">
        <f t="shared" si="13"/>
        <v>21742</v>
      </c>
      <c r="K50" s="65">
        <f t="shared" si="13"/>
        <v>20944</v>
      </c>
      <c r="L50" s="65">
        <f t="shared" si="13"/>
        <v>-69</v>
      </c>
      <c r="M50" s="65">
        <f t="shared" si="13"/>
        <v>251404</v>
      </c>
      <c r="N50" s="65">
        <f t="shared" si="13"/>
        <v>10499</v>
      </c>
      <c r="O50" s="65">
        <f t="shared" si="13"/>
        <v>0</v>
      </c>
      <c r="P50" s="65">
        <f t="shared" si="13"/>
        <v>0</v>
      </c>
      <c r="Q50" s="65">
        <f t="shared" si="13"/>
        <v>0</v>
      </c>
      <c r="R50" s="65">
        <f t="shared" si="13"/>
        <v>0</v>
      </c>
      <c r="S50" s="65">
        <f t="shared" si="13"/>
        <v>10499</v>
      </c>
      <c r="T50" s="65">
        <f t="shared" si="13"/>
        <v>51899</v>
      </c>
      <c r="U50" s="65">
        <f t="shared" si="13"/>
        <v>80093</v>
      </c>
      <c r="V50" s="65">
        <f t="shared" si="13"/>
        <v>8271</v>
      </c>
      <c r="W50" s="65">
        <f t="shared" si="13"/>
        <v>44828</v>
      </c>
      <c r="X50" s="65">
        <f t="shared" si="13"/>
        <v>1303</v>
      </c>
      <c r="Y50" s="65">
        <f t="shared" si="13"/>
        <v>186394</v>
      </c>
      <c r="Z50" s="65">
        <f t="shared" si="13"/>
        <v>0</v>
      </c>
      <c r="AA50" s="65">
        <f t="shared" si="13"/>
        <v>0</v>
      </c>
      <c r="AB50" s="65">
        <f t="shared" si="13"/>
        <v>186394</v>
      </c>
      <c r="AC50" s="65">
        <f t="shared" si="13"/>
        <v>0</v>
      </c>
      <c r="AD50" s="65">
        <f t="shared" si="13"/>
        <v>196893</v>
      </c>
      <c r="AE50" s="65">
        <f t="shared" si="13"/>
        <v>54511</v>
      </c>
      <c r="AF50" s="65">
        <f t="shared" si="13"/>
        <v>251404</v>
      </c>
      <c r="AY50" s="124"/>
      <c r="BC50" s="124"/>
      <c r="BK50" s="71"/>
    </row>
    <row r="51" spans="1:63" ht="13" hidden="1" outlineLevel="1" x14ac:dyDescent="0.3">
      <c r="A51" s="65" t="str">
        <f t="shared" si="1"/>
        <v>TRANSPORTS FERROVIAIRES</v>
      </c>
      <c r="B51" s="65">
        <f t="shared" si="1"/>
        <v>14</v>
      </c>
      <c r="C51" s="65">
        <f t="shared" ref="C51:AF51" si="14">GETPIVOTDATA(CONCATENATE(C$4),$B$3,"L",$B81)</f>
        <v>10144.709689341518</v>
      </c>
      <c r="D51" s="65">
        <f t="shared" si="14"/>
        <v>0</v>
      </c>
      <c r="E51" s="65">
        <f t="shared" si="14"/>
        <v>1038.7094018848941</v>
      </c>
      <c r="F51" s="65">
        <f t="shared" si="14"/>
        <v>-119</v>
      </c>
      <c r="G51" s="65">
        <f t="shared" si="14"/>
        <v>11064.419091226413</v>
      </c>
      <c r="H51" s="65">
        <f t="shared" si="14"/>
        <v>0</v>
      </c>
      <c r="I51" s="65">
        <f t="shared" si="14"/>
        <v>-1632.5393712912962</v>
      </c>
      <c r="J51" s="65">
        <f t="shared" si="14"/>
        <v>291.27117426031253</v>
      </c>
      <c r="K51" s="65">
        <f t="shared" si="14"/>
        <v>291.27117426031253</v>
      </c>
      <c r="L51" s="65">
        <f t="shared" si="14"/>
        <v>-1794</v>
      </c>
      <c r="M51" s="65">
        <f t="shared" si="14"/>
        <v>7929.1508941954298</v>
      </c>
      <c r="N51" s="65">
        <f t="shared" si="14"/>
        <v>4179.7052337638343</v>
      </c>
      <c r="O51" s="65">
        <f t="shared" si="14"/>
        <v>0</v>
      </c>
      <c r="P51" s="65">
        <f t="shared" si="14"/>
        <v>190</v>
      </c>
      <c r="Q51" s="65">
        <f t="shared" si="14"/>
        <v>190</v>
      </c>
      <c r="R51" s="65">
        <f t="shared" si="14"/>
        <v>0</v>
      </c>
      <c r="S51" s="65">
        <f t="shared" si="14"/>
        <v>4369.7052337638343</v>
      </c>
      <c r="T51" s="65">
        <f t="shared" si="14"/>
        <v>0</v>
      </c>
      <c r="U51" s="65">
        <f t="shared" si="14"/>
        <v>0</v>
      </c>
      <c r="V51" s="65">
        <f t="shared" si="14"/>
        <v>0</v>
      </c>
      <c r="W51" s="65">
        <f t="shared" si="14"/>
        <v>0</v>
      </c>
      <c r="X51" s="65">
        <f t="shared" si="14"/>
        <v>0</v>
      </c>
      <c r="Y51" s="65">
        <f t="shared" si="14"/>
        <v>0</v>
      </c>
      <c r="Z51" s="65">
        <f t="shared" si="14"/>
        <v>0</v>
      </c>
      <c r="AA51" s="65">
        <f t="shared" si="14"/>
        <v>-4.4956162864710594</v>
      </c>
      <c r="AB51" s="65">
        <f t="shared" si="14"/>
        <v>-4.4956162864710594</v>
      </c>
      <c r="AC51" s="65">
        <f t="shared" si="14"/>
        <v>1351.3973677186211</v>
      </c>
      <c r="AD51" s="65">
        <f t="shared" si="14"/>
        <v>5716.6069851959837</v>
      </c>
      <c r="AE51" s="65">
        <f t="shared" si="14"/>
        <v>2212.5439089994456</v>
      </c>
      <c r="AF51" s="65">
        <f t="shared" si="14"/>
        <v>7929.1508941954298</v>
      </c>
      <c r="AY51" s="124"/>
      <c r="BC51" s="124"/>
      <c r="BK51" s="71"/>
    </row>
    <row r="52" spans="1:63" ht="13" hidden="1" outlineLevel="1" x14ac:dyDescent="0.3">
      <c r="A52" s="65" t="str">
        <f t="shared" si="1"/>
        <v>TRANSPORT ROUTIER DE VOYAGEURS</v>
      </c>
      <c r="B52" s="65">
        <f t="shared" si="1"/>
        <v>15</v>
      </c>
      <c r="C52" s="65">
        <f t="shared" ref="C52:AF52" si="15">GETPIVOTDATA(CONCATENATE(C$4),$B$3,"L",$B82)</f>
        <v>17708</v>
      </c>
      <c r="D52" s="65">
        <f t="shared" si="15"/>
        <v>0</v>
      </c>
      <c r="E52" s="65">
        <f t="shared" si="15"/>
        <v>0</v>
      </c>
      <c r="F52" s="65">
        <f t="shared" si="15"/>
        <v>0</v>
      </c>
      <c r="G52" s="65">
        <f t="shared" si="15"/>
        <v>17708</v>
      </c>
      <c r="H52" s="65">
        <f t="shared" si="15"/>
        <v>0</v>
      </c>
      <c r="I52" s="65">
        <f t="shared" si="15"/>
        <v>0</v>
      </c>
      <c r="J52" s="65">
        <f t="shared" si="15"/>
        <v>768</v>
      </c>
      <c r="K52" s="65">
        <f t="shared" si="15"/>
        <v>704</v>
      </c>
      <c r="L52" s="65">
        <f t="shared" si="15"/>
        <v>-3393</v>
      </c>
      <c r="M52" s="65">
        <f t="shared" si="15"/>
        <v>15083</v>
      </c>
      <c r="N52" s="65">
        <f t="shared" si="15"/>
        <v>9238</v>
      </c>
      <c r="O52" s="65">
        <f t="shared" si="15"/>
        <v>0</v>
      </c>
      <c r="P52" s="65">
        <f t="shared" si="15"/>
        <v>1630</v>
      </c>
      <c r="Q52" s="65">
        <f t="shared" si="15"/>
        <v>1630</v>
      </c>
      <c r="R52" s="65">
        <f t="shared" si="15"/>
        <v>0</v>
      </c>
      <c r="S52" s="65">
        <f t="shared" si="15"/>
        <v>10868</v>
      </c>
      <c r="T52" s="65">
        <f t="shared" si="15"/>
        <v>0</v>
      </c>
      <c r="U52" s="65">
        <f t="shared" si="15"/>
        <v>0</v>
      </c>
      <c r="V52" s="65">
        <f t="shared" si="15"/>
        <v>0</v>
      </c>
      <c r="W52" s="65">
        <f t="shared" si="15"/>
        <v>0</v>
      </c>
      <c r="X52" s="65">
        <f t="shared" si="15"/>
        <v>0</v>
      </c>
      <c r="Y52" s="65">
        <f t="shared" si="15"/>
        <v>0</v>
      </c>
      <c r="Z52" s="65">
        <f t="shared" si="15"/>
        <v>0</v>
      </c>
      <c r="AA52" s="65">
        <f t="shared" si="15"/>
        <v>0</v>
      </c>
      <c r="AB52" s="65">
        <f t="shared" si="15"/>
        <v>0</v>
      </c>
      <c r="AC52" s="65">
        <f t="shared" si="15"/>
        <v>0</v>
      </c>
      <c r="AD52" s="65">
        <f t="shared" si="15"/>
        <v>10868</v>
      </c>
      <c r="AE52" s="65">
        <f t="shared" si="15"/>
        <v>4215</v>
      </c>
      <c r="AF52" s="65">
        <f t="shared" si="15"/>
        <v>15083</v>
      </c>
      <c r="AY52" s="124"/>
      <c r="BC52" s="124"/>
      <c r="BK52" s="71"/>
    </row>
    <row r="53" spans="1:63" ht="13" hidden="1" outlineLevel="1" x14ac:dyDescent="0.3">
      <c r="A53" s="65" t="str">
        <f t="shared" si="1"/>
        <v xml:space="preserve">TRANSPORT ROUTIER (OU PAR CONDUITES) DE </v>
      </c>
      <c r="B53" s="65">
        <f t="shared" si="1"/>
        <v>16</v>
      </c>
      <c r="C53" s="65">
        <f t="shared" ref="C53:AF53" si="16">GETPIVOTDATA(CONCATENATE(C$4),$B$3,"L",$B83)</f>
        <v>51998.142604885004</v>
      </c>
      <c r="D53" s="65">
        <f t="shared" si="16"/>
        <v>0</v>
      </c>
      <c r="E53" s="65">
        <f t="shared" si="16"/>
        <v>8981.7359886894628</v>
      </c>
      <c r="F53" s="65">
        <f t="shared" si="16"/>
        <v>-3788</v>
      </c>
      <c r="G53" s="65">
        <f t="shared" si="16"/>
        <v>57191.878593574467</v>
      </c>
      <c r="H53" s="65">
        <f t="shared" si="16"/>
        <v>0</v>
      </c>
      <c r="I53" s="65">
        <f t="shared" si="16"/>
        <v>-33066.79393759845</v>
      </c>
      <c r="J53" s="65">
        <f t="shared" si="16"/>
        <v>243.4210271587846</v>
      </c>
      <c r="K53" s="65">
        <f t="shared" si="16"/>
        <v>243.4210271587846</v>
      </c>
      <c r="L53" s="65">
        <f t="shared" si="16"/>
        <v>0</v>
      </c>
      <c r="M53" s="65">
        <f t="shared" si="16"/>
        <v>24368.505683134805</v>
      </c>
      <c r="N53" s="65">
        <f t="shared" si="16"/>
        <v>678.12576813983299</v>
      </c>
      <c r="O53" s="65">
        <f t="shared" si="16"/>
        <v>0</v>
      </c>
      <c r="P53" s="65">
        <f t="shared" si="16"/>
        <v>4</v>
      </c>
      <c r="Q53" s="65">
        <f t="shared" si="16"/>
        <v>4</v>
      </c>
      <c r="R53" s="65">
        <f t="shared" si="16"/>
        <v>0</v>
      </c>
      <c r="S53" s="65">
        <f t="shared" si="16"/>
        <v>682.12576813983299</v>
      </c>
      <c r="T53" s="65">
        <f t="shared" si="16"/>
        <v>0</v>
      </c>
      <c r="U53" s="65">
        <f t="shared" si="16"/>
        <v>0</v>
      </c>
      <c r="V53" s="65">
        <f t="shared" si="16"/>
        <v>0</v>
      </c>
      <c r="W53" s="65">
        <f t="shared" si="16"/>
        <v>0</v>
      </c>
      <c r="X53" s="65">
        <f t="shared" si="16"/>
        <v>0</v>
      </c>
      <c r="Y53" s="65">
        <f t="shared" si="16"/>
        <v>0</v>
      </c>
      <c r="Z53" s="65">
        <f t="shared" si="16"/>
        <v>0</v>
      </c>
      <c r="AA53" s="65">
        <f t="shared" si="16"/>
        <v>-100.51338873228696</v>
      </c>
      <c r="AB53" s="65">
        <f t="shared" si="16"/>
        <v>-100.51338873228696</v>
      </c>
      <c r="AC53" s="65">
        <f t="shared" si="16"/>
        <v>4060.4969655726695</v>
      </c>
      <c r="AD53" s="65">
        <f t="shared" si="16"/>
        <v>4642.1093449802156</v>
      </c>
      <c r="AE53" s="65">
        <f t="shared" si="16"/>
        <v>19726.396338154587</v>
      </c>
      <c r="AF53" s="65">
        <f t="shared" si="16"/>
        <v>24368.505683134805</v>
      </c>
      <c r="AY53" s="124"/>
      <c r="BC53" s="124"/>
      <c r="BK53" s="71"/>
    </row>
    <row r="54" spans="1:63" ht="13" hidden="1" outlineLevel="1" x14ac:dyDescent="0.3">
      <c r="A54" s="65" t="str">
        <f t="shared" si="1"/>
        <v>TRANSPORTS PAR EAU</v>
      </c>
      <c r="B54" s="65">
        <f t="shared" si="1"/>
        <v>17</v>
      </c>
      <c r="C54" s="65">
        <f t="shared" ref="C54:AF54" si="17">GETPIVOTDATA(CONCATENATE(C$4),$B$3,"L",$B84)</f>
        <v>12381.120558721816</v>
      </c>
      <c r="D54" s="65">
        <f t="shared" si="17"/>
        <v>0</v>
      </c>
      <c r="E54" s="65">
        <f t="shared" si="17"/>
        <v>6131.2772460482047</v>
      </c>
      <c r="F54" s="65">
        <f t="shared" si="17"/>
        <v>-6704</v>
      </c>
      <c r="G54" s="65">
        <f t="shared" si="17"/>
        <v>11808.39780477002</v>
      </c>
      <c r="H54" s="65">
        <f t="shared" si="17"/>
        <v>0</v>
      </c>
      <c r="I54" s="65">
        <f t="shared" si="17"/>
        <v>-2539.100656750391</v>
      </c>
      <c r="J54" s="65">
        <f t="shared" si="17"/>
        <v>13.289932271699309</v>
      </c>
      <c r="K54" s="65">
        <f t="shared" si="17"/>
        <v>13.289932271699309</v>
      </c>
      <c r="L54" s="65">
        <f t="shared" si="17"/>
        <v>-130</v>
      </c>
      <c r="M54" s="65">
        <f t="shared" si="17"/>
        <v>9152.5870802913287</v>
      </c>
      <c r="N54" s="65">
        <f t="shared" si="17"/>
        <v>359.12064085227956</v>
      </c>
      <c r="O54" s="65">
        <f t="shared" si="17"/>
        <v>0</v>
      </c>
      <c r="P54" s="65">
        <f t="shared" si="17"/>
        <v>0</v>
      </c>
      <c r="Q54" s="65">
        <f t="shared" si="17"/>
        <v>0</v>
      </c>
      <c r="R54" s="65">
        <f t="shared" si="17"/>
        <v>0</v>
      </c>
      <c r="S54" s="65">
        <f t="shared" si="17"/>
        <v>359.12064085227956</v>
      </c>
      <c r="T54" s="65">
        <f t="shared" si="17"/>
        <v>0</v>
      </c>
      <c r="U54" s="65">
        <f t="shared" si="17"/>
        <v>0</v>
      </c>
      <c r="V54" s="65">
        <f t="shared" si="17"/>
        <v>0</v>
      </c>
      <c r="W54" s="65">
        <f t="shared" si="17"/>
        <v>0</v>
      </c>
      <c r="X54" s="65">
        <f t="shared" si="17"/>
        <v>0</v>
      </c>
      <c r="Y54" s="65">
        <f t="shared" si="17"/>
        <v>0</v>
      </c>
      <c r="Z54" s="65">
        <f t="shared" si="17"/>
        <v>0</v>
      </c>
      <c r="AA54" s="65">
        <f t="shared" si="17"/>
        <v>-29.31805315600975</v>
      </c>
      <c r="AB54" s="65">
        <f t="shared" si="17"/>
        <v>-29.31805315600975</v>
      </c>
      <c r="AC54" s="65">
        <f t="shared" si="17"/>
        <v>4431.6470531296109</v>
      </c>
      <c r="AD54" s="65">
        <f t="shared" si="17"/>
        <v>4761.4496408258801</v>
      </c>
      <c r="AE54" s="65">
        <f t="shared" si="17"/>
        <v>4391.1374394654486</v>
      </c>
      <c r="AF54" s="65">
        <f t="shared" si="17"/>
        <v>9152.5870802913287</v>
      </c>
      <c r="AY54" s="124"/>
      <c r="BC54" s="124"/>
      <c r="BK54" s="71"/>
    </row>
    <row r="55" spans="1:63" ht="13" hidden="1" outlineLevel="1" x14ac:dyDescent="0.3">
      <c r="A55" s="65" t="str">
        <f t="shared" si="1"/>
        <v>TRANSPORTS AERIENS</v>
      </c>
      <c r="B55" s="65">
        <f t="shared" si="1"/>
        <v>18</v>
      </c>
      <c r="C55" s="65">
        <f t="shared" ref="C55:AF55" si="18">GETPIVOTDATA(CONCATENATE(C$4),$B$3,"L",$B85)</f>
        <v>18849.027147051664</v>
      </c>
      <c r="D55" s="65">
        <f t="shared" si="18"/>
        <v>0</v>
      </c>
      <c r="E55" s="65">
        <f t="shared" si="18"/>
        <v>7701.2773633774395</v>
      </c>
      <c r="F55" s="65">
        <f t="shared" si="18"/>
        <v>-2151</v>
      </c>
      <c r="G55" s="65">
        <f t="shared" si="18"/>
        <v>24399.304510429101</v>
      </c>
      <c r="H55" s="65">
        <f t="shared" si="18"/>
        <v>0</v>
      </c>
      <c r="I55" s="65">
        <f t="shared" si="18"/>
        <v>-634.56603435986642</v>
      </c>
      <c r="J55" s="65">
        <f t="shared" si="18"/>
        <v>543.01786630920355</v>
      </c>
      <c r="K55" s="65">
        <f t="shared" si="18"/>
        <v>158.01786630920361</v>
      </c>
      <c r="L55" s="65">
        <f t="shared" si="18"/>
        <v>-67</v>
      </c>
      <c r="M55" s="65">
        <f t="shared" si="18"/>
        <v>24240.756342378441</v>
      </c>
      <c r="N55" s="65">
        <f t="shared" si="18"/>
        <v>7336.0483572440535</v>
      </c>
      <c r="O55" s="65">
        <f t="shared" si="18"/>
        <v>0</v>
      </c>
      <c r="P55" s="65">
        <f t="shared" si="18"/>
        <v>0</v>
      </c>
      <c r="Q55" s="65">
        <f t="shared" si="18"/>
        <v>0</v>
      </c>
      <c r="R55" s="65">
        <f t="shared" si="18"/>
        <v>0</v>
      </c>
      <c r="S55" s="65">
        <f t="shared" si="18"/>
        <v>7336.0483572440535</v>
      </c>
      <c r="T55" s="65">
        <f t="shared" si="18"/>
        <v>0</v>
      </c>
      <c r="U55" s="65">
        <f t="shared" si="18"/>
        <v>0</v>
      </c>
      <c r="V55" s="65">
        <f t="shared" si="18"/>
        <v>0</v>
      </c>
      <c r="W55" s="65">
        <f t="shared" si="18"/>
        <v>0</v>
      </c>
      <c r="X55" s="65">
        <f t="shared" si="18"/>
        <v>0</v>
      </c>
      <c r="Y55" s="65">
        <f t="shared" si="18"/>
        <v>0</v>
      </c>
      <c r="Z55" s="65">
        <f t="shared" si="18"/>
        <v>0</v>
      </c>
      <c r="AA55" s="65">
        <f t="shared" si="18"/>
        <v>-10.67294182523224</v>
      </c>
      <c r="AB55" s="65">
        <f t="shared" si="18"/>
        <v>-10.67294182523224</v>
      </c>
      <c r="AC55" s="65">
        <f t="shared" si="18"/>
        <v>7626.4586135790987</v>
      </c>
      <c r="AD55" s="65">
        <f t="shared" si="18"/>
        <v>14951.834028997921</v>
      </c>
      <c r="AE55" s="65">
        <f t="shared" si="18"/>
        <v>9288.922313380519</v>
      </c>
      <c r="AF55" s="65">
        <f t="shared" si="18"/>
        <v>24240.756342378441</v>
      </c>
      <c r="AY55" s="124"/>
      <c r="BC55" s="124"/>
      <c r="BK55" s="71"/>
    </row>
    <row r="56" spans="1:63" ht="13" hidden="1" outlineLevel="1" x14ac:dyDescent="0.3">
      <c r="A56" s="65" t="str">
        <f t="shared" si="1"/>
        <v>Services marchands</v>
      </c>
      <c r="B56" s="65">
        <f t="shared" si="1"/>
        <v>19</v>
      </c>
      <c r="C56" s="65">
        <f t="shared" ref="C56:AF56" si="19">GETPIVOTDATA(CONCATENATE(C$4),$B$3,"L",$B86)</f>
        <v>1606209</v>
      </c>
      <c r="D56" s="65">
        <f t="shared" si="19"/>
        <v>0</v>
      </c>
      <c r="E56" s="65">
        <f t="shared" si="19"/>
        <v>42347</v>
      </c>
      <c r="F56" s="65">
        <f t="shared" si="19"/>
        <v>-109</v>
      </c>
      <c r="G56" s="65">
        <f t="shared" si="19"/>
        <v>1648447</v>
      </c>
      <c r="H56" s="65">
        <f t="shared" si="19"/>
        <v>-271836</v>
      </c>
      <c r="I56" s="65">
        <f t="shared" si="19"/>
        <v>0</v>
      </c>
      <c r="J56" s="65">
        <f t="shared" si="19"/>
        <v>65171</v>
      </c>
      <c r="K56" s="65">
        <f t="shared" si="19"/>
        <v>37902</v>
      </c>
      <c r="L56" s="65">
        <f t="shared" si="19"/>
        <v>-1388</v>
      </c>
      <c r="M56" s="65">
        <f t="shared" si="19"/>
        <v>1440394</v>
      </c>
      <c r="N56" s="65">
        <f t="shared" si="19"/>
        <v>470867</v>
      </c>
      <c r="O56" s="65">
        <f t="shared" si="19"/>
        <v>0</v>
      </c>
      <c r="P56" s="65">
        <f t="shared" si="19"/>
        <v>81912</v>
      </c>
      <c r="Q56" s="65">
        <f t="shared" si="19"/>
        <v>81912</v>
      </c>
      <c r="R56" s="65">
        <f t="shared" si="19"/>
        <v>4109</v>
      </c>
      <c r="S56" s="65">
        <f t="shared" si="19"/>
        <v>556888</v>
      </c>
      <c r="T56" s="65">
        <f t="shared" si="19"/>
        <v>54082</v>
      </c>
      <c r="U56" s="65">
        <f t="shared" si="19"/>
        <v>27042</v>
      </c>
      <c r="V56" s="65">
        <f t="shared" si="19"/>
        <v>3360</v>
      </c>
      <c r="W56" s="65">
        <f t="shared" si="19"/>
        <v>5334</v>
      </c>
      <c r="X56" s="65">
        <f t="shared" si="19"/>
        <v>148</v>
      </c>
      <c r="Y56" s="65">
        <f t="shared" si="19"/>
        <v>89966</v>
      </c>
      <c r="Z56" s="65">
        <f t="shared" si="19"/>
        <v>0</v>
      </c>
      <c r="AA56" s="65">
        <f t="shared" si="19"/>
        <v>491</v>
      </c>
      <c r="AB56" s="65">
        <f t="shared" si="19"/>
        <v>90457</v>
      </c>
      <c r="AC56" s="65">
        <f t="shared" si="19"/>
        <v>42420</v>
      </c>
      <c r="AD56" s="65">
        <f t="shared" si="19"/>
        <v>689765</v>
      </c>
      <c r="AE56" s="65">
        <f t="shared" si="19"/>
        <v>750629</v>
      </c>
      <c r="AF56" s="65">
        <f t="shared" si="19"/>
        <v>1440394</v>
      </c>
      <c r="AY56" s="124"/>
      <c r="BC56" s="124"/>
      <c r="BK56" s="71"/>
    </row>
    <row r="57" spans="1:63" ht="13" hidden="1" outlineLevel="1" x14ac:dyDescent="0.3">
      <c r="A57" s="65" t="str">
        <f t="shared" si="1"/>
        <v>Services non marchands</v>
      </c>
      <c r="B57" s="65">
        <f t="shared" si="1"/>
        <v>20</v>
      </c>
      <c r="C57" s="65">
        <f t="shared" ref="C57:AF57" si="20">GETPIVOTDATA(CONCATENATE(C$4),$B$3,"L",$B87)</f>
        <v>343672</v>
      </c>
      <c r="D57" s="65">
        <f t="shared" si="20"/>
        <v>0</v>
      </c>
      <c r="E57" s="65">
        <f t="shared" si="20"/>
        <v>0</v>
      </c>
      <c r="F57" s="65">
        <f t="shared" si="20"/>
        <v>0</v>
      </c>
      <c r="G57" s="65">
        <f t="shared" si="20"/>
        <v>343672</v>
      </c>
      <c r="H57" s="65">
        <f t="shared" si="20"/>
        <v>0</v>
      </c>
      <c r="I57" s="65">
        <f t="shared" si="20"/>
        <v>0</v>
      </c>
      <c r="J57" s="65">
        <f t="shared" si="20"/>
        <v>0</v>
      </c>
      <c r="K57" s="65">
        <f t="shared" si="20"/>
        <v>0</v>
      </c>
      <c r="L57" s="65">
        <f t="shared" si="20"/>
        <v>0</v>
      </c>
      <c r="M57" s="65">
        <f t="shared" si="20"/>
        <v>343672</v>
      </c>
      <c r="N57" s="65">
        <f t="shared" si="20"/>
        <v>10274</v>
      </c>
      <c r="O57" s="65">
        <f t="shared" si="20"/>
        <v>146868</v>
      </c>
      <c r="P57" s="65">
        <f t="shared" si="20"/>
        <v>164227</v>
      </c>
      <c r="Q57" s="65">
        <f t="shared" si="20"/>
        <v>311095</v>
      </c>
      <c r="R57" s="65">
        <f t="shared" si="20"/>
        <v>19617</v>
      </c>
      <c r="S57" s="65">
        <f t="shared" si="20"/>
        <v>340986</v>
      </c>
      <c r="T57" s="65">
        <f t="shared" si="20"/>
        <v>0</v>
      </c>
      <c r="U57" s="65">
        <f t="shared" si="20"/>
        <v>0</v>
      </c>
      <c r="V57" s="65">
        <f t="shared" si="20"/>
        <v>0</v>
      </c>
      <c r="W57" s="65">
        <f t="shared" si="20"/>
        <v>0</v>
      </c>
      <c r="X57" s="65">
        <f t="shared" si="20"/>
        <v>0</v>
      </c>
      <c r="Y57" s="65">
        <f t="shared" si="20"/>
        <v>0</v>
      </c>
      <c r="Z57" s="65">
        <f t="shared" si="20"/>
        <v>0</v>
      </c>
      <c r="AA57" s="65">
        <f t="shared" si="20"/>
        <v>0</v>
      </c>
      <c r="AB57" s="65">
        <f t="shared" si="20"/>
        <v>0</v>
      </c>
      <c r="AC57" s="65">
        <f t="shared" si="20"/>
        <v>0</v>
      </c>
      <c r="AD57" s="65">
        <f t="shared" si="20"/>
        <v>340986</v>
      </c>
      <c r="AE57" s="65">
        <f t="shared" si="20"/>
        <v>2686</v>
      </c>
      <c r="AF57" s="65">
        <f t="shared" si="20"/>
        <v>343672</v>
      </c>
      <c r="AY57" s="124"/>
      <c r="BC57" s="124"/>
      <c r="BK57" s="71"/>
    </row>
    <row r="58" spans="1:63" ht="13" hidden="1" outlineLevel="1" x14ac:dyDescent="0.3">
      <c r="A58" s="65" t="str">
        <f t="shared" si="1"/>
        <v>Charbon</v>
      </c>
      <c r="B58" s="65">
        <f t="shared" si="1"/>
        <v>21</v>
      </c>
      <c r="C58" s="65">
        <f t="shared" ref="C58:AF58" si="21">GETPIVOTDATA(CONCATENATE(C$4),$B$3,"L",$B88)</f>
        <v>131</v>
      </c>
      <c r="D58" s="65">
        <f t="shared" si="21"/>
        <v>1561</v>
      </c>
      <c r="E58" s="65">
        <f t="shared" si="21"/>
        <v>0</v>
      </c>
      <c r="F58" s="65">
        <f t="shared" si="21"/>
        <v>0</v>
      </c>
      <c r="G58" s="65">
        <f t="shared" si="21"/>
        <v>1692</v>
      </c>
      <c r="H58" s="65">
        <f t="shared" si="21"/>
        <v>67</v>
      </c>
      <c r="I58" s="65">
        <f t="shared" si="21"/>
        <v>65</v>
      </c>
      <c r="J58" s="65">
        <f t="shared" si="21"/>
        <v>34</v>
      </c>
      <c r="K58" s="65">
        <f t="shared" si="21"/>
        <v>28</v>
      </c>
      <c r="L58" s="65">
        <f t="shared" si="21"/>
        <v>0</v>
      </c>
      <c r="M58" s="65">
        <f t="shared" si="21"/>
        <v>1858</v>
      </c>
      <c r="N58" s="65">
        <f t="shared" si="21"/>
        <v>65</v>
      </c>
      <c r="O58" s="65">
        <f t="shared" si="21"/>
        <v>0</v>
      </c>
      <c r="P58" s="65">
        <f t="shared" si="21"/>
        <v>0</v>
      </c>
      <c r="Q58" s="65">
        <f t="shared" si="21"/>
        <v>0</v>
      </c>
      <c r="R58" s="65">
        <f t="shared" si="21"/>
        <v>0</v>
      </c>
      <c r="S58" s="65">
        <f t="shared" si="21"/>
        <v>65</v>
      </c>
      <c r="T58" s="65">
        <f t="shared" si="21"/>
        <v>0</v>
      </c>
      <c r="U58" s="65">
        <f t="shared" si="21"/>
        <v>0</v>
      </c>
      <c r="V58" s="65">
        <f t="shared" si="21"/>
        <v>0</v>
      </c>
      <c r="W58" s="65">
        <f t="shared" si="21"/>
        <v>0</v>
      </c>
      <c r="X58" s="65">
        <f t="shared" si="21"/>
        <v>0</v>
      </c>
      <c r="Y58" s="65">
        <f t="shared" si="21"/>
        <v>0</v>
      </c>
      <c r="Z58" s="65">
        <f t="shared" si="21"/>
        <v>0</v>
      </c>
      <c r="AA58" s="65">
        <f t="shared" si="21"/>
        <v>-26</v>
      </c>
      <c r="AB58" s="65">
        <f t="shared" si="21"/>
        <v>-26</v>
      </c>
      <c r="AC58" s="65">
        <f t="shared" si="21"/>
        <v>12</v>
      </c>
      <c r="AD58" s="65">
        <f t="shared" si="21"/>
        <v>51</v>
      </c>
      <c r="AE58" s="65">
        <f t="shared" si="21"/>
        <v>1807</v>
      </c>
      <c r="AF58" s="65">
        <f t="shared" si="21"/>
        <v>1858</v>
      </c>
      <c r="AY58" s="124"/>
      <c r="BC58" s="124"/>
      <c r="BK58" s="71"/>
    </row>
    <row r="59" spans="1:63" ht="13" hidden="1" outlineLevel="1" x14ac:dyDescent="0.3">
      <c r="A59" s="65" t="str">
        <f t="shared" si="1"/>
        <v>PETROLE</v>
      </c>
      <c r="B59" s="65">
        <f t="shared" si="1"/>
        <v>22</v>
      </c>
      <c r="C59" s="65">
        <f t="shared" ref="C59:AF59" si="22">GETPIVOTDATA(CONCATENATE(C$4),$B$3,"L",$B89)</f>
        <v>50376.336478262776</v>
      </c>
      <c r="D59" s="65">
        <f t="shared" si="22"/>
        <v>49515.781708331509</v>
      </c>
      <c r="E59" s="65">
        <f t="shared" si="22"/>
        <v>0</v>
      </c>
      <c r="F59" s="65">
        <f t="shared" si="22"/>
        <v>0</v>
      </c>
      <c r="G59" s="65">
        <f t="shared" si="22"/>
        <v>99892.118186594278</v>
      </c>
      <c r="H59" s="65">
        <f t="shared" si="22"/>
        <v>13219.039380937787</v>
      </c>
      <c r="I59" s="65">
        <f t="shared" si="22"/>
        <v>2504.9516439735562</v>
      </c>
      <c r="J59" s="65">
        <f t="shared" si="22"/>
        <v>34321.258723348365</v>
      </c>
      <c r="K59" s="65">
        <f t="shared" si="22"/>
        <v>9330</v>
      </c>
      <c r="L59" s="65">
        <f t="shared" si="22"/>
        <v>0</v>
      </c>
      <c r="M59" s="65">
        <f t="shared" si="22"/>
        <v>149937.367934854</v>
      </c>
      <c r="N59" s="65">
        <f t="shared" si="22"/>
        <v>43742</v>
      </c>
      <c r="O59" s="65">
        <f t="shared" si="22"/>
        <v>0</v>
      </c>
      <c r="P59" s="65">
        <f t="shared" si="22"/>
        <v>0</v>
      </c>
      <c r="Q59" s="65">
        <f t="shared" si="22"/>
        <v>0</v>
      </c>
      <c r="R59" s="65">
        <f t="shared" si="22"/>
        <v>0</v>
      </c>
      <c r="S59" s="65">
        <f t="shared" si="22"/>
        <v>43742</v>
      </c>
      <c r="T59" s="65">
        <f t="shared" si="22"/>
        <v>0</v>
      </c>
      <c r="U59" s="65">
        <f t="shared" si="22"/>
        <v>0</v>
      </c>
      <c r="V59" s="65">
        <f t="shared" si="22"/>
        <v>0</v>
      </c>
      <c r="W59" s="65">
        <f t="shared" si="22"/>
        <v>0</v>
      </c>
      <c r="X59" s="65">
        <f t="shared" si="22"/>
        <v>0</v>
      </c>
      <c r="Y59" s="65">
        <f t="shared" si="22"/>
        <v>0</v>
      </c>
      <c r="Z59" s="65">
        <f t="shared" si="22"/>
        <v>0</v>
      </c>
      <c r="AA59" s="65">
        <f t="shared" si="22"/>
        <v>-215.65129591524013</v>
      </c>
      <c r="AB59" s="65">
        <f t="shared" si="22"/>
        <v>-215.65129591524013</v>
      </c>
      <c r="AC59" s="65">
        <f t="shared" si="22"/>
        <v>14197.783361061249</v>
      </c>
      <c r="AD59" s="65">
        <f t="shared" si="22"/>
        <v>57724.132065146012</v>
      </c>
      <c r="AE59" s="65">
        <f t="shared" si="22"/>
        <v>92213.235869707976</v>
      </c>
      <c r="AF59" s="65">
        <f t="shared" si="22"/>
        <v>149937.367934854</v>
      </c>
      <c r="AY59" s="124"/>
      <c r="BC59" s="124"/>
      <c r="BK59" s="71"/>
    </row>
    <row r="60" spans="1:63" ht="13" hidden="1" outlineLevel="1" x14ac:dyDescent="0.3">
      <c r="A60" s="65" t="str">
        <f t="shared" si="1"/>
        <v>ELECTRICITE</v>
      </c>
      <c r="B60" s="65">
        <f t="shared" si="1"/>
        <v>23</v>
      </c>
      <c r="C60" s="65">
        <f t="shared" ref="C60:AF60" si="23">GETPIVOTDATA(CONCATENATE(C$4),$B$3,"L",$B90)</f>
        <v>46037</v>
      </c>
      <c r="D60" s="65">
        <f t="shared" si="23"/>
        <v>548</v>
      </c>
      <c r="E60" s="65">
        <f t="shared" si="23"/>
        <v>0</v>
      </c>
      <c r="F60" s="65">
        <f t="shared" si="23"/>
        <v>0</v>
      </c>
      <c r="G60" s="65">
        <f t="shared" si="23"/>
        <v>46585</v>
      </c>
      <c r="H60" s="65">
        <f t="shared" si="23"/>
        <v>0</v>
      </c>
      <c r="I60" s="65">
        <f t="shared" si="23"/>
        <v>0</v>
      </c>
      <c r="J60" s="65">
        <f t="shared" si="23"/>
        <v>6640</v>
      </c>
      <c r="K60" s="65">
        <f t="shared" si="23"/>
        <v>3199</v>
      </c>
      <c r="L60" s="65">
        <f t="shared" si="23"/>
        <v>-1535</v>
      </c>
      <c r="M60" s="65">
        <f t="shared" si="23"/>
        <v>51690</v>
      </c>
      <c r="N60" s="65">
        <f t="shared" si="23"/>
        <v>17844</v>
      </c>
      <c r="O60" s="65">
        <f t="shared" si="23"/>
        <v>0</v>
      </c>
      <c r="P60" s="65">
        <f t="shared" si="23"/>
        <v>0</v>
      </c>
      <c r="Q60" s="65">
        <f t="shared" si="23"/>
        <v>0</v>
      </c>
      <c r="R60" s="65">
        <f t="shared" si="23"/>
        <v>0</v>
      </c>
      <c r="S60" s="65">
        <f t="shared" si="23"/>
        <v>17844</v>
      </c>
      <c r="T60" s="65">
        <f t="shared" si="23"/>
        <v>0</v>
      </c>
      <c r="U60" s="65">
        <f t="shared" si="23"/>
        <v>0</v>
      </c>
      <c r="V60" s="65">
        <f t="shared" si="23"/>
        <v>0</v>
      </c>
      <c r="W60" s="65">
        <f t="shared" si="23"/>
        <v>0</v>
      </c>
      <c r="X60" s="65">
        <f t="shared" si="23"/>
        <v>0</v>
      </c>
      <c r="Y60" s="65">
        <f t="shared" si="23"/>
        <v>0</v>
      </c>
      <c r="Z60" s="65">
        <f t="shared" si="23"/>
        <v>0</v>
      </c>
      <c r="AA60" s="65">
        <f t="shared" si="23"/>
        <v>0</v>
      </c>
      <c r="AB60" s="65">
        <f t="shared" si="23"/>
        <v>0</v>
      </c>
      <c r="AC60" s="65">
        <f t="shared" si="23"/>
        <v>3122</v>
      </c>
      <c r="AD60" s="65">
        <f t="shared" si="23"/>
        <v>20966</v>
      </c>
      <c r="AE60" s="65">
        <f t="shared" si="23"/>
        <v>30724</v>
      </c>
      <c r="AF60" s="65">
        <f t="shared" si="23"/>
        <v>51690</v>
      </c>
      <c r="AY60" s="124"/>
      <c r="BC60" s="124"/>
      <c r="BK60" s="71"/>
    </row>
    <row r="61" spans="1:63" ht="13" hidden="1" outlineLevel="1" x14ac:dyDescent="0.3">
      <c r="A61" s="65" t="str">
        <f t="shared" si="1"/>
        <v>GAZ</v>
      </c>
      <c r="B61" s="65">
        <f t="shared" si="1"/>
        <v>24</v>
      </c>
      <c r="C61" s="65">
        <f t="shared" ref="C61:AF61" si="24">GETPIVOTDATA(CONCATENATE(C$4),$B$3,"L",$B91)</f>
        <v>23989.663521737228</v>
      </c>
      <c r="D61" s="65">
        <f t="shared" si="24"/>
        <v>11284.218291668491</v>
      </c>
      <c r="E61" s="65">
        <f t="shared" si="24"/>
        <v>0</v>
      </c>
      <c r="F61" s="65">
        <f t="shared" si="24"/>
        <v>0</v>
      </c>
      <c r="G61" s="65">
        <f t="shared" si="24"/>
        <v>35273.881813405715</v>
      </c>
      <c r="H61" s="65">
        <f t="shared" si="24"/>
        <v>10.960619062212686</v>
      </c>
      <c r="I61" s="65">
        <f t="shared" si="24"/>
        <v>1639.0483560264436</v>
      </c>
      <c r="J61" s="65">
        <f t="shared" si="24"/>
        <v>2039.7412766516352</v>
      </c>
      <c r="K61" s="65">
        <f t="shared" si="24"/>
        <v>1827</v>
      </c>
      <c r="L61" s="65">
        <f t="shared" si="24"/>
        <v>0</v>
      </c>
      <c r="M61" s="65">
        <f t="shared" si="24"/>
        <v>38963.632065146012</v>
      </c>
      <c r="N61" s="65">
        <f t="shared" si="24"/>
        <v>10467</v>
      </c>
      <c r="O61" s="65">
        <f t="shared" si="24"/>
        <v>0</v>
      </c>
      <c r="P61" s="65">
        <f t="shared" si="24"/>
        <v>5</v>
      </c>
      <c r="Q61" s="65">
        <f t="shared" si="24"/>
        <v>5</v>
      </c>
      <c r="R61" s="65">
        <f t="shared" si="24"/>
        <v>0</v>
      </c>
      <c r="S61" s="65">
        <f t="shared" si="24"/>
        <v>10472</v>
      </c>
      <c r="T61" s="65">
        <f t="shared" si="24"/>
        <v>0</v>
      </c>
      <c r="U61" s="65">
        <f t="shared" si="24"/>
        <v>0</v>
      </c>
      <c r="V61" s="65">
        <f t="shared" si="24"/>
        <v>0</v>
      </c>
      <c r="W61" s="65">
        <f t="shared" si="24"/>
        <v>0</v>
      </c>
      <c r="X61" s="65">
        <f t="shared" si="24"/>
        <v>0</v>
      </c>
      <c r="Y61" s="65">
        <f t="shared" si="24"/>
        <v>0</v>
      </c>
      <c r="Z61" s="65">
        <f t="shared" si="24"/>
        <v>0</v>
      </c>
      <c r="AA61" s="65">
        <f t="shared" si="24"/>
        <v>-2.3487040847598615</v>
      </c>
      <c r="AB61" s="65">
        <f t="shared" si="24"/>
        <v>-2.3487040847598615</v>
      </c>
      <c r="AC61" s="65">
        <f t="shared" si="24"/>
        <v>463.21663893875046</v>
      </c>
      <c r="AD61" s="65">
        <f t="shared" si="24"/>
        <v>10932.86793485399</v>
      </c>
      <c r="AE61" s="65">
        <f t="shared" si="24"/>
        <v>28030.764130292016</v>
      </c>
      <c r="AF61" s="65">
        <f t="shared" si="24"/>
        <v>38963.632065146012</v>
      </c>
      <c r="AY61" s="124"/>
      <c r="BC61" s="124"/>
      <c r="BK61" s="71"/>
    </row>
    <row r="62" spans="1:63" ht="13" hidden="1" outlineLevel="1" x14ac:dyDescent="0.3">
      <c r="A62" s="65" t="str">
        <f t="shared" si="1"/>
        <v>PRODUITS CONSOMMES HORS DU TERRITOIRE DE</v>
      </c>
      <c r="B62" s="65">
        <f t="shared" si="1"/>
        <v>25</v>
      </c>
      <c r="C62" s="65">
        <f t="shared" ref="C62:AF62" si="25">GETPIVOTDATA(CONCATENATE(C$4),$B$3,"L",$B92)</f>
        <v>0</v>
      </c>
      <c r="D62" s="65">
        <f t="shared" si="25"/>
        <v>0</v>
      </c>
      <c r="E62" s="65">
        <f t="shared" si="25"/>
        <v>25365</v>
      </c>
      <c r="F62" s="65">
        <f t="shared" si="25"/>
        <v>0</v>
      </c>
      <c r="G62" s="65">
        <f t="shared" si="25"/>
        <v>25365</v>
      </c>
      <c r="H62" s="65">
        <f t="shared" si="25"/>
        <v>0</v>
      </c>
      <c r="I62" s="65">
        <f t="shared" si="25"/>
        <v>0</v>
      </c>
      <c r="J62" s="65">
        <f t="shared" si="25"/>
        <v>0</v>
      </c>
      <c r="K62" s="65">
        <f t="shared" si="25"/>
        <v>0</v>
      </c>
      <c r="L62" s="65">
        <f t="shared" si="25"/>
        <v>0</v>
      </c>
      <c r="M62" s="65">
        <f t="shared" si="25"/>
        <v>25365</v>
      </c>
      <c r="N62" s="65">
        <f t="shared" si="25"/>
        <v>-10141</v>
      </c>
      <c r="O62" s="65">
        <f t="shared" si="25"/>
        <v>0</v>
      </c>
      <c r="P62" s="65">
        <f t="shared" si="25"/>
        <v>0</v>
      </c>
      <c r="Q62" s="65">
        <f t="shared" si="25"/>
        <v>0</v>
      </c>
      <c r="R62" s="65">
        <f t="shared" si="25"/>
        <v>0</v>
      </c>
      <c r="S62" s="65">
        <f t="shared" si="25"/>
        <v>-10141</v>
      </c>
      <c r="T62" s="65">
        <f t="shared" si="25"/>
        <v>0</v>
      </c>
      <c r="U62" s="65">
        <f t="shared" si="25"/>
        <v>0</v>
      </c>
      <c r="V62" s="65">
        <f t="shared" si="25"/>
        <v>0</v>
      </c>
      <c r="W62" s="65">
        <f t="shared" si="25"/>
        <v>0</v>
      </c>
      <c r="X62" s="65">
        <f t="shared" si="25"/>
        <v>0</v>
      </c>
      <c r="Y62" s="65">
        <f t="shared" si="25"/>
        <v>0</v>
      </c>
      <c r="Z62" s="65">
        <f t="shared" si="25"/>
        <v>0</v>
      </c>
      <c r="AA62" s="65">
        <f t="shared" si="25"/>
        <v>0</v>
      </c>
      <c r="AB62" s="65">
        <f t="shared" si="25"/>
        <v>0</v>
      </c>
      <c r="AC62" s="65">
        <f t="shared" si="25"/>
        <v>35506</v>
      </c>
      <c r="AD62" s="65">
        <f t="shared" si="25"/>
        <v>25365</v>
      </c>
      <c r="AE62" s="65">
        <f t="shared" si="25"/>
        <v>0</v>
      </c>
      <c r="AF62" s="65">
        <f t="shared" si="25"/>
        <v>25365</v>
      </c>
      <c r="AY62" s="124"/>
      <c r="BC62" s="124"/>
      <c r="BK62" s="71"/>
    </row>
    <row r="63" spans="1:63" ht="13" hidden="1" outlineLevel="1" x14ac:dyDescent="0.3">
      <c r="A63" s="65" t="str">
        <f t="shared" si="1"/>
        <v>Produit CORRECTION CAF/FAB</v>
      </c>
      <c r="B63" s="65">
        <f t="shared" si="1"/>
        <v>26</v>
      </c>
      <c r="C63" s="65">
        <f t="shared" ref="C63:AF63" si="26">GETPIVOTDATA(CONCATENATE(C$4),$B$3,"L",$B93)</f>
        <v>0</v>
      </c>
      <c r="D63" s="65">
        <f t="shared" si="26"/>
        <v>-12871</v>
      </c>
      <c r="E63" s="65">
        <f t="shared" si="26"/>
        <v>0</v>
      </c>
      <c r="F63" s="65">
        <f t="shared" si="26"/>
        <v>12871</v>
      </c>
      <c r="G63" s="65">
        <f t="shared" si="26"/>
        <v>0</v>
      </c>
      <c r="H63" s="65">
        <f t="shared" si="26"/>
        <v>0</v>
      </c>
      <c r="I63" s="65">
        <f t="shared" si="26"/>
        <v>0</v>
      </c>
      <c r="J63" s="65">
        <f t="shared" si="26"/>
        <v>0</v>
      </c>
      <c r="K63" s="65">
        <f t="shared" si="26"/>
        <v>0</v>
      </c>
      <c r="L63" s="65">
        <f t="shared" si="26"/>
        <v>0</v>
      </c>
      <c r="M63" s="65">
        <f t="shared" si="26"/>
        <v>0</v>
      </c>
      <c r="N63" s="65">
        <f t="shared" si="26"/>
        <v>0</v>
      </c>
      <c r="O63" s="65">
        <f t="shared" si="26"/>
        <v>0</v>
      </c>
      <c r="P63" s="65">
        <f t="shared" si="26"/>
        <v>0</v>
      </c>
      <c r="Q63" s="65">
        <f t="shared" si="26"/>
        <v>0</v>
      </c>
      <c r="R63" s="65">
        <f t="shared" si="26"/>
        <v>0</v>
      </c>
      <c r="S63" s="65">
        <f t="shared" si="26"/>
        <v>0</v>
      </c>
      <c r="T63" s="65">
        <f t="shared" si="26"/>
        <v>0</v>
      </c>
      <c r="U63" s="65">
        <f t="shared" si="26"/>
        <v>0</v>
      </c>
      <c r="V63" s="65">
        <f t="shared" si="26"/>
        <v>0</v>
      </c>
      <c r="W63" s="65">
        <f t="shared" si="26"/>
        <v>0</v>
      </c>
      <c r="X63" s="65">
        <f t="shared" si="26"/>
        <v>0</v>
      </c>
      <c r="Y63" s="65">
        <f t="shared" si="26"/>
        <v>0</v>
      </c>
      <c r="Z63" s="65">
        <f t="shared" si="26"/>
        <v>0</v>
      </c>
      <c r="AA63" s="65">
        <f t="shared" si="26"/>
        <v>0</v>
      </c>
      <c r="AB63" s="65">
        <f t="shared" si="26"/>
        <v>0</v>
      </c>
      <c r="AC63" s="65">
        <f t="shared" si="26"/>
        <v>0</v>
      </c>
      <c r="AD63" s="65">
        <f t="shared" si="26"/>
        <v>0</v>
      </c>
      <c r="AE63" s="65">
        <f t="shared" si="26"/>
        <v>0</v>
      </c>
      <c r="AF63" s="65">
        <f t="shared" si="26"/>
        <v>0</v>
      </c>
      <c r="AY63" s="124"/>
      <c r="BC63" s="124"/>
      <c r="BK63" s="71"/>
    </row>
    <row r="64" spans="1:63" ht="13" hidden="1" outlineLevel="1" x14ac:dyDescent="0.3">
      <c r="A64" s="65" t="str">
        <f t="shared" si="1"/>
        <v>Total des produits</v>
      </c>
      <c r="B64" s="65">
        <f t="shared" si="1"/>
        <v>27</v>
      </c>
      <c r="C64" s="65">
        <f t="shared" ref="C64:AF64" si="27">GETPIVOTDATA(CONCATENATE(C$4),$B$3,"L",$B94)</f>
        <v>3276084</v>
      </c>
      <c r="D64" s="65">
        <f t="shared" si="27"/>
        <v>415740</v>
      </c>
      <c r="E64" s="65">
        <f t="shared" si="27"/>
        <v>91565</v>
      </c>
      <c r="F64" s="65">
        <f t="shared" si="27"/>
        <v>0</v>
      </c>
      <c r="G64" s="65">
        <f t="shared" si="27"/>
        <v>3783389</v>
      </c>
      <c r="H64" s="65">
        <f t="shared" si="27"/>
        <v>0</v>
      </c>
      <c r="I64" s="65">
        <f t="shared" si="27"/>
        <v>0</v>
      </c>
      <c r="J64" s="65">
        <f t="shared" si="27"/>
        <v>204741</v>
      </c>
      <c r="K64" s="65">
        <f t="shared" si="27"/>
        <v>131017</v>
      </c>
      <c r="L64" s="65">
        <f t="shared" si="27"/>
        <v>-11982</v>
      </c>
      <c r="M64" s="65">
        <f t="shared" si="27"/>
        <v>3976148</v>
      </c>
      <c r="N64" s="65">
        <f t="shared" si="27"/>
        <v>1002014</v>
      </c>
      <c r="O64" s="65">
        <f t="shared" si="27"/>
        <v>146868</v>
      </c>
      <c r="P64" s="65">
        <f t="shared" si="27"/>
        <v>275709</v>
      </c>
      <c r="Q64" s="65">
        <f t="shared" si="27"/>
        <v>422577</v>
      </c>
      <c r="R64" s="65">
        <f t="shared" si="27"/>
        <v>23726</v>
      </c>
      <c r="S64" s="65">
        <f t="shared" si="27"/>
        <v>1448317</v>
      </c>
      <c r="T64" s="65">
        <f t="shared" si="27"/>
        <v>192772</v>
      </c>
      <c r="U64" s="65">
        <f t="shared" si="27"/>
        <v>107135</v>
      </c>
      <c r="V64" s="65">
        <f t="shared" si="27"/>
        <v>15529</v>
      </c>
      <c r="W64" s="65">
        <f t="shared" si="27"/>
        <v>58205</v>
      </c>
      <c r="X64" s="65">
        <f t="shared" si="27"/>
        <v>2396</v>
      </c>
      <c r="Y64" s="65">
        <f t="shared" si="27"/>
        <v>376037</v>
      </c>
      <c r="Z64" s="65">
        <f t="shared" si="27"/>
        <v>806</v>
      </c>
      <c r="AA64" s="65">
        <f t="shared" si="27"/>
        <v>5062</v>
      </c>
      <c r="AB64" s="65">
        <f t="shared" si="27"/>
        <v>381905</v>
      </c>
      <c r="AC64" s="65">
        <f t="shared" si="27"/>
        <v>484545</v>
      </c>
      <c r="AD64" s="65">
        <f t="shared" si="27"/>
        <v>2314767</v>
      </c>
      <c r="AE64" s="65">
        <f t="shared" si="27"/>
        <v>1661381</v>
      </c>
      <c r="AF64" s="65">
        <f t="shared" si="27"/>
        <v>3976148</v>
      </c>
      <c r="AY64" s="124"/>
      <c r="BC64" s="124"/>
      <c r="BK64" s="71"/>
    </row>
    <row r="65" spans="1:63" s="71" customFormat="1" ht="13" hidden="1" outlineLevel="1" x14ac:dyDescent="0.3">
      <c r="B65" s="71" t="s">
        <v>580</v>
      </c>
      <c r="C65" s="71">
        <f>C64-SUM(C38:C63)</f>
        <v>0</v>
      </c>
      <c r="D65" s="71">
        <f t="shared" ref="D65:AF65" si="28">D64-SUM(D38:D63)</f>
        <v>0</v>
      </c>
      <c r="E65" s="71">
        <f t="shared" si="28"/>
        <v>0</v>
      </c>
      <c r="F65" s="71">
        <f t="shared" si="28"/>
        <v>0</v>
      </c>
      <c r="G65" s="71">
        <f t="shared" si="28"/>
        <v>0</v>
      </c>
      <c r="H65" s="71">
        <f t="shared" si="28"/>
        <v>-1.1368683772161603E-13</v>
      </c>
      <c r="I65" s="71">
        <f t="shared" si="28"/>
        <v>2.9558577807620168E-12</v>
      </c>
      <c r="J65" s="71">
        <f t="shared" si="28"/>
        <v>0</v>
      </c>
      <c r="K65" s="71">
        <f t="shared" si="28"/>
        <v>0</v>
      </c>
      <c r="L65" s="71">
        <f t="shared" si="28"/>
        <v>0</v>
      </c>
      <c r="M65" s="71">
        <f t="shared" si="28"/>
        <v>0</v>
      </c>
      <c r="N65" s="71">
        <f t="shared" si="28"/>
        <v>0</v>
      </c>
      <c r="O65" s="71">
        <f t="shared" si="28"/>
        <v>0</v>
      </c>
      <c r="P65" s="71">
        <f t="shared" si="28"/>
        <v>0</v>
      </c>
      <c r="Q65" s="71">
        <f t="shared" si="28"/>
        <v>0</v>
      </c>
      <c r="R65" s="71">
        <f t="shared" si="28"/>
        <v>0</v>
      </c>
      <c r="S65" s="71">
        <f t="shared" si="28"/>
        <v>0</v>
      </c>
      <c r="T65" s="71">
        <f t="shared" si="28"/>
        <v>0</v>
      </c>
      <c r="U65" s="71">
        <f t="shared" si="28"/>
        <v>0</v>
      </c>
      <c r="V65" s="71">
        <f t="shared" si="28"/>
        <v>0</v>
      </c>
      <c r="W65" s="71">
        <f t="shared" si="28"/>
        <v>0</v>
      </c>
      <c r="X65" s="71">
        <f t="shared" si="28"/>
        <v>0</v>
      </c>
      <c r="Y65" s="71">
        <f t="shared" si="28"/>
        <v>0</v>
      </c>
      <c r="Z65" s="71">
        <f t="shared" si="28"/>
        <v>0</v>
      </c>
      <c r="AA65" s="71">
        <f t="shared" si="28"/>
        <v>0</v>
      </c>
      <c r="AB65" s="71">
        <f t="shared" si="28"/>
        <v>0</v>
      </c>
      <c r="AC65" s="71">
        <f t="shared" si="28"/>
        <v>0</v>
      </c>
      <c r="AD65" s="71">
        <f t="shared" si="28"/>
        <v>0</v>
      </c>
      <c r="AE65" s="71">
        <f t="shared" si="28"/>
        <v>0</v>
      </c>
      <c r="AF65" s="71">
        <f t="shared" si="28"/>
        <v>0</v>
      </c>
      <c r="AY65" s="69"/>
      <c r="BC65" s="69"/>
    </row>
    <row r="66" spans="1:63" ht="13.5" hidden="1" outlineLevel="1" thickBot="1" x14ac:dyDescent="0.35">
      <c r="AY66" s="124"/>
      <c r="BC66" s="124"/>
      <c r="BK66" s="71"/>
    </row>
    <row r="67" spans="1:63" ht="13" collapsed="1" x14ac:dyDescent="0.3">
      <c r="A67" s="198" t="s">
        <v>738</v>
      </c>
      <c r="B67" s="183"/>
      <c r="C67" s="183"/>
      <c r="D67" s="183"/>
      <c r="E67" s="183"/>
      <c r="F67" s="183"/>
      <c r="G67" s="183"/>
      <c r="H67" s="183"/>
      <c r="I67" s="183"/>
      <c r="J67" s="183"/>
      <c r="K67" s="183"/>
      <c r="L67" s="183"/>
      <c r="M67" s="183"/>
      <c r="N67" s="183"/>
      <c r="O67" s="183"/>
      <c r="P67" s="183"/>
      <c r="Q67" s="183"/>
      <c r="R67" s="183"/>
      <c r="S67" s="183"/>
      <c r="T67" s="183"/>
      <c r="U67" s="183"/>
      <c r="V67" s="183"/>
      <c r="W67" s="183"/>
      <c r="X67" s="183"/>
      <c r="Y67" s="183"/>
      <c r="Z67" s="183"/>
      <c r="AA67" s="183"/>
      <c r="AB67" s="183"/>
      <c r="AC67" s="183"/>
      <c r="AD67" s="183"/>
      <c r="AE67" s="183"/>
      <c r="AF67" s="183"/>
      <c r="AG67" s="183"/>
      <c r="AH67" s="183"/>
      <c r="AI67" s="183"/>
      <c r="AJ67" s="183"/>
      <c r="AK67" s="184"/>
      <c r="AL67" s="128"/>
      <c r="AM67" s="128"/>
      <c r="AO67" s="128"/>
      <c r="AP67" s="128"/>
      <c r="AQ67" s="128"/>
      <c r="AR67" s="128"/>
      <c r="AY67" s="124"/>
      <c r="BC67" s="124"/>
      <c r="BK67" s="71"/>
    </row>
    <row r="68" spans="1:63" ht="13" x14ac:dyDescent="0.3">
      <c r="A68" s="185" t="str">
        <f>A5</f>
        <v>  Agriculture, sylviculture et pêche</v>
      </c>
      <c r="B68" s="128">
        <f>B5</f>
        <v>1</v>
      </c>
      <c r="C68" s="128">
        <f>C38</f>
        <v>69531</v>
      </c>
      <c r="D68" s="186">
        <f>D38-F$56*H38/H$56-Trspt_margin!W69</f>
        <v>8876.9759661025091</v>
      </c>
      <c r="E68" s="128">
        <f t="shared" ref="E68:AE68" si="29">E38</f>
        <v>0</v>
      </c>
      <c r="F68" s="128">
        <f t="shared" si="29"/>
        <v>0</v>
      </c>
      <c r="G68" s="187">
        <f>SUM(C68:F68)</f>
        <v>78407.975966102502</v>
      </c>
      <c r="H68" s="186">
        <f>H38+F$56*H38/H$56</f>
        <v>19398.775346164599</v>
      </c>
      <c r="I68" s="188">
        <f>I38+Trspt_margin!W69</f>
        <v>1702.2486877328915</v>
      </c>
      <c r="J68" s="128">
        <f t="shared" si="29"/>
        <v>1886</v>
      </c>
      <c r="K68" s="189">
        <f t="shared" si="29"/>
        <v>1785</v>
      </c>
      <c r="L68" s="128">
        <f t="shared" si="29"/>
        <v>-2922</v>
      </c>
      <c r="M68" s="187">
        <f>SUM(G68:J68,L68)</f>
        <v>98472.999999999985</v>
      </c>
      <c r="N68" s="128">
        <f t="shared" si="29"/>
        <v>30434</v>
      </c>
      <c r="O68" s="128">
        <f t="shared" si="29"/>
        <v>0</v>
      </c>
      <c r="P68" s="128">
        <f t="shared" si="29"/>
        <v>0</v>
      </c>
      <c r="Q68" s="187">
        <f>SUM(O68:P68)</f>
        <v>0</v>
      </c>
      <c r="R68" s="128">
        <f t="shared" si="29"/>
        <v>0</v>
      </c>
      <c r="S68" s="187">
        <f>SUM(N68,Q68:R68)</f>
        <v>30434</v>
      </c>
      <c r="T68" s="128">
        <f t="shared" si="29"/>
        <v>1357</v>
      </c>
      <c r="U68" s="128">
        <f t="shared" si="29"/>
        <v>0</v>
      </c>
      <c r="V68" s="128">
        <f t="shared" si="29"/>
        <v>0</v>
      </c>
      <c r="W68" s="128">
        <f t="shared" si="29"/>
        <v>129</v>
      </c>
      <c r="X68" s="128">
        <f t="shared" si="29"/>
        <v>0</v>
      </c>
      <c r="Y68" s="187">
        <f>SUM(T68:X68)</f>
        <v>1486</v>
      </c>
      <c r="Z68" s="128">
        <f t="shared" si="29"/>
        <v>0</v>
      </c>
      <c r="AA68" s="128">
        <f t="shared" si="29"/>
        <v>2929</v>
      </c>
      <c r="AB68" s="187">
        <f>SUM(Y68:AA68)</f>
        <v>4415</v>
      </c>
      <c r="AC68" s="128">
        <f t="shared" si="29"/>
        <v>10797</v>
      </c>
      <c r="AD68" s="187">
        <f>SUM(S68,AB68,AC68)</f>
        <v>45646</v>
      </c>
      <c r="AE68" s="128">
        <f t="shared" si="29"/>
        <v>52827</v>
      </c>
      <c r="AF68" s="187">
        <f>SUM(AD68:AE68)</f>
        <v>98473</v>
      </c>
      <c r="AG68" s="128">
        <f>AD68-SUM(D68:E68)</f>
        <v>36769.024033897491</v>
      </c>
      <c r="AH68" s="128">
        <f>CPR_CEB_Simple!F34+J68+L68</f>
        <v>32223</v>
      </c>
      <c r="AI68" s="126">
        <f>SUM(D68:E68)+SUM(H68,J68)*SUM(D68:E68)/SUM(C68:E68)+Trspt_margin!AR15</f>
        <v>11648.839495442509</v>
      </c>
      <c r="AJ68" s="126">
        <f>M68-AI68</f>
        <v>86824.160504557483</v>
      </c>
      <c r="AK68" s="161">
        <f>T68+V68</f>
        <v>1357</v>
      </c>
      <c r="AL68" s="128">
        <f>SUM(W68:X68)</f>
        <v>129</v>
      </c>
      <c r="AM68" s="128">
        <f>IF(SUM(AK68:AL68)=0,0,AL68/SUM(AK68:AL68))</f>
        <v>8.681022880215343E-2</v>
      </c>
      <c r="AN68" s="65">
        <f>IF(Y68=0,0,AL68/Y68)</f>
        <v>8.681022880215343E-2</v>
      </c>
      <c r="AO68" s="128">
        <f>Imports!BE3</f>
        <v>0.26636795161683363</v>
      </c>
      <c r="AP68" s="778" t="e">
        <f>Imports!BF3</f>
        <v>#N/A</v>
      </c>
      <c r="AQ68" s="778">
        <f>Imports!BG3</f>
        <v>0.31609009145352412</v>
      </c>
      <c r="AR68" s="778">
        <f>AVERAGE(Imports!C3:Z3)</f>
        <v>5.65551190557377E-2</v>
      </c>
      <c r="AS68" s="765">
        <f>H68/SUM(C68:D68)</f>
        <v>0.24740818911778972</v>
      </c>
      <c r="AT68" s="765">
        <f t="shared" ref="AT68:AT91" si="30">(C68*AU68+D68*AV68)/SUM(C68:D68)</f>
        <v>2.1710147045101779E-2</v>
      </c>
      <c r="AU68" s="765">
        <f>Trspt_margin!AK15/$C68</f>
        <v>1.9274073508644709E-2</v>
      </c>
      <c r="AV68" s="765">
        <f>Trspt_margin!AR15/$D68</f>
        <v>4.079126540232144E-2</v>
      </c>
      <c r="AW68" s="765">
        <f>L68/C68</f>
        <v>-4.2024420761962292E-2</v>
      </c>
      <c r="AX68" s="765">
        <f>(J68-K68)/SUM(C68:E68)</f>
        <v>1.288134258734909E-3</v>
      </c>
      <c r="AY68" s="779">
        <f>$K68/($N68+$U68-$K68)</f>
        <v>6.2305839645362841E-2</v>
      </c>
      <c r="AZ68" s="77">
        <f t="shared" ref="AZ68:AZ91" si="31">AY68*(N68+U68)/(1+AY68)</f>
        <v>1785</v>
      </c>
      <c r="BA68" s="77">
        <f t="shared" ref="BA68:BA91" si="32">K68-AZ68</f>
        <v>0</v>
      </c>
      <c r="BB68" s="771">
        <f t="shared" ref="BB68:BB91" si="33">$BA68/$AE68</f>
        <v>0</v>
      </c>
      <c r="BC68" s="814">
        <f>$BA68/(SUM(Q68:R68,T68,V68:X68,AE68)-$BA68)</f>
        <v>0</v>
      </c>
      <c r="BD68" s="77">
        <f>M68</f>
        <v>98472.999999999985</v>
      </c>
      <c r="BE68" s="71">
        <f t="shared" ref="BE68:BE91" si="34">SUM(C68:E68)*(1+SUM(AS68:AT68,AX68))+AW68*C68+BC68*(AF68-SUM(AC68,Z68:AA68,U68,N68))+SUM(AZ68)-BD68</f>
        <v>0</v>
      </c>
      <c r="BF68" s="65">
        <f>$H68*$C68/SUM($C68:$E68)</f>
        <v>17202.538797549038</v>
      </c>
      <c r="BG68" s="65">
        <f>$H68*SUM(D68:E68)/SUM($C68:$E68)</f>
        <v>2196.2365486155636</v>
      </c>
      <c r="BH68" s="71">
        <f t="shared" ref="BH68:BH91" si="35">BF68+BG68-H68</f>
        <v>0</v>
      </c>
      <c r="BI68" s="77">
        <f>AZ68-BJ68</f>
        <v>1309.5332063639521</v>
      </c>
      <c r="BJ68" s="65">
        <f t="shared" ref="BJ68:BJ91" si="36">AO68*AZ68</f>
        <v>475.46679363604801</v>
      </c>
      <c r="BK68" s="71">
        <f>SUM(BI68:BJ68)-AZ68</f>
        <v>0</v>
      </c>
    </row>
    <row r="69" spans="1:63" ht="13" x14ac:dyDescent="0.3">
      <c r="A69" s="185" t="str">
        <f t="shared" ref="A69:B93" si="37">A6</f>
        <v xml:space="preserve"> Industrie agro-alimentaire</v>
      </c>
      <c r="B69" s="128">
        <f t="shared" si="37"/>
        <v>2</v>
      </c>
      <c r="C69" s="128">
        <f t="shared" ref="C69:F85" si="38">C39</f>
        <v>129616</v>
      </c>
      <c r="D69" s="186">
        <f>D39-F$56*H39/H$56-Trspt_margin!W70</f>
        <v>24952.868703877102</v>
      </c>
      <c r="E69" s="128">
        <f t="shared" si="38"/>
        <v>0</v>
      </c>
      <c r="F69" s="128">
        <f t="shared" si="38"/>
        <v>0</v>
      </c>
      <c r="G69" s="187">
        <f t="shared" ref="G69:G93" si="39">SUM(C69:F69)</f>
        <v>154568.86870387709</v>
      </c>
      <c r="H69" s="186">
        <f t="shared" ref="H69:H79" si="40">H39+F$56*H39/H$56</f>
        <v>60400.209390956312</v>
      </c>
      <c r="I69" s="188">
        <f>I39+Trspt_margin!W70</f>
        <v>7741.9219051665868</v>
      </c>
      <c r="J69" s="128">
        <f t="shared" ref="I69:L93" si="41">J39</f>
        <v>24501</v>
      </c>
      <c r="K69" s="189">
        <f t="shared" si="41"/>
        <v>11013</v>
      </c>
      <c r="L69" s="128">
        <f t="shared" si="41"/>
        <v>-641</v>
      </c>
      <c r="M69" s="187">
        <f t="shared" ref="M69:M93" si="42">SUM(G69:J69,L69)</f>
        <v>246571</v>
      </c>
      <c r="N69" s="128">
        <f t="shared" ref="N69:P85" si="43">N39</f>
        <v>145347</v>
      </c>
      <c r="O69" s="128">
        <f t="shared" si="43"/>
        <v>0</v>
      </c>
      <c r="P69" s="128">
        <f t="shared" si="43"/>
        <v>0</v>
      </c>
      <c r="Q69" s="187">
        <f t="shared" ref="Q69:Q93" si="44">SUM(O69:P69)</f>
        <v>0</v>
      </c>
      <c r="R69" s="128">
        <f t="shared" ref="R69:R93" si="45">R39</f>
        <v>0</v>
      </c>
      <c r="S69" s="187">
        <f t="shared" ref="S69:S93" si="46">SUM(N69,Q69:R69)</f>
        <v>145347</v>
      </c>
      <c r="T69" s="128">
        <f t="shared" ref="T69:X78" si="47">T39</f>
        <v>0</v>
      </c>
      <c r="U69" s="128">
        <f t="shared" si="47"/>
        <v>0</v>
      </c>
      <c r="V69" s="128">
        <f t="shared" si="47"/>
        <v>0</v>
      </c>
      <c r="W69" s="128">
        <f t="shared" si="47"/>
        <v>0</v>
      </c>
      <c r="X69" s="128">
        <f t="shared" si="47"/>
        <v>0</v>
      </c>
      <c r="Y69" s="187">
        <f t="shared" ref="Y69:Y93" si="48">SUM(T69:X69)</f>
        <v>0</v>
      </c>
      <c r="Z69" s="128">
        <f t="shared" ref="Z69:AA93" si="49">Z39</f>
        <v>0</v>
      </c>
      <c r="AA69" s="128">
        <f t="shared" si="49"/>
        <v>-259</v>
      </c>
      <c r="AB69" s="187">
        <f t="shared" ref="AB69:AB93" si="50">SUM(Y69:AA69)</f>
        <v>-259</v>
      </c>
      <c r="AC69" s="128">
        <f t="shared" ref="AC69:AC85" si="51">AC39</f>
        <v>32856</v>
      </c>
      <c r="AD69" s="187">
        <f t="shared" ref="AD69:AD93" si="52">SUM(S69,AB69,AC69)</f>
        <v>177944</v>
      </c>
      <c r="AE69" s="128">
        <f t="shared" ref="AE69:AE93" si="53">AE39</f>
        <v>68627</v>
      </c>
      <c r="AF69" s="187">
        <f t="shared" ref="AF69:AF93" si="54">SUM(AD69:AE69)</f>
        <v>246571</v>
      </c>
      <c r="AG69" s="128">
        <f t="shared" ref="AG69:AG91" si="55">AD69-SUM(D69:E69)</f>
        <v>152991.13129612291</v>
      </c>
      <c r="AH69" s="128">
        <f>CPR_CEB_Simple!F35+J69+L69</f>
        <v>52552</v>
      </c>
      <c r="AI69" s="126">
        <f>SUM(D69:E69)+SUM(H69,J69)*SUM(D69:E69)/SUM(C69:E69)+Trspt_margin!AR16</f>
        <v>40568.559224223936</v>
      </c>
      <c r="AJ69" s="126">
        <f t="shared" ref="AJ69:AJ91" si="56">M69-AI69</f>
        <v>206002.44077577605</v>
      </c>
      <c r="AK69" s="161">
        <f t="shared" ref="AK69:AK91" si="57">T69+V69</f>
        <v>0</v>
      </c>
      <c r="AL69" s="128">
        <f t="shared" ref="AL69:AL91" si="58">SUM(W69:X69)</f>
        <v>0</v>
      </c>
      <c r="AM69" s="128">
        <f t="shared" ref="AM69:AM91" si="59">IF(SUM(AK69:AL69)=0,0,AL69/SUM(AK69:AL69))</f>
        <v>0</v>
      </c>
      <c r="AN69" s="65">
        <f t="shared" ref="AN69:AN91" si="60">IF(Y69=0,0,AL69/Y69)</f>
        <v>0</v>
      </c>
      <c r="AO69" s="128">
        <f>Imports!BE4</f>
        <v>0.19603555690530539</v>
      </c>
      <c r="AP69" s="778" t="e">
        <f>Imports!BF4</f>
        <v>#N/A</v>
      </c>
      <c r="AQ69" s="778" t="e">
        <f>Imports!BG4</f>
        <v>#N/A</v>
      </c>
      <c r="AR69" s="778">
        <f>AVERAGE(Imports!C4:Z4)</f>
        <v>0.1918287734911259</v>
      </c>
      <c r="AS69" s="765">
        <f t="shared" ref="AS69:AS91" si="61">H69/SUM(C69:D69)</f>
        <v>0.39076568197358669</v>
      </c>
      <c r="AT69" s="765">
        <f t="shared" si="30"/>
        <v>5.0087200418077425E-2</v>
      </c>
      <c r="AU69" s="765">
        <f>Trspt_margin!AK16/$C69</f>
        <v>4.4996620425504522E-2</v>
      </c>
      <c r="AV69" s="765">
        <f>Trspt_margin!AR16/$D69</f>
        <v>7.6529876174023959E-2</v>
      </c>
      <c r="AW69" s="765">
        <f t="shared" ref="AW69:AW91" si="62">L69/C69</f>
        <v>-4.9453771139365511E-3</v>
      </c>
      <c r="AX69" s="765">
        <f t="shared" ref="AX69:AX91" si="63">(J69-K69)/SUM(C69:E69)</f>
        <v>8.7262073618720071E-2</v>
      </c>
      <c r="AY69" s="779">
        <f>$K69/($N69+$U69-$K69)</f>
        <v>8.1982223413283303E-2</v>
      </c>
      <c r="AZ69" s="77">
        <f t="shared" si="31"/>
        <v>11013</v>
      </c>
      <c r="BA69" s="77">
        <f t="shared" si="32"/>
        <v>0</v>
      </c>
      <c r="BB69" s="771">
        <f t="shared" si="33"/>
        <v>0</v>
      </c>
      <c r="BC69" s="814">
        <f t="shared" ref="BC69:BC91" si="64">$BA69/(SUM(Q69:R69,T69,V69:X69,AE69)-$BA69)</f>
        <v>0</v>
      </c>
      <c r="BD69" s="77">
        <f t="shared" ref="BD69:BD91" si="65">M69</f>
        <v>246571</v>
      </c>
      <c r="BE69" s="71">
        <f t="shared" si="34"/>
        <v>0</v>
      </c>
      <c r="BF69" s="65">
        <f t="shared" ref="BF69:BF91" si="66">$H69*$C69/SUM($C69:$E69)</f>
        <v>50649.484634688408</v>
      </c>
      <c r="BG69" s="65">
        <f t="shared" ref="BG69:BG91" si="67">$H69*SUM(D69:E69)/SUM($C69:$E69)</f>
        <v>9750.724756267904</v>
      </c>
      <c r="BH69" s="71">
        <f t="shared" si="35"/>
        <v>0</v>
      </c>
      <c r="BI69" s="77">
        <f t="shared" ref="BI69:BI91" si="68">AZ69-BJ69</f>
        <v>8854.0604118018709</v>
      </c>
      <c r="BJ69" s="65">
        <f t="shared" si="36"/>
        <v>2158.9395881981281</v>
      </c>
      <c r="BK69" s="71">
        <f t="shared" ref="BK69:BK91" si="69">SUM(BI69:BJ69)-AZ69</f>
        <v>0</v>
      </c>
    </row>
    <row r="70" spans="1:63" ht="13" x14ac:dyDescent="0.3">
      <c r="A70" s="185" t="str">
        <f t="shared" si="37"/>
        <v>Automobile</v>
      </c>
      <c r="B70" s="128">
        <f t="shared" si="37"/>
        <v>3</v>
      </c>
      <c r="C70" s="128">
        <f t="shared" si="38"/>
        <v>89440.2</v>
      </c>
      <c r="D70" s="186">
        <f>D40-F$56*H40/H$56-Trspt_margin!W71</f>
        <v>45937.531527308529</v>
      </c>
      <c r="E70" s="128">
        <f t="shared" si="38"/>
        <v>0</v>
      </c>
      <c r="F70" s="128">
        <f t="shared" si="38"/>
        <v>0</v>
      </c>
      <c r="G70" s="187">
        <f t="shared" si="39"/>
        <v>135377.73152730853</v>
      </c>
      <c r="H70" s="186">
        <f t="shared" si="40"/>
        <v>20287.731654379844</v>
      </c>
      <c r="I70" s="188">
        <f>I40+Trspt_margin!W71</f>
        <v>3119.136818311631</v>
      </c>
      <c r="J70" s="128">
        <f t="shared" si="41"/>
        <v>11161.3</v>
      </c>
      <c r="K70" s="189">
        <f t="shared" si="41"/>
        <v>10776.4</v>
      </c>
      <c r="L70" s="128">
        <f t="shared" si="41"/>
        <v>0</v>
      </c>
      <c r="M70" s="187">
        <f t="shared" si="42"/>
        <v>169945.9</v>
      </c>
      <c r="N70" s="128">
        <f t="shared" si="43"/>
        <v>58603.4</v>
      </c>
      <c r="O70" s="128">
        <f t="shared" si="43"/>
        <v>0</v>
      </c>
      <c r="P70" s="128">
        <f t="shared" si="43"/>
        <v>88.2</v>
      </c>
      <c r="Q70" s="187">
        <f t="shared" si="44"/>
        <v>88.2</v>
      </c>
      <c r="R70" s="128">
        <f t="shared" si="45"/>
        <v>0</v>
      </c>
      <c r="S70" s="187">
        <f t="shared" si="46"/>
        <v>58691.6</v>
      </c>
      <c r="T70" s="128">
        <f t="shared" si="47"/>
        <v>21352.5</v>
      </c>
      <c r="U70" s="128">
        <f t="shared" si="47"/>
        <v>0</v>
      </c>
      <c r="V70" s="128">
        <f t="shared" si="47"/>
        <v>242</v>
      </c>
      <c r="W70" s="128">
        <f t="shared" si="47"/>
        <v>2198.3000000000002</v>
      </c>
      <c r="X70" s="128">
        <f t="shared" si="47"/>
        <v>267</v>
      </c>
      <c r="Y70" s="187">
        <f t="shared" si="48"/>
        <v>24059.8</v>
      </c>
      <c r="Z70" s="128">
        <f t="shared" si="49"/>
        <v>0</v>
      </c>
      <c r="AA70" s="128">
        <f t="shared" si="49"/>
        <v>-215.3</v>
      </c>
      <c r="AB70" s="187">
        <f t="shared" si="50"/>
        <v>23844.5</v>
      </c>
      <c r="AC70" s="128">
        <f t="shared" si="51"/>
        <v>51651.9</v>
      </c>
      <c r="AD70" s="187">
        <f t="shared" si="52"/>
        <v>134188</v>
      </c>
      <c r="AE70" s="128">
        <f t="shared" si="53"/>
        <v>35757.9</v>
      </c>
      <c r="AF70" s="187">
        <f t="shared" si="54"/>
        <v>169945.9</v>
      </c>
      <c r="AG70" s="128">
        <f t="shared" si="55"/>
        <v>88250.468472691471</v>
      </c>
      <c r="AH70" s="128">
        <f>CPR_CEB_Simple!F36+J70+L70</f>
        <v>24528.5</v>
      </c>
      <c r="AI70" s="126">
        <f>SUM(D70:E70)+SUM(H70,J70)*SUM(D70:E70)/SUM(C70:E70)+Trspt_margin!AR17</f>
        <v>58185.844956081921</v>
      </c>
      <c r="AJ70" s="126">
        <f t="shared" si="56"/>
        <v>111760.05504391808</v>
      </c>
      <c r="AK70" s="161">
        <f t="shared" si="57"/>
        <v>21594.5</v>
      </c>
      <c r="AL70" s="128">
        <f t="shared" si="58"/>
        <v>2465.3000000000002</v>
      </c>
      <c r="AM70" s="128">
        <f t="shared" si="59"/>
        <v>0.10246552340418458</v>
      </c>
      <c r="AN70" s="65">
        <f t="shared" si="60"/>
        <v>0.10246552340418458</v>
      </c>
      <c r="AO70" s="128">
        <f>Imports!BE5</f>
        <v>0.49982314284341484</v>
      </c>
      <c r="AP70" s="778">
        <f>Imports!BF5</f>
        <v>0</v>
      </c>
      <c r="AQ70" s="778">
        <f>Imports!BG5</f>
        <v>0.50500323852370976</v>
      </c>
      <c r="AR70" s="778">
        <f>AVERAGE(Imports!C5:Z5)</f>
        <v>0.47769148181816573</v>
      </c>
      <c r="AS70" s="765">
        <f t="shared" si="61"/>
        <v>0.14986018324799144</v>
      </c>
      <c r="AT70" s="765">
        <f t="shared" si="30"/>
        <v>2.3040250291699083E-2</v>
      </c>
      <c r="AU70" s="765">
        <f>Trspt_margin!AK17/$C70</f>
        <v>1.7244798284333524E-2</v>
      </c>
      <c r="AV70" s="765">
        <f>Trspt_margin!AR17/$D70</f>
        <v>3.4323973412978145E-2</v>
      </c>
      <c r="AW70" s="765">
        <f>L70/C70</f>
        <v>0</v>
      </c>
      <c r="AX70" s="765">
        <f>(J70-K70)/SUM(C70:E70)</f>
        <v>2.843155928656976E-3</v>
      </c>
      <c r="AY70" s="780">
        <v>0.19600000000000001</v>
      </c>
      <c r="AZ70" s="77">
        <f t="shared" si="31"/>
        <v>9603.9016722408032</v>
      </c>
      <c r="BA70" s="77">
        <f t="shared" si="32"/>
        <v>1172.4983277591964</v>
      </c>
      <c r="BB70" s="771">
        <f t="shared" si="33"/>
        <v>3.2789910138995758E-2</v>
      </c>
      <c r="BC70" s="814">
        <f t="shared" si="64"/>
        <v>1.9963058402478924E-2</v>
      </c>
      <c r="BD70" s="77">
        <f t="shared" si="65"/>
        <v>169945.9</v>
      </c>
      <c r="BE70" s="71">
        <f t="shared" si="34"/>
        <v>23.406652593868785</v>
      </c>
      <c r="BF70" s="65">
        <f t="shared" si="66"/>
        <v>13403.524761737004</v>
      </c>
      <c r="BG70" s="65">
        <f t="shared" si="67"/>
        <v>6884.206892642841</v>
      </c>
      <c r="BH70" s="71">
        <f t="shared" si="35"/>
        <v>0</v>
      </c>
      <c r="BI70" s="77">
        <f t="shared" si="68"/>
        <v>4803.6493548622775</v>
      </c>
      <c r="BJ70" s="65">
        <f t="shared" si="36"/>
        <v>4800.2523173785257</v>
      </c>
      <c r="BK70" s="71">
        <f t="shared" si="69"/>
        <v>0</v>
      </c>
    </row>
    <row r="71" spans="1:63" ht="13" x14ac:dyDescent="0.3">
      <c r="A71" s="185" t="str">
        <f t="shared" si="37"/>
        <v>FABRICATION DE VERRE ET D ARTICLES EN VE</v>
      </c>
      <c r="B71" s="128">
        <f t="shared" si="37"/>
        <v>4</v>
      </c>
      <c r="C71" s="128">
        <f t="shared" si="38"/>
        <v>6754</v>
      </c>
      <c r="D71" s="186">
        <f>D41-F$56*H41/H$56-Trspt_margin!W72</f>
        <v>2262.5440045652936</v>
      </c>
      <c r="E71" s="128">
        <f t="shared" si="38"/>
        <v>0</v>
      </c>
      <c r="F71" s="128">
        <f t="shared" si="38"/>
        <v>0</v>
      </c>
      <c r="G71" s="187">
        <f t="shared" si="39"/>
        <v>9016.544004565294</v>
      </c>
      <c r="H71" s="186">
        <f t="shared" si="40"/>
        <v>477.19126605747584</v>
      </c>
      <c r="I71" s="188">
        <f>I41+Trspt_margin!W72</f>
        <v>624.26472937723065</v>
      </c>
      <c r="J71" s="128">
        <f t="shared" si="41"/>
        <v>329</v>
      </c>
      <c r="K71" s="189">
        <f t="shared" si="41"/>
        <v>323</v>
      </c>
      <c r="L71" s="128">
        <f t="shared" si="41"/>
        <v>0</v>
      </c>
      <c r="M71" s="187">
        <f t="shared" si="42"/>
        <v>10447</v>
      </c>
      <c r="N71" s="128">
        <f t="shared" si="43"/>
        <v>1878</v>
      </c>
      <c r="O71" s="128">
        <f t="shared" si="43"/>
        <v>0</v>
      </c>
      <c r="P71" s="128">
        <f t="shared" si="43"/>
        <v>0</v>
      </c>
      <c r="Q71" s="187">
        <f t="shared" si="44"/>
        <v>0</v>
      </c>
      <c r="R71" s="128">
        <f t="shared" si="45"/>
        <v>0</v>
      </c>
      <c r="S71" s="187">
        <f t="shared" si="46"/>
        <v>1878</v>
      </c>
      <c r="T71" s="128">
        <f t="shared" si="47"/>
        <v>0</v>
      </c>
      <c r="U71" s="128">
        <f t="shared" si="47"/>
        <v>0</v>
      </c>
      <c r="V71" s="128">
        <f t="shared" si="47"/>
        <v>0</v>
      </c>
      <c r="W71" s="128">
        <f t="shared" si="47"/>
        <v>0</v>
      </c>
      <c r="X71" s="128">
        <f t="shared" si="47"/>
        <v>0</v>
      </c>
      <c r="Y71" s="187">
        <f t="shared" si="48"/>
        <v>0</v>
      </c>
      <c r="Z71" s="128">
        <f t="shared" si="49"/>
        <v>0</v>
      </c>
      <c r="AA71" s="128">
        <f t="shared" si="49"/>
        <v>0</v>
      </c>
      <c r="AB71" s="187">
        <f t="shared" si="50"/>
        <v>0</v>
      </c>
      <c r="AC71" s="128">
        <f t="shared" si="51"/>
        <v>2847</v>
      </c>
      <c r="AD71" s="187">
        <f t="shared" si="52"/>
        <v>4725</v>
      </c>
      <c r="AE71" s="128">
        <f t="shared" si="53"/>
        <v>5722</v>
      </c>
      <c r="AF71" s="187">
        <f t="shared" si="54"/>
        <v>10447</v>
      </c>
      <c r="AG71" s="128">
        <f t="shared" si="55"/>
        <v>2462.4559954347064</v>
      </c>
      <c r="AH71" s="128">
        <f>CPR_CEB_Simple!F37+J71+L71</f>
        <v>2792</v>
      </c>
      <c r="AI71" s="126">
        <f>SUM(D71:E71)+SUM(H71,J71)*SUM(D71:E71)/SUM(C71:E71)+Trspt_margin!AR18</f>
        <v>2729.0130613097213</v>
      </c>
      <c r="AJ71" s="126">
        <f t="shared" si="56"/>
        <v>7717.9869386902792</v>
      </c>
      <c r="AK71" s="161">
        <f t="shared" si="57"/>
        <v>0</v>
      </c>
      <c r="AL71" s="128">
        <f t="shared" si="58"/>
        <v>0</v>
      </c>
      <c r="AM71" s="128">
        <f t="shared" si="59"/>
        <v>0</v>
      </c>
      <c r="AN71" s="65">
        <f t="shared" si="60"/>
        <v>0</v>
      </c>
      <c r="AO71" s="128">
        <f>Imports!BE6</f>
        <v>0.24077954411736896</v>
      </c>
      <c r="AP71" s="778" t="e">
        <f>Imports!BF6</f>
        <v>#N/A</v>
      </c>
      <c r="AQ71" s="778" t="e">
        <f>Imports!BG6</f>
        <v>#N/A</v>
      </c>
      <c r="AR71" s="778">
        <f>AVERAGE(Imports!C6:Z6)</f>
        <v>0.29515156281369909</v>
      </c>
      <c r="AS71" s="765">
        <f t="shared" si="61"/>
        <v>5.2923965747393054E-2</v>
      </c>
      <c r="AT71" s="765">
        <f t="shared" si="30"/>
        <v>6.9235477480190891E-2</v>
      </c>
      <c r="AU71" s="765">
        <f>Trspt_margin!AK18/$C71</f>
        <v>5.3315852725882226E-2</v>
      </c>
      <c r="AV71" s="765">
        <f>Trspt_margin!AR18/$D71</f>
        <v>0.11675771146708697</v>
      </c>
      <c r="AW71" s="765">
        <f t="shared" si="62"/>
        <v>0</v>
      </c>
      <c r="AX71" s="765">
        <f t="shared" si="63"/>
        <v>6.6544343342216875E-4</v>
      </c>
      <c r="AY71" s="780">
        <v>0.19600000000000001</v>
      </c>
      <c r="AZ71" s="77">
        <f t="shared" si="31"/>
        <v>307.76588628762545</v>
      </c>
      <c r="BA71" s="77">
        <f t="shared" si="32"/>
        <v>15.234113712374551</v>
      </c>
      <c r="BB71" s="771">
        <f t="shared" si="33"/>
        <v>2.6623756924806976E-3</v>
      </c>
      <c r="BC71" s="814">
        <f t="shared" si="64"/>
        <v>2.6694828587553419E-3</v>
      </c>
      <c r="BD71" s="77">
        <f t="shared" si="65"/>
        <v>10447</v>
      </c>
      <c r="BE71" s="71">
        <f t="shared" si="34"/>
        <v>4.0667205425052089E-2</v>
      </c>
      <c r="BF71" s="65">
        <f t="shared" si="66"/>
        <v>357.44846465789271</v>
      </c>
      <c r="BG71" s="65">
        <f t="shared" si="67"/>
        <v>119.74280139958312</v>
      </c>
      <c r="BH71" s="71">
        <f t="shared" si="35"/>
        <v>0</v>
      </c>
      <c r="BI71" s="77">
        <f t="shared" si="68"/>
        <v>233.66215649241298</v>
      </c>
      <c r="BJ71" s="65">
        <f t="shared" si="36"/>
        <v>74.103729795212473</v>
      </c>
      <c r="BK71" s="71">
        <f t="shared" si="69"/>
        <v>0</v>
      </c>
    </row>
    <row r="72" spans="1:63" ht="13" x14ac:dyDescent="0.3">
      <c r="A72" s="185" t="str">
        <f t="shared" si="37"/>
        <v>FABRICATION DE PRODUITS CERAMIQUES ET DE</v>
      </c>
      <c r="B72" s="128">
        <f t="shared" si="37"/>
        <v>5</v>
      </c>
      <c r="C72" s="128">
        <f t="shared" si="38"/>
        <v>19667</v>
      </c>
      <c r="D72" s="186">
        <f>D42-F$56*H42/H$56-Trspt_margin!W73</f>
        <v>3477.2038891075226</v>
      </c>
      <c r="E72" s="128">
        <f t="shared" si="38"/>
        <v>0</v>
      </c>
      <c r="F72" s="128">
        <f t="shared" si="38"/>
        <v>0</v>
      </c>
      <c r="G72" s="187">
        <f t="shared" si="39"/>
        <v>23144.203889107521</v>
      </c>
      <c r="H72" s="186">
        <f t="shared" si="40"/>
        <v>7759.1099780750155</v>
      </c>
      <c r="I72" s="188">
        <f>I42+Trspt_margin!W73</f>
        <v>1348.6861328174612</v>
      </c>
      <c r="J72" s="128">
        <f t="shared" si="41"/>
        <v>258</v>
      </c>
      <c r="K72" s="189">
        <f t="shared" si="41"/>
        <v>246</v>
      </c>
      <c r="L72" s="128">
        <f t="shared" si="41"/>
        <v>0</v>
      </c>
      <c r="M72" s="187">
        <f t="shared" si="42"/>
        <v>32509.999999999996</v>
      </c>
      <c r="N72" s="128">
        <f t="shared" si="43"/>
        <v>1813</v>
      </c>
      <c r="O72" s="128">
        <f t="shared" si="43"/>
        <v>0</v>
      </c>
      <c r="P72" s="128">
        <f t="shared" si="43"/>
        <v>0</v>
      </c>
      <c r="Q72" s="187">
        <f t="shared" si="44"/>
        <v>0</v>
      </c>
      <c r="R72" s="128">
        <f t="shared" si="45"/>
        <v>0</v>
      </c>
      <c r="S72" s="187">
        <f t="shared" si="46"/>
        <v>1813</v>
      </c>
      <c r="T72" s="128">
        <f t="shared" si="47"/>
        <v>6</v>
      </c>
      <c r="U72" s="128">
        <f t="shared" si="47"/>
        <v>0</v>
      </c>
      <c r="V72" s="128">
        <f t="shared" si="47"/>
        <v>0</v>
      </c>
      <c r="W72" s="128">
        <f t="shared" si="47"/>
        <v>0</v>
      </c>
      <c r="X72" s="128">
        <f t="shared" si="47"/>
        <v>0</v>
      </c>
      <c r="Y72" s="187">
        <f t="shared" si="48"/>
        <v>6</v>
      </c>
      <c r="Z72" s="128">
        <f t="shared" si="49"/>
        <v>0</v>
      </c>
      <c r="AA72" s="128">
        <f t="shared" si="49"/>
        <v>201</v>
      </c>
      <c r="AB72" s="187">
        <f t="shared" si="50"/>
        <v>207</v>
      </c>
      <c r="AC72" s="128">
        <f t="shared" si="51"/>
        <v>2431</v>
      </c>
      <c r="AD72" s="187">
        <f t="shared" si="52"/>
        <v>4451</v>
      </c>
      <c r="AE72" s="128">
        <f t="shared" si="53"/>
        <v>28059</v>
      </c>
      <c r="AF72" s="187">
        <f t="shared" si="54"/>
        <v>32510</v>
      </c>
      <c r="AG72" s="128">
        <f t="shared" si="55"/>
        <v>973.79611089247737</v>
      </c>
      <c r="AH72" s="128">
        <f>CPR_CEB_Simple!F38+J72+L72</f>
        <v>6696</v>
      </c>
      <c r="AI72" s="126">
        <f>SUM(D72:E72)+SUM(H72,J72)*SUM(D72:E72)/SUM(C72:E72)+Trspt_margin!AR19</f>
        <v>5057.1903662127552</v>
      </c>
      <c r="AJ72" s="126">
        <f t="shared" si="56"/>
        <v>27452.809633787241</v>
      </c>
      <c r="AK72" s="161">
        <f t="shared" si="57"/>
        <v>6</v>
      </c>
      <c r="AL72" s="128">
        <f t="shared" si="58"/>
        <v>0</v>
      </c>
      <c r="AM72" s="128">
        <f t="shared" si="59"/>
        <v>0</v>
      </c>
      <c r="AN72" s="65">
        <f t="shared" si="60"/>
        <v>0</v>
      </c>
      <c r="AO72" s="128">
        <f>Imports!BE7</f>
        <v>0.34565192139108536</v>
      </c>
      <c r="AP72" s="778" t="e">
        <f>Imports!BF7</f>
        <v>#N/A</v>
      </c>
      <c r="AQ72" s="778">
        <f>Imports!BG7</f>
        <v>0.12939965709863574</v>
      </c>
      <c r="AR72" s="778">
        <f>AVERAGE(Imports!C7:Z7)</f>
        <v>0.13929548634166519</v>
      </c>
      <c r="AS72" s="765">
        <f t="shared" si="61"/>
        <v>0.33525067508270295</v>
      </c>
      <c r="AT72" s="765">
        <f t="shared" si="30"/>
        <v>5.8273170219183927E-2</v>
      </c>
      <c r="AU72" s="765">
        <f>Trspt_margin!AK19/$C72</f>
        <v>4.9483741056510003E-2</v>
      </c>
      <c r="AV72" s="765">
        <f>Trspt_margin!AR19/$D72</f>
        <v>0.10798601676344438</v>
      </c>
      <c r="AW72" s="765">
        <f t="shared" si="62"/>
        <v>0</v>
      </c>
      <c r="AX72" s="765">
        <f t="shared" si="63"/>
        <v>5.1848834626139911E-4</v>
      </c>
      <c r="AY72" s="779">
        <f>$K72/($N72+$U72-$K72)</f>
        <v>0.15698787492022973</v>
      </c>
      <c r="AZ72" s="77">
        <f t="shared" si="31"/>
        <v>245.99999999999994</v>
      </c>
      <c r="BA72" s="77">
        <f t="shared" si="32"/>
        <v>0</v>
      </c>
      <c r="BB72" s="771">
        <f t="shared" si="33"/>
        <v>0</v>
      </c>
      <c r="BC72" s="814">
        <f t="shared" si="64"/>
        <v>0</v>
      </c>
      <c r="BD72" s="77">
        <f t="shared" si="65"/>
        <v>32509.999999999996</v>
      </c>
      <c r="BE72" s="71">
        <f t="shared" si="34"/>
        <v>0</v>
      </c>
      <c r="BF72" s="65">
        <f t="shared" si="66"/>
        <v>6593.3750268515187</v>
      </c>
      <c r="BG72" s="65">
        <f t="shared" si="67"/>
        <v>1165.7349512234971</v>
      </c>
      <c r="BH72" s="71">
        <f t="shared" si="35"/>
        <v>0</v>
      </c>
      <c r="BI72" s="77">
        <f t="shared" si="68"/>
        <v>160.96962733779299</v>
      </c>
      <c r="BJ72" s="65">
        <f t="shared" si="36"/>
        <v>85.030372662206972</v>
      </c>
      <c r="BK72" s="71">
        <f t="shared" si="69"/>
        <v>0</v>
      </c>
    </row>
    <row r="73" spans="1:63" ht="13" x14ac:dyDescent="0.3">
      <c r="A73" s="185" t="str">
        <f t="shared" si="37"/>
        <v>Papier ert carton</v>
      </c>
      <c r="B73" s="128">
        <f t="shared" si="37"/>
        <v>6</v>
      </c>
      <c r="C73" s="128">
        <f t="shared" si="38"/>
        <v>19908</v>
      </c>
      <c r="D73" s="186">
        <f>D43-F$56*H43/H$56-Trspt_margin!W74</f>
        <v>8205.664881015884</v>
      </c>
      <c r="E73" s="128">
        <f t="shared" si="38"/>
        <v>0</v>
      </c>
      <c r="F73" s="128">
        <f t="shared" si="38"/>
        <v>0</v>
      </c>
      <c r="G73" s="187">
        <f t="shared" si="39"/>
        <v>28113.664881015884</v>
      </c>
      <c r="H73" s="186">
        <f t="shared" si="40"/>
        <v>3605.4451213231509</v>
      </c>
      <c r="I73" s="188">
        <f>I43+Trspt_margin!W74</f>
        <v>1510.8899976609655</v>
      </c>
      <c r="J73" s="128">
        <f t="shared" si="41"/>
        <v>862</v>
      </c>
      <c r="K73" s="189">
        <f t="shared" si="41"/>
        <v>846</v>
      </c>
      <c r="L73" s="128">
        <f t="shared" si="41"/>
        <v>0</v>
      </c>
      <c r="M73" s="187">
        <f t="shared" si="42"/>
        <v>34092</v>
      </c>
      <c r="N73" s="128">
        <f t="shared" si="43"/>
        <v>3920</v>
      </c>
      <c r="O73" s="128">
        <f t="shared" si="43"/>
        <v>0</v>
      </c>
      <c r="P73" s="128">
        <f t="shared" si="43"/>
        <v>0</v>
      </c>
      <c r="Q73" s="187">
        <f t="shared" si="44"/>
        <v>0</v>
      </c>
      <c r="R73" s="128">
        <f t="shared" si="45"/>
        <v>0</v>
      </c>
      <c r="S73" s="187">
        <f t="shared" si="46"/>
        <v>3920</v>
      </c>
      <c r="T73" s="128">
        <f t="shared" si="47"/>
        <v>0</v>
      </c>
      <c r="U73" s="128">
        <f t="shared" si="47"/>
        <v>0</v>
      </c>
      <c r="V73" s="128">
        <f t="shared" si="47"/>
        <v>0</v>
      </c>
      <c r="W73" s="128">
        <f t="shared" si="47"/>
        <v>0</v>
      </c>
      <c r="X73" s="128">
        <f t="shared" si="47"/>
        <v>0</v>
      </c>
      <c r="Y73" s="187">
        <f t="shared" si="48"/>
        <v>0</v>
      </c>
      <c r="Z73" s="128">
        <f t="shared" si="49"/>
        <v>0</v>
      </c>
      <c r="AA73" s="128">
        <f t="shared" si="49"/>
        <v>45</v>
      </c>
      <c r="AB73" s="187">
        <f t="shared" si="50"/>
        <v>45</v>
      </c>
      <c r="AC73" s="128">
        <f t="shared" si="51"/>
        <v>6697</v>
      </c>
      <c r="AD73" s="187">
        <f t="shared" si="52"/>
        <v>10662</v>
      </c>
      <c r="AE73" s="128">
        <f t="shared" si="53"/>
        <v>23430</v>
      </c>
      <c r="AF73" s="187">
        <f t="shared" si="54"/>
        <v>34092</v>
      </c>
      <c r="AG73" s="128">
        <f t="shared" si="55"/>
        <v>2456.335118984116</v>
      </c>
      <c r="AH73" s="128">
        <f>CPR_CEB_Simple!F39+J73+L73</f>
        <v>5417</v>
      </c>
      <c r="AI73" s="126">
        <f>SUM(D73:E73)+SUM(H73,J73)*SUM(D73:E73)/SUM(C73:E73)+Trspt_margin!AR20</f>
        <v>10220.869538701381</v>
      </c>
      <c r="AJ73" s="126">
        <f t="shared" si="56"/>
        <v>23871.130461298621</v>
      </c>
      <c r="AK73" s="161">
        <f t="shared" si="57"/>
        <v>0</v>
      </c>
      <c r="AL73" s="128">
        <f t="shared" si="58"/>
        <v>0</v>
      </c>
      <c r="AM73" s="128">
        <f t="shared" si="59"/>
        <v>0</v>
      </c>
      <c r="AN73" s="65">
        <f t="shared" si="60"/>
        <v>0</v>
      </c>
      <c r="AO73" s="128">
        <f>Imports!BE8</f>
        <v>0.33108637018166598</v>
      </c>
      <c r="AP73" s="778" t="e">
        <f>Imports!BF8</f>
        <v>#N/A</v>
      </c>
      <c r="AQ73" s="778" t="e">
        <f>Imports!BG8</f>
        <v>#N/A</v>
      </c>
      <c r="AR73" s="778">
        <f>AVERAGE(Imports!C8:Z8)</f>
        <v>0.32478237648578778</v>
      </c>
      <c r="AS73" s="765">
        <f t="shared" si="61"/>
        <v>0.12824529055824999</v>
      </c>
      <c r="AT73" s="765">
        <f t="shared" si="30"/>
        <v>5.3742192775485961E-2</v>
      </c>
      <c r="AU73" s="765">
        <f>Trspt_margin!AK20/$C73</f>
        <v>4.0165718699529528E-2</v>
      </c>
      <c r="AV73" s="765">
        <f>Trspt_margin!AR20/$D73</f>
        <v>8.668046771399153E-2</v>
      </c>
      <c r="AW73" s="765">
        <f t="shared" si="62"/>
        <v>0</v>
      </c>
      <c r="AX73" s="765">
        <f t="shared" si="63"/>
        <v>5.6911825860185897E-4</v>
      </c>
      <c r="AY73" s="780">
        <v>0.19600000000000001</v>
      </c>
      <c r="AZ73" s="77">
        <f t="shared" si="31"/>
        <v>642.40802675585292</v>
      </c>
      <c r="BA73" s="77">
        <f t="shared" si="32"/>
        <v>203.59197324414708</v>
      </c>
      <c r="BB73" s="771">
        <f t="shared" si="33"/>
        <v>8.6893714572832733E-3</v>
      </c>
      <c r="BC73" s="814">
        <f t="shared" si="64"/>
        <v>8.7655384771342017E-3</v>
      </c>
      <c r="BD73" s="77">
        <f t="shared" si="65"/>
        <v>34092</v>
      </c>
      <c r="BE73" s="71">
        <f t="shared" si="34"/>
        <v>1.784593275107909</v>
      </c>
      <c r="BF73" s="65">
        <f t="shared" si="66"/>
        <v>2553.1072444336414</v>
      </c>
      <c r="BG73" s="65">
        <f t="shared" si="67"/>
        <v>1052.33787688951</v>
      </c>
      <c r="BH73" s="71">
        <f t="shared" si="35"/>
        <v>0</v>
      </c>
      <c r="BI73" s="77">
        <f t="shared" si="68"/>
        <v>429.71548500169104</v>
      </c>
      <c r="BJ73" s="65">
        <f t="shared" si="36"/>
        <v>212.69254175416191</v>
      </c>
      <c r="BK73" s="71">
        <f t="shared" si="69"/>
        <v>0</v>
      </c>
    </row>
    <row r="74" spans="1:63" ht="13" x14ac:dyDescent="0.3">
      <c r="A74" s="185" t="str">
        <f t="shared" si="37"/>
        <v>INDUSTRIE CHIMIQUE MINERALE</v>
      </c>
      <c r="B74" s="128">
        <f t="shared" si="37"/>
        <v>7</v>
      </c>
      <c r="C74" s="128">
        <f t="shared" si="38"/>
        <v>5993</v>
      </c>
      <c r="D74" s="186">
        <f>D44-F$56*H44/H$56-Trspt_margin!W75</f>
        <v>3955.5749683933145</v>
      </c>
      <c r="E74" s="128">
        <f t="shared" si="38"/>
        <v>0</v>
      </c>
      <c r="F74" s="128">
        <f t="shared" si="38"/>
        <v>0</v>
      </c>
      <c r="G74" s="187">
        <f t="shared" si="39"/>
        <v>9948.5749683933136</v>
      </c>
      <c r="H74" s="186">
        <f t="shared" si="40"/>
        <v>1096.4394708574287</v>
      </c>
      <c r="I74" s="188">
        <f>I44+Trspt_margin!W75</f>
        <v>1529.9855607492564</v>
      </c>
      <c r="J74" s="128">
        <f t="shared" si="41"/>
        <v>54</v>
      </c>
      <c r="K74" s="189">
        <f t="shared" si="41"/>
        <v>12</v>
      </c>
      <c r="L74" s="128">
        <f t="shared" si="41"/>
        <v>0</v>
      </c>
      <c r="M74" s="187">
        <f t="shared" si="42"/>
        <v>12629</v>
      </c>
      <c r="N74" s="128">
        <f t="shared" si="43"/>
        <v>98</v>
      </c>
      <c r="O74" s="128">
        <f t="shared" si="43"/>
        <v>0</v>
      </c>
      <c r="P74" s="128">
        <f t="shared" si="43"/>
        <v>0</v>
      </c>
      <c r="Q74" s="187">
        <f t="shared" si="44"/>
        <v>0</v>
      </c>
      <c r="R74" s="128">
        <f t="shared" si="45"/>
        <v>0</v>
      </c>
      <c r="S74" s="187">
        <f t="shared" si="46"/>
        <v>98</v>
      </c>
      <c r="T74" s="128">
        <f t="shared" si="47"/>
        <v>0</v>
      </c>
      <c r="U74" s="128">
        <f t="shared" si="47"/>
        <v>0</v>
      </c>
      <c r="V74" s="128">
        <f t="shared" si="47"/>
        <v>0</v>
      </c>
      <c r="W74" s="128">
        <f t="shared" si="47"/>
        <v>0</v>
      </c>
      <c r="X74" s="128">
        <f t="shared" si="47"/>
        <v>0</v>
      </c>
      <c r="Y74" s="187">
        <f t="shared" si="48"/>
        <v>0</v>
      </c>
      <c r="Z74" s="128">
        <f t="shared" si="49"/>
        <v>0</v>
      </c>
      <c r="AA74" s="128">
        <f t="shared" si="49"/>
        <v>0</v>
      </c>
      <c r="AB74" s="187">
        <f t="shared" si="50"/>
        <v>0</v>
      </c>
      <c r="AC74" s="128">
        <f t="shared" si="51"/>
        <v>2702</v>
      </c>
      <c r="AD74" s="187">
        <f t="shared" si="52"/>
        <v>2800</v>
      </c>
      <c r="AE74" s="128">
        <f t="shared" si="53"/>
        <v>9829</v>
      </c>
      <c r="AF74" s="187">
        <f t="shared" si="54"/>
        <v>12629</v>
      </c>
      <c r="AG74" s="128">
        <f t="shared" si="55"/>
        <v>-1155.5749683933145</v>
      </c>
      <c r="AH74" s="128">
        <f>CPR_CEB_Simple!F40+J74+L74</f>
        <v>879</v>
      </c>
      <c r="AI74" s="126">
        <f>SUM(D74:E74)+SUM(H74,J74)*SUM(D74:E74)/SUM(C74:E74)+Trspt_margin!AR21</f>
        <v>5337.699701172296</v>
      </c>
      <c r="AJ74" s="126">
        <f t="shared" si="56"/>
        <v>7291.300298827704</v>
      </c>
      <c r="AK74" s="161">
        <f t="shared" si="57"/>
        <v>0</v>
      </c>
      <c r="AL74" s="128">
        <f t="shared" si="58"/>
        <v>0</v>
      </c>
      <c r="AM74" s="128">
        <f t="shared" si="59"/>
        <v>0</v>
      </c>
      <c r="AN74" s="65">
        <f t="shared" si="60"/>
        <v>0</v>
      </c>
      <c r="AO74" s="128">
        <f>Imports!BE9</f>
        <v>0.52774727332591032</v>
      </c>
      <c r="AP74" s="778" t="e">
        <f>Imports!BF9</f>
        <v>#N/A</v>
      </c>
      <c r="AQ74" s="778" t="e">
        <f>Imports!BG9</f>
        <v>#N/A</v>
      </c>
      <c r="AR74" s="778">
        <f>AVERAGE(Imports!C9:Z9)</f>
        <v>0.48305932185299127</v>
      </c>
      <c r="AS74" s="765">
        <f t="shared" si="61"/>
        <v>0.11021070598963408</v>
      </c>
      <c r="AT74" s="765">
        <f t="shared" si="30"/>
        <v>0.15378941864639209</v>
      </c>
      <c r="AU74" s="765">
        <f>Trspt_margin!AK21/$C74</f>
        <v>0.10099750623441398</v>
      </c>
      <c r="AV74" s="765">
        <f>Trspt_margin!AR21/$D74</f>
        <v>0.23377322216750032</v>
      </c>
      <c r="AW74" s="765">
        <f t="shared" si="62"/>
        <v>0</v>
      </c>
      <c r="AX74" s="765">
        <f t="shared" si="63"/>
        <v>4.2217101578300676E-3</v>
      </c>
      <c r="AY74" s="779">
        <f>$K74/($N74+$U74-$K74)</f>
        <v>0.13953488372093023</v>
      </c>
      <c r="AZ74" s="77">
        <f t="shared" si="31"/>
        <v>12</v>
      </c>
      <c r="BA74" s="77">
        <f t="shared" si="32"/>
        <v>0</v>
      </c>
      <c r="BB74" s="771">
        <f t="shared" si="33"/>
        <v>0</v>
      </c>
      <c r="BC74" s="814">
        <f t="shared" si="64"/>
        <v>0</v>
      </c>
      <c r="BD74" s="77">
        <f t="shared" si="65"/>
        <v>12629</v>
      </c>
      <c r="BE74" s="71">
        <f t="shared" si="34"/>
        <v>0</v>
      </c>
      <c r="BF74" s="65">
        <f t="shared" si="66"/>
        <v>660.49276099587701</v>
      </c>
      <c r="BG74" s="65">
        <f t="shared" si="67"/>
        <v>435.94670986155171</v>
      </c>
      <c r="BH74" s="71">
        <f t="shared" si="35"/>
        <v>0</v>
      </c>
      <c r="BI74" s="77">
        <f t="shared" si="68"/>
        <v>5.6670327200890762</v>
      </c>
      <c r="BJ74" s="65">
        <f t="shared" si="36"/>
        <v>6.3329672799109238</v>
      </c>
      <c r="BK74" s="71">
        <f t="shared" si="69"/>
        <v>0</v>
      </c>
    </row>
    <row r="75" spans="1:63" ht="13" x14ac:dyDescent="0.3">
      <c r="A75" s="185" t="str">
        <f t="shared" si="37"/>
        <v>INDUSTRIE CHIMIQUE ORGANIQUE</v>
      </c>
      <c r="B75" s="128">
        <f t="shared" si="37"/>
        <v>8</v>
      </c>
      <c r="C75" s="128">
        <f t="shared" si="38"/>
        <v>23764</v>
      </c>
      <c r="D75" s="186">
        <f>D45-F$56*H45/H$56-Trspt_margin!W76</f>
        <v>17438.950880860426</v>
      </c>
      <c r="E75" s="128">
        <f t="shared" si="38"/>
        <v>0</v>
      </c>
      <c r="F75" s="128">
        <f t="shared" si="38"/>
        <v>0</v>
      </c>
      <c r="G75" s="187">
        <f t="shared" si="39"/>
        <v>41202.95088086043</v>
      </c>
      <c r="H75" s="186">
        <f t="shared" si="40"/>
        <v>2601.042540355214</v>
      </c>
      <c r="I75" s="188">
        <f>I45+Trspt_margin!W76</f>
        <v>962.00657878435845</v>
      </c>
      <c r="J75" s="128">
        <f t="shared" si="41"/>
        <v>124</v>
      </c>
      <c r="K75" s="189">
        <f t="shared" si="41"/>
        <v>70</v>
      </c>
      <c r="L75" s="128">
        <f t="shared" si="41"/>
        <v>0</v>
      </c>
      <c r="M75" s="187">
        <f t="shared" si="42"/>
        <v>44890</v>
      </c>
      <c r="N75" s="128">
        <f t="shared" si="43"/>
        <v>20</v>
      </c>
      <c r="O75" s="128">
        <f t="shared" si="43"/>
        <v>0</v>
      </c>
      <c r="P75" s="128">
        <f t="shared" si="43"/>
        <v>0</v>
      </c>
      <c r="Q75" s="187">
        <f t="shared" si="44"/>
        <v>0</v>
      </c>
      <c r="R75" s="128">
        <f t="shared" si="45"/>
        <v>0</v>
      </c>
      <c r="S75" s="187">
        <f t="shared" si="46"/>
        <v>20</v>
      </c>
      <c r="T75" s="128">
        <f t="shared" si="47"/>
        <v>0</v>
      </c>
      <c r="U75" s="128">
        <f t="shared" si="47"/>
        <v>0</v>
      </c>
      <c r="V75" s="128">
        <f t="shared" si="47"/>
        <v>0</v>
      </c>
      <c r="W75" s="128">
        <f t="shared" si="47"/>
        <v>0</v>
      </c>
      <c r="X75" s="128">
        <f t="shared" si="47"/>
        <v>0</v>
      </c>
      <c r="Y75" s="187">
        <f t="shared" si="48"/>
        <v>0</v>
      </c>
      <c r="Z75" s="128">
        <f t="shared" si="49"/>
        <v>0</v>
      </c>
      <c r="AA75" s="128">
        <f t="shared" si="49"/>
        <v>0</v>
      </c>
      <c r="AB75" s="187">
        <f t="shared" si="50"/>
        <v>0</v>
      </c>
      <c r="AC75" s="128">
        <f t="shared" si="51"/>
        <v>18838</v>
      </c>
      <c r="AD75" s="187">
        <f t="shared" si="52"/>
        <v>18858</v>
      </c>
      <c r="AE75" s="128">
        <f t="shared" si="53"/>
        <v>26032</v>
      </c>
      <c r="AF75" s="187">
        <f t="shared" si="54"/>
        <v>44890</v>
      </c>
      <c r="AG75" s="128">
        <f t="shared" si="55"/>
        <v>1419.049119139574</v>
      </c>
      <c r="AH75" s="128">
        <f>CPR_CEB_Simple!F41+J75+L75</f>
        <v>3976</v>
      </c>
      <c r="AI75" s="126">
        <f>SUM(D75:E75)+SUM(H75,J75)*SUM(D75:E75)/SUM(C75:E75)+Trspt_margin!AR22</f>
        <v>19175.858091625742</v>
      </c>
      <c r="AJ75" s="126">
        <f t="shared" si="56"/>
        <v>25714.141908374258</v>
      </c>
      <c r="AK75" s="161">
        <f t="shared" si="57"/>
        <v>0</v>
      </c>
      <c r="AL75" s="128">
        <f t="shared" si="58"/>
        <v>0</v>
      </c>
      <c r="AM75" s="128">
        <f t="shared" si="59"/>
        <v>0</v>
      </c>
      <c r="AN75" s="65">
        <f t="shared" si="60"/>
        <v>0</v>
      </c>
      <c r="AO75" s="128">
        <f>Imports!BE10</f>
        <v>0.6960497928511763</v>
      </c>
      <c r="AP75" s="778" t="e">
        <f>Imports!BF10</f>
        <v>#N/A</v>
      </c>
      <c r="AQ75" s="778" t="e">
        <f>Imports!BG10</f>
        <v>#N/A</v>
      </c>
      <c r="AR75" s="778">
        <f>AVERAGE(Imports!C10:Z10)</f>
        <v>0.66337356772426326</v>
      </c>
      <c r="AS75" s="765">
        <f t="shared" si="61"/>
        <v>6.3127579087143698E-2</v>
      </c>
      <c r="AT75" s="765">
        <f t="shared" si="30"/>
        <v>2.3348001980878247E-2</v>
      </c>
      <c r="AU75" s="765">
        <f>Trspt_margin!AK22/$C75</f>
        <v>1.592579207324419E-2</v>
      </c>
      <c r="AV75" s="765">
        <f>Trspt_margin!AR22/$D75</f>
        <v>3.3462222581074889E-2</v>
      </c>
      <c r="AW75" s="765">
        <f t="shared" si="62"/>
        <v>0</v>
      </c>
      <c r="AX75" s="765">
        <f t="shared" si="63"/>
        <v>1.3105857431459855E-3</v>
      </c>
      <c r="AY75" s="780">
        <v>0.19600000000000001</v>
      </c>
      <c r="AZ75" s="77">
        <f t="shared" si="31"/>
        <v>3.2775919732441472</v>
      </c>
      <c r="BA75" s="77">
        <f t="shared" si="32"/>
        <v>66.722408026755858</v>
      </c>
      <c r="BB75" s="771">
        <f t="shared" si="33"/>
        <v>2.5630918879362267E-3</v>
      </c>
      <c r="BC75" s="814">
        <f t="shared" si="64"/>
        <v>2.5696782093091136E-3</v>
      </c>
      <c r="BD75" s="77">
        <f t="shared" si="65"/>
        <v>44890</v>
      </c>
      <c r="BE75" s="71">
        <f t="shared" si="34"/>
        <v>0.17145511798298685</v>
      </c>
      <c r="BF75" s="65">
        <f t="shared" si="66"/>
        <v>1500.1637894268829</v>
      </c>
      <c r="BG75" s="65">
        <f t="shared" si="67"/>
        <v>1100.8787509283309</v>
      </c>
      <c r="BH75" s="71">
        <f t="shared" si="35"/>
        <v>0</v>
      </c>
      <c r="BI75" s="77">
        <f t="shared" si="68"/>
        <v>0.99622475921688025</v>
      </c>
      <c r="BJ75" s="65">
        <f t="shared" si="36"/>
        <v>2.2813672140272669</v>
      </c>
      <c r="BK75" s="71">
        <f t="shared" si="69"/>
        <v>0</v>
      </c>
    </row>
    <row r="76" spans="1:63" ht="13" x14ac:dyDescent="0.3">
      <c r="A76" s="185" t="str">
        <f t="shared" si="37"/>
        <v>TRANSFORMATION DES MATIERES PLASTIQUES</v>
      </c>
      <c r="B76" s="128">
        <f t="shared" si="37"/>
        <v>9</v>
      </c>
      <c r="C76" s="128">
        <f t="shared" si="38"/>
        <v>25169</v>
      </c>
      <c r="D76" s="186">
        <f>D46-F$56*H46/H$56-Trspt_margin!W77</f>
        <v>8705.4025920087533</v>
      </c>
      <c r="E76" s="128">
        <f t="shared" si="38"/>
        <v>0</v>
      </c>
      <c r="F76" s="128">
        <f t="shared" si="38"/>
        <v>0</v>
      </c>
      <c r="G76" s="187">
        <f t="shared" si="39"/>
        <v>33874.402592008752</v>
      </c>
      <c r="H76" s="186">
        <f t="shared" si="40"/>
        <v>2072.8308244676937</v>
      </c>
      <c r="I76" s="188">
        <f>I46+Trspt_margin!W77</f>
        <v>1523.7665835235534</v>
      </c>
      <c r="J76" s="128">
        <f t="shared" si="41"/>
        <v>830</v>
      </c>
      <c r="K76" s="189">
        <f t="shared" si="41"/>
        <v>768</v>
      </c>
      <c r="L76" s="128">
        <f t="shared" si="41"/>
        <v>0</v>
      </c>
      <c r="M76" s="187">
        <f t="shared" si="42"/>
        <v>38301</v>
      </c>
      <c r="N76" s="128">
        <f t="shared" si="43"/>
        <v>5048</v>
      </c>
      <c r="O76" s="128">
        <f t="shared" si="43"/>
        <v>0</v>
      </c>
      <c r="P76" s="128">
        <f t="shared" si="43"/>
        <v>0</v>
      </c>
      <c r="Q76" s="187">
        <f t="shared" si="44"/>
        <v>0</v>
      </c>
      <c r="R76" s="128">
        <f t="shared" si="45"/>
        <v>0</v>
      </c>
      <c r="S76" s="187">
        <f t="shared" si="46"/>
        <v>5048</v>
      </c>
      <c r="T76" s="128">
        <f t="shared" si="47"/>
        <v>0</v>
      </c>
      <c r="U76" s="128">
        <f t="shared" si="47"/>
        <v>0</v>
      </c>
      <c r="V76" s="128">
        <f t="shared" si="47"/>
        <v>0</v>
      </c>
      <c r="W76" s="128">
        <f t="shared" si="47"/>
        <v>0</v>
      </c>
      <c r="X76" s="128">
        <f t="shared" si="47"/>
        <v>0</v>
      </c>
      <c r="Y76" s="187">
        <f t="shared" si="48"/>
        <v>0</v>
      </c>
      <c r="Z76" s="128">
        <f t="shared" si="49"/>
        <v>0</v>
      </c>
      <c r="AA76" s="128">
        <f t="shared" si="49"/>
        <v>0</v>
      </c>
      <c r="AB76" s="187">
        <f t="shared" si="50"/>
        <v>0</v>
      </c>
      <c r="AC76" s="128">
        <f t="shared" si="51"/>
        <v>7017</v>
      </c>
      <c r="AD76" s="187">
        <f t="shared" si="52"/>
        <v>12065</v>
      </c>
      <c r="AE76" s="128">
        <f t="shared" si="53"/>
        <v>26236</v>
      </c>
      <c r="AF76" s="187">
        <f t="shared" si="54"/>
        <v>38301</v>
      </c>
      <c r="AG76" s="128">
        <f t="shared" si="55"/>
        <v>3359.5974079912467</v>
      </c>
      <c r="AH76" s="128">
        <f>CPR_CEB_Simple!F42+J76+L76</f>
        <v>8338</v>
      </c>
      <c r="AI76" s="126">
        <f>SUM(D76:E76)+SUM(H76,J76)*SUM(D76:E76)/SUM(C76:E76)+Trspt_margin!AR23</f>
        <v>10100.397638429886</v>
      </c>
      <c r="AJ76" s="126">
        <f t="shared" si="56"/>
        <v>28200.602361570112</v>
      </c>
      <c r="AK76" s="161">
        <f t="shared" si="57"/>
        <v>0</v>
      </c>
      <c r="AL76" s="128">
        <f t="shared" si="58"/>
        <v>0</v>
      </c>
      <c r="AM76" s="128">
        <f t="shared" si="59"/>
        <v>0</v>
      </c>
      <c r="AN76" s="65">
        <f t="shared" si="60"/>
        <v>0</v>
      </c>
      <c r="AO76" s="128">
        <f>Imports!BE11</f>
        <v>0.64252966178920834</v>
      </c>
      <c r="AP76" s="778" t="e">
        <f>Imports!BF11</f>
        <v>#N/A</v>
      </c>
      <c r="AQ76" s="778" t="e">
        <f>Imports!BG11</f>
        <v>#N/A</v>
      </c>
      <c r="AR76" s="778">
        <f>AVERAGE(Imports!C11:Z11)</f>
        <v>0.25495647445173847</v>
      </c>
      <c r="AS76" s="765">
        <f t="shared" si="61"/>
        <v>6.1191656999338241E-2</v>
      </c>
      <c r="AT76" s="765">
        <f t="shared" si="30"/>
        <v>4.4982832667963345E-2</v>
      </c>
      <c r="AU76" s="765">
        <f>Trspt_margin!AK23/$C76</f>
        <v>3.4755919321835721E-2</v>
      </c>
      <c r="AV76" s="765">
        <f>Trspt_margin!AR23/$D76</f>
        <v>7.4550814078147759E-2</v>
      </c>
      <c r="AW76" s="765">
        <f t="shared" si="62"/>
        <v>0</v>
      </c>
      <c r="AX76" s="765">
        <f t="shared" si="63"/>
        <v>1.8302905809658857E-3</v>
      </c>
      <c r="AY76" s="779">
        <f>$K76/($N76+$U76-$K76)</f>
        <v>0.17943925233644858</v>
      </c>
      <c r="AZ76" s="77">
        <f t="shared" si="31"/>
        <v>768</v>
      </c>
      <c r="BA76" s="77">
        <f t="shared" si="32"/>
        <v>0</v>
      </c>
      <c r="BB76" s="771">
        <f t="shared" si="33"/>
        <v>0</v>
      </c>
      <c r="BC76" s="814">
        <f t="shared" si="64"/>
        <v>0</v>
      </c>
      <c r="BD76" s="77">
        <f t="shared" si="65"/>
        <v>38301</v>
      </c>
      <c r="BE76" s="71">
        <f t="shared" si="34"/>
        <v>0</v>
      </c>
      <c r="BF76" s="65">
        <f t="shared" si="66"/>
        <v>1540.132815016344</v>
      </c>
      <c r="BG76" s="65">
        <f t="shared" si="67"/>
        <v>532.69800945134966</v>
      </c>
      <c r="BH76" s="71">
        <f t="shared" si="35"/>
        <v>0</v>
      </c>
      <c r="BI76" s="77">
        <f t="shared" si="68"/>
        <v>274.53721974588802</v>
      </c>
      <c r="BJ76" s="65">
        <f t="shared" si="36"/>
        <v>493.46278025411198</v>
      </c>
      <c r="BK76" s="71">
        <f t="shared" si="69"/>
        <v>0</v>
      </c>
    </row>
    <row r="77" spans="1:63" ht="13" x14ac:dyDescent="0.3">
      <c r="A77" s="185" t="str">
        <f t="shared" si="37"/>
        <v>SIDERURGIE ET PREMIERE TRANSFORMATION DE</v>
      </c>
      <c r="B77" s="128">
        <f t="shared" si="37"/>
        <v>10</v>
      </c>
      <c r="C77" s="128">
        <f t="shared" si="38"/>
        <v>27396</v>
      </c>
      <c r="D77" s="186">
        <f>D47-F$56*H47/H$56-Trspt_margin!W78</f>
        <v>14326.24267196963</v>
      </c>
      <c r="E77" s="128">
        <f t="shared" si="38"/>
        <v>0</v>
      </c>
      <c r="F77" s="128">
        <f t="shared" si="38"/>
        <v>0</v>
      </c>
      <c r="G77" s="187">
        <f t="shared" si="39"/>
        <v>41722.24267196963</v>
      </c>
      <c r="H77" s="186">
        <f t="shared" si="40"/>
        <v>2431.9747752321255</v>
      </c>
      <c r="I77" s="188">
        <f>I47+Trspt_margin!W78</f>
        <v>1323.7825527982448</v>
      </c>
      <c r="J77" s="128">
        <f t="shared" si="41"/>
        <v>8</v>
      </c>
      <c r="K77" s="189">
        <f t="shared" si="41"/>
        <v>5</v>
      </c>
      <c r="L77" s="128">
        <f t="shared" si="41"/>
        <v>0</v>
      </c>
      <c r="M77" s="187">
        <f t="shared" si="42"/>
        <v>45486</v>
      </c>
      <c r="N77" s="128">
        <f t="shared" si="43"/>
        <v>0</v>
      </c>
      <c r="O77" s="128">
        <f t="shared" si="43"/>
        <v>0</v>
      </c>
      <c r="P77" s="128">
        <f t="shared" si="43"/>
        <v>0</v>
      </c>
      <c r="Q77" s="187">
        <f t="shared" si="44"/>
        <v>0</v>
      </c>
      <c r="R77" s="128">
        <f t="shared" si="45"/>
        <v>0</v>
      </c>
      <c r="S77" s="187">
        <f t="shared" si="46"/>
        <v>0</v>
      </c>
      <c r="T77" s="128">
        <f t="shared" si="47"/>
        <v>0</v>
      </c>
      <c r="U77" s="128">
        <f t="shared" si="47"/>
        <v>0</v>
      </c>
      <c r="V77" s="128">
        <f t="shared" si="47"/>
        <v>0</v>
      </c>
      <c r="W77" s="128">
        <f t="shared" si="47"/>
        <v>0</v>
      </c>
      <c r="X77" s="128">
        <f t="shared" si="47"/>
        <v>0</v>
      </c>
      <c r="Y77" s="187">
        <f t="shared" si="48"/>
        <v>0</v>
      </c>
      <c r="Z77" s="128">
        <f t="shared" si="49"/>
        <v>0</v>
      </c>
      <c r="AA77" s="128">
        <f t="shared" si="49"/>
        <v>80</v>
      </c>
      <c r="AB77" s="187">
        <f t="shared" si="50"/>
        <v>80</v>
      </c>
      <c r="AC77" s="128">
        <f t="shared" si="51"/>
        <v>16496</v>
      </c>
      <c r="AD77" s="187">
        <f t="shared" si="52"/>
        <v>16576</v>
      </c>
      <c r="AE77" s="128">
        <f t="shared" si="53"/>
        <v>28910</v>
      </c>
      <c r="AF77" s="187">
        <f t="shared" si="54"/>
        <v>45486</v>
      </c>
      <c r="AG77" s="128">
        <f t="shared" si="55"/>
        <v>2249.7573280303695</v>
      </c>
      <c r="AH77" s="128">
        <f>CPR_CEB_Simple!F43+J77+L77</f>
        <v>4659</v>
      </c>
      <c r="AI77" s="126">
        <f>SUM(D77:E77)+SUM(H77,J77)*SUM(D77:E77)/SUM(C77:E77)+Trspt_margin!AR24</f>
        <v>15859.614648337059</v>
      </c>
      <c r="AJ77" s="126">
        <f t="shared" si="56"/>
        <v>29626.385351662939</v>
      </c>
      <c r="AK77" s="161">
        <f t="shared" si="57"/>
        <v>0</v>
      </c>
      <c r="AL77" s="128">
        <f t="shared" si="58"/>
        <v>0</v>
      </c>
      <c r="AM77" s="128">
        <f t="shared" si="59"/>
        <v>0</v>
      </c>
      <c r="AN77" s="65">
        <f t="shared" si="60"/>
        <v>0</v>
      </c>
      <c r="AO77" s="775">
        <v>0</v>
      </c>
      <c r="AP77" s="778" t="e">
        <f>Imports!BF12</f>
        <v>#N/A</v>
      </c>
      <c r="AQ77" s="778" t="e">
        <f>Imports!BG12</f>
        <v>#N/A</v>
      </c>
      <c r="AR77" s="778">
        <f>AVERAGE(Imports!C12:Z12)</f>
        <v>0.34374380225080875</v>
      </c>
      <c r="AS77" s="765">
        <f t="shared" si="61"/>
        <v>5.8289646468740901E-2</v>
      </c>
      <c r="AT77" s="765">
        <f t="shared" si="30"/>
        <v>3.1728461080247856E-2</v>
      </c>
      <c r="AU77" s="765">
        <f>Trspt_margin!AK24/$C77</f>
        <v>2.2931419609334158E-2</v>
      </c>
      <c r="AV77" s="765">
        <f>Trspt_margin!AR24/$D77</f>
        <v>4.8550998130293337E-2</v>
      </c>
      <c r="AW77" s="765">
        <f t="shared" si="62"/>
        <v>0</v>
      </c>
      <c r="AX77" s="765">
        <f t="shared" si="63"/>
        <v>7.190409258645865E-5</v>
      </c>
      <c r="AY77" s="780">
        <v>0.19600000000000001</v>
      </c>
      <c r="AZ77" s="77">
        <f t="shared" si="31"/>
        <v>0</v>
      </c>
      <c r="BA77" s="77">
        <f t="shared" si="32"/>
        <v>5</v>
      </c>
      <c r="BB77" s="771">
        <f t="shared" si="33"/>
        <v>1.7295053614666206E-4</v>
      </c>
      <c r="BC77" s="814">
        <f t="shared" si="64"/>
        <v>1.7298045320878741E-4</v>
      </c>
      <c r="BD77" s="77">
        <f t="shared" si="65"/>
        <v>45486</v>
      </c>
      <c r="BE77" s="71">
        <f t="shared" si="34"/>
        <v>8.6490226385649294E-4</v>
      </c>
      <c r="BF77" s="65">
        <f t="shared" si="66"/>
        <v>1596.9031546576257</v>
      </c>
      <c r="BG77" s="65">
        <f t="shared" si="67"/>
        <v>835.07162057449989</v>
      </c>
      <c r="BH77" s="71">
        <f t="shared" si="35"/>
        <v>0</v>
      </c>
      <c r="BI77" s="77">
        <f t="shared" si="68"/>
        <v>0</v>
      </c>
      <c r="BJ77" s="65">
        <f t="shared" si="36"/>
        <v>0</v>
      </c>
      <c r="BK77" s="71">
        <f t="shared" si="69"/>
        <v>0</v>
      </c>
    </row>
    <row r="78" spans="1:63" ht="13" x14ac:dyDescent="0.3">
      <c r="A78" s="185" t="str">
        <f t="shared" si="37"/>
        <v>PRODUCTION DE METAUX NON FERREUX</v>
      </c>
      <c r="B78" s="128">
        <f t="shared" si="37"/>
        <v>11</v>
      </c>
      <c r="C78" s="128">
        <f t="shared" si="38"/>
        <v>12661</v>
      </c>
      <c r="D78" s="186">
        <f>D48-F$56*H48/H$56-Trspt_margin!W79</f>
        <v>12239.768469675901</v>
      </c>
      <c r="E78" s="128">
        <f t="shared" si="38"/>
        <v>0</v>
      </c>
      <c r="F78" s="128">
        <f t="shared" si="38"/>
        <v>0</v>
      </c>
      <c r="G78" s="187">
        <f t="shared" si="39"/>
        <v>24900.768469675902</v>
      </c>
      <c r="H78" s="186">
        <f t="shared" si="40"/>
        <v>1737.696497152695</v>
      </c>
      <c r="I78" s="188">
        <f>I48+Trspt_margin!W79</f>
        <v>551.53503317140326</v>
      </c>
      <c r="J78" s="128">
        <f t="shared" si="41"/>
        <v>12</v>
      </c>
      <c r="K78" s="189">
        <f t="shared" si="41"/>
        <v>0</v>
      </c>
      <c r="L78" s="128">
        <f t="shared" si="41"/>
        <v>0</v>
      </c>
      <c r="M78" s="187">
        <f t="shared" si="42"/>
        <v>27202</v>
      </c>
      <c r="N78" s="128">
        <f t="shared" si="43"/>
        <v>164</v>
      </c>
      <c r="O78" s="128">
        <f t="shared" si="43"/>
        <v>0</v>
      </c>
      <c r="P78" s="128">
        <f t="shared" si="43"/>
        <v>0</v>
      </c>
      <c r="Q78" s="187">
        <f t="shared" si="44"/>
        <v>0</v>
      </c>
      <c r="R78" s="128">
        <f t="shared" si="45"/>
        <v>0</v>
      </c>
      <c r="S78" s="187">
        <f t="shared" si="46"/>
        <v>164</v>
      </c>
      <c r="T78" s="128">
        <f t="shared" si="47"/>
        <v>0</v>
      </c>
      <c r="U78" s="128">
        <f t="shared" si="47"/>
        <v>0</v>
      </c>
      <c r="V78" s="128">
        <f t="shared" si="47"/>
        <v>0</v>
      </c>
      <c r="W78" s="128">
        <f t="shared" si="47"/>
        <v>0</v>
      </c>
      <c r="X78" s="128">
        <f t="shared" si="47"/>
        <v>0</v>
      </c>
      <c r="Y78" s="187">
        <f t="shared" si="48"/>
        <v>0</v>
      </c>
      <c r="Z78" s="128">
        <f t="shared" si="49"/>
        <v>330</v>
      </c>
      <c r="AA78" s="128">
        <f t="shared" si="49"/>
        <v>0</v>
      </c>
      <c r="AB78" s="187">
        <f t="shared" si="50"/>
        <v>330</v>
      </c>
      <c r="AC78" s="128">
        <f t="shared" si="51"/>
        <v>9350</v>
      </c>
      <c r="AD78" s="187">
        <f t="shared" si="52"/>
        <v>9844</v>
      </c>
      <c r="AE78" s="128">
        <f t="shared" si="53"/>
        <v>17358</v>
      </c>
      <c r="AF78" s="187">
        <f t="shared" si="54"/>
        <v>27202</v>
      </c>
      <c r="AG78" s="128">
        <f t="shared" si="55"/>
        <v>-2395.7684696759006</v>
      </c>
      <c r="AH78" s="128">
        <f>CPR_CEB_Simple!F44+J78+L78</f>
        <v>2025</v>
      </c>
      <c r="AI78" s="126">
        <f>SUM(D78:E78)+SUM(H78,J78)*SUM(D78:E78)/SUM(C78:E78)+Trspt_margin!AR25</f>
        <v>13469.197951120197</v>
      </c>
      <c r="AJ78" s="126">
        <f t="shared" si="56"/>
        <v>13732.802048879803</v>
      </c>
      <c r="AK78" s="161">
        <f t="shared" si="57"/>
        <v>0</v>
      </c>
      <c r="AL78" s="128">
        <f t="shared" si="58"/>
        <v>0</v>
      </c>
      <c r="AM78" s="128">
        <f t="shared" si="59"/>
        <v>0</v>
      </c>
      <c r="AN78" s="65">
        <f t="shared" si="60"/>
        <v>0</v>
      </c>
      <c r="AO78" s="128">
        <f>Imports!BE13</f>
        <v>0.74008538670707591</v>
      </c>
      <c r="AP78" s="778" t="e">
        <f>Imports!BF13</f>
        <v>#N/A</v>
      </c>
      <c r="AQ78" s="778" t="e">
        <f>Imports!BG13</f>
        <v>#N/A</v>
      </c>
      <c r="AR78" s="778">
        <f>AVERAGE(Imports!C13:Z13)</f>
        <v>0.40686701849509416</v>
      </c>
      <c r="AS78" s="765">
        <f t="shared" si="61"/>
        <v>6.9784854201140722E-2</v>
      </c>
      <c r="AT78" s="765">
        <f t="shared" si="30"/>
        <v>2.2149317754713526E-2</v>
      </c>
      <c r="AU78" s="765">
        <f>Trspt_margin!AK25/$C78</f>
        <v>1.4387055635262234E-2</v>
      </c>
      <c r="AV78" s="765">
        <f>Trspt_margin!AR25/$D78</f>
        <v>3.0178718060598162E-2</v>
      </c>
      <c r="AW78" s="765">
        <f t="shared" si="62"/>
        <v>0</v>
      </c>
      <c r="AX78" s="765">
        <f t="shared" si="63"/>
        <v>4.8191283793564733E-4</v>
      </c>
      <c r="AY78" s="779">
        <f>$K78/($N78+$U78-$K78)</f>
        <v>0</v>
      </c>
      <c r="AZ78" s="77">
        <f t="shared" si="31"/>
        <v>0</v>
      </c>
      <c r="BA78" s="77">
        <f t="shared" si="32"/>
        <v>0</v>
      </c>
      <c r="BB78" s="771">
        <f t="shared" si="33"/>
        <v>0</v>
      </c>
      <c r="BC78" s="814">
        <f t="shared" si="64"/>
        <v>0</v>
      </c>
      <c r="BD78" s="77">
        <f t="shared" si="65"/>
        <v>27202</v>
      </c>
      <c r="BE78" s="71">
        <f t="shared" si="34"/>
        <v>0</v>
      </c>
      <c r="BF78" s="65">
        <f t="shared" si="66"/>
        <v>883.54603904064265</v>
      </c>
      <c r="BG78" s="65">
        <f t="shared" si="67"/>
        <v>854.15045811205198</v>
      </c>
      <c r="BH78" s="71">
        <f t="shared" si="35"/>
        <v>0</v>
      </c>
      <c r="BI78" s="77">
        <f t="shared" si="68"/>
        <v>0</v>
      </c>
      <c r="BJ78" s="65">
        <f t="shared" si="36"/>
        <v>0</v>
      </c>
      <c r="BK78" s="71">
        <f t="shared" si="69"/>
        <v>0</v>
      </c>
    </row>
    <row r="79" spans="1:63" ht="13" x14ac:dyDescent="0.3">
      <c r="A79" s="185" t="str">
        <f t="shared" si="37"/>
        <v>Autres industries</v>
      </c>
      <c r="B79" s="128">
        <f t="shared" si="37"/>
        <v>12</v>
      </c>
      <c r="C79" s="128">
        <f t="shared" si="38"/>
        <v>434957.8</v>
      </c>
      <c r="D79" s="186">
        <f>D49-F$56*H49/H$56-Trspt_margin!W80</f>
        <v>205650.17208006891</v>
      </c>
      <c r="E79" s="128">
        <f t="shared" si="38"/>
        <v>0</v>
      </c>
      <c r="F79" s="128">
        <f t="shared" si="38"/>
        <v>0</v>
      </c>
      <c r="G79" s="187">
        <f t="shared" si="39"/>
        <v>640607.9720800689</v>
      </c>
      <c r="H79" s="186">
        <f t="shared" si="40"/>
        <v>136774.22134301564</v>
      </c>
      <c r="I79" s="188">
        <f>I49+Trspt_margin!W80</f>
        <v>21295.206576915447</v>
      </c>
      <c r="J79" s="128">
        <f t="shared" si="41"/>
        <v>32908.699999999997</v>
      </c>
      <c r="K79" s="189">
        <f t="shared" si="41"/>
        <v>30532.6</v>
      </c>
      <c r="L79" s="128">
        <f t="shared" si="41"/>
        <v>-43</v>
      </c>
      <c r="M79" s="187">
        <f t="shared" si="42"/>
        <v>831543.1</v>
      </c>
      <c r="N79" s="128">
        <f t="shared" si="43"/>
        <v>179280.6</v>
      </c>
      <c r="O79" s="128">
        <f t="shared" si="43"/>
        <v>0</v>
      </c>
      <c r="P79" s="128">
        <f t="shared" si="43"/>
        <v>27652.799999999999</v>
      </c>
      <c r="Q79" s="187">
        <f t="shared" si="44"/>
        <v>27652.799999999999</v>
      </c>
      <c r="R79" s="128">
        <f t="shared" si="45"/>
        <v>0</v>
      </c>
      <c r="S79" s="187">
        <f t="shared" si="46"/>
        <v>206933.4</v>
      </c>
      <c r="T79" s="128">
        <f t="shared" ref="T79:X88" si="70">T49</f>
        <v>64075.5</v>
      </c>
      <c r="U79" s="128">
        <f t="shared" si="70"/>
        <v>0</v>
      </c>
      <c r="V79" s="128">
        <f t="shared" si="70"/>
        <v>3656</v>
      </c>
      <c r="W79" s="128">
        <f t="shared" si="70"/>
        <v>5715.7</v>
      </c>
      <c r="X79" s="128">
        <f t="shared" si="70"/>
        <v>678</v>
      </c>
      <c r="Y79" s="187">
        <f t="shared" si="48"/>
        <v>74125.2</v>
      </c>
      <c r="Z79" s="128">
        <f t="shared" si="49"/>
        <v>476</v>
      </c>
      <c r="AA79" s="128">
        <f t="shared" si="49"/>
        <v>2179.3000000000002</v>
      </c>
      <c r="AB79" s="187">
        <f t="shared" si="50"/>
        <v>76780.5</v>
      </c>
      <c r="AC79" s="128">
        <f t="shared" si="51"/>
        <v>209671.1</v>
      </c>
      <c r="AD79" s="187">
        <f t="shared" si="52"/>
        <v>493385</v>
      </c>
      <c r="AE79" s="128">
        <f t="shared" si="53"/>
        <v>338158.1</v>
      </c>
      <c r="AF79" s="187">
        <f t="shared" si="54"/>
        <v>831543.1</v>
      </c>
      <c r="AG79" s="128">
        <f t="shared" si="55"/>
        <v>287734.82791993109</v>
      </c>
      <c r="AH79" s="128">
        <f>CPR_CEB_Simple!F45+J79+L79</f>
        <v>165760.5</v>
      </c>
      <c r="AI79" s="126">
        <f>SUM(D79:E79)+SUM(H79,J79)*SUM(D79:E79)/SUM(C79:E79)+Trspt_margin!AR26</f>
        <v>270785.33557629469</v>
      </c>
      <c r="AJ79" s="126">
        <f t="shared" si="56"/>
        <v>560757.76442370529</v>
      </c>
      <c r="AK79" s="161">
        <f t="shared" si="57"/>
        <v>67731.5</v>
      </c>
      <c r="AL79" s="128">
        <f t="shared" si="58"/>
        <v>6393.7</v>
      </c>
      <c r="AM79" s="128">
        <f t="shared" si="59"/>
        <v>8.6255416511523741E-2</v>
      </c>
      <c r="AN79" s="65">
        <f t="shared" si="60"/>
        <v>8.6255416511523741E-2</v>
      </c>
      <c r="AO79" s="128">
        <f>Imports!BE14</f>
        <v>0.49796878694172153</v>
      </c>
      <c r="AP79" s="778">
        <f>Imports!BF14</f>
        <v>0.39658583245908108</v>
      </c>
      <c r="AQ79" s="778">
        <f>Imports!BG14</f>
        <v>0.45284236221674012</v>
      </c>
      <c r="AR79" s="778">
        <f>AVERAGE(Imports!C14:Z14)</f>
        <v>0.3137712137694304</v>
      </c>
      <c r="AS79" s="765">
        <f t="shared" si="61"/>
        <v>0.21350689860899885</v>
      </c>
      <c r="AT79" s="765">
        <f t="shared" si="30"/>
        <v>3.324218165404564E-2</v>
      </c>
      <c r="AU79" s="765">
        <f>Trspt_margin!AK26/$C79</f>
        <v>2.4444296562941548E-2</v>
      </c>
      <c r="AV79" s="765">
        <f>Trspt_margin!AR26/$D79</f>
        <v>5.1850037437358693E-2</v>
      </c>
      <c r="AW79" s="765">
        <f t="shared" si="62"/>
        <v>-9.8860165285000068E-5</v>
      </c>
      <c r="AX79" s="765">
        <f t="shared" si="63"/>
        <v>3.709132735711588E-3</v>
      </c>
      <c r="AY79" s="780">
        <v>0.19600000000000001</v>
      </c>
      <c r="AZ79" s="77">
        <f t="shared" si="31"/>
        <v>29380.432775919737</v>
      </c>
      <c r="BA79" s="77">
        <f t="shared" si="32"/>
        <v>1152.1672240802618</v>
      </c>
      <c r="BB79" s="771">
        <f t="shared" si="33"/>
        <v>3.4071850536191856E-3</v>
      </c>
      <c r="BC79" s="814">
        <f t="shared" si="64"/>
        <v>2.6258190831902136E-3</v>
      </c>
      <c r="BD79" s="77">
        <f t="shared" si="65"/>
        <v>831543.1</v>
      </c>
      <c r="BE79" s="71">
        <f t="shared" si="34"/>
        <v>3.0253826840780675</v>
      </c>
      <c r="BF79" s="65">
        <f t="shared" si="66"/>
        <v>92866.490903793208</v>
      </c>
      <c r="BG79" s="65">
        <f t="shared" si="67"/>
        <v>43907.73043922244</v>
      </c>
      <c r="BH79" s="71">
        <f t="shared" si="35"/>
        <v>0</v>
      </c>
      <c r="BI79" s="77">
        <f t="shared" si="68"/>
        <v>14749.894306672189</v>
      </c>
      <c r="BJ79" s="65">
        <f t="shared" si="36"/>
        <v>14630.538469247547</v>
      </c>
      <c r="BK79" s="71">
        <f t="shared" si="69"/>
        <v>0</v>
      </c>
    </row>
    <row r="80" spans="1:63" ht="13" x14ac:dyDescent="0.3">
      <c r="A80" s="185" t="str">
        <f t="shared" si="37"/>
        <v>BTP</v>
      </c>
      <c r="B80" s="128">
        <f t="shared" si="37"/>
        <v>13</v>
      </c>
      <c r="C80" s="128">
        <f t="shared" si="38"/>
        <v>229731</v>
      </c>
      <c r="D80" s="128">
        <f t="shared" si="38"/>
        <v>0</v>
      </c>
      <c r="E80" s="128">
        <f t="shared" si="38"/>
        <v>0</v>
      </c>
      <c r="F80" s="128">
        <f t="shared" si="38"/>
        <v>0</v>
      </c>
      <c r="G80" s="187">
        <f t="shared" si="39"/>
        <v>229731</v>
      </c>
      <c r="H80" s="128">
        <f t="shared" ref="H80:H85" si="71">H50</f>
        <v>0</v>
      </c>
      <c r="I80" s="128">
        <f t="shared" si="41"/>
        <v>0</v>
      </c>
      <c r="J80" s="128">
        <f t="shared" si="41"/>
        <v>21742</v>
      </c>
      <c r="K80" s="189">
        <f t="shared" si="41"/>
        <v>20944</v>
      </c>
      <c r="L80" s="128">
        <f t="shared" si="41"/>
        <v>-69</v>
      </c>
      <c r="M80" s="187">
        <f t="shared" si="42"/>
        <v>251404</v>
      </c>
      <c r="N80" s="128">
        <f t="shared" si="43"/>
        <v>10499</v>
      </c>
      <c r="O80" s="128">
        <f t="shared" si="43"/>
        <v>0</v>
      </c>
      <c r="P80" s="128">
        <f t="shared" si="43"/>
        <v>0</v>
      </c>
      <c r="Q80" s="187">
        <f t="shared" si="44"/>
        <v>0</v>
      </c>
      <c r="R80" s="128">
        <f t="shared" si="45"/>
        <v>0</v>
      </c>
      <c r="S80" s="187">
        <f t="shared" si="46"/>
        <v>10499</v>
      </c>
      <c r="T80" s="128">
        <f t="shared" si="70"/>
        <v>51899</v>
      </c>
      <c r="U80" s="128">
        <f t="shared" si="70"/>
        <v>80093</v>
      </c>
      <c r="V80" s="128">
        <f t="shared" si="70"/>
        <v>8271</v>
      </c>
      <c r="W80" s="128">
        <f t="shared" si="70"/>
        <v>44828</v>
      </c>
      <c r="X80" s="128">
        <f t="shared" si="70"/>
        <v>1303</v>
      </c>
      <c r="Y80" s="187">
        <f t="shared" si="48"/>
        <v>186394</v>
      </c>
      <c r="Z80" s="128">
        <f t="shared" si="49"/>
        <v>0</v>
      </c>
      <c r="AA80" s="128">
        <f t="shared" si="49"/>
        <v>0</v>
      </c>
      <c r="AB80" s="187">
        <f t="shared" si="50"/>
        <v>186394</v>
      </c>
      <c r="AC80" s="128">
        <f t="shared" si="51"/>
        <v>0</v>
      </c>
      <c r="AD80" s="187">
        <f t="shared" si="52"/>
        <v>196893</v>
      </c>
      <c r="AE80" s="128">
        <f t="shared" si="53"/>
        <v>54511</v>
      </c>
      <c r="AF80" s="187">
        <f t="shared" si="54"/>
        <v>251404</v>
      </c>
      <c r="AG80" s="128">
        <f t="shared" si="55"/>
        <v>196893</v>
      </c>
      <c r="AH80" s="128">
        <f>CPR_CEB_Simple!F46+J80+L80</f>
        <v>121241</v>
      </c>
      <c r="AI80" s="126">
        <f>SUM(D80:E80)+SUM(H80,J80)*SUM(D80:E80)/SUM(C80:E80)+Trspt_margin!AR27</f>
        <v>0</v>
      </c>
      <c r="AJ80" s="126">
        <f t="shared" si="56"/>
        <v>251404</v>
      </c>
      <c r="AK80" s="161">
        <f t="shared" si="57"/>
        <v>60170</v>
      </c>
      <c r="AL80" s="128">
        <f t="shared" si="58"/>
        <v>46131</v>
      </c>
      <c r="AM80" s="128">
        <f t="shared" si="59"/>
        <v>0.43396581405631179</v>
      </c>
      <c r="AN80" s="65">
        <f t="shared" si="60"/>
        <v>0.24749187205596745</v>
      </c>
      <c r="AO80" s="128">
        <f>Imports!BE15</f>
        <v>0</v>
      </c>
      <c r="AP80" s="778" t="e">
        <f>Imports!BF15</f>
        <v>#N/A</v>
      </c>
      <c r="AQ80" s="778">
        <f>Imports!BG15</f>
        <v>0</v>
      </c>
      <c r="AR80" s="778">
        <f>AVERAGE(Imports!C15:Z15)</f>
        <v>0</v>
      </c>
      <c r="AS80" s="765">
        <f t="shared" si="61"/>
        <v>0</v>
      </c>
      <c r="AT80" s="765">
        <f t="shared" si="30"/>
        <v>0</v>
      </c>
      <c r="AU80" s="766">
        <v>0</v>
      </c>
      <c r="AV80" s="766">
        <v>0</v>
      </c>
      <c r="AW80" s="765">
        <f t="shared" si="62"/>
        <v>-3.0035128041056713E-4</v>
      </c>
      <c r="AX80" s="765">
        <f t="shared" si="63"/>
        <v>3.4736278517048199E-3</v>
      </c>
      <c r="AY80" s="780">
        <v>0.19600000000000001</v>
      </c>
      <c r="AZ80" s="77">
        <f>AY80*(N80+U80)/(1+AY80)</f>
        <v>14846.180602006689</v>
      </c>
      <c r="BA80" s="77">
        <f t="shared" si="32"/>
        <v>6097.8193979933112</v>
      </c>
      <c r="BB80" s="771">
        <f t="shared" si="33"/>
        <v>0.11186401640023685</v>
      </c>
      <c r="BC80" s="814">
        <f t="shared" si="64"/>
        <v>3.941344855569251E-2</v>
      </c>
      <c r="BD80" s="77">
        <f t="shared" si="65"/>
        <v>251404</v>
      </c>
      <c r="BE80" s="71">
        <f t="shared" si="34"/>
        <v>240.33609114476712</v>
      </c>
      <c r="BF80" s="65">
        <f t="shared" si="66"/>
        <v>0</v>
      </c>
      <c r="BG80" s="65">
        <f t="shared" si="67"/>
        <v>0</v>
      </c>
      <c r="BH80" s="71">
        <f t="shared" si="35"/>
        <v>0</v>
      </c>
      <c r="BI80" s="77">
        <f t="shared" si="68"/>
        <v>14846.180602006689</v>
      </c>
      <c r="BJ80" s="65">
        <f t="shared" si="36"/>
        <v>0</v>
      </c>
      <c r="BK80" s="71">
        <f t="shared" si="69"/>
        <v>0</v>
      </c>
    </row>
    <row r="81" spans="1:65" ht="13" x14ac:dyDescent="0.3">
      <c r="A81" s="185" t="str">
        <f t="shared" si="37"/>
        <v>TRANSPORTS FERROVIAIRES</v>
      </c>
      <c r="B81" s="128">
        <f t="shared" si="37"/>
        <v>14</v>
      </c>
      <c r="C81" s="128">
        <f t="shared" si="38"/>
        <v>10144.709689341518</v>
      </c>
      <c r="D81" s="128">
        <f t="shared" si="38"/>
        <v>0</v>
      </c>
      <c r="E81" s="128">
        <f t="shared" si="38"/>
        <v>1038.7094018848941</v>
      </c>
      <c r="F81" s="186">
        <v>0</v>
      </c>
      <c r="G81" s="187">
        <f t="shared" si="39"/>
        <v>11183.419091226413</v>
      </c>
      <c r="H81" s="128">
        <f t="shared" si="71"/>
        <v>0</v>
      </c>
      <c r="I81" s="186">
        <f>I51+F51</f>
        <v>-1751.5393712912962</v>
      </c>
      <c r="J81" s="128">
        <f t="shared" si="41"/>
        <v>291.27117426031253</v>
      </c>
      <c r="K81" s="189">
        <f t="shared" si="41"/>
        <v>291.27117426031253</v>
      </c>
      <c r="L81" s="128">
        <f t="shared" si="41"/>
        <v>-1794</v>
      </c>
      <c r="M81" s="187">
        <f t="shared" si="42"/>
        <v>7929.1508941954307</v>
      </c>
      <c r="N81" s="128">
        <f t="shared" si="43"/>
        <v>4179.7052337638343</v>
      </c>
      <c r="O81" s="128">
        <f t="shared" si="43"/>
        <v>0</v>
      </c>
      <c r="P81" s="128">
        <f t="shared" si="43"/>
        <v>190</v>
      </c>
      <c r="Q81" s="187">
        <f t="shared" si="44"/>
        <v>190</v>
      </c>
      <c r="R81" s="128">
        <f t="shared" si="45"/>
        <v>0</v>
      </c>
      <c r="S81" s="187">
        <f t="shared" si="46"/>
        <v>4369.7052337638343</v>
      </c>
      <c r="T81" s="128">
        <f t="shared" si="70"/>
        <v>0</v>
      </c>
      <c r="U81" s="128">
        <f t="shared" si="70"/>
        <v>0</v>
      </c>
      <c r="V81" s="128">
        <f t="shared" si="70"/>
        <v>0</v>
      </c>
      <c r="W81" s="128">
        <f t="shared" si="70"/>
        <v>0</v>
      </c>
      <c r="X81" s="128">
        <f t="shared" si="70"/>
        <v>0</v>
      </c>
      <c r="Y81" s="187">
        <f t="shared" si="48"/>
        <v>0</v>
      </c>
      <c r="Z81" s="128">
        <f t="shared" si="49"/>
        <v>0</v>
      </c>
      <c r="AA81" s="128">
        <f t="shared" si="49"/>
        <v>-4.4956162864710594</v>
      </c>
      <c r="AB81" s="187">
        <f t="shared" si="50"/>
        <v>-4.4956162864710594</v>
      </c>
      <c r="AC81" s="128">
        <f t="shared" si="51"/>
        <v>1351.3973677186211</v>
      </c>
      <c r="AD81" s="187">
        <f t="shared" si="52"/>
        <v>5716.6069851959846</v>
      </c>
      <c r="AE81" s="128">
        <f t="shared" si="53"/>
        <v>2212.5439089994456</v>
      </c>
      <c r="AF81" s="187">
        <f t="shared" si="54"/>
        <v>7929.1508941954307</v>
      </c>
      <c r="AG81" s="128">
        <f t="shared" si="55"/>
        <v>4677.8975833110908</v>
      </c>
      <c r="AH81" s="128">
        <f>CPR_CEB_Simple!F47+J81+L81</f>
        <v>4888.9450547194219</v>
      </c>
      <c r="AI81" s="698">
        <f t="shared" ref="AI81:AI86" si="72">SUM(D81:E81)+SUM(H81:J81)*SUM(D81:E81)/SUM(C81:E81)</f>
        <v>903.08054874466461</v>
      </c>
      <c r="AJ81" s="126">
        <f t="shared" si="56"/>
        <v>7026.0703454507657</v>
      </c>
      <c r="AK81" s="161">
        <f t="shared" si="57"/>
        <v>0</v>
      </c>
      <c r="AL81" s="128">
        <f t="shared" si="58"/>
        <v>0</v>
      </c>
      <c r="AM81" s="128">
        <f t="shared" si="59"/>
        <v>0</v>
      </c>
      <c r="AN81" s="65">
        <f t="shared" si="60"/>
        <v>0</v>
      </c>
      <c r="AO81" s="128">
        <f>Imports!BE16</f>
        <v>0.11127141815471263</v>
      </c>
      <c r="AP81" s="778">
        <f>Imports!BF16</f>
        <v>0.11127141815471282</v>
      </c>
      <c r="AQ81" s="778" t="e">
        <f>Imports!BG16</f>
        <v>#N/A</v>
      </c>
      <c r="AR81" s="778">
        <f>AVERAGE(Imports!C16:Z16)</f>
        <v>0.1268437251583992</v>
      </c>
      <c r="AS81" s="766">
        <v>0</v>
      </c>
      <c r="AT81" s="765">
        <f t="shared" si="30"/>
        <v>0</v>
      </c>
      <c r="AU81" s="766">
        <v>0</v>
      </c>
      <c r="AV81" s="766">
        <v>0</v>
      </c>
      <c r="AW81" s="765">
        <f t="shared" si="62"/>
        <v>-0.17684094024739377</v>
      </c>
      <c r="AX81" s="765">
        <f t="shared" si="63"/>
        <v>0</v>
      </c>
      <c r="AY81" s="779">
        <f>$K81/($N81+$U81-$K81)</f>
        <v>7.4907062792650844E-2</v>
      </c>
      <c r="AZ81" s="77">
        <f t="shared" si="31"/>
        <v>291.27117426031248</v>
      </c>
      <c r="BA81" s="77">
        <f t="shared" si="32"/>
        <v>0</v>
      </c>
      <c r="BB81" s="771">
        <f t="shared" si="33"/>
        <v>0</v>
      </c>
      <c r="BC81" s="814">
        <f t="shared" si="64"/>
        <v>0</v>
      </c>
      <c r="BD81" s="764">
        <f t="shared" ref="BD81:BD86" si="73">M81-SUM(H81:I81)</f>
        <v>9680.6902654867263</v>
      </c>
      <c r="BE81" s="71">
        <f t="shared" si="34"/>
        <v>0</v>
      </c>
      <c r="BF81" s="65">
        <f t="shared" si="66"/>
        <v>0</v>
      </c>
      <c r="BG81" s="65">
        <f t="shared" si="67"/>
        <v>0</v>
      </c>
      <c r="BH81" s="71">
        <f t="shared" si="35"/>
        <v>0</v>
      </c>
      <c r="BI81" s="77">
        <f t="shared" si="68"/>
        <v>258.86101763277907</v>
      </c>
      <c r="BJ81" s="65">
        <f t="shared" si="36"/>
        <v>32.410156627533397</v>
      </c>
      <c r="BK81" s="71">
        <f t="shared" si="69"/>
        <v>0</v>
      </c>
    </row>
    <row r="82" spans="1:65" ht="13" x14ac:dyDescent="0.3">
      <c r="A82" s="185" t="str">
        <f t="shared" si="37"/>
        <v>TRANSPORT ROUTIER DE VOYAGEURS</v>
      </c>
      <c r="B82" s="128">
        <f t="shared" si="37"/>
        <v>15</v>
      </c>
      <c r="C82" s="128">
        <f t="shared" si="38"/>
        <v>17708</v>
      </c>
      <c r="D82" s="128">
        <f t="shared" si="38"/>
        <v>0</v>
      </c>
      <c r="E82" s="128">
        <f t="shared" si="38"/>
        <v>0</v>
      </c>
      <c r="F82" s="128">
        <f t="shared" si="38"/>
        <v>0</v>
      </c>
      <c r="G82" s="187">
        <f t="shared" si="39"/>
        <v>17708</v>
      </c>
      <c r="H82" s="128">
        <f t="shared" si="71"/>
        <v>0</v>
      </c>
      <c r="I82" s="128">
        <f t="shared" si="41"/>
        <v>0</v>
      </c>
      <c r="J82" s="128">
        <f t="shared" si="41"/>
        <v>768</v>
      </c>
      <c r="K82" s="189">
        <f t="shared" si="41"/>
        <v>704</v>
      </c>
      <c r="L82" s="128">
        <f t="shared" si="41"/>
        <v>-3393</v>
      </c>
      <c r="M82" s="187">
        <f t="shared" si="42"/>
        <v>15083</v>
      </c>
      <c r="N82" s="128">
        <f t="shared" si="43"/>
        <v>9238</v>
      </c>
      <c r="O82" s="128">
        <f t="shared" si="43"/>
        <v>0</v>
      </c>
      <c r="P82" s="128">
        <f t="shared" si="43"/>
        <v>1630</v>
      </c>
      <c r="Q82" s="187">
        <f t="shared" si="44"/>
        <v>1630</v>
      </c>
      <c r="R82" s="128">
        <f t="shared" si="45"/>
        <v>0</v>
      </c>
      <c r="S82" s="187">
        <f t="shared" si="46"/>
        <v>10868</v>
      </c>
      <c r="T82" s="128">
        <f t="shared" si="70"/>
        <v>0</v>
      </c>
      <c r="U82" s="128">
        <f t="shared" si="70"/>
        <v>0</v>
      </c>
      <c r="V82" s="128">
        <f t="shared" si="70"/>
        <v>0</v>
      </c>
      <c r="W82" s="128">
        <f t="shared" si="70"/>
        <v>0</v>
      </c>
      <c r="X82" s="128">
        <f t="shared" si="70"/>
        <v>0</v>
      </c>
      <c r="Y82" s="187">
        <f t="shared" si="48"/>
        <v>0</v>
      </c>
      <c r="Z82" s="128">
        <f t="shared" si="49"/>
        <v>0</v>
      </c>
      <c r="AA82" s="128">
        <f t="shared" si="49"/>
        <v>0</v>
      </c>
      <c r="AB82" s="187">
        <f t="shared" si="50"/>
        <v>0</v>
      </c>
      <c r="AC82" s="128">
        <f t="shared" si="51"/>
        <v>0</v>
      </c>
      <c r="AD82" s="187">
        <f t="shared" si="52"/>
        <v>10868</v>
      </c>
      <c r="AE82" s="128">
        <f t="shared" si="53"/>
        <v>4215</v>
      </c>
      <c r="AF82" s="187">
        <f t="shared" si="54"/>
        <v>15083</v>
      </c>
      <c r="AG82" s="128">
        <f t="shared" si="55"/>
        <v>10868</v>
      </c>
      <c r="AH82" s="128">
        <f>CPR_CEB_Simple!F48+J82+L82</f>
        <v>9051</v>
      </c>
      <c r="AI82" s="698">
        <f t="shared" si="72"/>
        <v>0</v>
      </c>
      <c r="AJ82" s="126">
        <f t="shared" si="56"/>
        <v>15083</v>
      </c>
      <c r="AK82" s="161">
        <f t="shared" si="57"/>
        <v>0</v>
      </c>
      <c r="AL82" s="128">
        <f t="shared" si="58"/>
        <v>0</v>
      </c>
      <c r="AM82" s="128">
        <f t="shared" si="59"/>
        <v>0</v>
      </c>
      <c r="AN82" s="65">
        <f t="shared" si="60"/>
        <v>0</v>
      </c>
      <c r="AO82" s="128">
        <f>Imports!BE17</f>
        <v>0</v>
      </c>
      <c r="AP82" s="778">
        <f>Imports!BF17</f>
        <v>0</v>
      </c>
      <c r="AQ82" s="778" t="e">
        <f>Imports!BG17</f>
        <v>#N/A</v>
      </c>
      <c r="AR82" s="778">
        <f>AVERAGE(Imports!C17:Z17)</f>
        <v>0</v>
      </c>
      <c r="AS82" s="766">
        <v>0</v>
      </c>
      <c r="AT82" s="765">
        <f t="shared" si="30"/>
        <v>0</v>
      </c>
      <c r="AU82" s="766">
        <v>0</v>
      </c>
      <c r="AV82" s="766">
        <v>0</v>
      </c>
      <c r="AW82" s="765">
        <f t="shared" si="62"/>
        <v>-0.19160831262706121</v>
      </c>
      <c r="AX82" s="765">
        <f t="shared" si="63"/>
        <v>3.6141856787892477E-3</v>
      </c>
      <c r="AY82" s="779">
        <f>$K82/($N82+$U82-$K82)</f>
        <v>8.2493555191000698E-2</v>
      </c>
      <c r="AZ82" s="77">
        <f t="shared" si="31"/>
        <v>704</v>
      </c>
      <c r="BA82" s="77">
        <f t="shared" si="32"/>
        <v>0</v>
      </c>
      <c r="BB82" s="771">
        <f t="shared" si="33"/>
        <v>0</v>
      </c>
      <c r="BC82" s="814">
        <f t="shared" si="64"/>
        <v>0</v>
      </c>
      <c r="BD82" s="764">
        <f t="shared" si="73"/>
        <v>15083</v>
      </c>
      <c r="BE82" s="71">
        <f t="shared" si="34"/>
        <v>0</v>
      </c>
      <c r="BF82" s="65">
        <f t="shared" si="66"/>
        <v>0</v>
      </c>
      <c r="BG82" s="65">
        <f t="shared" si="67"/>
        <v>0</v>
      </c>
      <c r="BH82" s="71">
        <f t="shared" si="35"/>
        <v>0</v>
      </c>
      <c r="BI82" s="77">
        <f t="shared" si="68"/>
        <v>704</v>
      </c>
      <c r="BJ82" s="65">
        <f t="shared" si="36"/>
        <v>0</v>
      </c>
      <c r="BK82" s="71">
        <f t="shared" si="69"/>
        <v>0</v>
      </c>
    </row>
    <row r="83" spans="1:65" ht="13" x14ac:dyDescent="0.3">
      <c r="A83" s="185" t="str">
        <f t="shared" si="37"/>
        <v xml:space="preserve">TRANSPORT ROUTIER (OU PAR CONDUITES) DE </v>
      </c>
      <c r="B83" s="128">
        <f t="shared" si="37"/>
        <v>16</v>
      </c>
      <c r="C83" s="128">
        <f t="shared" si="38"/>
        <v>51998.142604885004</v>
      </c>
      <c r="D83" s="128">
        <f t="shared" si="38"/>
        <v>0</v>
      </c>
      <c r="E83" s="128">
        <f t="shared" si="38"/>
        <v>8981.7359886894628</v>
      </c>
      <c r="F83" s="186">
        <v>0</v>
      </c>
      <c r="G83" s="187">
        <f t="shared" si="39"/>
        <v>60979.878593574467</v>
      </c>
      <c r="H83" s="128">
        <f t="shared" si="71"/>
        <v>0</v>
      </c>
      <c r="I83" s="186">
        <f>I53+F53</f>
        <v>-36854.79393759845</v>
      </c>
      <c r="J83" s="128">
        <f t="shared" si="41"/>
        <v>243.4210271587846</v>
      </c>
      <c r="K83" s="189">
        <f t="shared" si="41"/>
        <v>243.4210271587846</v>
      </c>
      <c r="L83" s="128">
        <f t="shared" si="41"/>
        <v>0</v>
      </c>
      <c r="M83" s="187">
        <f t="shared" si="42"/>
        <v>24368.505683134801</v>
      </c>
      <c r="N83" s="128">
        <f t="shared" si="43"/>
        <v>678.12576813983299</v>
      </c>
      <c r="O83" s="128">
        <f t="shared" si="43"/>
        <v>0</v>
      </c>
      <c r="P83" s="128">
        <f t="shared" si="43"/>
        <v>4</v>
      </c>
      <c r="Q83" s="187">
        <f t="shared" si="44"/>
        <v>4</v>
      </c>
      <c r="R83" s="128">
        <f t="shared" si="45"/>
        <v>0</v>
      </c>
      <c r="S83" s="187">
        <f t="shared" si="46"/>
        <v>682.12576813983299</v>
      </c>
      <c r="T83" s="128">
        <f t="shared" si="70"/>
        <v>0</v>
      </c>
      <c r="U83" s="128">
        <f t="shared" si="70"/>
        <v>0</v>
      </c>
      <c r="V83" s="128">
        <f t="shared" si="70"/>
        <v>0</v>
      </c>
      <c r="W83" s="128">
        <f t="shared" si="70"/>
        <v>0</v>
      </c>
      <c r="X83" s="128">
        <f t="shared" si="70"/>
        <v>0</v>
      </c>
      <c r="Y83" s="187">
        <f t="shared" si="48"/>
        <v>0</v>
      </c>
      <c r="Z83" s="128">
        <f t="shared" si="49"/>
        <v>0</v>
      </c>
      <c r="AA83" s="128">
        <f t="shared" si="49"/>
        <v>-100.51338873228696</v>
      </c>
      <c r="AB83" s="187">
        <f t="shared" si="50"/>
        <v>-100.51338873228696</v>
      </c>
      <c r="AC83" s="128">
        <f t="shared" si="51"/>
        <v>4060.4969655726695</v>
      </c>
      <c r="AD83" s="187">
        <f t="shared" si="52"/>
        <v>4642.1093449802156</v>
      </c>
      <c r="AE83" s="128">
        <f t="shared" si="53"/>
        <v>19726.396338154587</v>
      </c>
      <c r="AF83" s="187">
        <f t="shared" si="54"/>
        <v>24368.505683134805</v>
      </c>
      <c r="AG83" s="128">
        <f t="shared" si="55"/>
        <v>-4339.6266437092472</v>
      </c>
      <c r="AH83" s="128">
        <f>CPR_CEB_Simple!F49+J83+L83</f>
        <v>22987.68638188906</v>
      </c>
      <c r="AI83" s="698">
        <f t="shared" si="72"/>
        <v>3589.2410666074747</v>
      </c>
      <c r="AJ83" s="126">
        <f t="shared" si="56"/>
        <v>20779.264616527325</v>
      </c>
      <c r="AK83" s="161">
        <f t="shared" si="57"/>
        <v>0</v>
      </c>
      <c r="AL83" s="128">
        <f t="shared" si="58"/>
        <v>0</v>
      </c>
      <c r="AM83" s="128">
        <f t="shared" si="59"/>
        <v>0</v>
      </c>
      <c r="AN83" s="65">
        <f t="shared" si="60"/>
        <v>0</v>
      </c>
      <c r="AO83" s="128">
        <f>Imports!BE18</f>
        <v>0.16458382702764324</v>
      </c>
      <c r="AP83" s="778">
        <f>Imports!BF18</f>
        <v>0.16458382702764324</v>
      </c>
      <c r="AQ83" s="778" t="e">
        <f>Imports!BG18</f>
        <v>#N/A</v>
      </c>
      <c r="AR83" s="778">
        <f>AVERAGE(Imports!C18:Z18)</f>
        <v>0.10000000000000003</v>
      </c>
      <c r="AS83" s="766">
        <v>0</v>
      </c>
      <c r="AT83" s="765">
        <f t="shared" si="30"/>
        <v>0</v>
      </c>
      <c r="AU83" s="766">
        <v>0</v>
      </c>
      <c r="AV83" s="766">
        <v>0</v>
      </c>
      <c r="AW83" s="765">
        <f t="shared" si="62"/>
        <v>0</v>
      </c>
      <c r="AX83" s="765">
        <f t="shared" si="63"/>
        <v>0</v>
      </c>
      <c r="AY83" s="780">
        <v>0.19600000000000001</v>
      </c>
      <c r="AZ83" s="77">
        <f t="shared" si="31"/>
        <v>111.13097872525692</v>
      </c>
      <c r="BA83" s="77">
        <f t="shared" si="32"/>
        <v>132.29004843352766</v>
      </c>
      <c r="BB83" s="771">
        <f t="shared" si="33"/>
        <v>6.7062450822633858E-3</v>
      </c>
      <c r="BC83" s="814">
        <f t="shared" si="64"/>
        <v>6.750144451605101E-3</v>
      </c>
      <c r="BD83" s="764">
        <f t="shared" si="73"/>
        <v>61223.299620733247</v>
      </c>
      <c r="BE83" s="71">
        <f t="shared" si="34"/>
        <v>0.892976936440391</v>
      </c>
      <c r="BF83" s="65">
        <f t="shared" si="66"/>
        <v>0</v>
      </c>
      <c r="BG83" s="65">
        <f t="shared" si="67"/>
        <v>0</v>
      </c>
      <c r="BH83" s="71">
        <f t="shared" si="35"/>
        <v>0</v>
      </c>
      <c r="BI83" s="77">
        <f t="shared" si="68"/>
        <v>92.840616945326531</v>
      </c>
      <c r="BJ83" s="65">
        <f t="shared" si="36"/>
        <v>18.290361779930386</v>
      </c>
      <c r="BK83" s="71">
        <f t="shared" si="69"/>
        <v>0</v>
      </c>
    </row>
    <row r="84" spans="1:65" ht="13" x14ac:dyDescent="0.3">
      <c r="A84" s="185" t="str">
        <f t="shared" si="37"/>
        <v>TRANSPORTS PAR EAU</v>
      </c>
      <c r="B84" s="128">
        <f t="shared" si="37"/>
        <v>17</v>
      </c>
      <c r="C84" s="128">
        <f t="shared" si="38"/>
        <v>12381.120558721816</v>
      </c>
      <c r="D84" s="128">
        <f t="shared" si="38"/>
        <v>0</v>
      </c>
      <c r="E84" s="128">
        <f t="shared" si="38"/>
        <v>6131.2772460482047</v>
      </c>
      <c r="F84" s="186">
        <v>0</v>
      </c>
      <c r="G84" s="187">
        <f t="shared" si="39"/>
        <v>18512.397804770022</v>
      </c>
      <c r="H84" s="128">
        <f t="shared" si="71"/>
        <v>0</v>
      </c>
      <c r="I84" s="186">
        <f>I54+F54</f>
        <v>-9243.10065675039</v>
      </c>
      <c r="J84" s="128">
        <f t="shared" si="41"/>
        <v>13.289932271699309</v>
      </c>
      <c r="K84" s="189">
        <f t="shared" si="41"/>
        <v>13.289932271699309</v>
      </c>
      <c r="L84" s="128">
        <f t="shared" si="41"/>
        <v>-130</v>
      </c>
      <c r="M84" s="187">
        <f t="shared" si="42"/>
        <v>9152.5870802913305</v>
      </c>
      <c r="N84" s="128">
        <f t="shared" si="43"/>
        <v>359.12064085227956</v>
      </c>
      <c r="O84" s="128">
        <f t="shared" si="43"/>
        <v>0</v>
      </c>
      <c r="P84" s="128">
        <f t="shared" si="43"/>
        <v>0</v>
      </c>
      <c r="Q84" s="187">
        <f t="shared" si="44"/>
        <v>0</v>
      </c>
      <c r="R84" s="128">
        <f t="shared" si="45"/>
        <v>0</v>
      </c>
      <c r="S84" s="187">
        <f t="shared" si="46"/>
        <v>359.12064085227956</v>
      </c>
      <c r="T84" s="128">
        <f t="shared" si="70"/>
        <v>0</v>
      </c>
      <c r="U84" s="128">
        <f t="shared" si="70"/>
        <v>0</v>
      </c>
      <c r="V84" s="128">
        <f t="shared" si="70"/>
        <v>0</v>
      </c>
      <c r="W84" s="128">
        <f t="shared" si="70"/>
        <v>0</v>
      </c>
      <c r="X84" s="128">
        <f t="shared" si="70"/>
        <v>0</v>
      </c>
      <c r="Y84" s="187">
        <f t="shared" si="48"/>
        <v>0</v>
      </c>
      <c r="Z84" s="128">
        <f t="shared" si="49"/>
        <v>0</v>
      </c>
      <c r="AA84" s="128">
        <f t="shared" si="49"/>
        <v>-29.31805315600975</v>
      </c>
      <c r="AB84" s="187">
        <f t="shared" si="50"/>
        <v>-29.31805315600975</v>
      </c>
      <c r="AC84" s="128">
        <f t="shared" si="51"/>
        <v>4431.6470531296109</v>
      </c>
      <c r="AD84" s="187">
        <f t="shared" si="52"/>
        <v>4761.449640825881</v>
      </c>
      <c r="AE84" s="128">
        <f t="shared" si="53"/>
        <v>4391.1374394654486</v>
      </c>
      <c r="AF84" s="187">
        <f t="shared" si="54"/>
        <v>9152.5870802913305</v>
      </c>
      <c r="AG84" s="128">
        <f t="shared" si="55"/>
        <v>-1369.8276052223237</v>
      </c>
      <c r="AH84" s="128">
        <f>CPR_CEB_Simple!F50+J84+L84</f>
        <v>3223.1945612033287</v>
      </c>
      <c r="AI84" s="698">
        <f t="shared" si="72"/>
        <v>3074.3783463418458</v>
      </c>
      <c r="AJ84" s="126">
        <f t="shared" si="56"/>
        <v>6078.2087339494847</v>
      </c>
      <c r="AK84" s="161">
        <f t="shared" si="57"/>
        <v>0</v>
      </c>
      <c r="AL84" s="128">
        <f t="shared" si="58"/>
        <v>0</v>
      </c>
      <c r="AM84" s="128">
        <f t="shared" si="59"/>
        <v>0</v>
      </c>
      <c r="AN84" s="65">
        <f t="shared" si="60"/>
        <v>0</v>
      </c>
      <c r="AO84" s="128">
        <f>Imports!BE19</f>
        <v>0.70089054254746974</v>
      </c>
      <c r="AP84" s="778" t="e">
        <f>Imports!BF19</f>
        <v>#N/A</v>
      </c>
      <c r="AQ84" s="778" t="e">
        <f>Imports!BG19</f>
        <v>#N/A</v>
      </c>
      <c r="AR84" s="778">
        <f>AVERAGE(Imports!C19:Z19)</f>
        <v>1.0788157738456858E-2</v>
      </c>
      <c r="AS84" s="766">
        <v>0</v>
      </c>
      <c r="AT84" s="765">
        <f t="shared" si="30"/>
        <v>0</v>
      </c>
      <c r="AU84" s="766">
        <v>0</v>
      </c>
      <c r="AV84" s="766">
        <v>0</v>
      </c>
      <c r="AW84" s="765">
        <f t="shared" si="62"/>
        <v>-1.0499857374252138E-2</v>
      </c>
      <c r="AX84" s="765">
        <f t="shared" si="63"/>
        <v>0</v>
      </c>
      <c r="AY84" s="779">
        <f>$K84/($N84+$U84-$K84)</f>
        <v>3.8429011484394218E-2</v>
      </c>
      <c r="AZ84" s="77">
        <f t="shared" si="31"/>
        <v>13.289932271699309</v>
      </c>
      <c r="BA84" s="77">
        <f t="shared" si="32"/>
        <v>0</v>
      </c>
      <c r="BB84" s="771">
        <f t="shared" si="33"/>
        <v>0</v>
      </c>
      <c r="BC84" s="814">
        <f t="shared" si="64"/>
        <v>0</v>
      </c>
      <c r="BD84" s="764">
        <f t="shared" si="73"/>
        <v>18395.687737041721</v>
      </c>
      <c r="BE84" s="71">
        <f t="shared" si="34"/>
        <v>0</v>
      </c>
      <c r="BF84" s="65">
        <f t="shared" si="66"/>
        <v>0</v>
      </c>
      <c r="BG84" s="65">
        <f t="shared" si="67"/>
        <v>0</v>
      </c>
      <c r="BH84" s="71">
        <f t="shared" si="35"/>
        <v>0</v>
      </c>
      <c r="BI84" s="77">
        <f t="shared" si="68"/>
        <v>3.9751444313688538</v>
      </c>
      <c r="BJ84" s="65">
        <f t="shared" si="36"/>
        <v>9.3147878403304549</v>
      </c>
      <c r="BK84" s="71">
        <f t="shared" si="69"/>
        <v>0</v>
      </c>
    </row>
    <row r="85" spans="1:65" ht="13" x14ac:dyDescent="0.3">
      <c r="A85" s="185" t="str">
        <f t="shared" si="37"/>
        <v>TRANSPORTS AERIENS</v>
      </c>
      <c r="B85" s="128">
        <f t="shared" si="37"/>
        <v>18</v>
      </c>
      <c r="C85" s="128">
        <f t="shared" si="38"/>
        <v>18849.027147051664</v>
      </c>
      <c r="D85" s="128">
        <f t="shared" si="38"/>
        <v>0</v>
      </c>
      <c r="E85" s="128">
        <f t="shared" si="38"/>
        <v>7701.2773633774395</v>
      </c>
      <c r="F85" s="186">
        <v>0</v>
      </c>
      <c r="G85" s="187">
        <f t="shared" si="39"/>
        <v>26550.304510429101</v>
      </c>
      <c r="H85" s="128">
        <f t="shared" si="71"/>
        <v>0</v>
      </c>
      <c r="I85" s="186">
        <f>I55+F55</f>
        <v>-2785.5660343598665</v>
      </c>
      <c r="J85" s="128">
        <f t="shared" si="41"/>
        <v>543.01786630920355</v>
      </c>
      <c r="K85" s="189">
        <f t="shared" si="41"/>
        <v>158.01786630920361</v>
      </c>
      <c r="L85" s="128">
        <f t="shared" si="41"/>
        <v>-67</v>
      </c>
      <c r="M85" s="187">
        <f t="shared" si="42"/>
        <v>24240.756342378441</v>
      </c>
      <c r="N85" s="128">
        <f t="shared" si="43"/>
        <v>7336.0483572440535</v>
      </c>
      <c r="O85" s="128">
        <f t="shared" si="43"/>
        <v>0</v>
      </c>
      <c r="P85" s="128">
        <f t="shared" si="43"/>
        <v>0</v>
      </c>
      <c r="Q85" s="187">
        <f t="shared" si="44"/>
        <v>0</v>
      </c>
      <c r="R85" s="128">
        <f t="shared" si="45"/>
        <v>0</v>
      </c>
      <c r="S85" s="187">
        <f t="shared" si="46"/>
        <v>7336.0483572440535</v>
      </c>
      <c r="T85" s="128">
        <f t="shared" si="70"/>
        <v>0</v>
      </c>
      <c r="U85" s="128">
        <f t="shared" si="70"/>
        <v>0</v>
      </c>
      <c r="V85" s="128">
        <f t="shared" si="70"/>
        <v>0</v>
      </c>
      <c r="W85" s="128">
        <f t="shared" si="70"/>
        <v>0</v>
      </c>
      <c r="X85" s="128">
        <f t="shared" si="70"/>
        <v>0</v>
      </c>
      <c r="Y85" s="187">
        <f t="shared" si="48"/>
        <v>0</v>
      </c>
      <c r="Z85" s="128">
        <f t="shared" si="49"/>
        <v>0</v>
      </c>
      <c r="AA85" s="128">
        <f t="shared" si="49"/>
        <v>-10.67294182523224</v>
      </c>
      <c r="AB85" s="187">
        <f t="shared" si="50"/>
        <v>-10.67294182523224</v>
      </c>
      <c r="AC85" s="128">
        <f t="shared" si="51"/>
        <v>7626.4586135790987</v>
      </c>
      <c r="AD85" s="187">
        <f t="shared" si="52"/>
        <v>14951.834028997921</v>
      </c>
      <c r="AE85" s="128">
        <f t="shared" si="53"/>
        <v>9288.922313380519</v>
      </c>
      <c r="AF85" s="187">
        <f t="shared" si="54"/>
        <v>24240.756342378438</v>
      </c>
      <c r="AG85" s="128">
        <f t="shared" si="55"/>
        <v>7250.556665620481</v>
      </c>
      <c r="AH85" s="128">
        <f>CPR_CEB_Simple!F51+J85+L85</f>
        <v>7609.1740021881906</v>
      </c>
      <c r="AI85" s="698">
        <f t="shared" si="72"/>
        <v>7050.7957300647904</v>
      </c>
      <c r="AJ85" s="126">
        <f t="shared" si="56"/>
        <v>17189.960612313651</v>
      </c>
      <c r="AK85" s="161">
        <f t="shared" si="57"/>
        <v>0</v>
      </c>
      <c r="AL85" s="128">
        <f t="shared" si="58"/>
        <v>0</v>
      </c>
      <c r="AM85" s="128">
        <f t="shared" si="59"/>
        <v>0</v>
      </c>
      <c r="AN85" s="65">
        <f t="shared" si="60"/>
        <v>0</v>
      </c>
      <c r="AO85" s="128">
        <f>Imports!BE20</f>
        <v>0.4314938150365728</v>
      </c>
      <c r="AP85" s="778" t="e">
        <f>Imports!BF20</f>
        <v>#N/A</v>
      </c>
      <c r="AQ85" s="778" t="e">
        <f>Imports!BG20</f>
        <v>#N/A</v>
      </c>
      <c r="AR85" s="778">
        <f>AVERAGE(Imports!C20:Z20)</f>
        <v>0.39625742794794827</v>
      </c>
      <c r="AS85" s="766">
        <v>0</v>
      </c>
      <c r="AT85" s="765">
        <f t="shared" si="30"/>
        <v>0</v>
      </c>
      <c r="AU85" s="766">
        <v>0</v>
      </c>
      <c r="AV85" s="766">
        <v>0</v>
      </c>
      <c r="AW85" s="765">
        <f t="shared" si="62"/>
        <v>-3.5545601095110118E-3</v>
      </c>
      <c r="AX85" s="765">
        <f t="shared" si="63"/>
        <v>1.4500775305562687E-2</v>
      </c>
      <c r="AY85" s="779">
        <f>$K85/($N85+$U85-$K85)</f>
        <v>2.2014097949119151E-2</v>
      </c>
      <c r="AZ85" s="77">
        <f t="shared" si="31"/>
        <v>158.01786630920358</v>
      </c>
      <c r="BA85" s="77">
        <f t="shared" si="32"/>
        <v>0</v>
      </c>
      <c r="BB85" s="771">
        <f t="shared" si="33"/>
        <v>0</v>
      </c>
      <c r="BC85" s="814">
        <f t="shared" si="64"/>
        <v>0</v>
      </c>
      <c r="BD85" s="764">
        <f t="shared" si="73"/>
        <v>27026.32237673831</v>
      </c>
      <c r="BE85" s="71">
        <f t="shared" si="34"/>
        <v>0</v>
      </c>
      <c r="BF85" s="65">
        <f t="shared" si="66"/>
        <v>0</v>
      </c>
      <c r="BG85" s="65">
        <f t="shared" si="67"/>
        <v>0</v>
      </c>
      <c r="BH85" s="71">
        <f t="shared" si="35"/>
        <v>0</v>
      </c>
      <c r="BI85" s="77">
        <f t="shared" si="68"/>
        <v>89.834134331506206</v>
      </c>
      <c r="BJ85" s="65">
        <f t="shared" si="36"/>
        <v>68.183731977697377</v>
      </c>
      <c r="BK85" s="71">
        <f t="shared" si="69"/>
        <v>0</v>
      </c>
    </row>
    <row r="86" spans="1:65" ht="13" x14ac:dyDescent="0.3">
      <c r="A86" s="185" t="str">
        <f t="shared" si="37"/>
        <v>Services marchands</v>
      </c>
      <c r="B86" s="128">
        <f t="shared" si="37"/>
        <v>19</v>
      </c>
      <c r="C86" s="128">
        <f t="shared" ref="C86:D93" si="74">C56</f>
        <v>1606209</v>
      </c>
      <c r="D86" s="128">
        <f t="shared" si="74"/>
        <v>0</v>
      </c>
      <c r="E86" s="190">
        <f>E56+E62</f>
        <v>67712</v>
      </c>
      <c r="F86" s="186">
        <v>0</v>
      </c>
      <c r="G86" s="187">
        <f t="shared" si="39"/>
        <v>1673921</v>
      </c>
      <c r="H86" s="186">
        <f>H56+F56</f>
        <v>-271945</v>
      </c>
      <c r="I86" s="128">
        <f t="shared" si="41"/>
        <v>0</v>
      </c>
      <c r="J86" s="128">
        <f t="shared" si="41"/>
        <v>65171</v>
      </c>
      <c r="K86" s="189">
        <f t="shared" si="41"/>
        <v>37902</v>
      </c>
      <c r="L86" s="128">
        <f t="shared" si="41"/>
        <v>-1388</v>
      </c>
      <c r="M86" s="187">
        <f t="shared" si="42"/>
        <v>1465759</v>
      </c>
      <c r="N86" s="186">
        <f>N56+N62</f>
        <v>460726</v>
      </c>
      <c r="O86" s="128">
        <f t="shared" ref="O86:P93" si="75">O56</f>
        <v>0</v>
      </c>
      <c r="P86" s="128">
        <f t="shared" si="75"/>
        <v>81912</v>
      </c>
      <c r="Q86" s="187">
        <f t="shared" si="44"/>
        <v>81912</v>
      </c>
      <c r="R86" s="128">
        <f t="shared" si="45"/>
        <v>4109</v>
      </c>
      <c r="S86" s="187">
        <f t="shared" si="46"/>
        <v>546747</v>
      </c>
      <c r="T86" s="128">
        <f t="shared" si="70"/>
        <v>54082</v>
      </c>
      <c r="U86" s="128">
        <f t="shared" si="70"/>
        <v>27042</v>
      </c>
      <c r="V86" s="128">
        <f t="shared" si="70"/>
        <v>3360</v>
      </c>
      <c r="W86" s="128">
        <f t="shared" si="70"/>
        <v>5334</v>
      </c>
      <c r="X86" s="128">
        <f t="shared" si="70"/>
        <v>148</v>
      </c>
      <c r="Y86" s="187">
        <f t="shared" si="48"/>
        <v>89966</v>
      </c>
      <c r="Z86" s="128">
        <f t="shared" si="49"/>
        <v>0</v>
      </c>
      <c r="AA86" s="128">
        <f t="shared" si="49"/>
        <v>491</v>
      </c>
      <c r="AB86" s="187">
        <f t="shared" si="50"/>
        <v>90457</v>
      </c>
      <c r="AC86" s="186">
        <f>AC56+AC62</f>
        <v>77926</v>
      </c>
      <c r="AD86" s="187">
        <f t="shared" si="52"/>
        <v>715130</v>
      </c>
      <c r="AE86" s="128">
        <f t="shared" si="53"/>
        <v>750629</v>
      </c>
      <c r="AF86" s="187">
        <f t="shared" si="54"/>
        <v>1465759</v>
      </c>
      <c r="AG86" s="128">
        <f t="shared" si="55"/>
        <v>647418</v>
      </c>
      <c r="AH86" s="128">
        <f>CPR_CEB_Simple!F52+J86+L86</f>
        <v>975239</v>
      </c>
      <c r="AI86" s="698">
        <f t="shared" si="72"/>
        <v>59347.757548892689</v>
      </c>
      <c r="AJ86" s="126">
        <f t="shared" si="56"/>
        <v>1406411.2424511074</v>
      </c>
      <c r="AK86" s="161">
        <f t="shared" si="57"/>
        <v>57442</v>
      </c>
      <c r="AL86" s="128">
        <f t="shared" si="58"/>
        <v>5482</v>
      </c>
      <c r="AM86" s="128">
        <f t="shared" si="59"/>
        <v>8.7120971330493929E-2</v>
      </c>
      <c r="AN86" s="65">
        <f t="shared" si="60"/>
        <v>6.0934130671587046E-2</v>
      </c>
      <c r="AO86" s="128">
        <f>Imports!BE21</f>
        <v>8.4627317738144112E-3</v>
      </c>
      <c r="AP86" s="778">
        <f>Imports!BF21</f>
        <v>3.7621590466973692E-3</v>
      </c>
      <c r="AQ86" s="778">
        <f>Imports!BG21</f>
        <v>6.3585803665743901E-2</v>
      </c>
      <c r="AR86" s="778">
        <f>AVERAGE(Imports!C21:Z21)</f>
        <v>4.7122732994508393E-2</v>
      </c>
      <c r="AS86" s="766">
        <v>0</v>
      </c>
      <c r="AT86" s="765">
        <f t="shared" si="30"/>
        <v>0</v>
      </c>
      <c r="AU86" s="766">
        <v>0</v>
      </c>
      <c r="AV86" s="766">
        <v>0</v>
      </c>
      <c r="AW86" s="765">
        <f t="shared" si="62"/>
        <v>-8.641465712120901E-4</v>
      </c>
      <c r="AX86" s="765">
        <f t="shared" si="63"/>
        <v>1.6290493995833735E-2</v>
      </c>
      <c r="AY86" s="779">
        <f>$K86/($N86+$U86-$K86)</f>
        <v>8.4251754967034631E-2</v>
      </c>
      <c r="AZ86" s="77">
        <f t="shared" si="31"/>
        <v>37901.999999999993</v>
      </c>
      <c r="BA86" s="77">
        <f t="shared" si="32"/>
        <v>0</v>
      </c>
      <c r="BB86" s="771">
        <f t="shared" si="33"/>
        <v>0</v>
      </c>
      <c r="BC86" s="814">
        <f t="shared" si="64"/>
        <v>0</v>
      </c>
      <c r="BD86" s="764">
        <f t="shared" si="73"/>
        <v>1737704</v>
      </c>
      <c r="BE86" s="71">
        <f t="shared" si="34"/>
        <v>0</v>
      </c>
      <c r="BF86" s="499">
        <f>-SUM(BF68:BF85,BF87:BF91)</f>
        <v>-196638.06074139554</v>
      </c>
      <c r="BG86" s="499">
        <f>-SUM(BG68:BG85,BG87:BG91)</f>
        <v>-75306.939258604485</v>
      </c>
      <c r="BH86" s="71">
        <f t="shared" si="35"/>
        <v>0</v>
      </c>
      <c r="BI86" s="77">
        <f t="shared" si="68"/>
        <v>37581.245540308882</v>
      </c>
      <c r="BJ86" s="65">
        <f t="shared" si="36"/>
        <v>320.75445969111377</v>
      </c>
      <c r="BK86" s="71">
        <f t="shared" si="69"/>
        <v>0</v>
      </c>
      <c r="BL86" s="65">
        <f>-SUM($BF86:$BG86)*C86/SUM($C86:$E86)</f>
        <v>260944.5167991799</v>
      </c>
      <c r="BM86" s="65">
        <f>-SUM($BF86:$BG86)*E86/SUM($C86:$E86)</f>
        <v>11000.48320082011</v>
      </c>
    </row>
    <row r="87" spans="1:65" ht="13" x14ac:dyDescent="0.3">
      <c r="A87" s="185" t="str">
        <f t="shared" si="37"/>
        <v>Services non marchands</v>
      </c>
      <c r="B87" s="128">
        <f t="shared" si="37"/>
        <v>20</v>
      </c>
      <c r="C87" s="128">
        <f t="shared" si="74"/>
        <v>343672</v>
      </c>
      <c r="D87" s="128">
        <f t="shared" si="74"/>
        <v>0</v>
      </c>
      <c r="E87" s="128">
        <f t="shared" ref="E87:F91" si="76">E57</f>
        <v>0</v>
      </c>
      <c r="F87" s="128">
        <f t="shared" si="76"/>
        <v>0</v>
      </c>
      <c r="G87" s="187">
        <f t="shared" si="39"/>
        <v>343672</v>
      </c>
      <c r="H87" s="128">
        <f>H57</f>
        <v>0</v>
      </c>
      <c r="I87" s="128">
        <f t="shared" si="41"/>
        <v>0</v>
      </c>
      <c r="J87" s="128">
        <f t="shared" si="41"/>
        <v>0</v>
      </c>
      <c r="K87" s="189">
        <f t="shared" si="41"/>
        <v>0</v>
      </c>
      <c r="L87" s="128">
        <f t="shared" si="41"/>
        <v>0</v>
      </c>
      <c r="M87" s="187">
        <f t="shared" si="42"/>
        <v>343672</v>
      </c>
      <c r="N87" s="128">
        <f>N57</f>
        <v>10274</v>
      </c>
      <c r="O87" s="128">
        <f t="shared" si="75"/>
        <v>146868</v>
      </c>
      <c r="P87" s="128">
        <f t="shared" si="75"/>
        <v>164227</v>
      </c>
      <c r="Q87" s="187">
        <f t="shared" si="44"/>
        <v>311095</v>
      </c>
      <c r="R87" s="128">
        <f t="shared" si="45"/>
        <v>19617</v>
      </c>
      <c r="S87" s="187">
        <f t="shared" si="46"/>
        <v>340986</v>
      </c>
      <c r="T87" s="128">
        <f t="shared" si="70"/>
        <v>0</v>
      </c>
      <c r="U87" s="128">
        <f t="shared" si="70"/>
        <v>0</v>
      </c>
      <c r="V87" s="128">
        <f t="shared" si="70"/>
        <v>0</v>
      </c>
      <c r="W87" s="128">
        <f t="shared" si="70"/>
        <v>0</v>
      </c>
      <c r="X87" s="128">
        <f t="shared" si="70"/>
        <v>0</v>
      </c>
      <c r="Y87" s="187">
        <f t="shared" si="48"/>
        <v>0</v>
      </c>
      <c r="Z87" s="128">
        <f t="shared" si="49"/>
        <v>0</v>
      </c>
      <c r="AA87" s="128">
        <f t="shared" si="49"/>
        <v>0</v>
      </c>
      <c r="AB87" s="187">
        <f t="shared" si="50"/>
        <v>0</v>
      </c>
      <c r="AC87" s="128">
        <f>AC57</f>
        <v>0</v>
      </c>
      <c r="AD87" s="187">
        <f t="shared" si="52"/>
        <v>340986</v>
      </c>
      <c r="AE87" s="128">
        <f t="shared" si="53"/>
        <v>2686</v>
      </c>
      <c r="AF87" s="187">
        <f t="shared" si="54"/>
        <v>343672</v>
      </c>
      <c r="AG87" s="128">
        <f t="shared" si="55"/>
        <v>340986</v>
      </c>
      <c r="AH87" s="128">
        <f>CPR_CEB_Simple!F53+J87+L87</f>
        <v>285196</v>
      </c>
      <c r="AI87" s="126">
        <f>SUM(D87:E87)+SUM(H87,J87)*SUM(D87:E87)/SUM(C87:E87)+Trspt_margin!AR34</f>
        <v>0</v>
      </c>
      <c r="AJ87" s="126">
        <f t="shared" si="56"/>
        <v>343672</v>
      </c>
      <c r="AK87" s="161">
        <f t="shared" si="57"/>
        <v>0</v>
      </c>
      <c r="AL87" s="128">
        <f t="shared" si="58"/>
        <v>0</v>
      </c>
      <c r="AM87" s="128">
        <f t="shared" si="59"/>
        <v>0</v>
      </c>
      <c r="AN87" s="65">
        <f t="shared" si="60"/>
        <v>0</v>
      </c>
      <c r="AO87" s="128">
        <f>Imports!BE22</f>
        <v>0</v>
      </c>
      <c r="AP87" s="778">
        <f>Imports!BF22</f>
        <v>0</v>
      </c>
      <c r="AQ87" s="778" t="e">
        <f>Imports!BG22</f>
        <v>#N/A</v>
      </c>
      <c r="AR87" s="778">
        <f>AVERAGE(Imports!C22:Z22)</f>
        <v>0</v>
      </c>
      <c r="AS87" s="765">
        <f t="shared" si="61"/>
        <v>0</v>
      </c>
      <c r="AT87" s="765">
        <f t="shared" si="30"/>
        <v>0</v>
      </c>
      <c r="AU87" s="766">
        <v>0</v>
      </c>
      <c r="AV87" s="766">
        <v>0</v>
      </c>
      <c r="AW87" s="765">
        <f t="shared" si="62"/>
        <v>0</v>
      </c>
      <c r="AX87" s="765">
        <f t="shared" si="63"/>
        <v>0</v>
      </c>
      <c r="AY87" s="779">
        <f>$K87/($N87+$U87-$K87)</f>
        <v>0</v>
      </c>
      <c r="AZ87" s="77">
        <f t="shared" si="31"/>
        <v>0</v>
      </c>
      <c r="BA87" s="77">
        <f t="shared" si="32"/>
        <v>0</v>
      </c>
      <c r="BB87" s="771">
        <f t="shared" si="33"/>
        <v>0</v>
      </c>
      <c r="BC87" s="814">
        <f t="shared" si="64"/>
        <v>0</v>
      </c>
      <c r="BD87" s="77">
        <f t="shared" si="65"/>
        <v>343672</v>
      </c>
      <c r="BE87" s="71">
        <f t="shared" si="34"/>
        <v>0</v>
      </c>
      <c r="BF87" s="65">
        <f t="shared" si="66"/>
        <v>0</v>
      </c>
      <c r="BG87" s="65">
        <f t="shared" si="67"/>
        <v>0</v>
      </c>
      <c r="BH87" s="71">
        <f t="shared" si="35"/>
        <v>0</v>
      </c>
      <c r="BI87" s="77">
        <f t="shared" si="68"/>
        <v>0</v>
      </c>
      <c r="BJ87" s="65">
        <f t="shared" si="36"/>
        <v>0</v>
      </c>
      <c r="BK87" s="71">
        <f t="shared" si="69"/>
        <v>0</v>
      </c>
    </row>
    <row r="88" spans="1:65" ht="13" x14ac:dyDescent="0.3">
      <c r="A88" s="185" t="str">
        <f t="shared" si="37"/>
        <v>Charbon</v>
      </c>
      <c r="B88" s="128">
        <f t="shared" si="37"/>
        <v>21</v>
      </c>
      <c r="C88" s="128">
        <f t="shared" si="74"/>
        <v>131</v>
      </c>
      <c r="D88" s="186">
        <f>D58-F$56*H58/H$56-Trspt_margin!W89</f>
        <v>1456.1256968402736</v>
      </c>
      <c r="E88" s="128">
        <f t="shared" si="76"/>
        <v>0</v>
      </c>
      <c r="F88" s="128">
        <f t="shared" si="76"/>
        <v>0</v>
      </c>
      <c r="G88" s="187">
        <f t="shared" si="39"/>
        <v>1587.1256968402736</v>
      </c>
      <c r="H88" s="186">
        <f>H58+F$56*H58/H$56</f>
        <v>67.026865462999751</v>
      </c>
      <c r="I88" s="188">
        <f>I58+Trspt_margin!W89</f>
        <v>169.84743769672667</v>
      </c>
      <c r="J88" s="128">
        <f t="shared" si="41"/>
        <v>34</v>
      </c>
      <c r="K88" s="189">
        <f t="shared" si="41"/>
        <v>28</v>
      </c>
      <c r="L88" s="128">
        <f t="shared" si="41"/>
        <v>0</v>
      </c>
      <c r="M88" s="187">
        <f t="shared" si="42"/>
        <v>1858</v>
      </c>
      <c r="N88" s="128">
        <f>N58</f>
        <v>65</v>
      </c>
      <c r="O88" s="128">
        <f t="shared" si="75"/>
        <v>0</v>
      </c>
      <c r="P88" s="128">
        <f t="shared" si="75"/>
        <v>0</v>
      </c>
      <c r="Q88" s="187">
        <f t="shared" si="44"/>
        <v>0</v>
      </c>
      <c r="R88" s="128">
        <f t="shared" si="45"/>
        <v>0</v>
      </c>
      <c r="S88" s="187">
        <f t="shared" si="46"/>
        <v>65</v>
      </c>
      <c r="T88" s="128">
        <f t="shared" si="70"/>
        <v>0</v>
      </c>
      <c r="U88" s="128">
        <f t="shared" si="70"/>
        <v>0</v>
      </c>
      <c r="V88" s="128">
        <f t="shared" si="70"/>
        <v>0</v>
      </c>
      <c r="W88" s="128">
        <f t="shared" si="70"/>
        <v>0</v>
      </c>
      <c r="X88" s="128">
        <f t="shared" si="70"/>
        <v>0</v>
      </c>
      <c r="Y88" s="187">
        <f t="shared" si="48"/>
        <v>0</v>
      </c>
      <c r="Z88" s="128">
        <f t="shared" si="49"/>
        <v>0</v>
      </c>
      <c r="AA88" s="128">
        <f t="shared" si="49"/>
        <v>-26</v>
      </c>
      <c r="AB88" s="187">
        <f t="shared" si="50"/>
        <v>-26</v>
      </c>
      <c r="AC88" s="128">
        <f>AC58</f>
        <v>12</v>
      </c>
      <c r="AD88" s="187">
        <f t="shared" si="52"/>
        <v>51</v>
      </c>
      <c r="AE88" s="128">
        <f t="shared" si="53"/>
        <v>1807</v>
      </c>
      <c r="AF88" s="187">
        <f t="shared" si="54"/>
        <v>1858</v>
      </c>
      <c r="AG88" s="128">
        <f t="shared" si="55"/>
        <v>-1405.1256968402736</v>
      </c>
      <c r="AH88" s="128">
        <f>CPR_CEB_Simple!F54+J88+L88</f>
        <v>34</v>
      </c>
      <c r="AI88" s="126">
        <f>SUM(D88:E88)+SUM(H88,J88)*SUM(D88:E88)/SUM(C88:E88)+Trspt_margin!AR35</f>
        <v>1713.6288228667543</v>
      </c>
      <c r="AJ88" s="126">
        <f t="shared" si="56"/>
        <v>144.37117713324574</v>
      </c>
      <c r="AK88" s="161">
        <f t="shared" si="57"/>
        <v>0</v>
      </c>
      <c r="AL88" s="128">
        <f t="shared" si="58"/>
        <v>0</v>
      </c>
      <c r="AM88" s="128">
        <f t="shared" si="59"/>
        <v>0</v>
      </c>
      <c r="AN88" s="65">
        <f t="shared" si="60"/>
        <v>0</v>
      </c>
      <c r="AO88" s="128">
        <f>Imports!BE23</f>
        <v>0.92825075327847673</v>
      </c>
      <c r="AP88" s="778" t="e">
        <f>Imports!BF23</f>
        <v>#N/A</v>
      </c>
      <c r="AQ88" s="778" t="e">
        <f>Imports!BG23</f>
        <v>#N/A</v>
      </c>
      <c r="AR88" s="778">
        <f>AVERAGE(Imports!C23:Z23)</f>
        <v>0.42395319701786544</v>
      </c>
      <c r="AS88" s="765">
        <f t="shared" si="61"/>
        <v>4.2231604967672108E-2</v>
      </c>
      <c r="AT88" s="765">
        <f t="shared" si="30"/>
        <v>0.10701574426957307</v>
      </c>
      <c r="AU88" s="765">
        <f>Trspt_margin!AK35/$C88</f>
        <v>3.8416075650118189E-2</v>
      </c>
      <c r="AV88" s="765">
        <f>Trspt_margin!AR35/$D88</f>
        <v>0.11318729704736487</v>
      </c>
      <c r="AW88" s="765">
        <f t="shared" si="62"/>
        <v>0</v>
      </c>
      <c r="AX88" s="765">
        <f t="shared" si="63"/>
        <v>3.7804189119646221E-3</v>
      </c>
      <c r="AY88" s="780">
        <v>0.19600000000000001</v>
      </c>
      <c r="AZ88" s="77">
        <f t="shared" si="31"/>
        <v>10.652173913043478</v>
      </c>
      <c r="BA88" s="77">
        <f t="shared" si="32"/>
        <v>17.347826086956523</v>
      </c>
      <c r="BB88" s="771">
        <f t="shared" si="33"/>
        <v>9.6003464786699085E-3</v>
      </c>
      <c r="BC88" s="814">
        <f t="shared" si="64"/>
        <v>9.6934065400126335E-3</v>
      </c>
      <c r="BD88" s="77">
        <f t="shared" si="65"/>
        <v>1858</v>
      </c>
      <c r="BE88" s="71">
        <f t="shared" si="34"/>
        <v>0.16815953084642388</v>
      </c>
      <c r="BF88" s="65">
        <f t="shared" si="66"/>
        <v>5.5323402507650465</v>
      </c>
      <c r="BG88" s="65">
        <f t="shared" si="67"/>
        <v>61.494525212234706</v>
      </c>
      <c r="BH88" s="71">
        <f t="shared" si="35"/>
        <v>0</v>
      </c>
      <c r="BI88" s="77">
        <f t="shared" si="68"/>
        <v>0.76428545420753125</v>
      </c>
      <c r="BJ88" s="65">
        <f t="shared" si="36"/>
        <v>9.8878884588359472</v>
      </c>
      <c r="BK88" s="71">
        <f t="shared" si="69"/>
        <v>0</v>
      </c>
    </row>
    <row r="89" spans="1:65" s="73" customFormat="1" ht="13" x14ac:dyDescent="0.3">
      <c r="A89" s="185" t="str">
        <f t="shared" si="37"/>
        <v>PETROLE</v>
      </c>
      <c r="B89" s="128">
        <f t="shared" si="37"/>
        <v>22</v>
      </c>
      <c r="C89" s="128">
        <f t="shared" si="74"/>
        <v>50376.336478262776</v>
      </c>
      <c r="D89" s="186">
        <f>D59-F$56*H59/H$56-Trspt_margin!W90</f>
        <v>47339.511865181565</v>
      </c>
      <c r="E89" s="128">
        <f t="shared" si="76"/>
        <v>0</v>
      </c>
      <c r="F89" s="128">
        <f t="shared" si="76"/>
        <v>0</v>
      </c>
      <c r="G89" s="187">
        <f t="shared" si="39"/>
        <v>97715.848343444348</v>
      </c>
      <c r="H89" s="186">
        <f>H59+F$56*H59/H$56</f>
        <v>13224.339912480786</v>
      </c>
      <c r="I89" s="188">
        <f>I59+Trspt_margin!W90</f>
        <v>4675.920955580501</v>
      </c>
      <c r="J89" s="128">
        <f t="shared" si="41"/>
        <v>34321.258723348365</v>
      </c>
      <c r="K89" s="189">
        <f t="shared" si="41"/>
        <v>9330</v>
      </c>
      <c r="L89" s="128">
        <f t="shared" si="41"/>
        <v>0</v>
      </c>
      <c r="M89" s="187">
        <f t="shared" si="42"/>
        <v>149937.367934854</v>
      </c>
      <c r="N89" s="128">
        <f>N59</f>
        <v>43742</v>
      </c>
      <c r="O89" s="128">
        <f t="shared" si="75"/>
        <v>0</v>
      </c>
      <c r="P89" s="128">
        <f t="shared" si="75"/>
        <v>0</v>
      </c>
      <c r="Q89" s="187">
        <f t="shared" si="44"/>
        <v>0</v>
      </c>
      <c r="R89" s="128">
        <f t="shared" si="45"/>
        <v>0</v>
      </c>
      <c r="S89" s="187">
        <f t="shared" si="46"/>
        <v>43742</v>
      </c>
      <c r="T89" s="128">
        <f t="shared" ref="T89:X93" si="77">T59</f>
        <v>0</v>
      </c>
      <c r="U89" s="128">
        <f t="shared" si="77"/>
        <v>0</v>
      </c>
      <c r="V89" s="128">
        <f t="shared" si="77"/>
        <v>0</v>
      </c>
      <c r="W89" s="128">
        <f t="shared" si="77"/>
        <v>0</v>
      </c>
      <c r="X89" s="128">
        <f t="shared" si="77"/>
        <v>0</v>
      </c>
      <c r="Y89" s="187">
        <f t="shared" si="48"/>
        <v>0</v>
      </c>
      <c r="Z89" s="128">
        <f t="shared" si="49"/>
        <v>0</v>
      </c>
      <c r="AA89" s="128">
        <f t="shared" si="49"/>
        <v>-215.65129591524013</v>
      </c>
      <c r="AB89" s="187">
        <f t="shared" si="50"/>
        <v>-215.65129591524013</v>
      </c>
      <c r="AC89" s="128">
        <f>AC59</f>
        <v>14197.783361061249</v>
      </c>
      <c r="AD89" s="187">
        <f t="shared" si="52"/>
        <v>57724.132065146012</v>
      </c>
      <c r="AE89" s="128">
        <f t="shared" si="53"/>
        <v>92213.235869707976</v>
      </c>
      <c r="AF89" s="187">
        <f t="shared" si="54"/>
        <v>149937.367934854</v>
      </c>
      <c r="AG89" s="128">
        <f t="shared" si="55"/>
        <v>10384.620199964447</v>
      </c>
      <c r="AH89" s="128">
        <f>CPR_CEB_Simple!F55+J89+L89</f>
        <v>37015.610908016286</v>
      </c>
      <c r="AI89" s="126">
        <f>SUM(D89:E89)+SUM(H89,J89)*SUM(D89:E89)/SUM(C89:E89)+Trspt_margin!AR36</f>
        <v>73786.152586251075</v>
      </c>
      <c r="AJ89" s="126">
        <f t="shared" si="56"/>
        <v>76151.215348602927</v>
      </c>
      <c r="AK89" s="161">
        <f t="shared" si="57"/>
        <v>0</v>
      </c>
      <c r="AL89" s="128">
        <f t="shared" si="58"/>
        <v>0</v>
      </c>
      <c r="AM89" s="128">
        <f t="shared" si="59"/>
        <v>0</v>
      </c>
      <c r="AN89" s="65">
        <f t="shared" si="60"/>
        <v>0</v>
      </c>
      <c r="AO89" s="128">
        <f>Imports!BE24</f>
        <v>0.39253379126363847</v>
      </c>
      <c r="AP89" s="778" t="e">
        <f>Imports!BF24</f>
        <v>#N/A</v>
      </c>
      <c r="AQ89" s="778" t="e">
        <f>Imports!BG24</f>
        <v>#N/A</v>
      </c>
      <c r="AR89" s="778">
        <f>AVERAGE(Imports!C24:Z24)</f>
        <v>0.31175203040725691</v>
      </c>
      <c r="AS89" s="767">
        <f t="shared" si="61"/>
        <v>0.13533464772265871</v>
      </c>
      <c r="AT89" s="765">
        <f t="shared" si="30"/>
        <v>4.7852226991326158E-2</v>
      </c>
      <c r="AU89" s="765">
        <f>Trspt_margin!AK36/$C89</f>
        <v>2.5076569497649567E-2</v>
      </c>
      <c r="AV89" s="765">
        <f>Trspt_margin!AR36/$D89</f>
        <v>7.2088940472501764E-2</v>
      </c>
      <c r="AW89" s="765">
        <f t="shared" si="62"/>
        <v>0</v>
      </c>
      <c r="AX89" s="765">
        <f t="shared" si="63"/>
        <v>0.25575440572864866</v>
      </c>
      <c r="AY89" s="780">
        <v>0.19600000000000001</v>
      </c>
      <c r="AZ89" s="77">
        <f t="shared" si="31"/>
        <v>7168.4214046822754</v>
      </c>
      <c r="BA89" s="77">
        <f t="shared" si="32"/>
        <v>2161.5785953177246</v>
      </c>
      <c r="BB89" s="771">
        <f t="shared" si="33"/>
        <v>2.3441088200959692E-2</v>
      </c>
      <c r="BC89" s="814">
        <f t="shared" si="64"/>
        <v>2.4003762515234187E-2</v>
      </c>
      <c r="BD89" s="77">
        <f t="shared" si="65"/>
        <v>149937.367934854</v>
      </c>
      <c r="BE89" s="71">
        <f t="shared" si="34"/>
        <v>51.886019260011381</v>
      </c>
      <c r="BF89" s="65">
        <f t="shared" si="66"/>
        <v>6817.6637508438143</v>
      </c>
      <c r="BG89" s="65">
        <f t="shared" si="67"/>
        <v>6406.6761616369695</v>
      </c>
      <c r="BH89" s="71">
        <f t="shared" si="35"/>
        <v>0</v>
      </c>
      <c r="BI89" s="77">
        <f t="shared" si="68"/>
        <v>4354.5737733269252</v>
      </c>
      <c r="BJ89" s="65">
        <f t="shared" si="36"/>
        <v>2813.8476313553501</v>
      </c>
      <c r="BK89" s="71">
        <f t="shared" si="69"/>
        <v>0</v>
      </c>
      <c r="BM89" s="65"/>
    </row>
    <row r="90" spans="1:65" s="73" customFormat="1" ht="13" x14ac:dyDescent="0.3">
      <c r="A90" s="185" t="str">
        <f t="shared" si="37"/>
        <v>ELECTRICITE</v>
      </c>
      <c r="B90" s="128">
        <f t="shared" si="37"/>
        <v>23</v>
      </c>
      <c r="C90" s="128">
        <f t="shared" si="74"/>
        <v>46037</v>
      </c>
      <c r="D90" s="186">
        <f>D60-F$56*H60/H$56-Trspt_margin!W91</f>
        <v>548</v>
      </c>
      <c r="E90" s="128">
        <f t="shared" si="76"/>
        <v>0</v>
      </c>
      <c r="F90" s="128">
        <f t="shared" si="76"/>
        <v>0</v>
      </c>
      <c r="G90" s="187">
        <f t="shared" si="39"/>
        <v>46585</v>
      </c>
      <c r="H90" s="128">
        <f>H60</f>
        <v>0</v>
      </c>
      <c r="I90" s="186">
        <f>I60+Trspt_margin!W91</f>
        <v>0</v>
      </c>
      <c r="J90" s="128">
        <f t="shared" si="41"/>
        <v>6640</v>
      </c>
      <c r="K90" s="189">
        <f t="shared" si="41"/>
        <v>3199</v>
      </c>
      <c r="L90" s="128">
        <f t="shared" si="41"/>
        <v>-1535</v>
      </c>
      <c r="M90" s="187">
        <f t="shared" si="42"/>
        <v>51690</v>
      </c>
      <c r="N90" s="128">
        <f>N60</f>
        <v>17844</v>
      </c>
      <c r="O90" s="128">
        <f t="shared" si="75"/>
        <v>0</v>
      </c>
      <c r="P90" s="128">
        <f t="shared" si="75"/>
        <v>0</v>
      </c>
      <c r="Q90" s="187">
        <f t="shared" si="44"/>
        <v>0</v>
      </c>
      <c r="R90" s="128">
        <f t="shared" si="45"/>
        <v>0</v>
      </c>
      <c r="S90" s="187">
        <f t="shared" si="46"/>
        <v>17844</v>
      </c>
      <c r="T90" s="128">
        <f t="shared" si="77"/>
        <v>0</v>
      </c>
      <c r="U90" s="128">
        <f t="shared" si="77"/>
        <v>0</v>
      </c>
      <c r="V90" s="128">
        <f t="shared" si="77"/>
        <v>0</v>
      </c>
      <c r="W90" s="128">
        <f t="shared" si="77"/>
        <v>0</v>
      </c>
      <c r="X90" s="128">
        <f t="shared" si="77"/>
        <v>0</v>
      </c>
      <c r="Y90" s="187">
        <f t="shared" si="48"/>
        <v>0</v>
      </c>
      <c r="Z90" s="128">
        <f t="shared" si="49"/>
        <v>0</v>
      </c>
      <c r="AA90" s="128">
        <f t="shared" si="49"/>
        <v>0</v>
      </c>
      <c r="AB90" s="187">
        <f t="shared" si="50"/>
        <v>0</v>
      </c>
      <c r="AC90" s="128">
        <f>AC60</f>
        <v>3122</v>
      </c>
      <c r="AD90" s="187">
        <f t="shared" si="52"/>
        <v>20966</v>
      </c>
      <c r="AE90" s="128">
        <f t="shared" si="53"/>
        <v>30724</v>
      </c>
      <c r="AF90" s="187">
        <f t="shared" si="54"/>
        <v>51690</v>
      </c>
      <c r="AG90" s="128">
        <f t="shared" si="55"/>
        <v>20418</v>
      </c>
      <c r="AH90" s="128">
        <f>CPR_CEB_Simple!F56+J90+L90</f>
        <v>23937</v>
      </c>
      <c r="AI90" s="126">
        <f>SUM(D90:E90)+SUM(H90,J90)*SUM(D90:E90)/SUM(C90:E90)+Trspt_margin!AR37</f>
        <v>626.10926263818828</v>
      </c>
      <c r="AJ90" s="126">
        <f t="shared" si="56"/>
        <v>51063.890737361813</v>
      </c>
      <c r="AK90" s="161">
        <f t="shared" si="57"/>
        <v>0</v>
      </c>
      <c r="AL90" s="128">
        <f t="shared" si="58"/>
        <v>0</v>
      </c>
      <c r="AM90" s="128">
        <f t="shared" si="59"/>
        <v>0</v>
      </c>
      <c r="AN90" s="65">
        <f t="shared" si="60"/>
        <v>0</v>
      </c>
      <c r="AO90" s="128">
        <f>Imports!BE25</f>
        <v>3.2198215782510739E-2</v>
      </c>
      <c r="AP90" s="778" t="e">
        <f>Imports!BF25</f>
        <v>#N/A</v>
      </c>
      <c r="AQ90" s="778" t="e">
        <f>Imports!BG25</f>
        <v>#N/A</v>
      </c>
      <c r="AR90" s="778">
        <f>AVERAGE(Imports!C25:Z25)</f>
        <v>0</v>
      </c>
      <c r="AS90" s="767">
        <f t="shared" si="61"/>
        <v>0</v>
      </c>
      <c r="AT90" s="765">
        <f t="shared" si="30"/>
        <v>0</v>
      </c>
      <c r="AU90" s="765">
        <f>Trspt_margin!AK37/$C90</f>
        <v>0</v>
      </c>
      <c r="AV90" s="765">
        <f>Trspt_margin!AR37/$D90</f>
        <v>0</v>
      </c>
      <c r="AW90" s="765">
        <f t="shared" si="62"/>
        <v>-3.3342746052088534E-2</v>
      </c>
      <c r="AX90" s="765">
        <f t="shared" si="63"/>
        <v>7.3864977997209397E-2</v>
      </c>
      <c r="AY90" s="780">
        <v>0.19600000000000001</v>
      </c>
      <c r="AZ90" s="77">
        <f t="shared" si="31"/>
        <v>2924.2675585284283</v>
      </c>
      <c r="BA90" s="77">
        <f t="shared" si="32"/>
        <v>274.73244147157175</v>
      </c>
      <c r="BB90" s="771">
        <f t="shared" si="33"/>
        <v>8.9419490128750077E-3</v>
      </c>
      <c r="BC90" s="814">
        <f t="shared" si="64"/>
        <v>9.0226289004650597E-3</v>
      </c>
      <c r="BD90" s="77">
        <f t="shared" si="65"/>
        <v>51690</v>
      </c>
      <c r="BE90" s="71">
        <f t="shared" si="34"/>
        <v>2.4788088663190138</v>
      </c>
      <c r="BF90" s="65">
        <f t="shared" si="66"/>
        <v>0</v>
      </c>
      <c r="BG90" s="65">
        <f t="shared" si="67"/>
        <v>0</v>
      </c>
      <c r="BH90" s="71">
        <f t="shared" si="35"/>
        <v>0</v>
      </c>
      <c r="BI90" s="77">
        <f t="shared" si="68"/>
        <v>2830.1113606731342</v>
      </c>
      <c r="BJ90" s="65">
        <f t="shared" si="36"/>
        <v>94.156197855294181</v>
      </c>
      <c r="BK90" s="71">
        <f t="shared" si="69"/>
        <v>0</v>
      </c>
      <c r="BM90" s="65"/>
    </row>
    <row r="91" spans="1:65" s="73" customFormat="1" ht="13" x14ac:dyDescent="0.3">
      <c r="A91" s="185" t="str">
        <f t="shared" si="37"/>
        <v>GAZ</v>
      </c>
      <c r="B91" s="128">
        <f t="shared" si="37"/>
        <v>24</v>
      </c>
      <c r="C91" s="128">
        <f t="shared" si="74"/>
        <v>23989.663521737228</v>
      </c>
      <c r="D91" s="186">
        <f>D61-F$56*H61/H$56-Trspt_margin!W92</f>
        <v>10367.461803024386</v>
      </c>
      <c r="E91" s="128">
        <f t="shared" si="76"/>
        <v>0</v>
      </c>
      <c r="F91" s="128">
        <f t="shared" si="76"/>
        <v>0</v>
      </c>
      <c r="G91" s="187">
        <f t="shared" si="39"/>
        <v>34357.125324761611</v>
      </c>
      <c r="H91" s="186">
        <f>H61+F$56*H61/H$56</f>
        <v>10.965014019016719</v>
      </c>
      <c r="I91" s="188">
        <f>I61+Trspt_margin!W92</f>
        <v>2555.8004497137435</v>
      </c>
      <c r="J91" s="128">
        <f t="shared" si="41"/>
        <v>2039.7412766516352</v>
      </c>
      <c r="K91" s="189">
        <f t="shared" si="41"/>
        <v>1827</v>
      </c>
      <c r="L91" s="128">
        <f t="shared" si="41"/>
        <v>0</v>
      </c>
      <c r="M91" s="187">
        <f t="shared" si="42"/>
        <v>38963.632065146005</v>
      </c>
      <c r="N91" s="128">
        <f>N61</f>
        <v>10467</v>
      </c>
      <c r="O91" s="128">
        <f t="shared" si="75"/>
        <v>0</v>
      </c>
      <c r="P91" s="128">
        <f t="shared" si="75"/>
        <v>5</v>
      </c>
      <c r="Q91" s="187">
        <f t="shared" si="44"/>
        <v>5</v>
      </c>
      <c r="R91" s="128">
        <f t="shared" si="45"/>
        <v>0</v>
      </c>
      <c r="S91" s="187">
        <f t="shared" si="46"/>
        <v>10472</v>
      </c>
      <c r="T91" s="128">
        <f t="shared" si="77"/>
        <v>0</v>
      </c>
      <c r="U91" s="128">
        <f t="shared" si="77"/>
        <v>0</v>
      </c>
      <c r="V91" s="128">
        <f t="shared" si="77"/>
        <v>0</v>
      </c>
      <c r="W91" s="128">
        <f t="shared" si="77"/>
        <v>0</v>
      </c>
      <c r="X91" s="128">
        <f t="shared" si="77"/>
        <v>0</v>
      </c>
      <c r="Y91" s="187">
        <f t="shared" si="48"/>
        <v>0</v>
      </c>
      <c r="Z91" s="128">
        <f t="shared" si="49"/>
        <v>0</v>
      </c>
      <c r="AA91" s="128">
        <f t="shared" si="49"/>
        <v>-2.3487040847598615</v>
      </c>
      <c r="AB91" s="187">
        <f t="shared" si="50"/>
        <v>-2.3487040847598615</v>
      </c>
      <c r="AC91" s="128">
        <f>AC61</f>
        <v>463.21663893875046</v>
      </c>
      <c r="AD91" s="187">
        <f t="shared" si="52"/>
        <v>10932.867934853992</v>
      </c>
      <c r="AE91" s="128">
        <f t="shared" si="53"/>
        <v>28030.764130292016</v>
      </c>
      <c r="AF91" s="187">
        <f t="shared" si="54"/>
        <v>38963.632065146012</v>
      </c>
      <c r="AG91" s="128">
        <f t="shared" si="55"/>
        <v>565.40613182960624</v>
      </c>
      <c r="AH91" s="128">
        <f>CPR_CEB_Simple!F57+J91+L91</f>
        <v>7193.389091983714</v>
      </c>
      <c r="AI91" s="126">
        <f>SUM(D91:E91)+SUM(H91,J91)*SUM(D91:E91)/SUM(C91:E91)+Trspt_margin!AR38</f>
        <v>12427.362790265124</v>
      </c>
      <c r="AJ91" s="126">
        <f t="shared" si="56"/>
        <v>26536.26927488088</v>
      </c>
      <c r="AK91" s="161">
        <f t="shared" si="57"/>
        <v>0</v>
      </c>
      <c r="AL91" s="128">
        <f t="shared" si="58"/>
        <v>0</v>
      </c>
      <c r="AM91" s="128">
        <f t="shared" si="59"/>
        <v>0</v>
      </c>
      <c r="AN91" s="65">
        <f t="shared" si="60"/>
        <v>0</v>
      </c>
      <c r="AO91" s="128">
        <f>Imports!BE26</f>
        <v>0</v>
      </c>
      <c r="AP91" s="778">
        <f>Imports!BF26</f>
        <v>0</v>
      </c>
      <c r="AQ91" s="778" t="e">
        <f>Imports!BG26</f>
        <v>#N/A</v>
      </c>
      <c r="AR91" s="778">
        <f>AVERAGE(Imports!C26:Z26)</f>
        <v>6.7305868799493268E-2</v>
      </c>
      <c r="AS91" s="767">
        <f t="shared" si="61"/>
        <v>3.191481800461954E-4</v>
      </c>
      <c r="AT91" s="765">
        <f t="shared" si="30"/>
        <v>7.4389240239250934E-2</v>
      </c>
      <c r="AU91" s="765">
        <f>Trspt_margin!AK38/$C91</f>
        <v>4.6466344835445039E-2</v>
      </c>
      <c r="AV91" s="765">
        <f>Trspt_margin!AR38/$D91</f>
        <v>0.13900108815505952</v>
      </c>
      <c r="AW91" s="765">
        <f t="shared" si="62"/>
        <v>0</v>
      </c>
      <c r="AX91" s="765">
        <f t="shared" si="63"/>
        <v>6.1920569500705548E-3</v>
      </c>
      <c r="AY91" s="780">
        <v>0.19600000000000001</v>
      </c>
      <c r="AZ91" s="77">
        <f t="shared" si="31"/>
        <v>1715.3277591973247</v>
      </c>
      <c r="BA91" s="77">
        <f t="shared" si="32"/>
        <v>111.67224080267533</v>
      </c>
      <c r="BB91" s="771">
        <f t="shared" si="33"/>
        <v>3.983917109201973E-3</v>
      </c>
      <c r="BC91" s="814">
        <f t="shared" si="64"/>
        <v>3.999135987828091E-3</v>
      </c>
      <c r="BD91" s="77">
        <f t="shared" si="65"/>
        <v>38963.632065146005</v>
      </c>
      <c r="BE91" s="71">
        <f t="shared" si="34"/>
        <v>0.44659247703384608</v>
      </c>
      <c r="BF91" s="65">
        <f t="shared" si="66"/>
        <v>7.6562574528830396</v>
      </c>
      <c r="BG91" s="65">
        <f t="shared" si="67"/>
        <v>3.3087565661336802</v>
      </c>
      <c r="BH91" s="71">
        <f t="shared" si="35"/>
        <v>0</v>
      </c>
      <c r="BI91" s="77">
        <f t="shared" si="68"/>
        <v>1715.3277591973247</v>
      </c>
      <c r="BJ91" s="65">
        <f t="shared" si="36"/>
        <v>0</v>
      </c>
      <c r="BK91" s="71">
        <f t="shared" si="69"/>
        <v>0</v>
      </c>
      <c r="BM91" s="65"/>
    </row>
    <row r="92" spans="1:65" s="73" customFormat="1" ht="12.75" hidden="1" customHeight="1" outlineLevel="1" x14ac:dyDescent="0.3">
      <c r="A92" s="185" t="str">
        <f t="shared" si="37"/>
        <v>PRODUITS CONSOMMES HORS DU TERRITOIRE DE</v>
      </c>
      <c r="B92" s="128">
        <f t="shared" si="37"/>
        <v>25</v>
      </c>
      <c r="C92" s="128">
        <f t="shared" si="74"/>
        <v>0</v>
      </c>
      <c r="D92" s="128">
        <f t="shared" si="74"/>
        <v>0</v>
      </c>
      <c r="E92" s="186">
        <v>0</v>
      </c>
      <c r="F92" s="128">
        <f>F62</f>
        <v>0</v>
      </c>
      <c r="G92" s="187">
        <f t="shared" si="39"/>
        <v>0</v>
      </c>
      <c r="H92" s="128">
        <f>H62</f>
        <v>0</v>
      </c>
      <c r="I92" s="128">
        <f t="shared" si="41"/>
        <v>0</v>
      </c>
      <c r="J92" s="128">
        <f t="shared" si="41"/>
        <v>0</v>
      </c>
      <c r="K92" s="189">
        <f t="shared" si="41"/>
        <v>0</v>
      </c>
      <c r="L92" s="128">
        <f t="shared" si="41"/>
        <v>0</v>
      </c>
      <c r="M92" s="187">
        <f t="shared" si="42"/>
        <v>0</v>
      </c>
      <c r="N92" s="186">
        <v>0</v>
      </c>
      <c r="O92" s="128">
        <f t="shared" si="75"/>
        <v>0</v>
      </c>
      <c r="P92" s="128">
        <f t="shared" si="75"/>
        <v>0</v>
      </c>
      <c r="Q92" s="187">
        <f t="shared" si="44"/>
        <v>0</v>
      </c>
      <c r="R92" s="128">
        <f t="shared" si="45"/>
        <v>0</v>
      </c>
      <c r="S92" s="187">
        <f t="shared" si="46"/>
        <v>0</v>
      </c>
      <c r="T92" s="128">
        <f t="shared" si="77"/>
        <v>0</v>
      </c>
      <c r="U92" s="128">
        <f t="shared" si="77"/>
        <v>0</v>
      </c>
      <c r="V92" s="128">
        <f t="shared" si="77"/>
        <v>0</v>
      </c>
      <c r="W92" s="128">
        <f t="shared" si="77"/>
        <v>0</v>
      </c>
      <c r="X92" s="128">
        <f t="shared" si="77"/>
        <v>0</v>
      </c>
      <c r="Y92" s="187">
        <f t="shared" si="48"/>
        <v>0</v>
      </c>
      <c r="Z92" s="128">
        <f t="shared" si="49"/>
        <v>0</v>
      </c>
      <c r="AA92" s="128">
        <f t="shared" si="49"/>
        <v>0</v>
      </c>
      <c r="AB92" s="187">
        <f t="shared" si="50"/>
        <v>0</v>
      </c>
      <c r="AC92" s="186">
        <v>0</v>
      </c>
      <c r="AD92" s="187">
        <f t="shared" si="52"/>
        <v>0</v>
      </c>
      <c r="AE92" s="128">
        <f t="shared" si="53"/>
        <v>0</v>
      </c>
      <c r="AF92" s="187">
        <f t="shared" si="54"/>
        <v>0</v>
      </c>
      <c r="AG92" s="191"/>
      <c r="AH92" s="191"/>
      <c r="AI92" s="191"/>
      <c r="AJ92" s="191"/>
      <c r="AK92" s="192"/>
      <c r="AL92" s="191"/>
      <c r="AM92" s="191"/>
      <c r="AO92" s="191"/>
      <c r="AP92" s="126">
        <f>Imports!BF27</f>
        <v>0</v>
      </c>
      <c r="AQ92" s="126">
        <f>Imports!BG27</f>
        <v>0</v>
      </c>
      <c r="AR92" s="126" t="e">
        <f>AVERAGE(Imports!C27:Z27)</f>
        <v>#DIV/0!</v>
      </c>
      <c r="AY92" s="81"/>
      <c r="AZ92" s="90"/>
      <c r="BA92" s="90"/>
      <c r="BB92" s="90"/>
      <c r="BC92" s="90"/>
      <c r="BD92" s="90"/>
      <c r="BE92" s="90"/>
      <c r="BJ92" s="65"/>
      <c r="BK92" s="94"/>
    </row>
    <row r="93" spans="1:65" ht="12.75" hidden="1" customHeight="1" outlineLevel="1" x14ac:dyDescent="0.3">
      <c r="A93" s="185" t="str">
        <f t="shared" si="37"/>
        <v>Produit CORRECTION CAF/FAB</v>
      </c>
      <c r="B93" s="128">
        <f t="shared" si="37"/>
        <v>26</v>
      </c>
      <c r="C93" s="128">
        <f t="shared" si="74"/>
        <v>0</v>
      </c>
      <c r="D93" s="186">
        <v>0</v>
      </c>
      <c r="E93" s="128">
        <f>E63</f>
        <v>0</v>
      </c>
      <c r="F93" s="186">
        <v>0</v>
      </c>
      <c r="G93" s="187">
        <f t="shared" si="39"/>
        <v>0</v>
      </c>
      <c r="H93" s="128">
        <f>H63</f>
        <v>0</v>
      </c>
      <c r="I93" s="128">
        <f t="shared" si="41"/>
        <v>0</v>
      </c>
      <c r="J93" s="128">
        <f t="shared" si="41"/>
        <v>0</v>
      </c>
      <c r="K93" s="189">
        <f t="shared" si="41"/>
        <v>0</v>
      </c>
      <c r="L93" s="128">
        <f t="shared" si="41"/>
        <v>0</v>
      </c>
      <c r="M93" s="187">
        <f t="shared" si="42"/>
        <v>0</v>
      </c>
      <c r="N93" s="128">
        <f>N63</f>
        <v>0</v>
      </c>
      <c r="O93" s="128">
        <f t="shared" si="75"/>
        <v>0</v>
      </c>
      <c r="P93" s="128">
        <f t="shared" si="75"/>
        <v>0</v>
      </c>
      <c r="Q93" s="187">
        <f t="shared" si="44"/>
        <v>0</v>
      </c>
      <c r="R93" s="128">
        <f t="shared" si="45"/>
        <v>0</v>
      </c>
      <c r="S93" s="187">
        <f t="shared" si="46"/>
        <v>0</v>
      </c>
      <c r="T93" s="128">
        <f t="shared" si="77"/>
        <v>0</v>
      </c>
      <c r="U93" s="128">
        <f t="shared" si="77"/>
        <v>0</v>
      </c>
      <c r="V93" s="128">
        <f t="shared" si="77"/>
        <v>0</v>
      </c>
      <c r="W93" s="128">
        <f t="shared" si="77"/>
        <v>0</v>
      </c>
      <c r="X93" s="128">
        <f t="shared" si="77"/>
        <v>0</v>
      </c>
      <c r="Y93" s="187">
        <f t="shared" si="48"/>
        <v>0</v>
      </c>
      <c r="Z93" s="128">
        <f t="shared" si="49"/>
        <v>0</v>
      </c>
      <c r="AA93" s="128">
        <f t="shared" si="49"/>
        <v>0</v>
      </c>
      <c r="AB93" s="187">
        <f t="shared" si="50"/>
        <v>0</v>
      </c>
      <c r="AC93" s="128">
        <f>AC63</f>
        <v>0</v>
      </c>
      <c r="AD93" s="187">
        <f t="shared" si="52"/>
        <v>0</v>
      </c>
      <c r="AE93" s="128">
        <f t="shared" si="53"/>
        <v>0</v>
      </c>
      <c r="AF93" s="187">
        <f t="shared" si="54"/>
        <v>0</v>
      </c>
      <c r="AG93" s="128"/>
      <c r="AH93" s="128"/>
      <c r="AI93" s="128"/>
      <c r="AJ93" s="128"/>
      <c r="AK93" s="161"/>
      <c r="AL93" s="128"/>
      <c r="AM93" s="128"/>
      <c r="AO93" s="128"/>
      <c r="AP93" s="126">
        <f>Imports!BF28</f>
        <v>0</v>
      </c>
      <c r="AQ93" s="126">
        <f>Imports!BG28</f>
        <v>0</v>
      </c>
      <c r="AR93" s="126" t="e">
        <f>AVERAGE(Imports!C28:Z28)</f>
        <v>#DIV/0!</v>
      </c>
      <c r="AY93" s="81"/>
      <c r="AZ93" s="77"/>
      <c r="BA93" s="77"/>
      <c r="BB93" s="77"/>
      <c r="BC93" s="77"/>
      <c r="BD93" s="77"/>
      <c r="BE93" s="77"/>
      <c r="BK93" s="71"/>
    </row>
    <row r="94" spans="1:65" s="70" customFormat="1" ht="13" collapsed="1" x14ac:dyDescent="0.3">
      <c r="A94" s="193" t="str">
        <f>A31</f>
        <v>Total des produits</v>
      </c>
      <c r="B94" s="187">
        <f>B31</f>
        <v>27</v>
      </c>
      <c r="C94" s="187">
        <f>SUM(C68:C93)</f>
        <v>3276084</v>
      </c>
      <c r="D94" s="187">
        <f t="shared" ref="D94:AL94" si="78">SUM(D68:D93)</f>
        <v>415740</v>
      </c>
      <c r="E94" s="187">
        <f t="shared" si="78"/>
        <v>91565</v>
      </c>
      <c r="F94" s="187">
        <f t="shared" si="78"/>
        <v>0</v>
      </c>
      <c r="G94" s="187">
        <f t="shared" si="78"/>
        <v>3783389</v>
      </c>
      <c r="H94" s="187">
        <f t="shared" si="78"/>
        <v>-4.389910657209839E-11</v>
      </c>
      <c r="I94" s="187">
        <f t="shared" si="78"/>
        <v>1.8189894035458565E-12</v>
      </c>
      <c r="J94" s="187">
        <f t="shared" si="78"/>
        <v>204741</v>
      </c>
      <c r="K94" s="194">
        <f t="shared" si="78"/>
        <v>131017</v>
      </c>
      <c r="L94" s="187">
        <f t="shared" si="78"/>
        <v>-11982</v>
      </c>
      <c r="M94" s="187">
        <f t="shared" si="78"/>
        <v>3976148</v>
      </c>
      <c r="N94" s="187">
        <f t="shared" si="78"/>
        <v>1002014</v>
      </c>
      <c r="O94" s="187">
        <f t="shared" si="78"/>
        <v>146868</v>
      </c>
      <c r="P94" s="187">
        <f t="shared" si="78"/>
        <v>275709</v>
      </c>
      <c r="Q94" s="187">
        <f t="shared" si="78"/>
        <v>422577</v>
      </c>
      <c r="R94" s="187">
        <f t="shared" si="78"/>
        <v>23726</v>
      </c>
      <c r="S94" s="187">
        <f t="shared" si="78"/>
        <v>1448317</v>
      </c>
      <c r="T94" s="187">
        <f t="shared" si="78"/>
        <v>192772</v>
      </c>
      <c r="U94" s="187">
        <f t="shared" si="78"/>
        <v>107135</v>
      </c>
      <c r="V94" s="187">
        <f t="shared" si="78"/>
        <v>15529</v>
      </c>
      <c r="W94" s="187">
        <f t="shared" si="78"/>
        <v>58205</v>
      </c>
      <c r="X94" s="187">
        <f t="shared" si="78"/>
        <v>2396</v>
      </c>
      <c r="Y94" s="187">
        <f t="shared" si="78"/>
        <v>376037</v>
      </c>
      <c r="Z94" s="187">
        <f t="shared" si="78"/>
        <v>806</v>
      </c>
      <c r="AA94" s="187">
        <f t="shared" si="78"/>
        <v>5061.9999999999991</v>
      </c>
      <c r="AB94" s="187">
        <f t="shared" si="78"/>
        <v>381905</v>
      </c>
      <c r="AC94" s="187">
        <f t="shared" si="78"/>
        <v>484545</v>
      </c>
      <c r="AD94" s="187">
        <f t="shared" si="78"/>
        <v>2314767</v>
      </c>
      <c r="AE94" s="187">
        <f t="shared" si="78"/>
        <v>1661381</v>
      </c>
      <c r="AF94" s="187">
        <f t="shared" si="78"/>
        <v>3976148</v>
      </c>
      <c r="AG94" s="187">
        <f t="shared" si="78"/>
        <v>1807462</v>
      </c>
      <c r="AH94" s="187">
        <f t="shared" si="78"/>
        <v>1807462</v>
      </c>
      <c r="AI94" s="187">
        <f t="shared" si="78"/>
        <v>625656.92695162457</v>
      </c>
      <c r="AJ94" s="187">
        <f t="shared" si="78"/>
        <v>3350491.0730483755</v>
      </c>
      <c r="AK94" s="187">
        <f t="shared" si="78"/>
        <v>208301</v>
      </c>
      <c r="AL94" s="187">
        <f t="shared" si="78"/>
        <v>60601</v>
      </c>
      <c r="AM94" s="187">
        <f>IF(SUM(AK94:AL94)=0,0,AL94/SUM(AK94:AL94))</f>
        <v>0.22536463098080342</v>
      </c>
      <c r="AN94" s="70">
        <f>IF(Y94=0,0,AL94/Y94)</f>
        <v>0.16115701380449265</v>
      </c>
      <c r="AO94" s="187"/>
      <c r="AP94" s="187"/>
      <c r="AQ94" s="187"/>
      <c r="AR94" s="187"/>
      <c r="AY94" s="770"/>
      <c r="AZ94" s="187">
        <f>SUM(AZ68:AZ93)</f>
        <v>119606.34540307151</v>
      </c>
      <c r="BA94" s="187">
        <f>SUM(BA68:BA93)</f>
        <v>11410.6545969285</v>
      </c>
      <c r="BB94" s="770"/>
      <c r="BC94" s="770"/>
      <c r="BD94" s="187">
        <f>SUM(BD68:BD93)</f>
        <v>4298728</v>
      </c>
      <c r="BE94" s="187">
        <f>SUM(BE68:BE93)</f>
        <v>324.63826399414484</v>
      </c>
      <c r="BF94" s="187">
        <f>SUM(BF68:BF93)</f>
        <v>4.1495695768389851E-12</v>
      </c>
      <c r="BG94" s="187">
        <f>SUM(BG68:BG93)</f>
        <v>-2.1672441619102756E-11</v>
      </c>
      <c r="BH94" s="772">
        <f>BF94+BG94-H94</f>
        <v>2.6376234529834619E-11</v>
      </c>
      <c r="BI94" s="187">
        <f>SUM(BI68:BI93)</f>
        <v>93300.399260065518</v>
      </c>
      <c r="BJ94" s="187">
        <f>SUM(BJ68:BJ93)</f>
        <v>26305.946143005967</v>
      </c>
      <c r="BK94" s="777">
        <f>SUM(BI94:BJ94)-AZ94</f>
        <v>0</v>
      </c>
    </row>
    <row r="95" spans="1:65" x14ac:dyDescent="0.25">
      <c r="A95" s="185"/>
      <c r="B95" s="128"/>
      <c r="C95" s="128"/>
      <c r="D95" s="128"/>
      <c r="E95" s="128"/>
      <c r="F95" s="128"/>
      <c r="G95" s="128"/>
      <c r="H95" s="128"/>
      <c r="I95" s="128"/>
      <c r="J95" s="128"/>
      <c r="K95" s="128"/>
      <c r="L95" s="128"/>
      <c r="M95" s="128"/>
      <c r="N95" s="128"/>
      <c r="O95" s="128"/>
      <c r="P95" s="128"/>
      <c r="Q95" s="128"/>
      <c r="R95" s="128"/>
      <c r="S95" s="128"/>
      <c r="T95" s="128"/>
      <c r="U95" s="128"/>
      <c r="V95" s="128"/>
      <c r="W95" s="128"/>
      <c r="X95" s="191"/>
      <c r="Y95" s="128"/>
      <c r="Z95" s="128"/>
      <c r="AA95" s="128"/>
      <c r="AB95" s="128"/>
      <c r="AC95" s="128"/>
      <c r="AD95" s="128"/>
      <c r="AE95" s="128"/>
      <c r="AF95" s="128"/>
      <c r="AG95" s="128"/>
      <c r="AH95" s="127" t="str">
        <f>IF(AG94=AH94," GOOD!","WRONG!")</f>
        <v xml:space="preserve"> GOOD!</v>
      </c>
      <c r="AI95" s="128"/>
      <c r="AJ95" s="128"/>
      <c r="AK95" s="161"/>
      <c r="AL95" s="128"/>
      <c r="AM95" s="128"/>
      <c r="AN95" s="128"/>
      <c r="AO95" s="128"/>
      <c r="AP95" s="128"/>
      <c r="AQ95" s="128"/>
      <c r="AR95" s="128"/>
      <c r="BF95" s="71"/>
    </row>
    <row r="96" spans="1:65" x14ac:dyDescent="0.25">
      <c r="A96" s="185"/>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c r="AA96" s="128"/>
      <c r="AB96" s="128"/>
      <c r="AC96" s="154"/>
      <c r="AD96" s="128"/>
      <c r="AE96" s="128"/>
      <c r="AF96" s="128"/>
      <c r="AG96" s="128"/>
      <c r="AH96" s="127">
        <f>AG94-AH94</f>
        <v>0</v>
      </c>
      <c r="AI96" s="128"/>
      <c r="AJ96" s="128"/>
      <c r="AK96" s="161"/>
      <c r="AL96" s="128"/>
      <c r="AM96" s="128"/>
      <c r="AN96" s="128"/>
      <c r="AO96" s="128"/>
      <c r="AP96" s="128"/>
      <c r="AQ96" s="128"/>
      <c r="AR96" s="128"/>
    </row>
    <row r="97" spans="1:44" ht="13" thickBot="1" x14ac:dyDescent="0.3">
      <c r="A97" s="195"/>
      <c r="B97" s="196"/>
      <c r="C97" s="196"/>
      <c r="D97" s="196"/>
      <c r="E97" s="196"/>
      <c r="F97" s="196"/>
      <c r="G97" s="196"/>
      <c r="H97" s="196"/>
      <c r="I97" s="196"/>
      <c r="J97" s="196"/>
      <c r="K97" s="196"/>
      <c r="L97" s="196"/>
      <c r="M97" s="196"/>
      <c r="N97" s="196"/>
      <c r="O97" s="196"/>
      <c r="P97" s="196"/>
      <c r="Q97" s="196"/>
      <c r="R97" s="196"/>
      <c r="S97" s="196"/>
      <c r="T97" s="196"/>
      <c r="U97" s="196"/>
      <c r="V97" s="196"/>
      <c r="W97" s="196"/>
      <c r="X97" s="196"/>
      <c r="Y97" s="196"/>
      <c r="Z97" s="196"/>
      <c r="AA97" s="196"/>
      <c r="AB97" s="196"/>
      <c r="AC97" s="196"/>
      <c r="AD97" s="196"/>
      <c r="AE97" s="196"/>
      <c r="AF97" s="196"/>
      <c r="AG97" s="196"/>
      <c r="AH97" s="196"/>
      <c r="AI97" s="196"/>
      <c r="AJ97" s="196"/>
      <c r="AK97" s="197"/>
      <c r="AL97" s="128"/>
      <c r="AM97" s="128"/>
      <c r="AN97" s="128"/>
      <c r="AO97" s="128"/>
      <c r="AP97" s="128"/>
      <c r="AQ97" s="128"/>
      <c r="AR97" s="128"/>
    </row>
    <row r="100" spans="1:44" x14ac:dyDescent="0.25">
      <c r="A100" s="71" t="s">
        <v>739</v>
      </c>
      <c r="B100" s="71"/>
    </row>
    <row r="101" spans="1:44" x14ac:dyDescent="0.25">
      <c r="A101" s="71" t="str">
        <f t="shared" ref="A101:B127" si="79">A68</f>
        <v>  Agriculture, sylviculture et pêche</v>
      </c>
      <c r="B101" s="71">
        <f t="shared" si="79"/>
        <v>1</v>
      </c>
      <c r="C101" s="71">
        <f t="shared" ref="C101:R116" si="80">C38-C68</f>
        <v>0</v>
      </c>
      <c r="D101" s="71">
        <f t="shared" ref="D101:AF101" si="81">D38-D68</f>
        <v>195.02403389749088</v>
      </c>
      <c r="E101" s="71">
        <f t="shared" si="81"/>
        <v>0</v>
      </c>
      <c r="F101" s="71">
        <f t="shared" si="81"/>
        <v>0</v>
      </c>
      <c r="G101" s="71">
        <f t="shared" si="81"/>
        <v>195.02403389749816</v>
      </c>
      <c r="H101" s="71">
        <f t="shared" si="81"/>
        <v>-7.7753461645988864</v>
      </c>
      <c r="I101" s="71">
        <f t="shared" si="81"/>
        <v>-187.24868773289154</v>
      </c>
      <c r="J101" s="71">
        <f t="shared" si="81"/>
        <v>0</v>
      </c>
      <c r="K101" s="71">
        <f t="shared" si="81"/>
        <v>0</v>
      </c>
      <c r="L101" s="71">
        <f t="shared" si="81"/>
        <v>0</v>
      </c>
      <c r="M101" s="71">
        <f t="shared" si="81"/>
        <v>0</v>
      </c>
      <c r="N101" s="71">
        <f t="shared" si="81"/>
        <v>0</v>
      </c>
      <c r="O101" s="71">
        <f t="shared" si="81"/>
        <v>0</v>
      </c>
      <c r="P101" s="71">
        <f t="shared" si="81"/>
        <v>0</v>
      </c>
      <c r="Q101" s="71">
        <f t="shared" si="81"/>
        <v>0</v>
      </c>
      <c r="R101" s="71">
        <f t="shared" si="81"/>
        <v>0</v>
      </c>
      <c r="S101" s="71">
        <f t="shared" si="81"/>
        <v>0</v>
      </c>
      <c r="T101" s="71">
        <f t="shared" si="81"/>
        <v>0</v>
      </c>
      <c r="U101" s="71">
        <f t="shared" si="81"/>
        <v>0</v>
      </c>
      <c r="V101" s="71">
        <f t="shared" si="81"/>
        <v>0</v>
      </c>
      <c r="W101" s="71">
        <f t="shared" si="81"/>
        <v>0</v>
      </c>
      <c r="X101" s="71">
        <f t="shared" si="81"/>
        <v>0</v>
      </c>
      <c r="Y101" s="71">
        <f t="shared" si="81"/>
        <v>0</v>
      </c>
      <c r="Z101" s="71">
        <f t="shared" si="81"/>
        <v>0</v>
      </c>
      <c r="AA101" s="71">
        <f t="shared" si="81"/>
        <v>0</v>
      </c>
      <c r="AB101" s="71">
        <f t="shared" si="81"/>
        <v>0</v>
      </c>
      <c r="AC101" s="71">
        <f t="shared" si="81"/>
        <v>0</v>
      </c>
      <c r="AD101" s="71">
        <f t="shared" si="81"/>
        <v>0</v>
      </c>
      <c r="AE101" s="71">
        <f t="shared" si="81"/>
        <v>0</v>
      </c>
      <c r="AF101" s="71">
        <f t="shared" si="81"/>
        <v>0</v>
      </c>
      <c r="AG101" s="71"/>
    </row>
    <row r="102" spans="1:44" x14ac:dyDescent="0.25">
      <c r="A102" s="71" t="str">
        <f t="shared" si="79"/>
        <v xml:space="preserve"> Industrie agro-alimentaire</v>
      </c>
      <c r="B102" s="71">
        <f t="shared" si="79"/>
        <v>2</v>
      </c>
      <c r="C102" s="71">
        <f t="shared" si="80"/>
        <v>0</v>
      </c>
      <c r="D102" s="71">
        <f t="shared" si="80"/>
        <v>776.13129612289777</v>
      </c>
      <c r="E102" s="71">
        <f t="shared" si="80"/>
        <v>0</v>
      </c>
      <c r="F102" s="71">
        <f t="shared" si="80"/>
        <v>0</v>
      </c>
      <c r="G102" s="71">
        <f t="shared" si="80"/>
        <v>776.13129612291232</v>
      </c>
      <c r="H102" s="71">
        <f t="shared" si="80"/>
        <v>-24.209390956311836</v>
      </c>
      <c r="I102" s="71">
        <f t="shared" si="80"/>
        <v>-751.92190516658684</v>
      </c>
      <c r="J102" s="71">
        <f t="shared" si="80"/>
        <v>0</v>
      </c>
      <c r="K102" s="71">
        <f t="shared" si="80"/>
        <v>0</v>
      </c>
      <c r="L102" s="71">
        <f t="shared" si="80"/>
        <v>0</v>
      </c>
      <c r="M102" s="71">
        <f t="shared" si="80"/>
        <v>0</v>
      </c>
      <c r="N102" s="71">
        <f t="shared" si="80"/>
        <v>0</v>
      </c>
      <c r="O102" s="71">
        <f t="shared" si="80"/>
        <v>0</v>
      </c>
      <c r="P102" s="71">
        <f t="shared" si="80"/>
        <v>0</v>
      </c>
      <c r="Q102" s="71">
        <f t="shared" si="80"/>
        <v>0</v>
      </c>
      <c r="R102" s="71">
        <f t="shared" si="80"/>
        <v>0</v>
      </c>
      <c r="S102" s="71">
        <f t="shared" ref="S102:AF102" si="82">S39-S69</f>
        <v>0</v>
      </c>
      <c r="T102" s="71">
        <f t="shared" si="82"/>
        <v>0</v>
      </c>
      <c r="U102" s="71">
        <f t="shared" si="82"/>
        <v>0</v>
      </c>
      <c r="V102" s="71">
        <f t="shared" si="82"/>
        <v>0</v>
      </c>
      <c r="W102" s="71">
        <f t="shared" si="82"/>
        <v>0</v>
      </c>
      <c r="X102" s="71">
        <f t="shared" si="82"/>
        <v>0</v>
      </c>
      <c r="Y102" s="71">
        <f t="shared" si="82"/>
        <v>0</v>
      </c>
      <c r="Z102" s="71">
        <f t="shared" si="82"/>
        <v>0</v>
      </c>
      <c r="AA102" s="71">
        <f t="shared" si="82"/>
        <v>0</v>
      </c>
      <c r="AB102" s="71">
        <f t="shared" si="82"/>
        <v>0</v>
      </c>
      <c r="AC102" s="71">
        <f t="shared" si="82"/>
        <v>0</v>
      </c>
      <c r="AD102" s="71">
        <f t="shared" si="82"/>
        <v>0</v>
      </c>
      <c r="AE102" s="71">
        <f t="shared" si="82"/>
        <v>0</v>
      </c>
      <c r="AF102" s="71">
        <f t="shared" si="82"/>
        <v>0</v>
      </c>
      <c r="AG102" s="71"/>
    </row>
    <row r="103" spans="1:44" x14ac:dyDescent="0.25">
      <c r="A103" s="71" t="str">
        <f t="shared" si="79"/>
        <v>Automobile</v>
      </c>
      <c r="B103" s="71">
        <f t="shared" si="79"/>
        <v>3</v>
      </c>
      <c r="C103" s="71">
        <f t="shared" si="80"/>
        <v>0</v>
      </c>
      <c r="D103" s="71">
        <f t="shared" si="80"/>
        <v>779.26847269147402</v>
      </c>
      <c r="E103" s="71">
        <f t="shared" si="80"/>
        <v>0</v>
      </c>
      <c r="F103" s="71">
        <f t="shared" si="80"/>
        <v>0</v>
      </c>
      <c r="G103" s="71">
        <f t="shared" si="80"/>
        <v>779.26847269147402</v>
      </c>
      <c r="H103" s="71">
        <f t="shared" si="80"/>
        <v>-8.1316543798457133</v>
      </c>
      <c r="I103" s="71">
        <f t="shared" si="80"/>
        <v>-771.13681831163103</v>
      </c>
      <c r="J103" s="71">
        <f t="shared" si="80"/>
        <v>0</v>
      </c>
      <c r="K103" s="71">
        <f t="shared" si="80"/>
        <v>0</v>
      </c>
      <c r="L103" s="71">
        <f t="shared" si="80"/>
        <v>0</v>
      </c>
      <c r="M103" s="71">
        <f t="shared" si="80"/>
        <v>0</v>
      </c>
      <c r="N103" s="71">
        <f t="shared" si="80"/>
        <v>0</v>
      </c>
      <c r="O103" s="71">
        <f t="shared" si="80"/>
        <v>0</v>
      </c>
      <c r="P103" s="71">
        <f t="shared" si="80"/>
        <v>0</v>
      </c>
      <c r="Q103" s="71">
        <f t="shared" si="80"/>
        <v>0</v>
      </c>
      <c r="R103" s="71">
        <f t="shared" si="80"/>
        <v>0</v>
      </c>
      <c r="S103" s="71">
        <f t="shared" ref="S103:AF103" si="83">S40-S70</f>
        <v>0</v>
      </c>
      <c r="T103" s="71">
        <f t="shared" si="83"/>
        <v>0</v>
      </c>
      <c r="U103" s="71">
        <f t="shared" si="83"/>
        <v>0</v>
      </c>
      <c r="V103" s="71">
        <f t="shared" si="83"/>
        <v>0</v>
      </c>
      <c r="W103" s="71">
        <f t="shared" si="83"/>
        <v>0</v>
      </c>
      <c r="X103" s="71">
        <f t="shared" si="83"/>
        <v>0</v>
      </c>
      <c r="Y103" s="71">
        <f t="shared" si="83"/>
        <v>0</v>
      </c>
      <c r="Z103" s="71">
        <f t="shared" si="83"/>
        <v>0</v>
      </c>
      <c r="AA103" s="71">
        <f t="shared" si="83"/>
        <v>0</v>
      </c>
      <c r="AB103" s="71">
        <f t="shared" si="83"/>
        <v>0</v>
      </c>
      <c r="AC103" s="71">
        <f t="shared" si="83"/>
        <v>0</v>
      </c>
      <c r="AD103" s="71">
        <f t="shared" si="83"/>
        <v>0</v>
      </c>
      <c r="AE103" s="71">
        <f t="shared" si="83"/>
        <v>0</v>
      </c>
      <c r="AF103" s="71">
        <f t="shared" si="83"/>
        <v>0</v>
      </c>
      <c r="AG103" s="71"/>
    </row>
    <row r="104" spans="1:44" x14ac:dyDescent="0.25">
      <c r="A104" s="71" t="str">
        <f t="shared" si="79"/>
        <v>FABRICATION DE VERRE ET D ARTICLES EN VE</v>
      </c>
      <c r="B104" s="71">
        <f t="shared" si="79"/>
        <v>4</v>
      </c>
      <c r="C104" s="71">
        <f t="shared" si="80"/>
        <v>0</v>
      </c>
      <c r="D104" s="71">
        <f t="shared" si="80"/>
        <v>136.45599543470644</v>
      </c>
      <c r="E104" s="71">
        <f t="shared" si="80"/>
        <v>0</v>
      </c>
      <c r="F104" s="71">
        <f t="shared" si="80"/>
        <v>0</v>
      </c>
      <c r="G104" s="71">
        <f t="shared" si="80"/>
        <v>136.45599543470598</v>
      </c>
      <c r="H104" s="71">
        <f t="shared" si="80"/>
        <v>-0.19126605747584335</v>
      </c>
      <c r="I104" s="71">
        <f t="shared" si="80"/>
        <v>-136.26472937723065</v>
      </c>
      <c r="J104" s="71">
        <f t="shared" si="80"/>
        <v>0</v>
      </c>
      <c r="K104" s="71">
        <f t="shared" si="80"/>
        <v>0</v>
      </c>
      <c r="L104" s="71">
        <f t="shared" si="80"/>
        <v>0</v>
      </c>
      <c r="M104" s="71">
        <f t="shared" si="80"/>
        <v>0</v>
      </c>
      <c r="N104" s="71">
        <f t="shared" si="80"/>
        <v>0</v>
      </c>
      <c r="O104" s="71">
        <f t="shared" si="80"/>
        <v>0</v>
      </c>
      <c r="P104" s="71">
        <f t="shared" si="80"/>
        <v>0</v>
      </c>
      <c r="Q104" s="71">
        <f t="shared" si="80"/>
        <v>0</v>
      </c>
      <c r="R104" s="71">
        <f t="shared" si="80"/>
        <v>0</v>
      </c>
      <c r="S104" s="71">
        <f t="shared" ref="S104:AF104" si="84">S41-S71</f>
        <v>0</v>
      </c>
      <c r="T104" s="71">
        <f t="shared" si="84"/>
        <v>0</v>
      </c>
      <c r="U104" s="71">
        <f t="shared" si="84"/>
        <v>0</v>
      </c>
      <c r="V104" s="71">
        <f t="shared" si="84"/>
        <v>0</v>
      </c>
      <c r="W104" s="71">
        <f t="shared" si="84"/>
        <v>0</v>
      </c>
      <c r="X104" s="71">
        <f t="shared" si="84"/>
        <v>0</v>
      </c>
      <c r="Y104" s="71">
        <f t="shared" si="84"/>
        <v>0</v>
      </c>
      <c r="Z104" s="71">
        <f t="shared" si="84"/>
        <v>0</v>
      </c>
      <c r="AA104" s="71">
        <f t="shared" si="84"/>
        <v>0</v>
      </c>
      <c r="AB104" s="71">
        <f t="shared" si="84"/>
        <v>0</v>
      </c>
      <c r="AC104" s="71">
        <f t="shared" si="84"/>
        <v>0</v>
      </c>
      <c r="AD104" s="71">
        <f t="shared" si="84"/>
        <v>0</v>
      </c>
      <c r="AE104" s="71">
        <f t="shared" si="84"/>
        <v>0</v>
      </c>
      <c r="AF104" s="71">
        <f t="shared" si="84"/>
        <v>0</v>
      </c>
      <c r="AG104" s="71"/>
    </row>
    <row r="105" spans="1:44" x14ac:dyDescent="0.25">
      <c r="A105" s="71" t="str">
        <f t="shared" si="79"/>
        <v>FABRICATION DE PRODUITS CERAMIQUES ET DE</v>
      </c>
      <c r="B105" s="71">
        <f t="shared" si="79"/>
        <v>5</v>
      </c>
      <c r="C105" s="71">
        <f t="shared" si="80"/>
        <v>0</v>
      </c>
      <c r="D105" s="71">
        <f t="shared" si="80"/>
        <v>196.79611089247737</v>
      </c>
      <c r="E105" s="71">
        <f t="shared" si="80"/>
        <v>0</v>
      </c>
      <c r="F105" s="71">
        <f t="shared" si="80"/>
        <v>0</v>
      </c>
      <c r="G105" s="71">
        <f t="shared" si="80"/>
        <v>196.79611089247919</v>
      </c>
      <c r="H105" s="71">
        <f t="shared" si="80"/>
        <v>-3.1099780750155332</v>
      </c>
      <c r="I105" s="71">
        <f t="shared" si="80"/>
        <v>-193.68613281746116</v>
      </c>
      <c r="J105" s="71">
        <f t="shared" si="80"/>
        <v>0</v>
      </c>
      <c r="K105" s="71">
        <f t="shared" si="80"/>
        <v>0</v>
      </c>
      <c r="L105" s="71">
        <f t="shared" si="80"/>
        <v>0</v>
      </c>
      <c r="M105" s="71">
        <f t="shared" si="80"/>
        <v>0</v>
      </c>
      <c r="N105" s="71">
        <f t="shared" si="80"/>
        <v>0</v>
      </c>
      <c r="O105" s="71">
        <f t="shared" si="80"/>
        <v>0</v>
      </c>
      <c r="P105" s="71">
        <f t="shared" si="80"/>
        <v>0</v>
      </c>
      <c r="Q105" s="71">
        <f t="shared" si="80"/>
        <v>0</v>
      </c>
      <c r="R105" s="71">
        <f t="shared" si="80"/>
        <v>0</v>
      </c>
      <c r="S105" s="71">
        <f t="shared" ref="S105:AF105" si="85">S42-S72</f>
        <v>0</v>
      </c>
      <c r="T105" s="71">
        <f t="shared" si="85"/>
        <v>0</v>
      </c>
      <c r="U105" s="71">
        <f t="shared" si="85"/>
        <v>0</v>
      </c>
      <c r="V105" s="71">
        <f t="shared" si="85"/>
        <v>0</v>
      </c>
      <c r="W105" s="71">
        <f t="shared" si="85"/>
        <v>0</v>
      </c>
      <c r="X105" s="71">
        <f t="shared" si="85"/>
        <v>0</v>
      </c>
      <c r="Y105" s="71">
        <f t="shared" si="85"/>
        <v>0</v>
      </c>
      <c r="Z105" s="71">
        <f t="shared" si="85"/>
        <v>0</v>
      </c>
      <c r="AA105" s="71">
        <f t="shared" si="85"/>
        <v>0</v>
      </c>
      <c r="AB105" s="71">
        <f t="shared" si="85"/>
        <v>0</v>
      </c>
      <c r="AC105" s="71">
        <f t="shared" si="85"/>
        <v>0</v>
      </c>
      <c r="AD105" s="71">
        <f t="shared" si="85"/>
        <v>0</v>
      </c>
      <c r="AE105" s="71">
        <f t="shared" si="85"/>
        <v>0</v>
      </c>
      <c r="AF105" s="71">
        <f t="shared" si="85"/>
        <v>0</v>
      </c>
      <c r="AG105" s="71"/>
    </row>
    <row r="106" spans="1:44" x14ac:dyDescent="0.25">
      <c r="A106" s="71" t="str">
        <f t="shared" si="79"/>
        <v>Papier ert carton</v>
      </c>
      <c r="B106" s="71">
        <f t="shared" si="79"/>
        <v>6</v>
      </c>
      <c r="C106" s="71">
        <f t="shared" si="80"/>
        <v>0</v>
      </c>
      <c r="D106" s="71">
        <f t="shared" si="80"/>
        <v>368.33511898411598</v>
      </c>
      <c r="E106" s="71">
        <f t="shared" si="80"/>
        <v>0</v>
      </c>
      <c r="F106" s="71">
        <f t="shared" si="80"/>
        <v>0</v>
      </c>
      <c r="G106" s="71">
        <f t="shared" si="80"/>
        <v>368.33511898411598</v>
      </c>
      <c r="H106" s="71">
        <f t="shared" si="80"/>
        <v>-1.4451213231509428</v>
      </c>
      <c r="I106" s="71">
        <f t="shared" si="80"/>
        <v>-366.88999766096549</v>
      </c>
      <c r="J106" s="71">
        <f t="shared" si="80"/>
        <v>0</v>
      </c>
      <c r="K106" s="71">
        <f t="shared" si="80"/>
        <v>0</v>
      </c>
      <c r="L106" s="71">
        <f t="shared" si="80"/>
        <v>0</v>
      </c>
      <c r="M106" s="71">
        <f t="shared" si="80"/>
        <v>0</v>
      </c>
      <c r="N106" s="71">
        <f t="shared" si="80"/>
        <v>0</v>
      </c>
      <c r="O106" s="71">
        <f t="shared" si="80"/>
        <v>0</v>
      </c>
      <c r="P106" s="71">
        <f t="shared" si="80"/>
        <v>0</v>
      </c>
      <c r="Q106" s="71">
        <f t="shared" si="80"/>
        <v>0</v>
      </c>
      <c r="R106" s="71">
        <f t="shared" si="80"/>
        <v>0</v>
      </c>
      <c r="S106" s="71">
        <f t="shared" ref="S106:AF106" si="86">S43-S73</f>
        <v>0</v>
      </c>
      <c r="T106" s="71">
        <f t="shared" si="86"/>
        <v>0</v>
      </c>
      <c r="U106" s="71">
        <f t="shared" si="86"/>
        <v>0</v>
      </c>
      <c r="V106" s="71">
        <f t="shared" si="86"/>
        <v>0</v>
      </c>
      <c r="W106" s="71">
        <f t="shared" si="86"/>
        <v>0</v>
      </c>
      <c r="X106" s="71">
        <f t="shared" si="86"/>
        <v>0</v>
      </c>
      <c r="Y106" s="71">
        <f t="shared" si="86"/>
        <v>0</v>
      </c>
      <c r="Z106" s="71">
        <f t="shared" si="86"/>
        <v>0</v>
      </c>
      <c r="AA106" s="71">
        <f t="shared" si="86"/>
        <v>0</v>
      </c>
      <c r="AB106" s="71">
        <f t="shared" si="86"/>
        <v>0</v>
      </c>
      <c r="AC106" s="71">
        <f t="shared" si="86"/>
        <v>0</v>
      </c>
      <c r="AD106" s="71">
        <f t="shared" si="86"/>
        <v>0</v>
      </c>
      <c r="AE106" s="71">
        <f t="shared" si="86"/>
        <v>0</v>
      </c>
      <c r="AF106" s="71">
        <f t="shared" si="86"/>
        <v>0</v>
      </c>
      <c r="AG106" s="71"/>
    </row>
    <row r="107" spans="1:44" x14ac:dyDescent="0.25">
      <c r="A107" s="71" t="str">
        <f t="shared" si="79"/>
        <v>INDUSTRIE CHIMIQUE MINERALE</v>
      </c>
      <c r="B107" s="71">
        <f t="shared" si="79"/>
        <v>7</v>
      </c>
      <c r="C107" s="71">
        <f t="shared" si="80"/>
        <v>0</v>
      </c>
      <c r="D107" s="71">
        <f t="shared" si="80"/>
        <v>477.42503160668548</v>
      </c>
      <c r="E107" s="71">
        <f t="shared" si="80"/>
        <v>0</v>
      </c>
      <c r="F107" s="71">
        <f t="shared" si="80"/>
        <v>0</v>
      </c>
      <c r="G107" s="71">
        <f t="shared" si="80"/>
        <v>477.42503160668639</v>
      </c>
      <c r="H107" s="71">
        <f t="shared" si="80"/>
        <v>-0.43947085742865966</v>
      </c>
      <c r="I107" s="71">
        <f t="shared" si="80"/>
        <v>-476.98556074925636</v>
      </c>
      <c r="J107" s="71">
        <f t="shared" si="80"/>
        <v>0</v>
      </c>
      <c r="K107" s="71">
        <f t="shared" si="80"/>
        <v>0</v>
      </c>
      <c r="L107" s="71">
        <f t="shared" si="80"/>
        <v>0</v>
      </c>
      <c r="M107" s="71">
        <f t="shared" si="80"/>
        <v>0</v>
      </c>
      <c r="N107" s="71">
        <f t="shared" si="80"/>
        <v>0</v>
      </c>
      <c r="O107" s="71">
        <f t="shared" si="80"/>
        <v>0</v>
      </c>
      <c r="P107" s="71">
        <f t="shared" si="80"/>
        <v>0</v>
      </c>
      <c r="Q107" s="71">
        <f t="shared" si="80"/>
        <v>0</v>
      </c>
      <c r="R107" s="71">
        <f t="shared" si="80"/>
        <v>0</v>
      </c>
      <c r="S107" s="71">
        <f t="shared" ref="S107:AF107" si="87">S44-S74</f>
        <v>0</v>
      </c>
      <c r="T107" s="71">
        <f t="shared" si="87"/>
        <v>0</v>
      </c>
      <c r="U107" s="71">
        <f t="shared" si="87"/>
        <v>0</v>
      </c>
      <c r="V107" s="71">
        <f t="shared" si="87"/>
        <v>0</v>
      </c>
      <c r="W107" s="71">
        <f t="shared" si="87"/>
        <v>0</v>
      </c>
      <c r="X107" s="71">
        <f t="shared" si="87"/>
        <v>0</v>
      </c>
      <c r="Y107" s="71">
        <f t="shared" si="87"/>
        <v>0</v>
      </c>
      <c r="Z107" s="71">
        <f t="shared" si="87"/>
        <v>0</v>
      </c>
      <c r="AA107" s="71">
        <f t="shared" si="87"/>
        <v>0</v>
      </c>
      <c r="AB107" s="71">
        <f t="shared" si="87"/>
        <v>0</v>
      </c>
      <c r="AC107" s="71">
        <f t="shared" si="87"/>
        <v>0</v>
      </c>
      <c r="AD107" s="71">
        <f t="shared" si="87"/>
        <v>0</v>
      </c>
      <c r="AE107" s="71">
        <f t="shared" si="87"/>
        <v>0</v>
      </c>
      <c r="AF107" s="71">
        <f t="shared" si="87"/>
        <v>0</v>
      </c>
      <c r="AG107" s="71"/>
    </row>
    <row r="108" spans="1:44" x14ac:dyDescent="0.25">
      <c r="A108" s="71" t="str">
        <f t="shared" si="79"/>
        <v>INDUSTRIE CHIMIQUE ORGANIQUE</v>
      </c>
      <c r="B108" s="71">
        <f t="shared" si="79"/>
        <v>8</v>
      </c>
      <c r="C108" s="71">
        <f t="shared" si="80"/>
        <v>0</v>
      </c>
      <c r="D108" s="71">
        <f t="shared" si="80"/>
        <v>302.04911913957403</v>
      </c>
      <c r="E108" s="71">
        <f t="shared" si="80"/>
        <v>0</v>
      </c>
      <c r="F108" s="71">
        <f t="shared" si="80"/>
        <v>0</v>
      </c>
      <c r="G108" s="71">
        <f t="shared" si="80"/>
        <v>302.04911913957039</v>
      </c>
      <c r="H108" s="71">
        <f t="shared" si="80"/>
        <v>-1.0425403552139869</v>
      </c>
      <c r="I108" s="71">
        <f t="shared" si="80"/>
        <v>-301.00657878435845</v>
      </c>
      <c r="J108" s="71">
        <f t="shared" si="80"/>
        <v>0</v>
      </c>
      <c r="K108" s="71">
        <f t="shared" si="80"/>
        <v>0</v>
      </c>
      <c r="L108" s="71">
        <f t="shared" si="80"/>
        <v>0</v>
      </c>
      <c r="M108" s="71">
        <f t="shared" si="80"/>
        <v>0</v>
      </c>
      <c r="N108" s="71">
        <f t="shared" si="80"/>
        <v>0</v>
      </c>
      <c r="O108" s="71">
        <f t="shared" si="80"/>
        <v>0</v>
      </c>
      <c r="P108" s="71">
        <f t="shared" si="80"/>
        <v>0</v>
      </c>
      <c r="Q108" s="71">
        <f t="shared" si="80"/>
        <v>0</v>
      </c>
      <c r="R108" s="71">
        <f t="shared" si="80"/>
        <v>0</v>
      </c>
      <c r="S108" s="71">
        <f t="shared" ref="S108:AF108" si="88">S45-S75</f>
        <v>0</v>
      </c>
      <c r="T108" s="71">
        <f t="shared" si="88"/>
        <v>0</v>
      </c>
      <c r="U108" s="71">
        <f t="shared" si="88"/>
        <v>0</v>
      </c>
      <c r="V108" s="71">
        <f t="shared" si="88"/>
        <v>0</v>
      </c>
      <c r="W108" s="71">
        <f t="shared" si="88"/>
        <v>0</v>
      </c>
      <c r="X108" s="71">
        <f t="shared" si="88"/>
        <v>0</v>
      </c>
      <c r="Y108" s="71">
        <f t="shared" si="88"/>
        <v>0</v>
      </c>
      <c r="Z108" s="71">
        <f t="shared" si="88"/>
        <v>0</v>
      </c>
      <c r="AA108" s="71">
        <f t="shared" si="88"/>
        <v>0</v>
      </c>
      <c r="AB108" s="71">
        <f t="shared" si="88"/>
        <v>0</v>
      </c>
      <c r="AC108" s="71">
        <f t="shared" si="88"/>
        <v>0</v>
      </c>
      <c r="AD108" s="71">
        <f t="shared" si="88"/>
        <v>0</v>
      </c>
      <c r="AE108" s="71">
        <f t="shared" si="88"/>
        <v>0</v>
      </c>
      <c r="AF108" s="71">
        <f t="shared" si="88"/>
        <v>0</v>
      </c>
      <c r="AG108" s="71"/>
    </row>
    <row r="109" spans="1:44" x14ac:dyDescent="0.25">
      <c r="A109" s="71" t="str">
        <f t="shared" si="79"/>
        <v>TRANSFORMATION DES MATIERES PLASTIQUES</v>
      </c>
      <c r="B109" s="71">
        <f t="shared" si="79"/>
        <v>9</v>
      </c>
      <c r="C109" s="71">
        <f t="shared" si="80"/>
        <v>0</v>
      </c>
      <c r="D109" s="71">
        <f t="shared" si="80"/>
        <v>335.59740799124666</v>
      </c>
      <c r="E109" s="71">
        <f t="shared" si="80"/>
        <v>0</v>
      </c>
      <c r="F109" s="71">
        <f t="shared" si="80"/>
        <v>0</v>
      </c>
      <c r="G109" s="71">
        <f t="shared" si="80"/>
        <v>335.59740799124847</v>
      </c>
      <c r="H109" s="71">
        <f t="shared" si="80"/>
        <v>-0.8308244676936738</v>
      </c>
      <c r="I109" s="71">
        <f t="shared" si="80"/>
        <v>-334.76658352355344</v>
      </c>
      <c r="J109" s="71">
        <f t="shared" si="80"/>
        <v>0</v>
      </c>
      <c r="K109" s="71">
        <f t="shared" si="80"/>
        <v>0</v>
      </c>
      <c r="L109" s="71">
        <f t="shared" si="80"/>
        <v>0</v>
      </c>
      <c r="M109" s="71">
        <f t="shared" si="80"/>
        <v>0</v>
      </c>
      <c r="N109" s="71">
        <f t="shared" si="80"/>
        <v>0</v>
      </c>
      <c r="O109" s="71">
        <f t="shared" si="80"/>
        <v>0</v>
      </c>
      <c r="P109" s="71">
        <f t="shared" si="80"/>
        <v>0</v>
      </c>
      <c r="Q109" s="71">
        <f t="shared" si="80"/>
        <v>0</v>
      </c>
      <c r="R109" s="71">
        <f t="shared" si="80"/>
        <v>0</v>
      </c>
      <c r="S109" s="71">
        <f t="shared" ref="S109:AF109" si="89">S46-S76</f>
        <v>0</v>
      </c>
      <c r="T109" s="71">
        <f t="shared" si="89"/>
        <v>0</v>
      </c>
      <c r="U109" s="71">
        <f t="shared" si="89"/>
        <v>0</v>
      </c>
      <c r="V109" s="71">
        <f t="shared" si="89"/>
        <v>0</v>
      </c>
      <c r="W109" s="71">
        <f t="shared" si="89"/>
        <v>0</v>
      </c>
      <c r="X109" s="71">
        <f t="shared" si="89"/>
        <v>0</v>
      </c>
      <c r="Y109" s="71">
        <f t="shared" si="89"/>
        <v>0</v>
      </c>
      <c r="Z109" s="71">
        <f t="shared" si="89"/>
        <v>0</v>
      </c>
      <c r="AA109" s="71">
        <f t="shared" si="89"/>
        <v>0</v>
      </c>
      <c r="AB109" s="71">
        <f t="shared" si="89"/>
        <v>0</v>
      </c>
      <c r="AC109" s="71">
        <f t="shared" si="89"/>
        <v>0</v>
      </c>
      <c r="AD109" s="71">
        <f t="shared" si="89"/>
        <v>0</v>
      </c>
      <c r="AE109" s="71">
        <f t="shared" si="89"/>
        <v>0</v>
      </c>
      <c r="AF109" s="71">
        <f t="shared" si="89"/>
        <v>0</v>
      </c>
      <c r="AG109" s="71"/>
    </row>
    <row r="110" spans="1:44" x14ac:dyDescent="0.25">
      <c r="A110" s="71" t="str">
        <f t="shared" si="79"/>
        <v>SIDERURGIE ET PREMIERE TRANSFORMATION DE</v>
      </c>
      <c r="B110" s="71">
        <f t="shared" si="79"/>
        <v>10</v>
      </c>
      <c r="C110" s="71">
        <f t="shared" si="80"/>
        <v>0</v>
      </c>
      <c r="D110" s="71">
        <f t="shared" si="80"/>
        <v>359.75732803036954</v>
      </c>
      <c r="E110" s="71">
        <f t="shared" si="80"/>
        <v>0</v>
      </c>
      <c r="F110" s="71">
        <f t="shared" si="80"/>
        <v>0</v>
      </c>
      <c r="G110" s="71">
        <f t="shared" si="80"/>
        <v>359.75732803036954</v>
      </c>
      <c r="H110" s="71">
        <f t="shared" si="80"/>
        <v>-0.97477523212546657</v>
      </c>
      <c r="I110" s="71">
        <f t="shared" si="80"/>
        <v>-358.78255279824475</v>
      </c>
      <c r="J110" s="71">
        <f t="shared" si="80"/>
        <v>0</v>
      </c>
      <c r="K110" s="71">
        <f t="shared" si="80"/>
        <v>0</v>
      </c>
      <c r="L110" s="71">
        <f t="shared" si="80"/>
        <v>0</v>
      </c>
      <c r="M110" s="71">
        <f t="shared" si="80"/>
        <v>0</v>
      </c>
      <c r="N110" s="71">
        <f t="shared" si="80"/>
        <v>0</v>
      </c>
      <c r="O110" s="71">
        <f t="shared" si="80"/>
        <v>0</v>
      </c>
      <c r="P110" s="71">
        <f t="shared" si="80"/>
        <v>0</v>
      </c>
      <c r="Q110" s="71">
        <f t="shared" si="80"/>
        <v>0</v>
      </c>
      <c r="R110" s="71">
        <f t="shared" si="80"/>
        <v>0</v>
      </c>
      <c r="S110" s="71">
        <f t="shared" ref="S110:AF110" si="90">S47-S77</f>
        <v>0</v>
      </c>
      <c r="T110" s="71">
        <f t="shared" si="90"/>
        <v>0</v>
      </c>
      <c r="U110" s="71">
        <f t="shared" si="90"/>
        <v>0</v>
      </c>
      <c r="V110" s="71">
        <f t="shared" si="90"/>
        <v>0</v>
      </c>
      <c r="W110" s="71">
        <f t="shared" si="90"/>
        <v>0</v>
      </c>
      <c r="X110" s="71">
        <f t="shared" si="90"/>
        <v>0</v>
      </c>
      <c r="Y110" s="71">
        <f t="shared" si="90"/>
        <v>0</v>
      </c>
      <c r="Z110" s="71">
        <f t="shared" si="90"/>
        <v>0</v>
      </c>
      <c r="AA110" s="71">
        <f t="shared" si="90"/>
        <v>0</v>
      </c>
      <c r="AB110" s="71">
        <f t="shared" si="90"/>
        <v>0</v>
      </c>
      <c r="AC110" s="71">
        <f t="shared" si="90"/>
        <v>0</v>
      </c>
      <c r="AD110" s="71">
        <f t="shared" si="90"/>
        <v>0</v>
      </c>
      <c r="AE110" s="71">
        <f t="shared" si="90"/>
        <v>0</v>
      </c>
      <c r="AF110" s="71">
        <f t="shared" si="90"/>
        <v>0</v>
      </c>
      <c r="AG110" s="71"/>
    </row>
    <row r="111" spans="1:44" x14ac:dyDescent="0.25">
      <c r="A111" s="71" t="str">
        <f t="shared" si="79"/>
        <v>PRODUCTION DE METAUX NON FERREUX</v>
      </c>
      <c r="B111" s="71">
        <f t="shared" si="79"/>
        <v>11</v>
      </c>
      <c r="C111" s="71">
        <f t="shared" si="80"/>
        <v>0</v>
      </c>
      <c r="D111" s="71">
        <f t="shared" si="80"/>
        <v>191.23153032409937</v>
      </c>
      <c r="E111" s="71">
        <f t="shared" si="80"/>
        <v>0</v>
      </c>
      <c r="F111" s="71">
        <f t="shared" si="80"/>
        <v>0</v>
      </c>
      <c r="G111" s="71">
        <f t="shared" si="80"/>
        <v>191.23153032409755</v>
      </c>
      <c r="H111" s="71">
        <f t="shared" si="80"/>
        <v>-0.69649715269497392</v>
      </c>
      <c r="I111" s="71">
        <f t="shared" si="80"/>
        <v>-190.53503317140326</v>
      </c>
      <c r="J111" s="71">
        <f t="shared" si="80"/>
        <v>0</v>
      </c>
      <c r="K111" s="71">
        <f t="shared" si="80"/>
        <v>0</v>
      </c>
      <c r="L111" s="71">
        <f t="shared" si="80"/>
        <v>0</v>
      </c>
      <c r="M111" s="71">
        <f t="shared" si="80"/>
        <v>0</v>
      </c>
      <c r="N111" s="71">
        <f t="shared" si="80"/>
        <v>0</v>
      </c>
      <c r="O111" s="71">
        <f t="shared" si="80"/>
        <v>0</v>
      </c>
      <c r="P111" s="71">
        <f t="shared" si="80"/>
        <v>0</v>
      </c>
      <c r="Q111" s="71">
        <f t="shared" si="80"/>
        <v>0</v>
      </c>
      <c r="R111" s="71">
        <f t="shared" si="80"/>
        <v>0</v>
      </c>
      <c r="S111" s="71">
        <f t="shared" ref="S111:AF111" si="91">S48-S78</f>
        <v>0</v>
      </c>
      <c r="T111" s="71">
        <f t="shared" si="91"/>
        <v>0</v>
      </c>
      <c r="U111" s="71">
        <f t="shared" si="91"/>
        <v>0</v>
      </c>
      <c r="V111" s="71">
        <f t="shared" si="91"/>
        <v>0</v>
      </c>
      <c r="W111" s="71">
        <f t="shared" si="91"/>
        <v>0</v>
      </c>
      <c r="X111" s="71">
        <f t="shared" si="91"/>
        <v>0</v>
      </c>
      <c r="Y111" s="71">
        <f t="shared" si="91"/>
        <v>0</v>
      </c>
      <c r="Z111" s="71">
        <f t="shared" si="91"/>
        <v>0</v>
      </c>
      <c r="AA111" s="71">
        <f t="shared" si="91"/>
        <v>0</v>
      </c>
      <c r="AB111" s="71">
        <f t="shared" si="91"/>
        <v>0</v>
      </c>
      <c r="AC111" s="71">
        <f t="shared" si="91"/>
        <v>0</v>
      </c>
      <c r="AD111" s="71">
        <f t="shared" si="91"/>
        <v>0</v>
      </c>
      <c r="AE111" s="71">
        <f t="shared" si="91"/>
        <v>0</v>
      </c>
      <c r="AF111" s="71">
        <f t="shared" si="91"/>
        <v>0</v>
      </c>
      <c r="AG111" s="71"/>
    </row>
    <row r="112" spans="1:44" x14ac:dyDescent="0.25">
      <c r="A112" s="71" t="str">
        <f t="shared" si="79"/>
        <v>Autres industries</v>
      </c>
      <c r="B112" s="71">
        <f t="shared" si="79"/>
        <v>12</v>
      </c>
      <c r="C112" s="71">
        <f t="shared" si="80"/>
        <v>0</v>
      </c>
      <c r="D112" s="71">
        <f t="shared" si="80"/>
        <v>5555.0279199311044</v>
      </c>
      <c r="E112" s="71">
        <f t="shared" si="80"/>
        <v>0</v>
      </c>
      <c r="F112" s="71">
        <f t="shared" si="80"/>
        <v>0</v>
      </c>
      <c r="G112" s="71">
        <f t="shared" si="80"/>
        <v>5555.0279199311044</v>
      </c>
      <c r="H112" s="71">
        <f t="shared" si="80"/>
        <v>-54.821343015646562</v>
      </c>
      <c r="I112" s="71">
        <f t="shared" si="80"/>
        <v>-5500.2065769154469</v>
      </c>
      <c r="J112" s="71">
        <f t="shared" si="80"/>
        <v>0</v>
      </c>
      <c r="K112" s="71">
        <f t="shared" si="80"/>
        <v>0</v>
      </c>
      <c r="L112" s="71">
        <f t="shared" si="80"/>
        <v>0</v>
      </c>
      <c r="M112" s="71">
        <f t="shared" si="80"/>
        <v>0</v>
      </c>
      <c r="N112" s="71">
        <f t="shared" si="80"/>
        <v>0</v>
      </c>
      <c r="O112" s="71">
        <f t="shared" si="80"/>
        <v>0</v>
      </c>
      <c r="P112" s="71">
        <f t="shared" si="80"/>
        <v>0</v>
      </c>
      <c r="Q112" s="71">
        <f t="shared" si="80"/>
        <v>0</v>
      </c>
      <c r="R112" s="71">
        <f t="shared" si="80"/>
        <v>0</v>
      </c>
      <c r="S112" s="71">
        <f t="shared" ref="S112:AF112" si="92">S49-S79</f>
        <v>0</v>
      </c>
      <c r="T112" s="71">
        <f t="shared" si="92"/>
        <v>0</v>
      </c>
      <c r="U112" s="71">
        <f t="shared" si="92"/>
        <v>0</v>
      </c>
      <c r="V112" s="71">
        <f t="shared" si="92"/>
        <v>0</v>
      </c>
      <c r="W112" s="71">
        <f t="shared" si="92"/>
        <v>0</v>
      </c>
      <c r="X112" s="71">
        <f t="shared" si="92"/>
        <v>0</v>
      </c>
      <c r="Y112" s="71">
        <f t="shared" si="92"/>
        <v>0</v>
      </c>
      <c r="Z112" s="71">
        <f t="shared" si="92"/>
        <v>0</v>
      </c>
      <c r="AA112" s="71">
        <f t="shared" si="92"/>
        <v>0</v>
      </c>
      <c r="AB112" s="71">
        <f t="shared" si="92"/>
        <v>0</v>
      </c>
      <c r="AC112" s="71">
        <f t="shared" si="92"/>
        <v>0</v>
      </c>
      <c r="AD112" s="71">
        <f t="shared" si="92"/>
        <v>0</v>
      </c>
      <c r="AE112" s="71">
        <f t="shared" si="92"/>
        <v>0</v>
      </c>
      <c r="AF112" s="71">
        <f t="shared" si="92"/>
        <v>0</v>
      </c>
      <c r="AG112" s="71"/>
    </row>
    <row r="113" spans="1:33" x14ac:dyDescent="0.25">
      <c r="A113" s="71" t="str">
        <f t="shared" si="79"/>
        <v>BTP</v>
      </c>
      <c r="B113" s="71">
        <f t="shared" si="79"/>
        <v>13</v>
      </c>
      <c r="C113" s="71">
        <f t="shared" si="80"/>
        <v>0</v>
      </c>
      <c r="D113" s="71">
        <f t="shared" si="80"/>
        <v>0</v>
      </c>
      <c r="E113" s="71">
        <f t="shared" si="80"/>
        <v>0</v>
      </c>
      <c r="F113" s="71">
        <f t="shared" si="80"/>
        <v>0</v>
      </c>
      <c r="G113" s="71">
        <f t="shared" si="80"/>
        <v>0</v>
      </c>
      <c r="H113" s="71">
        <f t="shared" si="80"/>
        <v>0</v>
      </c>
      <c r="I113" s="71">
        <f t="shared" si="80"/>
        <v>0</v>
      </c>
      <c r="J113" s="71">
        <f t="shared" si="80"/>
        <v>0</v>
      </c>
      <c r="K113" s="71">
        <f t="shared" si="80"/>
        <v>0</v>
      </c>
      <c r="L113" s="71">
        <f t="shared" si="80"/>
        <v>0</v>
      </c>
      <c r="M113" s="71">
        <f t="shared" si="80"/>
        <v>0</v>
      </c>
      <c r="N113" s="71">
        <f t="shared" si="80"/>
        <v>0</v>
      </c>
      <c r="O113" s="71">
        <f t="shared" si="80"/>
        <v>0</v>
      </c>
      <c r="P113" s="71">
        <f t="shared" si="80"/>
        <v>0</v>
      </c>
      <c r="Q113" s="71">
        <f t="shared" si="80"/>
        <v>0</v>
      </c>
      <c r="R113" s="71">
        <f t="shared" si="80"/>
        <v>0</v>
      </c>
      <c r="S113" s="71">
        <f t="shared" ref="S113:AF113" si="93">S50-S80</f>
        <v>0</v>
      </c>
      <c r="T113" s="71">
        <f t="shared" si="93"/>
        <v>0</v>
      </c>
      <c r="U113" s="71">
        <f t="shared" si="93"/>
        <v>0</v>
      </c>
      <c r="V113" s="71">
        <f t="shared" si="93"/>
        <v>0</v>
      </c>
      <c r="W113" s="71">
        <f t="shared" si="93"/>
        <v>0</v>
      </c>
      <c r="X113" s="71">
        <f t="shared" si="93"/>
        <v>0</v>
      </c>
      <c r="Y113" s="71">
        <f t="shared" si="93"/>
        <v>0</v>
      </c>
      <c r="Z113" s="71">
        <f t="shared" si="93"/>
        <v>0</v>
      </c>
      <c r="AA113" s="71">
        <f t="shared" si="93"/>
        <v>0</v>
      </c>
      <c r="AB113" s="71">
        <f t="shared" si="93"/>
        <v>0</v>
      </c>
      <c r="AC113" s="71">
        <f t="shared" si="93"/>
        <v>0</v>
      </c>
      <c r="AD113" s="71">
        <f t="shared" si="93"/>
        <v>0</v>
      </c>
      <c r="AE113" s="71">
        <f t="shared" si="93"/>
        <v>0</v>
      </c>
      <c r="AF113" s="71">
        <f t="shared" si="93"/>
        <v>0</v>
      </c>
      <c r="AG113" s="71"/>
    </row>
    <row r="114" spans="1:33" x14ac:dyDescent="0.25">
      <c r="A114" s="71" t="str">
        <f t="shared" si="79"/>
        <v>TRANSPORTS FERROVIAIRES</v>
      </c>
      <c r="B114" s="71">
        <f t="shared" si="79"/>
        <v>14</v>
      </c>
      <c r="C114" s="71">
        <f t="shared" si="80"/>
        <v>0</v>
      </c>
      <c r="D114" s="71">
        <f t="shared" si="80"/>
        <v>0</v>
      </c>
      <c r="E114" s="71">
        <f t="shared" si="80"/>
        <v>0</v>
      </c>
      <c r="F114" s="71">
        <f t="shared" si="80"/>
        <v>-119</v>
      </c>
      <c r="G114" s="71">
        <f t="shared" si="80"/>
        <v>-119</v>
      </c>
      <c r="H114" s="71">
        <f t="shared" si="80"/>
        <v>0</v>
      </c>
      <c r="I114" s="71">
        <f t="shared" si="80"/>
        <v>119</v>
      </c>
      <c r="J114" s="71">
        <f t="shared" si="80"/>
        <v>0</v>
      </c>
      <c r="K114" s="71">
        <f t="shared" si="80"/>
        <v>0</v>
      </c>
      <c r="L114" s="71">
        <f t="shared" si="80"/>
        <v>0</v>
      </c>
      <c r="M114" s="71">
        <f t="shared" si="80"/>
        <v>0</v>
      </c>
      <c r="N114" s="71">
        <f t="shared" si="80"/>
        <v>0</v>
      </c>
      <c r="O114" s="71">
        <f t="shared" si="80"/>
        <v>0</v>
      </c>
      <c r="P114" s="71">
        <f t="shared" si="80"/>
        <v>0</v>
      </c>
      <c r="Q114" s="71">
        <f t="shared" si="80"/>
        <v>0</v>
      </c>
      <c r="R114" s="71">
        <f t="shared" si="80"/>
        <v>0</v>
      </c>
      <c r="S114" s="71">
        <f t="shared" ref="S114:AF114" si="94">S51-S81</f>
        <v>0</v>
      </c>
      <c r="T114" s="71">
        <f t="shared" si="94"/>
        <v>0</v>
      </c>
      <c r="U114" s="71">
        <f t="shared" si="94"/>
        <v>0</v>
      </c>
      <c r="V114" s="71">
        <f t="shared" si="94"/>
        <v>0</v>
      </c>
      <c r="W114" s="71">
        <f t="shared" si="94"/>
        <v>0</v>
      </c>
      <c r="X114" s="71">
        <f t="shared" si="94"/>
        <v>0</v>
      </c>
      <c r="Y114" s="71">
        <f t="shared" si="94"/>
        <v>0</v>
      </c>
      <c r="Z114" s="71">
        <f t="shared" si="94"/>
        <v>0</v>
      </c>
      <c r="AA114" s="71">
        <f t="shared" si="94"/>
        <v>0</v>
      </c>
      <c r="AB114" s="71">
        <f t="shared" si="94"/>
        <v>0</v>
      </c>
      <c r="AC114" s="71">
        <f t="shared" si="94"/>
        <v>0</v>
      </c>
      <c r="AD114" s="71">
        <f t="shared" si="94"/>
        <v>0</v>
      </c>
      <c r="AE114" s="71">
        <f t="shared" si="94"/>
        <v>0</v>
      </c>
      <c r="AF114" s="71">
        <f t="shared" si="94"/>
        <v>0</v>
      </c>
      <c r="AG114" s="71"/>
    </row>
    <row r="115" spans="1:33" x14ac:dyDescent="0.25">
      <c r="A115" s="71" t="str">
        <f t="shared" si="79"/>
        <v>TRANSPORT ROUTIER DE VOYAGEURS</v>
      </c>
      <c r="B115" s="71">
        <f t="shared" si="79"/>
        <v>15</v>
      </c>
      <c r="C115" s="71">
        <f t="shared" si="80"/>
        <v>0</v>
      </c>
      <c r="D115" s="71">
        <f t="shared" si="80"/>
        <v>0</v>
      </c>
      <c r="E115" s="71">
        <f t="shared" si="80"/>
        <v>0</v>
      </c>
      <c r="F115" s="71">
        <f t="shared" si="80"/>
        <v>0</v>
      </c>
      <c r="G115" s="71">
        <f t="shared" si="80"/>
        <v>0</v>
      </c>
      <c r="H115" s="71">
        <f t="shared" si="80"/>
        <v>0</v>
      </c>
      <c r="I115" s="71">
        <f t="shared" si="80"/>
        <v>0</v>
      </c>
      <c r="J115" s="71">
        <f t="shared" si="80"/>
        <v>0</v>
      </c>
      <c r="K115" s="71">
        <f t="shared" si="80"/>
        <v>0</v>
      </c>
      <c r="L115" s="71">
        <f t="shared" si="80"/>
        <v>0</v>
      </c>
      <c r="M115" s="71">
        <f t="shared" si="80"/>
        <v>0</v>
      </c>
      <c r="N115" s="71">
        <f t="shared" si="80"/>
        <v>0</v>
      </c>
      <c r="O115" s="71">
        <f t="shared" si="80"/>
        <v>0</v>
      </c>
      <c r="P115" s="71">
        <f t="shared" si="80"/>
        <v>0</v>
      </c>
      <c r="Q115" s="71">
        <f t="shared" si="80"/>
        <v>0</v>
      </c>
      <c r="R115" s="71">
        <f t="shared" si="80"/>
        <v>0</v>
      </c>
      <c r="S115" s="71">
        <f t="shared" ref="S115:AF115" si="95">S52-S82</f>
        <v>0</v>
      </c>
      <c r="T115" s="71">
        <f t="shared" si="95"/>
        <v>0</v>
      </c>
      <c r="U115" s="71">
        <f t="shared" si="95"/>
        <v>0</v>
      </c>
      <c r="V115" s="71">
        <f t="shared" si="95"/>
        <v>0</v>
      </c>
      <c r="W115" s="71">
        <f t="shared" si="95"/>
        <v>0</v>
      </c>
      <c r="X115" s="71">
        <f t="shared" si="95"/>
        <v>0</v>
      </c>
      <c r="Y115" s="71">
        <f t="shared" si="95"/>
        <v>0</v>
      </c>
      <c r="Z115" s="71">
        <f t="shared" si="95"/>
        <v>0</v>
      </c>
      <c r="AA115" s="71">
        <f t="shared" si="95"/>
        <v>0</v>
      </c>
      <c r="AB115" s="71">
        <f t="shared" si="95"/>
        <v>0</v>
      </c>
      <c r="AC115" s="71">
        <f t="shared" si="95"/>
        <v>0</v>
      </c>
      <c r="AD115" s="71">
        <f t="shared" si="95"/>
        <v>0</v>
      </c>
      <c r="AE115" s="71">
        <f t="shared" si="95"/>
        <v>0</v>
      </c>
      <c r="AF115" s="71">
        <f t="shared" si="95"/>
        <v>0</v>
      </c>
      <c r="AG115" s="71"/>
    </row>
    <row r="116" spans="1:33" x14ac:dyDescent="0.25">
      <c r="A116" s="71" t="str">
        <f t="shared" si="79"/>
        <v xml:space="preserve">TRANSPORT ROUTIER (OU PAR CONDUITES) DE </v>
      </c>
      <c r="B116" s="71">
        <f t="shared" si="79"/>
        <v>16</v>
      </c>
      <c r="C116" s="71">
        <f t="shared" si="80"/>
        <v>0</v>
      </c>
      <c r="D116" s="71">
        <f t="shared" si="80"/>
        <v>0</v>
      </c>
      <c r="E116" s="71">
        <f t="shared" si="80"/>
        <v>0</v>
      </c>
      <c r="F116" s="71">
        <f t="shared" si="80"/>
        <v>-3788</v>
      </c>
      <c r="G116" s="71">
        <f t="shared" si="80"/>
        <v>-3788</v>
      </c>
      <c r="H116" s="71">
        <f t="shared" si="80"/>
        <v>0</v>
      </c>
      <c r="I116" s="71">
        <f t="shared" si="80"/>
        <v>3788</v>
      </c>
      <c r="J116" s="71">
        <f t="shared" si="80"/>
        <v>0</v>
      </c>
      <c r="K116" s="71">
        <f t="shared" si="80"/>
        <v>0</v>
      </c>
      <c r="L116" s="71">
        <f t="shared" si="80"/>
        <v>0</v>
      </c>
      <c r="M116" s="71">
        <f t="shared" ref="M116:AF116" si="96">M53-M83</f>
        <v>0</v>
      </c>
      <c r="N116" s="71">
        <f t="shared" si="96"/>
        <v>0</v>
      </c>
      <c r="O116" s="71">
        <f t="shared" si="96"/>
        <v>0</v>
      </c>
      <c r="P116" s="71">
        <f t="shared" si="96"/>
        <v>0</v>
      </c>
      <c r="Q116" s="71">
        <f t="shared" si="96"/>
        <v>0</v>
      </c>
      <c r="R116" s="71">
        <f t="shared" si="96"/>
        <v>0</v>
      </c>
      <c r="S116" s="71">
        <f t="shared" si="96"/>
        <v>0</v>
      </c>
      <c r="T116" s="71">
        <f t="shared" si="96"/>
        <v>0</v>
      </c>
      <c r="U116" s="71">
        <f t="shared" si="96"/>
        <v>0</v>
      </c>
      <c r="V116" s="71">
        <f t="shared" si="96"/>
        <v>0</v>
      </c>
      <c r="W116" s="71">
        <f t="shared" si="96"/>
        <v>0</v>
      </c>
      <c r="X116" s="71">
        <f t="shared" si="96"/>
        <v>0</v>
      </c>
      <c r="Y116" s="71">
        <f t="shared" si="96"/>
        <v>0</v>
      </c>
      <c r="Z116" s="71">
        <f t="shared" si="96"/>
        <v>0</v>
      </c>
      <c r="AA116" s="71">
        <f t="shared" si="96"/>
        <v>0</v>
      </c>
      <c r="AB116" s="71">
        <f t="shared" si="96"/>
        <v>0</v>
      </c>
      <c r="AC116" s="71">
        <f t="shared" si="96"/>
        <v>0</v>
      </c>
      <c r="AD116" s="71">
        <f t="shared" si="96"/>
        <v>0</v>
      </c>
      <c r="AE116" s="71">
        <f t="shared" si="96"/>
        <v>0</v>
      </c>
      <c r="AF116" s="71">
        <f t="shared" si="96"/>
        <v>0</v>
      </c>
      <c r="AG116" s="71"/>
    </row>
    <row r="117" spans="1:33" x14ac:dyDescent="0.25">
      <c r="A117" s="71" t="str">
        <f t="shared" si="79"/>
        <v>TRANSPORTS PAR EAU</v>
      </c>
      <c r="B117" s="71">
        <f t="shared" si="79"/>
        <v>17</v>
      </c>
      <c r="C117" s="71">
        <f t="shared" ref="C117:AF125" si="97">C54-C84</f>
        <v>0</v>
      </c>
      <c r="D117" s="71">
        <f t="shared" si="97"/>
        <v>0</v>
      </c>
      <c r="E117" s="71">
        <f t="shared" si="97"/>
        <v>0</v>
      </c>
      <c r="F117" s="71">
        <f t="shared" si="97"/>
        <v>-6704</v>
      </c>
      <c r="G117" s="71">
        <f t="shared" si="97"/>
        <v>-6704.0000000000018</v>
      </c>
      <c r="H117" s="71">
        <f t="shared" si="97"/>
        <v>0</v>
      </c>
      <c r="I117" s="71">
        <f t="shared" si="97"/>
        <v>6703.9999999999991</v>
      </c>
      <c r="J117" s="71">
        <f t="shared" si="97"/>
        <v>0</v>
      </c>
      <c r="K117" s="71">
        <f t="shared" si="97"/>
        <v>0</v>
      </c>
      <c r="L117" s="71">
        <f t="shared" si="97"/>
        <v>0</v>
      </c>
      <c r="M117" s="71">
        <f t="shared" si="97"/>
        <v>0</v>
      </c>
      <c r="N117" s="71">
        <f t="shared" si="97"/>
        <v>0</v>
      </c>
      <c r="O117" s="71">
        <f t="shared" si="97"/>
        <v>0</v>
      </c>
      <c r="P117" s="71">
        <f t="shared" si="97"/>
        <v>0</v>
      </c>
      <c r="Q117" s="71">
        <f t="shared" si="97"/>
        <v>0</v>
      </c>
      <c r="R117" s="71">
        <f t="shared" si="97"/>
        <v>0</v>
      </c>
      <c r="S117" s="71">
        <f t="shared" si="97"/>
        <v>0</v>
      </c>
      <c r="T117" s="71">
        <f t="shared" si="97"/>
        <v>0</v>
      </c>
      <c r="U117" s="71">
        <f t="shared" si="97"/>
        <v>0</v>
      </c>
      <c r="V117" s="71">
        <f t="shared" si="97"/>
        <v>0</v>
      </c>
      <c r="W117" s="71">
        <f t="shared" si="97"/>
        <v>0</v>
      </c>
      <c r="X117" s="71">
        <f t="shared" si="97"/>
        <v>0</v>
      </c>
      <c r="Y117" s="71">
        <f t="shared" si="97"/>
        <v>0</v>
      </c>
      <c r="Z117" s="71">
        <f t="shared" si="97"/>
        <v>0</v>
      </c>
      <c r="AA117" s="71">
        <f t="shared" si="97"/>
        <v>0</v>
      </c>
      <c r="AB117" s="71">
        <f t="shared" si="97"/>
        <v>0</v>
      </c>
      <c r="AC117" s="71">
        <f t="shared" si="97"/>
        <v>0</v>
      </c>
      <c r="AD117" s="71">
        <f t="shared" si="97"/>
        <v>0</v>
      </c>
      <c r="AE117" s="71">
        <f t="shared" si="97"/>
        <v>0</v>
      </c>
      <c r="AF117" s="71">
        <f t="shared" si="97"/>
        <v>0</v>
      </c>
      <c r="AG117" s="71"/>
    </row>
    <row r="118" spans="1:33" x14ac:dyDescent="0.25">
      <c r="A118" s="71" t="str">
        <f t="shared" si="79"/>
        <v>TRANSPORTS AERIENS</v>
      </c>
      <c r="B118" s="71">
        <f t="shared" si="79"/>
        <v>18</v>
      </c>
      <c r="C118" s="71">
        <f t="shared" si="97"/>
        <v>0</v>
      </c>
      <c r="D118" s="71">
        <f t="shared" si="97"/>
        <v>0</v>
      </c>
      <c r="E118" s="71">
        <f t="shared" si="97"/>
        <v>0</v>
      </c>
      <c r="F118" s="71">
        <f t="shared" si="97"/>
        <v>-2151</v>
      </c>
      <c r="G118" s="71">
        <f t="shared" si="97"/>
        <v>-2151</v>
      </c>
      <c r="H118" s="71">
        <f t="shared" si="97"/>
        <v>0</v>
      </c>
      <c r="I118" s="71">
        <f t="shared" si="97"/>
        <v>2151</v>
      </c>
      <c r="J118" s="71">
        <f t="shared" si="97"/>
        <v>0</v>
      </c>
      <c r="K118" s="71">
        <f t="shared" si="97"/>
        <v>0</v>
      </c>
      <c r="L118" s="71">
        <f t="shared" si="97"/>
        <v>0</v>
      </c>
      <c r="M118" s="71">
        <f t="shared" si="97"/>
        <v>0</v>
      </c>
      <c r="N118" s="71">
        <f t="shared" si="97"/>
        <v>0</v>
      </c>
      <c r="O118" s="71">
        <f t="shared" si="97"/>
        <v>0</v>
      </c>
      <c r="P118" s="71">
        <f t="shared" si="97"/>
        <v>0</v>
      </c>
      <c r="Q118" s="71">
        <f t="shared" si="97"/>
        <v>0</v>
      </c>
      <c r="R118" s="71">
        <f t="shared" si="97"/>
        <v>0</v>
      </c>
      <c r="S118" s="71">
        <f t="shared" si="97"/>
        <v>0</v>
      </c>
      <c r="T118" s="71">
        <f t="shared" si="97"/>
        <v>0</v>
      </c>
      <c r="U118" s="71">
        <f t="shared" si="97"/>
        <v>0</v>
      </c>
      <c r="V118" s="71">
        <f t="shared" si="97"/>
        <v>0</v>
      </c>
      <c r="W118" s="71">
        <f t="shared" si="97"/>
        <v>0</v>
      </c>
      <c r="X118" s="71">
        <f t="shared" si="97"/>
        <v>0</v>
      </c>
      <c r="Y118" s="71">
        <f t="shared" si="97"/>
        <v>0</v>
      </c>
      <c r="Z118" s="71">
        <f t="shared" si="97"/>
        <v>0</v>
      </c>
      <c r="AA118" s="71">
        <f t="shared" si="97"/>
        <v>0</v>
      </c>
      <c r="AB118" s="71">
        <f t="shared" si="97"/>
        <v>0</v>
      </c>
      <c r="AC118" s="71">
        <f t="shared" si="97"/>
        <v>0</v>
      </c>
      <c r="AD118" s="71">
        <f t="shared" si="97"/>
        <v>0</v>
      </c>
      <c r="AE118" s="71">
        <f t="shared" si="97"/>
        <v>0</v>
      </c>
      <c r="AF118" s="71">
        <f t="shared" si="97"/>
        <v>0</v>
      </c>
      <c r="AG118" s="71"/>
    </row>
    <row r="119" spans="1:33" x14ac:dyDescent="0.25">
      <c r="A119" s="71" t="str">
        <f t="shared" si="79"/>
        <v>Services marchands</v>
      </c>
      <c r="B119" s="71">
        <f t="shared" si="79"/>
        <v>19</v>
      </c>
      <c r="C119" s="71">
        <f t="shared" si="97"/>
        <v>0</v>
      </c>
      <c r="D119" s="71">
        <f t="shared" si="97"/>
        <v>0</v>
      </c>
      <c r="E119" s="71">
        <f t="shared" si="97"/>
        <v>-25365</v>
      </c>
      <c r="F119" s="71">
        <f t="shared" si="97"/>
        <v>-109</v>
      </c>
      <c r="G119" s="71">
        <f t="shared" si="97"/>
        <v>-25474</v>
      </c>
      <c r="H119" s="71">
        <f t="shared" si="97"/>
        <v>109</v>
      </c>
      <c r="I119" s="71">
        <f t="shared" si="97"/>
        <v>0</v>
      </c>
      <c r="J119" s="71">
        <f t="shared" si="97"/>
        <v>0</v>
      </c>
      <c r="K119" s="71">
        <f t="shared" si="97"/>
        <v>0</v>
      </c>
      <c r="L119" s="71">
        <f t="shared" si="97"/>
        <v>0</v>
      </c>
      <c r="M119" s="71">
        <f t="shared" si="97"/>
        <v>-25365</v>
      </c>
      <c r="N119" s="71">
        <f t="shared" si="97"/>
        <v>10141</v>
      </c>
      <c r="O119" s="71">
        <f t="shared" si="97"/>
        <v>0</v>
      </c>
      <c r="P119" s="71">
        <f t="shared" si="97"/>
        <v>0</v>
      </c>
      <c r="Q119" s="71">
        <f t="shared" si="97"/>
        <v>0</v>
      </c>
      <c r="R119" s="71">
        <f t="shared" si="97"/>
        <v>0</v>
      </c>
      <c r="S119" s="71">
        <f t="shared" si="97"/>
        <v>10141</v>
      </c>
      <c r="T119" s="71">
        <f t="shared" si="97"/>
        <v>0</v>
      </c>
      <c r="U119" s="71">
        <f t="shared" si="97"/>
        <v>0</v>
      </c>
      <c r="V119" s="71">
        <f t="shared" si="97"/>
        <v>0</v>
      </c>
      <c r="W119" s="71">
        <f t="shared" si="97"/>
        <v>0</v>
      </c>
      <c r="X119" s="71">
        <f t="shared" si="97"/>
        <v>0</v>
      </c>
      <c r="Y119" s="71">
        <f t="shared" si="97"/>
        <v>0</v>
      </c>
      <c r="Z119" s="71">
        <f t="shared" si="97"/>
        <v>0</v>
      </c>
      <c r="AA119" s="71">
        <f t="shared" si="97"/>
        <v>0</v>
      </c>
      <c r="AB119" s="71">
        <f t="shared" si="97"/>
        <v>0</v>
      </c>
      <c r="AC119" s="71">
        <f t="shared" si="97"/>
        <v>-35506</v>
      </c>
      <c r="AD119" s="71">
        <f t="shared" si="97"/>
        <v>-25365</v>
      </c>
      <c r="AE119" s="71">
        <f t="shared" si="97"/>
        <v>0</v>
      </c>
      <c r="AF119" s="71">
        <f t="shared" si="97"/>
        <v>-25365</v>
      </c>
      <c r="AG119" s="71"/>
    </row>
    <row r="120" spans="1:33" x14ac:dyDescent="0.25">
      <c r="A120" s="71" t="str">
        <f t="shared" si="79"/>
        <v>Services non marchands</v>
      </c>
      <c r="B120" s="71">
        <f t="shared" si="79"/>
        <v>20</v>
      </c>
      <c r="C120" s="71">
        <f t="shared" si="97"/>
        <v>0</v>
      </c>
      <c r="D120" s="71">
        <f t="shared" si="97"/>
        <v>0</v>
      </c>
      <c r="E120" s="71">
        <f t="shared" si="97"/>
        <v>0</v>
      </c>
      <c r="F120" s="71">
        <f t="shared" si="97"/>
        <v>0</v>
      </c>
      <c r="G120" s="71">
        <f t="shared" si="97"/>
        <v>0</v>
      </c>
      <c r="H120" s="71">
        <f t="shared" si="97"/>
        <v>0</v>
      </c>
      <c r="I120" s="71">
        <f t="shared" si="97"/>
        <v>0</v>
      </c>
      <c r="J120" s="71">
        <f t="shared" si="97"/>
        <v>0</v>
      </c>
      <c r="K120" s="71">
        <f t="shared" si="97"/>
        <v>0</v>
      </c>
      <c r="L120" s="71">
        <f t="shared" si="97"/>
        <v>0</v>
      </c>
      <c r="M120" s="71">
        <f t="shared" si="97"/>
        <v>0</v>
      </c>
      <c r="N120" s="71">
        <f t="shared" si="97"/>
        <v>0</v>
      </c>
      <c r="O120" s="71">
        <f t="shared" si="97"/>
        <v>0</v>
      </c>
      <c r="P120" s="71">
        <f t="shared" si="97"/>
        <v>0</v>
      </c>
      <c r="Q120" s="71">
        <f t="shared" si="97"/>
        <v>0</v>
      </c>
      <c r="R120" s="71">
        <f t="shared" si="97"/>
        <v>0</v>
      </c>
      <c r="S120" s="71">
        <f t="shared" si="97"/>
        <v>0</v>
      </c>
      <c r="T120" s="71">
        <f t="shared" si="97"/>
        <v>0</v>
      </c>
      <c r="U120" s="71">
        <f t="shared" si="97"/>
        <v>0</v>
      </c>
      <c r="V120" s="71">
        <f t="shared" si="97"/>
        <v>0</v>
      </c>
      <c r="W120" s="71">
        <f t="shared" si="97"/>
        <v>0</v>
      </c>
      <c r="X120" s="71">
        <f t="shared" si="97"/>
        <v>0</v>
      </c>
      <c r="Y120" s="71">
        <f t="shared" si="97"/>
        <v>0</v>
      </c>
      <c r="Z120" s="71">
        <f t="shared" si="97"/>
        <v>0</v>
      </c>
      <c r="AA120" s="71">
        <f t="shared" si="97"/>
        <v>0</v>
      </c>
      <c r="AB120" s="71">
        <f t="shared" si="97"/>
        <v>0</v>
      </c>
      <c r="AC120" s="71">
        <f t="shared" si="97"/>
        <v>0</v>
      </c>
      <c r="AD120" s="71">
        <f t="shared" si="97"/>
        <v>0</v>
      </c>
      <c r="AE120" s="71">
        <f t="shared" si="97"/>
        <v>0</v>
      </c>
      <c r="AF120" s="71">
        <f t="shared" si="97"/>
        <v>0</v>
      </c>
      <c r="AG120" s="71"/>
    </row>
    <row r="121" spans="1:33" x14ac:dyDescent="0.25">
      <c r="A121" s="71" t="str">
        <f t="shared" si="79"/>
        <v>Charbon</v>
      </c>
      <c r="B121" s="71">
        <f t="shared" si="79"/>
        <v>21</v>
      </c>
      <c r="C121" s="71">
        <f t="shared" si="97"/>
        <v>0</v>
      </c>
      <c r="D121" s="71">
        <f t="shared" si="97"/>
        <v>104.87430315972642</v>
      </c>
      <c r="E121" s="71">
        <f t="shared" si="97"/>
        <v>0</v>
      </c>
      <c r="F121" s="71">
        <f t="shared" si="97"/>
        <v>0</v>
      </c>
      <c r="G121" s="71">
        <f t="shared" si="97"/>
        <v>104.87430315972642</v>
      </c>
      <c r="H121" s="71">
        <f t="shared" si="97"/>
        <v>-2.6865462999751344E-2</v>
      </c>
      <c r="I121" s="71">
        <f t="shared" si="97"/>
        <v>-104.84743769672667</v>
      </c>
      <c r="J121" s="71">
        <f t="shared" si="97"/>
        <v>0</v>
      </c>
      <c r="K121" s="71">
        <f t="shared" si="97"/>
        <v>0</v>
      </c>
      <c r="L121" s="71">
        <f t="shared" si="97"/>
        <v>0</v>
      </c>
      <c r="M121" s="71">
        <f t="shared" si="97"/>
        <v>0</v>
      </c>
      <c r="N121" s="71">
        <f t="shared" si="97"/>
        <v>0</v>
      </c>
      <c r="O121" s="71">
        <f t="shared" si="97"/>
        <v>0</v>
      </c>
      <c r="P121" s="71">
        <f t="shared" si="97"/>
        <v>0</v>
      </c>
      <c r="Q121" s="71">
        <f t="shared" si="97"/>
        <v>0</v>
      </c>
      <c r="R121" s="71">
        <f t="shared" si="97"/>
        <v>0</v>
      </c>
      <c r="S121" s="71">
        <f t="shared" si="97"/>
        <v>0</v>
      </c>
      <c r="T121" s="71">
        <f t="shared" si="97"/>
        <v>0</v>
      </c>
      <c r="U121" s="71">
        <f t="shared" si="97"/>
        <v>0</v>
      </c>
      <c r="V121" s="71">
        <f t="shared" si="97"/>
        <v>0</v>
      </c>
      <c r="W121" s="71">
        <f t="shared" si="97"/>
        <v>0</v>
      </c>
      <c r="X121" s="71">
        <f t="shared" si="97"/>
        <v>0</v>
      </c>
      <c r="Y121" s="71">
        <f t="shared" si="97"/>
        <v>0</v>
      </c>
      <c r="Z121" s="71">
        <f t="shared" si="97"/>
        <v>0</v>
      </c>
      <c r="AA121" s="71">
        <f t="shared" si="97"/>
        <v>0</v>
      </c>
      <c r="AB121" s="71">
        <f t="shared" si="97"/>
        <v>0</v>
      </c>
      <c r="AC121" s="71">
        <f t="shared" si="97"/>
        <v>0</v>
      </c>
      <c r="AD121" s="71">
        <f t="shared" si="97"/>
        <v>0</v>
      </c>
      <c r="AE121" s="71">
        <f t="shared" si="97"/>
        <v>0</v>
      </c>
      <c r="AF121" s="71">
        <f t="shared" si="97"/>
        <v>0</v>
      </c>
      <c r="AG121" s="71"/>
    </row>
    <row r="122" spans="1:33" s="72" customFormat="1" x14ac:dyDescent="0.25">
      <c r="A122" s="71" t="str">
        <f t="shared" si="79"/>
        <v>PETROLE</v>
      </c>
      <c r="B122" s="71">
        <f t="shared" si="79"/>
        <v>22</v>
      </c>
      <c r="C122" s="71">
        <f t="shared" si="97"/>
        <v>0</v>
      </c>
      <c r="D122" s="71">
        <f t="shared" si="97"/>
        <v>2176.2698431499448</v>
      </c>
      <c r="E122" s="71">
        <f t="shared" si="97"/>
        <v>0</v>
      </c>
      <c r="F122" s="71">
        <f t="shared" si="97"/>
        <v>0</v>
      </c>
      <c r="G122" s="71">
        <f t="shared" si="97"/>
        <v>2176.2698431499302</v>
      </c>
      <c r="H122" s="71">
        <f t="shared" si="97"/>
        <v>-5.3005315429982147</v>
      </c>
      <c r="I122" s="71">
        <f t="shared" si="97"/>
        <v>-2170.9693116069448</v>
      </c>
      <c r="J122" s="71">
        <f t="shared" si="97"/>
        <v>0</v>
      </c>
      <c r="K122" s="71">
        <f t="shared" si="97"/>
        <v>0</v>
      </c>
      <c r="L122" s="71">
        <f t="shared" si="97"/>
        <v>0</v>
      </c>
      <c r="M122" s="71">
        <f t="shared" si="97"/>
        <v>0</v>
      </c>
      <c r="N122" s="71">
        <f t="shared" si="97"/>
        <v>0</v>
      </c>
      <c r="O122" s="71">
        <f t="shared" si="97"/>
        <v>0</v>
      </c>
      <c r="P122" s="71">
        <f t="shared" si="97"/>
        <v>0</v>
      </c>
      <c r="Q122" s="71">
        <f t="shared" si="97"/>
        <v>0</v>
      </c>
      <c r="R122" s="71">
        <f t="shared" si="97"/>
        <v>0</v>
      </c>
      <c r="S122" s="71">
        <f t="shared" si="97"/>
        <v>0</v>
      </c>
      <c r="T122" s="71">
        <f t="shared" si="97"/>
        <v>0</v>
      </c>
      <c r="U122" s="71">
        <f t="shared" si="97"/>
        <v>0</v>
      </c>
      <c r="V122" s="71">
        <f t="shared" si="97"/>
        <v>0</v>
      </c>
      <c r="W122" s="71">
        <f t="shared" si="97"/>
        <v>0</v>
      </c>
      <c r="X122" s="71">
        <f t="shared" si="97"/>
        <v>0</v>
      </c>
      <c r="Y122" s="71">
        <f t="shared" si="97"/>
        <v>0</v>
      </c>
      <c r="Z122" s="71">
        <f t="shared" si="97"/>
        <v>0</v>
      </c>
      <c r="AA122" s="71">
        <f t="shared" si="97"/>
        <v>0</v>
      </c>
      <c r="AB122" s="71">
        <f t="shared" si="97"/>
        <v>0</v>
      </c>
      <c r="AC122" s="71">
        <f t="shared" si="97"/>
        <v>0</v>
      </c>
      <c r="AD122" s="71">
        <f t="shared" si="97"/>
        <v>0</v>
      </c>
      <c r="AE122" s="71">
        <f t="shared" si="97"/>
        <v>0</v>
      </c>
      <c r="AF122" s="71">
        <f t="shared" si="97"/>
        <v>0</v>
      </c>
    </row>
    <row r="123" spans="1:33" s="72" customFormat="1" x14ac:dyDescent="0.25">
      <c r="A123" s="71" t="str">
        <f t="shared" si="79"/>
        <v>ELECTRICITE</v>
      </c>
      <c r="B123" s="71">
        <f t="shared" si="79"/>
        <v>23</v>
      </c>
      <c r="C123" s="71">
        <f t="shared" si="97"/>
        <v>0</v>
      </c>
      <c r="D123" s="71">
        <f t="shared" si="97"/>
        <v>0</v>
      </c>
      <c r="E123" s="71">
        <f t="shared" si="97"/>
        <v>0</v>
      </c>
      <c r="F123" s="71">
        <f t="shared" si="97"/>
        <v>0</v>
      </c>
      <c r="G123" s="71">
        <f t="shared" si="97"/>
        <v>0</v>
      </c>
      <c r="H123" s="71">
        <f t="shared" si="97"/>
        <v>0</v>
      </c>
      <c r="I123" s="71">
        <f t="shared" si="97"/>
        <v>0</v>
      </c>
      <c r="J123" s="71">
        <f t="shared" si="97"/>
        <v>0</v>
      </c>
      <c r="K123" s="71">
        <f t="shared" si="97"/>
        <v>0</v>
      </c>
      <c r="L123" s="71">
        <f t="shared" si="97"/>
        <v>0</v>
      </c>
      <c r="M123" s="71">
        <f t="shared" si="97"/>
        <v>0</v>
      </c>
      <c r="N123" s="71">
        <f t="shared" si="97"/>
        <v>0</v>
      </c>
      <c r="O123" s="71">
        <f t="shared" si="97"/>
        <v>0</v>
      </c>
      <c r="P123" s="71">
        <f t="shared" si="97"/>
        <v>0</v>
      </c>
      <c r="Q123" s="71">
        <f t="shared" si="97"/>
        <v>0</v>
      </c>
      <c r="R123" s="71">
        <f t="shared" si="97"/>
        <v>0</v>
      </c>
      <c r="S123" s="71">
        <f t="shared" si="97"/>
        <v>0</v>
      </c>
      <c r="T123" s="71">
        <f t="shared" si="97"/>
        <v>0</v>
      </c>
      <c r="U123" s="71">
        <f t="shared" si="97"/>
        <v>0</v>
      </c>
      <c r="V123" s="71">
        <f t="shared" si="97"/>
        <v>0</v>
      </c>
      <c r="W123" s="71">
        <f t="shared" si="97"/>
        <v>0</v>
      </c>
      <c r="X123" s="71">
        <f t="shared" si="97"/>
        <v>0</v>
      </c>
      <c r="Y123" s="71">
        <f t="shared" si="97"/>
        <v>0</v>
      </c>
      <c r="Z123" s="71">
        <f t="shared" si="97"/>
        <v>0</v>
      </c>
      <c r="AA123" s="71">
        <f t="shared" si="97"/>
        <v>0</v>
      </c>
      <c r="AB123" s="71">
        <f t="shared" si="97"/>
        <v>0</v>
      </c>
      <c r="AC123" s="71">
        <f t="shared" si="97"/>
        <v>0</v>
      </c>
      <c r="AD123" s="71">
        <f t="shared" si="97"/>
        <v>0</v>
      </c>
      <c r="AE123" s="71">
        <f t="shared" si="97"/>
        <v>0</v>
      </c>
      <c r="AF123" s="71">
        <f t="shared" si="97"/>
        <v>0</v>
      </c>
    </row>
    <row r="124" spans="1:33" s="72" customFormat="1" x14ac:dyDescent="0.25">
      <c r="A124" s="71" t="str">
        <f t="shared" si="79"/>
        <v>GAZ</v>
      </c>
      <c r="B124" s="71">
        <f t="shared" si="79"/>
        <v>24</v>
      </c>
      <c r="C124" s="71">
        <f t="shared" si="97"/>
        <v>0</v>
      </c>
      <c r="D124" s="71">
        <f t="shared" si="97"/>
        <v>916.75648864410505</v>
      </c>
      <c r="E124" s="71">
        <f t="shared" si="97"/>
        <v>0</v>
      </c>
      <c r="F124" s="71">
        <f t="shared" si="97"/>
        <v>0</v>
      </c>
      <c r="G124" s="71">
        <f t="shared" si="97"/>
        <v>916.75648864410323</v>
      </c>
      <c r="H124" s="71">
        <f t="shared" si="97"/>
        <v>-4.3949568040329012E-3</v>
      </c>
      <c r="I124" s="71">
        <f t="shared" si="97"/>
        <v>-916.75209368729998</v>
      </c>
      <c r="J124" s="71">
        <f t="shared" si="97"/>
        <v>0</v>
      </c>
      <c r="K124" s="71">
        <f t="shared" si="97"/>
        <v>0</v>
      </c>
      <c r="L124" s="71">
        <f t="shared" si="97"/>
        <v>0</v>
      </c>
      <c r="M124" s="71">
        <f t="shared" si="97"/>
        <v>0</v>
      </c>
      <c r="N124" s="71">
        <f t="shared" si="97"/>
        <v>0</v>
      </c>
      <c r="O124" s="71">
        <f t="shared" si="97"/>
        <v>0</v>
      </c>
      <c r="P124" s="71">
        <f t="shared" si="97"/>
        <v>0</v>
      </c>
      <c r="Q124" s="71">
        <f t="shared" si="97"/>
        <v>0</v>
      </c>
      <c r="R124" s="71">
        <f t="shared" si="97"/>
        <v>0</v>
      </c>
      <c r="S124" s="71">
        <f t="shared" si="97"/>
        <v>0</v>
      </c>
      <c r="T124" s="71">
        <f t="shared" si="97"/>
        <v>0</v>
      </c>
      <c r="U124" s="71">
        <f t="shared" si="97"/>
        <v>0</v>
      </c>
      <c r="V124" s="71">
        <f t="shared" si="97"/>
        <v>0</v>
      </c>
      <c r="W124" s="71">
        <f t="shared" si="97"/>
        <v>0</v>
      </c>
      <c r="X124" s="71">
        <f t="shared" si="97"/>
        <v>0</v>
      </c>
      <c r="Y124" s="71">
        <f t="shared" si="97"/>
        <v>0</v>
      </c>
      <c r="Z124" s="71">
        <f t="shared" si="97"/>
        <v>0</v>
      </c>
      <c r="AA124" s="71">
        <f t="shared" si="97"/>
        <v>0</v>
      </c>
      <c r="AB124" s="71">
        <f t="shared" si="97"/>
        <v>0</v>
      </c>
      <c r="AC124" s="71">
        <f t="shared" si="97"/>
        <v>0</v>
      </c>
      <c r="AD124" s="71">
        <f t="shared" si="97"/>
        <v>0</v>
      </c>
      <c r="AE124" s="71">
        <f t="shared" si="97"/>
        <v>0</v>
      </c>
      <c r="AF124" s="71">
        <f t="shared" si="97"/>
        <v>0</v>
      </c>
    </row>
    <row r="125" spans="1:33" s="72" customFormat="1" x14ac:dyDescent="0.25">
      <c r="A125" s="71" t="str">
        <f t="shared" si="79"/>
        <v>PRODUITS CONSOMMES HORS DU TERRITOIRE DE</v>
      </c>
      <c r="B125" s="71">
        <f t="shared" si="79"/>
        <v>25</v>
      </c>
      <c r="C125" s="71">
        <f t="shared" si="97"/>
        <v>0</v>
      </c>
      <c r="D125" s="71">
        <f t="shared" si="97"/>
        <v>0</v>
      </c>
      <c r="E125" s="71">
        <f t="shared" si="97"/>
        <v>25365</v>
      </c>
      <c r="F125" s="71">
        <f t="shared" si="97"/>
        <v>0</v>
      </c>
      <c r="G125" s="71">
        <f t="shared" si="97"/>
        <v>25365</v>
      </c>
      <c r="H125" s="71">
        <f t="shared" si="97"/>
        <v>0</v>
      </c>
      <c r="I125" s="71">
        <f t="shared" si="97"/>
        <v>0</v>
      </c>
      <c r="J125" s="71">
        <f t="shared" si="97"/>
        <v>0</v>
      </c>
      <c r="K125" s="71">
        <f t="shared" si="97"/>
        <v>0</v>
      </c>
      <c r="L125" s="71">
        <f t="shared" si="97"/>
        <v>0</v>
      </c>
      <c r="M125" s="71">
        <f t="shared" si="97"/>
        <v>25365</v>
      </c>
      <c r="N125" s="71">
        <f t="shared" si="97"/>
        <v>-10141</v>
      </c>
      <c r="O125" s="71">
        <f t="shared" si="97"/>
        <v>0</v>
      </c>
      <c r="P125" s="71">
        <f t="shared" si="97"/>
        <v>0</v>
      </c>
      <c r="Q125" s="71">
        <f t="shared" si="97"/>
        <v>0</v>
      </c>
      <c r="R125" s="71">
        <f t="shared" ref="R125:AF125" si="98">R62-R92</f>
        <v>0</v>
      </c>
      <c r="S125" s="71">
        <f t="shared" si="98"/>
        <v>-10141</v>
      </c>
      <c r="T125" s="71">
        <f t="shared" si="98"/>
        <v>0</v>
      </c>
      <c r="U125" s="71">
        <f t="shared" si="98"/>
        <v>0</v>
      </c>
      <c r="V125" s="71">
        <f t="shared" si="98"/>
        <v>0</v>
      </c>
      <c r="W125" s="71">
        <f t="shared" si="98"/>
        <v>0</v>
      </c>
      <c r="X125" s="71">
        <f t="shared" si="98"/>
        <v>0</v>
      </c>
      <c r="Y125" s="71">
        <f t="shared" si="98"/>
        <v>0</v>
      </c>
      <c r="Z125" s="71">
        <f t="shared" si="98"/>
        <v>0</v>
      </c>
      <c r="AA125" s="71">
        <f t="shared" si="98"/>
        <v>0</v>
      </c>
      <c r="AB125" s="71">
        <f t="shared" si="98"/>
        <v>0</v>
      </c>
      <c r="AC125" s="71">
        <f t="shared" si="98"/>
        <v>35506</v>
      </c>
      <c r="AD125" s="71">
        <f t="shared" si="98"/>
        <v>25365</v>
      </c>
      <c r="AE125" s="71">
        <f t="shared" si="98"/>
        <v>0</v>
      </c>
      <c r="AF125" s="71">
        <f t="shared" si="98"/>
        <v>25365</v>
      </c>
    </row>
    <row r="126" spans="1:33" s="72" customFormat="1" x14ac:dyDescent="0.25">
      <c r="A126" s="71" t="str">
        <f t="shared" si="79"/>
        <v>Produit CORRECTION CAF/FAB</v>
      </c>
      <c r="B126" s="71">
        <f t="shared" si="79"/>
        <v>26</v>
      </c>
      <c r="C126" s="71">
        <f t="shared" ref="C126:AF127" si="99">C63-C93</f>
        <v>0</v>
      </c>
      <c r="D126" s="71">
        <f t="shared" si="99"/>
        <v>-12871</v>
      </c>
      <c r="E126" s="71">
        <f t="shared" si="99"/>
        <v>0</v>
      </c>
      <c r="F126" s="71">
        <f t="shared" si="99"/>
        <v>12871</v>
      </c>
      <c r="G126" s="71">
        <f t="shared" si="99"/>
        <v>0</v>
      </c>
      <c r="H126" s="71">
        <f t="shared" si="99"/>
        <v>0</v>
      </c>
      <c r="I126" s="71">
        <f t="shared" si="99"/>
        <v>0</v>
      </c>
      <c r="J126" s="71">
        <f t="shared" si="99"/>
        <v>0</v>
      </c>
      <c r="K126" s="71">
        <f t="shared" si="99"/>
        <v>0</v>
      </c>
      <c r="L126" s="71">
        <f t="shared" si="99"/>
        <v>0</v>
      </c>
      <c r="M126" s="71">
        <f t="shared" si="99"/>
        <v>0</v>
      </c>
      <c r="N126" s="71">
        <f t="shared" si="99"/>
        <v>0</v>
      </c>
      <c r="O126" s="71">
        <f t="shared" si="99"/>
        <v>0</v>
      </c>
      <c r="P126" s="71">
        <f t="shared" si="99"/>
        <v>0</v>
      </c>
      <c r="Q126" s="71">
        <f t="shared" si="99"/>
        <v>0</v>
      </c>
      <c r="R126" s="71">
        <f t="shared" si="99"/>
        <v>0</v>
      </c>
      <c r="S126" s="71">
        <f t="shared" si="99"/>
        <v>0</v>
      </c>
      <c r="T126" s="71">
        <f t="shared" si="99"/>
        <v>0</v>
      </c>
      <c r="U126" s="71">
        <f t="shared" si="99"/>
        <v>0</v>
      </c>
      <c r="V126" s="71">
        <f t="shared" si="99"/>
        <v>0</v>
      </c>
      <c r="W126" s="71">
        <f t="shared" si="99"/>
        <v>0</v>
      </c>
      <c r="X126" s="71">
        <f t="shared" si="99"/>
        <v>0</v>
      </c>
      <c r="Y126" s="71">
        <f t="shared" si="99"/>
        <v>0</v>
      </c>
      <c r="Z126" s="71">
        <f t="shared" si="99"/>
        <v>0</v>
      </c>
      <c r="AA126" s="71">
        <f t="shared" si="99"/>
        <v>0</v>
      </c>
      <c r="AB126" s="71">
        <f t="shared" si="99"/>
        <v>0</v>
      </c>
      <c r="AC126" s="71">
        <f t="shared" si="99"/>
        <v>0</v>
      </c>
      <c r="AD126" s="71">
        <f t="shared" si="99"/>
        <v>0</v>
      </c>
      <c r="AE126" s="71">
        <f t="shared" si="99"/>
        <v>0</v>
      </c>
      <c r="AF126" s="71">
        <f t="shared" si="99"/>
        <v>0</v>
      </c>
    </row>
    <row r="127" spans="1:33" s="72" customFormat="1" x14ac:dyDescent="0.25">
      <c r="A127" s="71" t="str">
        <f t="shared" si="79"/>
        <v>Total des produits</v>
      </c>
      <c r="B127" s="71">
        <f t="shared" si="79"/>
        <v>27</v>
      </c>
      <c r="C127" s="71">
        <f t="shared" si="99"/>
        <v>0</v>
      </c>
      <c r="D127" s="71">
        <f t="shared" si="99"/>
        <v>0</v>
      </c>
      <c r="E127" s="71">
        <f t="shared" si="99"/>
        <v>0</v>
      </c>
      <c r="F127" s="71">
        <f t="shared" si="99"/>
        <v>0</v>
      </c>
      <c r="G127" s="71">
        <f t="shared" si="99"/>
        <v>0</v>
      </c>
      <c r="H127" s="71">
        <f t="shared" si="99"/>
        <v>4.389910657209839E-11</v>
      </c>
      <c r="I127" s="71">
        <f t="shared" si="99"/>
        <v>-1.8189894035458565E-12</v>
      </c>
      <c r="J127" s="71">
        <f t="shared" si="99"/>
        <v>0</v>
      </c>
      <c r="K127" s="71">
        <f t="shared" si="99"/>
        <v>0</v>
      </c>
      <c r="L127" s="71">
        <f t="shared" si="99"/>
        <v>0</v>
      </c>
      <c r="M127" s="71">
        <f t="shared" si="99"/>
        <v>0</v>
      </c>
      <c r="N127" s="71">
        <f t="shared" si="99"/>
        <v>0</v>
      </c>
      <c r="O127" s="71">
        <f t="shared" si="99"/>
        <v>0</v>
      </c>
      <c r="P127" s="71">
        <f t="shared" si="99"/>
        <v>0</v>
      </c>
      <c r="Q127" s="71">
        <f t="shared" si="99"/>
        <v>0</v>
      </c>
      <c r="R127" s="71">
        <f t="shared" si="99"/>
        <v>0</v>
      </c>
      <c r="S127" s="71">
        <f t="shared" si="99"/>
        <v>0</v>
      </c>
      <c r="T127" s="71">
        <f t="shared" si="99"/>
        <v>0</v>
      </c>
      <c r="U127" s="71">
        <f t="shared" si="99"/>
        <v>0</v>
      </c>
      <c r="V127" s="71">
        <f t="shared" si="99"/>
        <v>0</v>
      </c>
      <c r="W127" s="71">
        <f t="shared" si="99"/>
        <v>0</v>
      </c>
      <c r="X127" s="71">
        <f t="shared" si="99"/>
        <v>0</v>
      </c>
      <c r="Y127" s="71">
        <f t="shared" si="99"/>
        <v>0</v>
      </c>
      <c r="Z127" s="71">
        <f t="shared" si="99"/>
        <v>0</v>
      </c>
      <c r="AA127" s="71">
        <f t="shared" si="99"/>
        <v>0</v>
      </c>
      <c r="AB127" s="71">
        <f t="shared" si="99"/>
        <v>0</v>
      </c>
      <c r="AC127" s="71">
        <f t="shared" si="99"/>
        <v>0</v>
      </c>
      <c r="AD127" s="71">
        <f t="shared" si="99"/>
        <v>0</v>
      </c>
      <c r="AE127" s="71">
        <f t="shared" si="99"/>
        <v>0</v>
      </c>
      <c r="AF127" s="71">
        <f t="shared" si="99"/>
        <v>0</v>
      </c>
    </row>
    <row r="128" spans="1:33" s="72" customFormat="1" x14ac:dyDescent="0.25"/>
    <row r="129" spans="3:32" x14ac:dyDescent="0.25">
      <c r="E129" s="72"/>
      <c r="F129" s="72"/>
      <c r="I129" s="71"/>
      <c r="M129" s="71"/>
    </row>
    <row r="130" spans="3:32" x14ac:dyDescent="0.25">
      <c r="C130" s="71"/>
      <c r="D130" s="71"/>
      <c r="E130" s="71"/>
      <c r="F130" s="71"/>
      <c r="G130" s="71"/>
      <c r="H130" s="71"/>
      <c r="I130" s="71"/>
      <c r="J130" s="71"/>
      <c r="K130" s="71"/>
      <c r="L130" s="71"/>
      <c r="M130" s="71"/>
      <c r="N130" s="71"/>
      <c r="O130" s="71"/>
      <c r="P130" s="71"/>
      <c r="Q130" s="71"/>
      <c r="R130" s="71"/>
      <c r="S130" s="71"/>
      <c r="T130" s="71"/>
      <c r="U130" s="71"/>
      <c r="V130" s="71"/>
      <c r="W130" s="71"/>
      <c r="X130" s="71"/>
      <c r="Y130" s="71"/>
      <c r="Z130" s="71"/>
      <c r="AA130" s="71"/>
      <c r="AB130" s="71"/>
      <c r="AC130" s="71"/>
      <c r="AD130" s="71"/>
      <c r="AE130" s="71"/>
      <c r="AF130" s="71"/>
    </row>
    <row r="131" spans="3:32" x14ac:dyDescent="0.25">
      <c r="C131" s="71"/>
      <c r="D131" s="71"/>
      <c r="E131" s="71"/>
      <c r="F131" s="71"/>
      <c r="G131" s="71"/>
      <c r="H131" s="71"/>
      <c r="I131" s="71"/>
      <c r="J131" s="71"/>
      <c r="K131" s="71"/>
      <c r="L131" s="71"/>
      <c r="M131" s="71"/>
      <c r="N131" s="71"/>
      <c r="O131" s="71"/>
      <c r="P131" s="71"/>
      <c r="Q131" s="71"/>
      <c r="R131" s="71"/>
      <c r="S131" s="71"/>
      <c r="T131" s="71"/>
      <c r="U131" s="71"/>
      <c r="V131" s="71"/>
      <c r="W131" s="71"/>
      <c r="X131" s="71"/>
      <c r="Y131" s="71"/>
      <c r="Z131" s="71"/>
      <c r="AA131" s="71"/>
      <c r="AB131" s="71"/>
      <c r="AC131" s="71"/>
      <c r="AD131" s="71"/>
      <c r="AE131" s="71"/>
      <c r="AF131" s="71"/>
    </row>
  </sheetData>
  <pageMargins left="0.7" right="0.7" top="0.75" bottom="0.75" header="0.3" footer="0.3"/>
  <pageSetup paperSize="9" orientation="portrait"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BI96"/>
  <sheetViews>
    <sheetView zoomScale="80" zoomScaleNormal="80" workbookViewId="0">
      <pane xSplit="2" ySplit="14" topLeftCell="AB21" activePane="bottomRight" state="frozen"/>
      <selection activeCell="D20" sqref="D20"/>
      <selection pane="topRight" activeCell="D20" sqref="D20"/>
      <selection pane="bottomLeft" activeCell="D20" sqref="D20"/>
      <selection pane="bottomRight" activeCell="AF34" sqref="AF34:AJ38"/>
    </sheetView>
  </sheetViews>
  <sheetFormatPr baseColWidth="10" defaultColWidth="11.453125" defaultRowHeight="12.5" x14ac:dyDescent="0.25"/>
  <cols>
    <col min="1" max="1" width="11.453125" style="77"/>
    <col min="2" max="2" width="25" style="77" customWidth="1"/>
    <col min="3" max="3" width="15.453125" style="77" customWidth="1"/>
    <col min="4" max="4" width="15" style="77" customWidth="1"/>
    <col min="5" max="6" width="11.453125" style="77"/>
    <col min="7" max="7" width="12.453125" style="77" bestFit="1" customWidth="1"/>
    <col min="8" max="8" width="16.1796875" style="77" bestFit="1" customWidth="1"/>
    <col min="9" max="9" width="13.81640625" style="77" customWidth="1"/>
    <col min="10" max="11" width="15.453125" style="77" bestFit="1" customWidth="1"/>
    <col min="12" max="12" width="14.453125" style="79" customWidth="1"/>
    <col min="13" max="13" width="14.453125" style="77" customWidth="1"/>
    <col min="14" max="14" width="11.54296875" style="77" bestFit="1" customWidth="1"/>
    <col min="15" max="16" width="12.81640625" style="77" bestFit="1" customWidth="1"/>
    <col min="17" max="17" width="11.54296875" style="77" bestFit="1" customWidth="1"/>
    <col min="18" max="18" width="15.54296875" style="77" customWidth="1"/>
    <col min="19" max="22" width="15.54296875" style="90" customWidth="1"/>
    <col min="23" max="24" width="11.453125" style="77"/>
    <col min="25" max="25" width="15.81640625" style="77" bestFit="1" customWidth="1"/>
    <col min="26" max="26" width="15.81640625" style="77" customWidth="1"/>
    <col min="27" max="27" width="12.453125" style="77" bestFit="1" customWidth="1"/>
    <col min="28" max="28" width="13.453125" style="77" bestFit="1" customWidth="1"/>
    <col min="29" max="29" width="16" style="77" bestFit="1" customWidth="1"/>
    <col min="30" max="37" width="11.453125" style="77"/>
    <col min="38" max="38" width="13.1796875" style="77" bestFit="1" customWidth="1"/>
    <col min="39" max="44" width="11.453125" style="77"/>
    <col min="45" max="45" width="12.453125" style="77" bestFit="1" customWidth="1"/>
    <col min="46" max="47" width="11.453125" style="77"/>
    <col min="48" max="48" width="12.54296875" style="77" customWidth="1"/>
    <col min="49" max="52" width="11.453125" style="77"/>
    <col min="53" max="53" width="13.1796875" style="77" bestFit="1" customWidth="1"/>
    <col min="54" max="16384" width="11.453125" style="77"/>
  </cols>
  <sheetData>
    <row r="1" spans="1:61" x14ac:dyDescent="0.25">
      <c r="A1" s="65">
        <v>1</v>
      </c>
      <c r="B1" s="65">
        <v>2</v>
      </c>
      <c r="C1" s="65">
        <v>3</v>
      </c>
      <c r="D1" s="65">
        <v>4</v>
      </c>
      <c r="E1" s="65">
        <v>5</v>
      </c>
      <c r="F1" s="65">
        <v>6</v>
      </c>
      <c r="G1" s="65">
        <v>7</v>
      </c>
      <c r="H1" s="65">
        <v>8</v>
      </c>
      <c r="I1" s="65">
        <v>9</v>
      </c>
      <c r="J1" s="65">
        <v>10</v>
      </c>
      <c r="K1" s="65">
        <v>11</v>
      </c>
      <c r="L1" s="65">
        <v>12</v>
      </c>
      <c r="M1" s="65">
        <v>13</v>
      </c>
      <c r="N1" s="65">
        <v>14</v>
      </c>
      <c r="O1" s="65">
        <v>15</v>
      </c>
      <c r="P1" s="65">
        <v>16</v>
      </c>
      <c r="Q1" s="65">
        <v>17</v>
      </c>
      <c r="R1" s="65">
        <v>18</v>
      </c>
      <c r="S1" s="65">
        <v>19</v>
      </c>
      <c r="T1" s="65">
        <v>20</v>
      </c>
      <c r="U1" s="65">
        <v>21</v>
      </c>
      <c r="V1" s="65">
        <v>22</v>
      </c>
      <c r="W1" s="65">
        <v>23</v>
      </c>
      <c r="X1" s="65">
        <v>24</v>
      </c>
    </row>
    <row r="6" spans="1:61" x14ac:dyDescent="0.25">
      <c r="B6" s="78"/>
      <c r="C6" s="78"/>
    </row>
    <row r="7" spans="1:61" ht="13" thickBot="1" x14ac:dyDescent="0.3">
      <c r="B7" s="78"/>
      <c r="C7" s="78"/>
    </row>
    <row r="8" spans="1:61" x14ac:dyDescent="0.25">
      <c r="B8" s="78"/>
      <c r="C8" s="78"/>
      <c r="AE8" s="167"/>
      <c r="AF8" s="168"/>
      <c r="AG8" s="168"/>
      <c r="AH8" s="168"/>
      <c r="AI8" s="168"/>
      <c r="AJ8" s="168"/>
      <c r="AK8" s="168"/>
      <c r="AL8" s="168"/>
      <c r="AM8" s="168"/>
      <c r="AN8" s="168"/>
      <c r="AO8" s="168"/>
      <c r="AP8" s="168"/>
      <c r="AQ8" s="168"/>
      <c r="AR8" s="168"/>
      <c r="AS8" s="168"/>
      <c r="AT8" s="168"/>
      <c r="AU8" s="168"/>
      <c r="AV8" s="168"/>
      <c r="AW8" s="168"/>
      <c r="AX8" s="168"/>
      <c r="AY8" s="168"/>
      <c r="AZ8" s="168"/>
      <c r="BA8" s="168"/>
      <c r="BB8" s="169"/>
    </row>
    <row r="9" spans="1:61" ht="25.5" x14ac:dyDescent="0.3">
      <c r="A9" s="78"/>
      <c r="B9" s="116" t="s">
        <v>769</v>
      </c>
      <c r="D9" s="117"/>
      <c r="AE9" s="170"/>
      <c r="AF9" s="171" t="s">
        <v>778</v>
      </c>
      <c r="AG9" s="171"/>
      <c r="AH9" s="172"/>
      <c r="AI9" s="172"/>
      <c r="AJ9" s="172"/>
      <c r="AK9" s="172"/>
      <c r="AL9" s="172"/>
      <c r="AM9" s="172"/>
      <c r="AN9" s="172"/>
      <c r="AO9" s="172"/>
      <c r="AP9" s="172"/>
      <c r="AQ9" s="172"/>
      <c r="AR9" s="172"/>
      <c r="AS9" s="172"/>
      <c r="AT9" s="172"/>
      <c r="AU9" s="172"/>
      <c r="AV9" s="172"/>
      <c r="AW9" s="172"/>
      <c r="AX9" s="172"/>
      <c r="AY9" s="172"/>
      <c r="AZ9" s="172"/>
      <c r="BA9" s="172"/>
      <c r="BB9" s="173"/>
    </row>
    <row r="10" spans="1:61" x14ac:dyDescent="0.25">
      <c r="A10" s="114" t="s">
        <v>768</v>
      </c>
      <c r="B10" s="115">
        <f>STDEVPA(H43:K43)</f>
        <v>4.2335946503420547E-12</v>
      </c>
      <c r="D10" s="118"/>
      <c r="M10" s="80"/>
      <c r="AE10" s="170"/>
      <c r="AF10" s="172"/>
      <c r="AG10" s="172"/>
      <c r="AH10" s="172"/>
      <c r="AI10" s="172"/>
      <c r="AJ10" s="172"/>
      <c r="AK10" s="172"/>
      <c r="AL10" s="172"/>
      <c r="AM10" s="172"/>
      <c r="AN10" s="172"/>
      <c r="AO10" s="172"/>
      <c r="AP10" s="172"/>
      <c r="AQ10" s="172"/>
      <c r="AR10" s="172"/>
      <c r="AS10" s="172"/>
      <c r="AT10" s="172"/>
      <c r="AU10" s="172"/>
      <c r="AV10" s="172"/>
      <c r="AW10" s="172"/>
      <c r="AX10" s="172"/>
      <c r="AY10" s="172"/>
      <c r="AZ10" s="172"/>
      <c r="BA10" s="172"/>
      <c r="BB10" s="173"/>
    </row>
    <row r="11" spans="1:61" ht="13" thickBot="1" x14ac:dyDescent="0.3">
      <c r="AE11" s="170"/>
      <c r="AF11" s="172"/>
      <c r="AG11" s="172"/>
      <c r="AH11" s="172"/>
      <c r="AI11" s="172"/>
      <c r="AJ11" s="172"/>
      <c r="AK11" s="172"/>
      <c r="AL11" s="172"/>
      <c r="AM11" s="172"/>
      <c r="AN11" s="172"/>
      <c r="AO11" s="172"/>
      <c r="AP11" s="172"/>
      <c r="AQ11" s="172"/>
      <c r="AR11" s="172"/>
      <c r="AS11" s="172"/>
      <c r="AT11" s="172"/>
      <c r="AU11" s="172"/>
      <c r="AV11" s="172"/>
      <c r="AW11" s="172"/>
      <c r="AX11" s="172"/>
      <c r="AY11" s="172"/>
      <c r="AZ11" s="172"/>
      <c r="BA11" s="172"/>
      <c r="BB11" s="173"/>
    </row>
    <row r="12" spans="1:61" ht="13.5" thickBot="1" x14ac:dyDescent="0.35">
      <c r="AE12" s="174"/>
      <c r="AF12" s="178" t="s">
        <v>772</v>
      </c>
      <c r="AG12" s="179"/>
      <c r="AH12" s="179"/>
      <c r="AI12" s="179"/>
      <c r="AJ12" s="179"/>
      <c r="AK12" s="180"/>
      <c r="AL12" s="175"/>
      <c r="AM12" s="178" t="s">
        <v>773</v>
      </c>
      <c r="AN12" s="179"/>
      <c r="AO12" s="179"/>
      <c r="AP12" s="179"/>
      <c r="AQ12" s="179"/>
      <c r="AR12" s="180"/>
      <c r="AS12" s="175"/>
      <c r="AT12" s="178" t="s">
        <v>776</v>
      </c>
      <c r="AU12" s="179"/>
      <c r="AV12" s="181"/>
      <c r="AW12" s="181"/>
      <c r="AX12" s="181"/>
      <c r="AY12" s="182"/>
      <c r="AZ12" s="176"/>
      <c r="BA12" s="176"/>
      <c r="BB12" s="177"/>
    </row>
    <row r="13" spans="1:61" x14ac:dyDescent="0.25">
      <c r="AE13" s="158"/>
      <c r="AF13" s="126"/>
      <c r="AG13" s="126"/>
      <c r="AH13" s="126"/>
      <c r="AI13" s="126"/>
      <c r="AJ13" s="126"/>
      <c r="AK13" s="126"/>
      <c r="AL13" s="126"/>
      <c r="AM13" s="126"/>
      <c r="AN13" s="126"/>
      <c r="AO13" s="126"/>
      <c r="AP13" s="126"/>
      <c r="AQ13" s="126"/>
      <c r="AR13" s="126"/>
      <c r="AS13" s="126"/>
      <c r="AT13" s="126"/>
      <c r="AU13" s="126"/>
      <c r="AV13" s="126"/>
      <c r="AW13" s="126"/>
      <c r="AX13" s="126"/>
      <c r="AY13" s="126"/>
      <c r="AZ13" s="126"/>
      <c r="BA13" s="126"/>
      <c r="BB13" s="159"/>
    </row>
    <row r="14" spans="1:61" s="65" customFormat="1" x14ac:dyDescent="0.25">
      <c r="C14" s="65">
        <v>14</v>
      </c>
      <c r="D14" s="65">
        <v>16</v>
      </c>
      <c r="E14" s="65">
        <v>17</v>
      </c>
      <c r="F14" s="65">
        <v>18</v>
      </c>
      <c r="H14" s="65">
        <v>14</v>
      </c>
      <c r="I14" s="65">
        <v>16</v>
      </c>
      <c r="J14" s="65">
        <v>17</v>
      </c>
      <c r="K14" s="65">
        <v>18</v>
      </c>
      <c r="L14" s="65" t="s">
        <v>327</v>
      </c>
      <c r="N14" s="65">
        <v>14</v>
      </c>
      <c r="O14" s="65">
        <v>16</v>
      </c>
      <c r="P14" s="65">
        <v>17</v>
      </c>
      <c r="Q14" s="65">
        <v>18</v>
      </c>
      <c r="R14" s="74" t="s">
        <v>328</v>
      </c>
      <c r="S14" s="73">
        <v>14</v>
      </c>
      <c r="T14" s="73">
        <v>16</v>
      </c>
      <c r="U14" s="73">
        <v>17</v>
      </c>
      <c r="V14" s="65">
        <v>18</v>
      </c>
      <c r="W14" s="120" t="s">
        <v>740</v>
      </c>
      <c r="X14" s="71" t="s">
        <v>580</v>
      </c>
      <c r="Y14" s="89" t="s">
        <v>770</v>
      </c>
      <c r="Z14" s="71" t="s">
        <v>771</v>
      </c>
      <c r="AA14" s="773" t="s">
        <v>879</v>
      </c>
      <c r="AB14" s="119" t="s">
        <v>766</v>
      </c>
      <c r="AC14" s="95" t="s">
        <v>767</v>
      </c>
      <c r="AD14" s="71" t="s">
        <v>771</v>
      </c>
      <c r="AE14" s="160"/>
      <c r="AF14" s="128">
        <v>14</v>
      </c>
      <c r="AG14" s="153">
        <v>15</v>
      </c>
      <c r="AH14" s="128">
        <v>16</v>
      </c>
      <c r="AI14" s="128">
        <v>17</v>
      </c>
      <c r="AJ14" s="128">
        <v>18</v>
      </c>
      <c r="AK14" s="154" t="s">
        <v>774</v>
      </c>
      <c r="AL14" s="128"/>
      <c r="AM14" s="128">
        <v>14</v>
      </c>
      <c r="AN14" s="153">
        <v>15</v>
      </c>
      <c r="AO14" s="128">
        <v>16</v>
      </c>
      <c r="AP14" s="128">
        <v>17</v>
      </c>
      <c r="AQ14" s="128">
        <v>18</v>
      </c>
      <c r="AR14" s="154" t="s">
        <v>775</v>
      </c>
      <c r="AS14" s="128"/>
      <c r="AT14" s="128">
        <v>14</v>
      </c>
      <c r="AU14" s="153">
        <v>15</v>
      </c>
      <c r="AV14" s="128">
        <v>16</v>
      </c>
      <c r="AW14" s="128">
        <v>17</v>
      </c>
      <c r="AX14" s="128">
        <v>18</v>
      </c>
      <c r="AY14" s="154" t="s">
        <v>777</v>
      </c>
      <c r="AZ14" s="128"/>
      <c r="BA14" s="128"/>
      <c r="BB14" s="161"/>
    </row>
    <row r="15" spans="1:61" ht="13" x14ac:dyDescent="0.3">
      <c r="A15" s="124">
        <v>1</v>
      </c>
      <c r="B15" s="125" t="s">
        <v>313</v>
      </c>
      <c r="C15" s="93">
        <f t="shared" ref="C15:F16" si="0">C46</f>
        <v>3.848448187360471E-2</v>
      </c>
      <c r="D15" s="93">
        <f t="shared" si="0"/>
        <v>0.87278530023517598</v>
      </c>
      <c r="E15" s="93">
        <f t="shared" si="0"/>
        <v>7.9854427248276821E-2</v>
      </c>
      <c r="F15" s="93">
        <f t="shared" si="0"/>
        <v>8.8757906370057153E-3</v>
      </c>
      <c r="H15" s="80">
        <f>$L15*C15</f>
        <v>51.574809248600154</v>
      </c>
      <c r="I15" s="80">
        <f t="shared" ref="I15:K30" si="1">$L15*D15</f>
        <v>1169.6593843318678</v>
      </c>
      <c r="J15" s="80">
        <f t="shared" si="1"/>
        <v>107.01655972691758</v>
      </c>
      <c r="K15" s="80">
        <f t="shared" si="1"/>
        <v>11.894851814233443</v>
      </c>
      <c r="L15" s="78">
        <f t="shared" ref="L15:L38" si="2">W15-R15</f>
        <v>1340.1456051295752</v>
      </c>
      <c r="M15" s="82"/>
      <c r="N15" s="78">
        <f>C15*$R15</f>
        <v>6.7291807899109832</v>
      </c>
      <c r="O15" s="78">
        <f>D15*$R15</f>
        <v>152.61034552442371</v>
      </c>
      <c r="P15" s="78">
        <f>E15*$R15</f>
        <v>13.962897554221804</v>
      </c>
      <c r="Q15" s="78">
        <f>F15*$R15</f>
        <v>1.5519710008302166</v>
      </c>
      <c r="R15" s="88">
        <f>W15*AB15</f>
        <v>174.85439487042478</v>
      </c>
      <c r="S15" s="91">
        <f>H15+N15</f>
        <v>58.303990038511138</v>
      </c>
      <c r="T15" s="91">
        <f>I15+O15</f>
        <v>1322.2697298562916</v>
      </c>
      <c r="U15" s="91">
        <f>J15+P15</f>
        <v>120.97945728113939</v>
      </c>
      <c r="V15" s="91">
        <f>K15+Q15</f>
        <v>13.446822815063658</v>
      </c>
      <c r="W15" s="119">
        <f>TRP_Simple!$I38</f>
        <v>1515</v>
      </c>
      <c r="X15" s="71">
        <f>SUM(S15:V15)-W15</f>
        <v>-8.9944478531833738E-9</v>
      </c>
      <c r="Y15" s="65">
        <f>TRP_Simple!I68</f>
        <v>1702.2486877328915</v>
      </c>
      <c r="Z15" s="71">
        <f t="shared" ref="Z15:Z39" si="3">W15-Y15</f>
        <v>-187.24868773289154</v>
      </c>
      <c r="AA15" s="774">
        <f>TRP_Simple!$D38/SUM(TRP_Simple!$C38:$D38)</f>
        <v>0.11541544215869623</v>
      </c>
      <c r="AB15" s="121">
        <f>AA15</f>
        <v>0.11541544215869623</v>
      </c>
      <c r="AC15" s="77">
        <f>TRP_Simple!D68/SUM(TRP_Simple!C68:D68)</f>
        <v>0.11321521639507978</v>
      </c>
      <c r="AD15" s="94">
        <f>AB15-AC15</f>
        <v>2.2002257636164479E-3</v>
      </c>
      <c r="AE15" s="158"/>
      <c r="AF15" s="126">
        <f>H15</f>
        <v>51.574809248600154</v>
      </c>
      <c r="AG15" s="153">
        <v>0</v>
      </c>
      <c r="AH15" s="126">
        <f>I15</f>
        <v>1169.6593843318678</v>
      </c>
      <c r="AI15" s="126">
        <f>J15</f>
        <v>107.01655972691758</v>
      </c>
      <c r="AJ15" s="126">
        <f>K15</f>
        <v>11.894851814233443</v>
      </c>
      <c r="AK15" s="126">
        <f>L15</f>
        <v>1340.1456051295752</v>
      </c>
      <c r="AL15" s="127">
        <f>SUM(AF15:AJ15)-AK15</f>
        <v>-7.9562596511095762E-9</v>
      </c>
      <c r="AM15" s="126">
        <f>N15+S69</f>
        <v>8.2315148193360752</v>
      </c>
      <c r="AN15" s="153">
        <v>0</v>
      </c>
      <c r="AO15" s="126">
        <f>O15+T69</f>
        <v>211.85906060271884</v>
      </c>
      <c r="AP15" s="126">
        <f>P15+U69</f>
        <v>123.43431028778664</v>
      </c>
      <c r="AQ15" s="126">
        <f>Q15+V69</f>
        <v>18.578196892436591</v>
      </c>
      <c r="AR15" s="126">
        <f>R15+W69</f>
        <v>362.10308260331624</v>
      </c>
      <c r="AS15" s="127">
        <f>SUM(AM15:AQ15)-AR15</f>
        <v>-1.038074515236076E-9</v>
      </c>
      <c r="AT15" s="126">
        <f>AF15+AM15</f>
        <v>59.806324067936231</v>
      </c>
      <c r="AU15" s="153">
        <v>0</v>
      </c>
      <c r="AV15" s="126">
        <f>AH15+AO15</f>
        <v>1381.5184449345866</v>
      </c>
      <c r="AW15" s="126">
        <f>AI15+AP15</f>
        <v>230.45087001470421</v>
      </c>
      <c r="AX15" s="126">
        <f>AJ15+AQ15</f>
        <v>30.473048706670035</v>
      </c>
      <c r="AY15" s="126">
        <f>AK15+AR15</f>
        <v>1702.2486877328915</v>
      </c>
      <c r="AZ15" s="127">
        <f>AY15-Y15</f>
        <v>0</v>
      </c>
      <c r="BA15" s="127">
        <f>SUM(AT15:AX15)-AY15</f>
        <v>-8.994675226858817E-9</v>
      </c>
      <c r="BB15" s="159">
        <f>TRP_Simple!I68</f>
        <v>1702.2486877328915</v>
      </c>
      <c r="BC15" s="65">
        <f>BB15-AY15</f>
        <v>0</v>
      </c>
      <c r="BE15" s="65">
        <f>R15/W15</f>
        <v>0.11541544215869623</v>
      </c>
      <c r="BF15" s="77">
        <f>AR15/AY15</f>
        <v>0.2127204357464223</v>
      </c>
      <c r="BG15" s="65">
        <f>AK15/TRP_Simple!C68</f>
        <v>1.9274073508644709E-2</v>
      </c>
      <c r="BH15" s="65">
        <f>AR15/TRP_Simple!D68</f>
        <v>4.079126540232144E-2</v>
      </c>
      <c r="BI15" s="65">
        <f>AY15/SUM(TRP_Simple!C68:D68)</f>
        <v>2.1710147045101779E-2</v>
      </c>
    </row>
    <row r="16" spans="1:61" ht="13" x14ac:dyDescent="0.3">
      <c r="A16" s="124">
        <v>2</v>
      </c>
      <c r="B16" s="125" t="s">
        <v>314</v>
      </c>
      <c r="C16" s="93">
        <f t="shared" si="0"/>
        <v>1.3737660760882005E-2</v>
      </c>
      <c r="D16" s="93">
        <f t="shared" si="0"/>
        <v>0.954129724651814</v>
      </c>
      <c r="E16" s="93">
        <f t="shared" si="0"/>
        <v>2.4444688048878692E-2</v>
      </c>
      <c r="F16" s="93">
        <f t="shared" si="0"/>
        <v>7.6879265375767933E-3</v>
      </c>
      <c r="H16" s="80">
        <f t="shared" ref="H16:H38" si="4">$L16*C16</f>
        <v>80.121910933120148</v>
      </c>
      <c r="I16" s="80">
        <f t="shared" si="1"/>
        <v>5564.7535739765171</v>
      </c>
      <c r="J16" s="80">
        <f t="shared" si="1"/>
        <v>142.56831295595475</v>
      </c>
      <c r="K16" s="80">
        <f t="shared" si="1"/>
        <v>44.838155201653933</v>
      </c>
      <c r="L16" s="78">
        <f t="shared" si="2"/>
        <v>5832.2819530721945</v>
      </c>
      <c r="M16" s="82"/>
      <c r="N16" s="78">
        <f t="shared" ref="N16:N38" si="5">C16*$R16</f>
        <v>15.904337785445069</v>
      </c>
      <c r="O16" s="78">
        <f t="shared" ref="O16:O38" si="6">D16*$R16</f>
        <v>1104.6132013396632</v>
      </c>
      <c r="P16" s="78">
        <f t="shared" ref="P16:P38" si="7">E16*$R16</f>
        <v>28.300056505707314</v>
      </c>
      <c r="Q16" s="78">
        <f t="shared" ref="Q16:Q38" si="8">F16*$R16</f>
        <v>8.9004512960078532</v>
      </c>
      <c r="R16" s="88">
        <f t="shared" ref="R16:R38" si="9">W16*AB16</f>
        <v>1157.7180469278057</v>
      </c>
      <c r="S16" s="91">
        <f t="shared" ref="S16:S38" si="10">H16+N16</f>
        <v>96.026248718565213</v>
      </c>
      <c r="T16" s="91">
        <f t="shared" ref="T16:T38" si="11">I16+O16</f>
        <v>6669.3667753161808</v>
      </c>
      <c r="U16" s="91">
        <f t="shared" ref="U16:U38" si="12">J16+P16</f>
        <v>170.86836946166207</v>
      </c>
      <c r="V16" s="91">
        <f t="shared" ref="V16:V38" si="13">K16+Q16</f>
        <v>53.738606497661785</v>
      </c>
      <c r="W16" s="119">
        <f>TRP_Simple!$I39</f>
        <v>6990</v>
      </c>
      <c r="X16" s="71">
        <f t="shared" ref="X16:X39" si="14">SUM(S16:V16)-W16</f>
        <v>-5.9299054555594921E-9</v>
      </c>
      <c r="Y16" s="65">
        <f>TRP_Simple!I69</f>
        <v>7741.9219051665868</v>
      </c>
      <c r="Z16" s="71">
        <f t="shared" si="3"/>
        <v>-751.92190516658684</v>
      </c>
      <c r="AA16" s="774">
        <f>TRP_Simple!$D39/SUM(TRP_Simple!$C39:$D39)</f>
        <v>0.16562489941742572</v>
      </c>
      <c r="AB16" s="121">
        <f t="shared" ref="AB16:AB38" si="15">AA16</f>
        <v>0.16562489941742572</v>
      </c>
      <c r="AC16" s="77">
        <f>TRP_Simple!D69/SUM(TRP_Simple!C69:D69)</f>
        <v>0.16143528068178972</v>
      </c>
      <c r="AD16" s="94">
        <f t="shared" ref="AD16:AD38" si="16">AB16-AC16</f>
        <v>4.1896187356360026E-3</v>
      </c>
      <c r="AE16" s="158"/>
      <c r="AF16" s="126">
        <f t="shared" ref="AF16:AF39" si="17">H16</f>
        <v>80.121910933120148</v>
      </c>
      <c r="AG16" s="153">
        <v>0</v>
      </c>
      <c r="AH16" s="126">
        <f t="shared" ref="AH16:AH39" si="18">I16</f>
        <v>5564.7535739765171</v>
      </c>
      <c r="AI16" s="126">
        <f t="shared" ref="AI16:AI39" si="19">J16</f>
        <v>142.56831295595475</v>
      </c>
      <c r="AJ16" s="126">
        <f t="shared" ref="AJ16:AJ39" si="20">K16</f>
        <v>44.838155201653933</v>
      </c>
      <c r="AK16" s="126">
        <f t="shared" ref="AK16:AK39" si="21">L16</f>
        <v>5832.2819530721945</v>
      </c>
      <c r="AL16" s="127">
        <f t="shared" ref="AL16:AL39" si="22">SUM(AF16:AJ16)-AK16</f>
        <v>-4.9485606723465025E-9</v>
      </c>
      <c r="AM16" s="126">
        <f t="shared" ref="AM16:AM39" si="23">N16+S70</f>
        <v>19.455086177637028</v>
      </c>
      <c r="AN16" s="153">
        <v>0</v>
      </c>
      <c r="AO16" s="126">
        <f t="shared" ref="AO16:AO39" si="24">O16+T70</f>
        <v>1533.4629795968197</v>
      </c>
      <c r="AP16" s="126">
        <f t="shared" ref="AP16:AP39" si="25">P16+U70</f>
        <v>250.1771528668971</v>
      </c>
      <c r="AQ16" s="126">
        <f t="shared" ref="AQ16:AQ39" si="26">Q16+V70</f>
        <v>106.54473345205622</v>
      </c>
      <c r="AR16" s="126">
        <f t="shared" ref="AR16:AR39" si="27">R16+W70</f>
        <v>1909.6399520943924</v>
      </c>
      <c r="AS16" s="127">
        <f t="shared" ref="AS16:AS39" si="28">SUM(AM16:AQ16)-AR16</f>
        <v>-9.822542779147625E-10</v>
      </c>
      <c r="AT16" s="126">
        <f t="shared" ref="AT16:AT39" si="29">AF16+AM16</f>
        <v>99.576997110757176</v>
      </c>
      <c r="AU16" s="153">
        <v>0</v>
      </c>
      <c r="AV16" s="126">
        <f t="shared" ref="AV16:AV39" si="30">AH16+AO16</f>
        <v>7098.2165535733366</v>
      </c>
      <c r="AW16" s="126">
        <f t="shared" ref="AW16:AW39" si="31">AI16+AP16</f>
        <v>392.74546582285188</v>
      </c>
      <c r="AX16" s="126">
        <f t="shared" ref="AX16:AX39" si="32">AJ16+AQ16</f>
        <v>151.38288865371015</v>
      </c>
      <c r="AY16" s="126">
        <f t="shared" ref="AY16:AY39" si="33">AK16+AR16</f>
        <v>7741.9219051665868</v>
      </c>
      <c r="AZ16" s="127">
        <f t="shared" ref="AZ16:AZ39" si="34">AY16-Y16</f>
        <v>0</v>
      </c>
      <c r="BA16" s="127">
        <f t="shared" ref="BA16:BA39" si="35">SUM(AT16:AX16)-AY16</f>
        <v>-5.930814950261265E-9</v>
      </c>
      <c r="BB16" s="159">
        <f>TRP_Simple!I69</f>
        <v>7741.9219051665868</v>
      </c>
      <c r="BC16" s="65">
        <f t="shared" ref="BC16:BC38" si="36">BB16-AY16</f>
        <v>0</v>
      </c>
      <c r="BE16" s="65">
        <f t="shared" ref="BE16:BE38" si="37">R16/W16</f>
        <v>0.16562489941742572</v>
      </c>
      <c r="BF16" s="77">
        <f t="shared" ref="BF16:BF38" si="38">AR16/AY16</f>
        <v>0.24666225977040537</v>
      </c>
    </row>
    <row r="17" spans="1:58" ht="13" x14ac:dyDescent="0.3">
      <c r="A17" s="124">
        <v>3</v>
      </c>
      <c r="B17" s="125" t="s">
        <v>307</v>
      </c>
      <c r="C17" s="93">
        <f>C49</f>
        <v>7.4307570719378505E-2</v>
      </c>
      <c r="D17" s="93">
        <f>D49</f>
        <v>0.86160036508250659</v>
      </c>
      <c r="E17" s="93">
        <f>E49</f>
        <v>3.099593726845358E-2</v>
      </c>
      <c r="F17" s="93">
        <f>F49</f>
        <v>3.3096126937604615E-2</v>
      </c>
      <c r="H17" s="80">
        <f t="shared" si="4"/>
        <v>114.61037773061082</v>
      </c>
      <c r="I17" s="80">
        <f t="shared" si="1"/>
        <v>1328.9136266863036</v>
      </c>
      <c r="J17" s="80">
        <f t="shared" si="1"/>
        <v>47.807458164223704</v>
      </c>
      <c r="K17" s="80">
        <f t="shared" si="1"/>
        <v>51.046744941560839</v>
      </c>
      <c r="L17" s="78">
        <f t="shared" si="2"/>
        <v>1542.3782075104473</v>
      </c>
      <c r="M17" s="82"/>
      <c r="N17" s="78">
        <f t="shared" si="5"/>
        <v>59.863798318489906</v>
      </c>
      <c r="O17" s="78">
        <f t="shared" si="6"/>
        <v>694.12403052742184</v>
      </c>
      <c r="P17" s="78">
        <f t="shared" si="7"/>
        <v>24.9710025421053</v>
      </c>
      <c r="Q17" s="78">
        <f t="shared" si="8"/>
        <v>26.662961107934798</v>
      </c>
      <c r="R17" s="88">
        <f t="shared" si="9"/>
        <v>805.6217924895526</v>
      </c>
      <c r="S17" s="91">
        <f t="shared" si="10"/>
        <v>174.47417604910072</v>
      </c>
      <c r="T17" s="91">
        <f t="shared" si="11"/>
        <v>2023.0376572137254</v>
      </c>
      <c r="U17" s="91">
        <f t="shared" si="12"/>
        <v>72.778460706329</v>
      </c>
      <c r="V17" s="91">
        <f t="shared" si="13"/>
        <v>77.709706049495637</v>
      </c>
      <c r="W17" s="119">
        <f>TRP_Simple!$I40</f>
        <v>2348</v>
      </c>
      <c r="X17" s="71">
        <f t="shared" si="14"/>
        <v>1.8651007849257439E-8</v>
      </c>
      <c r="Y17" s="65">
        <f>TRP_Simple!I70</f>
        <v>3119.136818311631</v>
      </c>
      <c r="Z17" s="71">
        <f t="shared" si="3"/>
        <v>-771.13681831163103</v>
      </c>
      <c r="AA17" s="774">
        <f>TRP_Simple!$D40/SUM(TRP_Simple!$C40:$D40)</f>
        <v>0.34310979237204114</v>
      </c>
      <c r="AB17" s="121">
        <f t="shared" si="15"/>
        <v>0.34310979237204114</v>
      </c>
      <c r="AC17" s="77">
        <f>TRP_Simple!D70/SUM(TRP_Simple!C70:D70)</f>
        <v>0.33932856614636037</v>
      </c>
      <c r="AD17" s="94">
        <f t="shared" si="16"/>
        <v>3.7812262256807783E-3</v>
      </c>
      <c r="AE17" s="158"/>
      <c r="AF17" s="126">
        <f t="shared" si="17"/>
        <v>114.61037773061082</v>
      </c>
      <c r="AG17" s="153">
        <v>0</v>
      </c>
      <c r="AH17" s="126">
        <f t="shared" si="18"/>
        <v>1328.9136266863036</v>
      </c>
      <c r="AI17" s="126">
        <f t="shared" si="19"/>
        <v>47.807458164223704</v>
      </c>
      <c r="AJ17" s="126">
        <f t="shared" si="20"/>
        <v>51.046744941560839</v>
      </c>
      <c r="AK17" s="126">
        <f t="shared" si="21"/>
        <v>1542.3782075104473</v>
      </c>
      <c r="AL17" s="127">
        <f t="shared" si="22"/>
        <v>1.2251575753907673E-8</v>
      </c>
      <c r="AM17" s="126">
        <f t="shared" si="23"/>
        <v>73.228786442950408</v>
      </c>
      <c r="AN17" s="153">
        <v>0</v>
      </c>
      <c r="AO17" s="126">
        <f t="shared" si="24"/>
        <v>963.60744446239164</v>
      </c>
      <c r="AP17" s="126">
        <f t="shared" si="25"/>
        <v>220.74776843488198</v>
      </c>
      <c r="AQ17" s="126">
        <f t="shared" si="26"/>
        <v>319.17461146735855</v>
      </c>
      <c r="AR17" s="126">
        <f t="shared" si="27"/>
        <v>1576.7586108011833</v>
      </c>
      <c r="AS17" s="127">
        <f t="shared" si="28"/>
        <v>6.3992047216743231E-9</v>
      </c>
      <c r="AT17" s="126">
        <f t="shared" si="29"/>
        <v>187.83916417356124</v>
      </c>
      <c r="AU17" s="153">
        <v>0</v>
      </c>
      <c r="AV17" s="126">
        <f t="shared" si="30"/>
        <v>2292.5210711486952</v>
      </c>
      <c r="AW17" s="126">
        <f t="shared" si="31"/>
        <v>268.55522659910571</v>
      </c>
      <c r="AX17" s="126">
        <f t="shared" si="32"/>
        <v>370.22135640891941</v>
      </c>
      <c r="AY17" s="126">
        <f t="shared" si="33"/>
        <v>3119.1368183116306</v>
      </c>
      <c r="AZ17" s="127">
        <f t="shared" si="34"/>
        <v>0</v>
      </c>
      <c r="BA17" s="127">
        <f t="shared" si="35"/>
        <v>1.8651007849257439E-8</v>
      </c>
      <c r="BB17" s="159">
        <f>TRP_Simple!I70</f>
        <v>3119.136818311631</v>
      </c>
      <c r="BC17" s="65">
        <f t="shared" si="36"/>
        <v>0</v>
      </c>
      <c r="BE17" s="65">
        <f t="shared" si="37"/>
        <v>0.34310979237204114</v>
      </c>
      <c r="BF17" s="77">
        <f t="shared" si="38"/>
        <v>0.50551120474884237</v>
      </c>
    </row>
    <row r="18" spans="1:58" ht="13" x14ac:dyDescent="0.3">
      <c r="A18" s="124">
        <v>4</v>
      </c>
      <c r="B18" s="125" t="s">
        <v>122</v>
      </c>
      <c r="C18" s="93">
        <f>C$51</f>
        <v>4.5681350130867847E-2</v>
      </c>
      <c r="D18" s="93">
        <f>D$51</f>
        <v>0.87136023682762764</v>
      </c>
      <c r="E18" s="93">
        <f>E$51</f>
        <v>6.172821882959216E-2</v>
      </c>
      <c r="F18" s="93">
        <f>F$51</f>
        <v>2.1230194212285183E-2</v>
      </c>
      <c r="H18" s="80">
        <f t="shared" si="4"/>
        <v>16.449638077847062</v>
      </c>
      <c r="I18" s="80">
        <f t="shared" si="1"/>
        <v>313.77269914700025</v>
      </c>
      <c r="J18" s="80">
        <f t="shared" si="1"/>
        <v>22.228039583506167</v>
      </c>
      <c r="K18" s="80">
        <f t="shared" si="1"/>
        <v>7.6448925023893564</v>
      </c>
      <c r="L18" s="78">
        <f t="shared" si="2"/>
        <v>360.09526931060856</v>
      </c>
      <c r="M18" s="82"/>
      <c r="N18" s="78">
        <f t="shared" si="5"/>
        <v>5.8428607860164492</v>
      </c>
      <c r="O18" s="78">
        <f t="shared" si="6"/>
        <v>111.45109642488207</v>
      </c>
      <c r="P18" s="78">
        <f t="shared" si="7"/>
        <v>7.8953312053348084</v>
      </c>
      <c r="Q18" s="78">
        <f t="shared" si="8"/>
        <v>2.7154422732058134</v>
      </c>
      <c r="R18" s="88">
        <f t="shared" si="9"/>
        <v>127.90473068939146</v>
      </c>
      <c r="S18" s="91">
        <f t="shared" si="10"/>
        <v>22.292498863863511</v>
      </c>
      <c r="T18" s="91">
        <f t="shared" si="11"/>
        <v>425.22379557188231</v>
      </c>
      <c r="U18" s="91">
        <f t="shared" si="12"/>
        <v>30.123370788840976</v>
      </c>
      <c r="V18" s="91">
        <f t="shared" si="13"/>
        <v>10.36033477559517</v>
      </c>
      <c r="W18" s="119">
        <f>TRP_Simple!$I41</f>
        <v>488</v>
      </c>
      <c r="X18" s="71">
        <f t="shared" si="14"/>
        <v>1.8195578377344646E-10</v>
      </c>
      <c r="Y18" s="65">
        <f>TRP_Simple!I71</f>
        <v>624.26472937723065</v>
      </c>
      <c r="Z18" s="71">
        <f t="shared" si="3"/>
        <v>-136.26472937723065</v>
      </c>
      <c r="AA18" s="774">
        <f>TRP_Simple!$D41/SUM(TRP_Simple!$C41:$D41)</f>
        <v>0.26209985797006446</v>
      </c>
      <c r="AB18" s="121">
        <f t="shared" si="15"/>
        <v>0.26209985797006446</v>
      </c>
      <c r="AC18" s="77">
        <f>TRP_Simple!D71/SUM(TRP_Simple!C71:D71)</f>
        <v>0.25093250844444531</v>
      </c>
      <c r="AD18" s="94">
        <f t="shared" si="16"/>
        <v>1.1167349525619152E-2</v>
      </c>
      <c r="AE18" s="158"/>
      <c r="AF18" s="126">
        <f t="shared" si="17"/>
        <v>16.449638077847062</v>
      </c>
      <c r="AG18" s="153">
        <v>0</v>
      </c>
      <c r="AH18" s="126">
        <f t="shared" si="18"/>
        <v>313.77269914700025</v>
      </c>
      <c r="AI18" s="126">
        <f t="shared" si="19"/>
        <v>22.228039583506167</v>
      </c>
      <c r="AJ18" s="126">
        <f t="shared" si="20"/>
        <v>7.6448925023893564</v>
      </c>
      <c r="AK18" s="126">
        <f t="shared" si="21"/>
        <v>360.09526931060856</v>
      </c>
      <c r="AL18" s="127">
        <f t="shared" si="22"/>
        <v>1.3432099876808934E-10</v>
      </c>
      <c r="AM18" s="126">
        <f t="shared" si="23"/>
        <v>7.1473180241377143</v>
      </c>
      <c r="AN18" s="153">
        <v>0</v>
      </c>
      <c r="AO18" s="126">
        <f t="shared" si="24"/>
        <v>154.72034029265535</v>
      </c>
      <c r="AP18" s="126">
        <f t="shared" si="25"/>
        <v>69.796026078374837</v>
      </c>
      <c r="AQ18" s="126">
        <f t="shared" si="26"/>
        <v>32.50577567150183</v>
      </c>
      <c r="AR18" s="126">
        <f t="shared" si="27"/>
        <v>264.16946006662204</v>
      </c>
      <c r="AS18" s="127">
        <f t="shared" si="28"/>
        <v>4.7691628424217924E-11</v>
      </c>
      <c r="AT18" s="126">
        <f t="shared" si="29"/>
        <v>23.596956101984777</v>
      </c>
      <c r="AU18" s="153">
        <v>0</v>
      </c>
      <c r="AV18" s="126">
        <f t="shared" si="30"/>
        <v>468.4930394396556</v>
      </c>
      <c r="AW18" s="126">
        <f t="shared" si="31"/>
        <v>92.024065661880996</v>
      </c>
      <c r="AX18" s="126">
        <f t="shared" si="32"/>
        <v>40.150668173891184</v>
      </c>
      <c r="AY18" s="126">
        <f t="shared" si="33"/>
        <v>624.26472937723065</v>
      </c>
      <c r="AZ18" s="127">
        <f t="shared" si="34"/>
        <v>0</v>
      </c>
      <c r="BA18" s="127">
        <f t="shared" si="35"/>
        <v>1.8189894035458565E-10</v>
      </c>
      <c r="BB18" s="159">
        <f>TRP_Simple!I71</f>
        <v>624.26472937723065</v>
      </c>
      <c r="BC18" s="65">
        <f t="shared" si="36"/>
        <v>0</v>
      </c>
      <c r="BE18" s="65">
        <f t="shared" si="37"/>
        <v>0.26209985797006446</v>
      </c>
      <c r="BF18" s="77">
        <f t="shared" si="38"/>
        <v>0.42316896604131182</v>
      </c>
    </row>
    <row r="19" spans="1:58" ht="13" x14ac:dyDescent="0.3">
      <c r="A19" s="124">
        <v>5</v>
      </c>
      <c r="B19" s="125" t="s">
        <v>123</v>
      </c>
      <c r="C19" s="93">
        <f t="shared" ref="C19:F26" si="39">C$51</f>
        <v>4.5681350130867847E-2</v>
      </c>
      <c r="D19" s="93">
        <f t="shared" si="39"/>
        <v>0.87136023682762764</v>
      </c>
      <c r="E19" s="93">
        <f t="shared" si="39"/>
        <v>6.172821882959216E-2</v>
      </c>
      <c r="F19" s="93">
        <f t="shared" si="39"/>
        <v>2.1230194212285183E-2</v>
      </c>
      <c r="H19" s="80">
        <f t="shared" si="4"/>
        <v>44.456940814123797</v>
      </c>
      <c r="I19" s="80">
        <f t="shared" si="1"/>
        <v>848.00493780175407</v>
      </c>
      <c r="J19" s="80">
        <f t="shared" si="1"/>
        <v>60.073701044446913</v>
      </c>
      <c r="K19" s="80">
        <f t="shared" si="1"/>
        <v>20.661155698420362</v>
      </c>
      <c r="L19" s="78">
        <f t="shared" si="2"/>
        <v>973.19673535838228</v>
      </c>
      <c r="M19" s="82"/>
      <c r="N19" s="78">
        <f t="shared" si="5"/>
        <v>8.3050185870285667</v>
      </c>
      <c r="O19" s="78">
        <f t="shared" si="6"/>
        <v>158.41613573415589</v>
      </c>
      <c r="P19" s="78">
        <f t="shared" si="7"/>
        <v>11.222391703732034</v>
      </c>
      <c r="Q19" s="78">
        <f t="shared" si="8"/>
        <v>3.8597186167690247</v>
      </c>
      <c r="R19" s="88">
        <f t="shared" si="9"/>
        <v>181.80326464161774</v>
      </c>
      <c r="S19" s="91">
        <f t="shared" si="10"/>
        <v>52.761959401152367</v>
      </c>
      <c r="T19" s="91">
        <f t="shared" si="11"/>
        <v>1006.42107353591</v>
      </c>
      <c r="U19" s="91">
        <f t="shared" si="12"/>
        <v>71.29609274817895</v>
      </c>
      <c r="V19" s="91">
        <f t="shared" si="13"/>
        <v>24.520874315189388</v>
      </c>
      <c r="W19" s="119">
        <f>TRP_Simple!$I42</f>
        <v>1155</v>
      </c>
      <c r="X19" s="71">
        <f t="shared" si="14"/>
        <v>4.3064574128948152E-10</v>
      </c>
      <c r="Y19" s="65">
        <f>TRP_Simple!I72</f>
        <v>1348.6861328174612</v>
      </c>
      <c r="Z19" s="71">
        <f t="shared" si="3"/>
        <v>-193.68613281746116</v>
      </c>
      <c r="AA19" s="774">
        <f>TRP_Simple!$D42/SUM(TRP_Simple!$C42:$D42)</f>
        <v>0.15740542393213658</v>
      </c>
      <c r="AB19" s="121">
        <f t="shared" si="15"/>
        <v>0.15740542393213658</v>
      </c>
      <c r="AC19" s="77">
        <f>TRP_Simple!D72/SUM(TRP_Simple!C72:D72)</f>
        <v>0.15024080783975541</v>
      </c>
      <c r="AD19" s="94">
        <f t="shared" si="16"/>
        <v>7.1646160923811708E-3</v>
      </c>
      <c r="AE19" s="158"/>
      <c r="AF19" s="126">
        <f t="shared" si="17"/>
        <v>44.456940814123797</v>
      </c>
      <c r="AG19" s="153">
        <v>0</v>
      </c>
      <c r="AH19" s="126">
        <f t="shared" si="18"/>
        <v>848.00493780175407</v>
      </c>
      <c r="AI19" s="126">
        <f t="shared" si="19"/>
        <v>60.073701044446913</v>
      </c>
      <c r="AJ19" s="126">
        <f t="shared" si="20"/>
        <v>20.661155698420362</v>
      </c>
      <c r="AK19" s="126">
        <f t="shared" si="21"/>
        <v>973.19673535838228</v>
      </c>
      <c r="AL19" s="127">
        <f t="shared" si="22"/>
        <v>3.6277469916967675E-10</v>
      </c>
      <c r="AM19" s="126">
        <f t="shared" si="23"/>
        <v>10.159168806473922</v>
      </c>
      <c r="AN19" s="153">
        <v>0</v>
      </c>
      <c r="AO19" s="126">
        <f t="shared" si="24"/>
        <v>219.91886320432863</v>
      </c>
      <c r="AP19" s="126">
        <f t="shared" si="25"/>
        <v>99.207787950195666</v>
      </c>
      <c r="AQ19" s="126">
        <f t="shared" si="26"/>
        <v>46.203577498148469</v>
      </c>
      <c r="AR19" s="126">
        <f t="shared" si="27"/>
        <v>375.48939745907893</v>
      </c>
      <c r="AS19" s="127">
        <f t="shared" si="28"/>
        <v>6.7757355282083154E-11</v>
      </c>
      <c r="AT19" s="126">
        <f t="shared" si="29"/>
        <v>54.616109620597719</v>
      </c>
      <c r="AU19" s="153">
        <v>0</v>
      </c>
      <c r="AV19" s="126">
        <f t="shared" si="30"/>
        <v>1067.9238010060826</v>
      </c>
      <c r="AW19" s="126">
        <f t="shared" si="31"/>
        <v>159.28148899464259</v>
      </c>
      <c r="AX19" s="126">
        <f t="shared" si="32"/>
        <v>66.864733196568835</v>
      </c>
      <c r="AY19" s="126">
        <f t="shared" si="33"/>
        <v>1348.6861328174612</v>
      </c>
      <c r="AZ19" s="127">
        <f t="shared" si="34"/>
        <v>0</v>
      </c>
      <c r="BA19" s="127">
        <f t="shared" si="35"/>
        <v>4.3041836761403829E-10</v>
      </c>
      <c r="BB19" s="159">
        <f>TRP_Simple!I72</f>
        <v>1348.6861328174612</v>
      </c>
      <c r="BC19" s="65">
        <f t="shared" si="36"/>
        <v>0</v>
      </c>
      <c r="BE19" s="65">
        <f t="shared" si="37"/>
        <v>0.15740542393213658</v>
      </c>
      <c r="BF19" s="77">
        <f t="shared" si="38"/>
        <v>0.2784112539769843</v>
      </c>
    </row>
    <row r="20" spans="1:58" ht="13" x14ac:dyDescent="0.3">
      <c r="A20" s="124">
        <v>6</v>
      </c>
      <c r="B20" s="125" t="s">
        <v>308</v>
      </c>
      <c r="C20" s="93">
        <f t="shared" si="39"/>
        <v>4.5681350130867847E-2</v>
      </c>
      <c r="D20" s="93">
        <f t="shared" si="39"/>
        <v>0.87136023682762764</v>
      </c>
      <c r="E20" s="93">
        <f t="shared" si="39"/>
        <v>6.172821882959216E-2</v>
      </c>
      <c r="F20" s="93">
        <f t="shared" si="39"/>
        <v>2.1230194212285183E-2</v>
      </c>
      <c r="H20" s="80">
        <f t="shared" si="4"/>
        <v>36.527681351579339</v>
      </c>
      <c r="I20" s="80">
        <f t="shared" si="1"/>
        <v>696.75631263290802</v>
      </c>
      <c r="J20" s="80">
        <f t="shared" si="1"/>
        <v>49.359064505501429</v>
      </c>
      <c r="K20" s="80">
        <f t="shared" si="1"/>
        <v>16.976069380543162</v>
      </c>
      <c r="L20" s="78">
        <f t="shared" si="2"/>
        <v>799.6191278702338</v>
      </c>
      <c r="M20" s="82"/>
      <c r="N20" s="78">
        <f t="shared" si="5"/>
        <v>15.731783198133476</v>
      </c>
      <c r="O20" s="78">
        <f t="shared" si="6"/>
        <v>300.07979829789798</v>
      </c>
      <c r="P20" s="78">
        <f t="shared" si="7"/>
        <v>21.258017835552</v>
      </c>
      <c r="Q20" s="78">
        <f t="shared" si="8"/>
        <v>7.3112727983110855</v>
      </c>
      <c r="R20" s="88">
        <f t="shared" si="9"/>
        <v>344.38087212976615</v>
      </c>
      <c r="S20" s="91">
        <f t="shared" si="10"/>
        <v>52.259464549712817</v>
      </c>
      <c r="T20" s="91">
        <f t="shared" si="11"/>
        <v>996.83611093080594</v>
      </c>
      <c r="U20" s="91">
        <f t="shared" si="12"/>
        <v>70.617082341053433</v>
      </c>
      <c r="V20" s="91">
        <f t="shared" si="13"/>
        <v>24.287342178854246</v>
      </c>
      <c r="W20" s="119">
        <f>TRP_Simple!$I43</f>
        <v>1144</v>
      </c>
      <c r="X20" s="71">
        <f t="shared" si="14"/>
        <v>4.2655301513150334E-10</v>
      </c>
      <c r="Y20" s="65">
        <f>TRP_Simple!I73</f>
        <v>1510.8899976609655</v>
      </c>
      <c r="Z20" s="71">
        <f t="shared" si="3"/>
        <v>-366.88999766096549</v>
      </c>
      <c r="AA20" s="774">
        <f>TRP_Simple!$D43/SUM(TRP_Simple!$C43:$D43)</f>
        <v>0.30103223088266273</v>
      </c>
      <c r="AB20" s="121">
        <f t="shared" si="15"/>
        <v>0.30103223088266273</v>
      </c>
      <c r="AC20" s="77">
        <f>TRP_Simple!D73/SUM(TRP_Simple!C73:D73)</f>
        <v>0.29187460673463689</v>
      </c>
      <c r="AD20" s="94">
        <f t="shared" si="16"/>
        <v>9.1576241480258447E-3</v>
      </c>
      <c r="AE20" s="158"/>
      <c r="AF20" s="126">
        <f t="shared" si="17"/>
        <v>36.527681351579339</v>
      </c>
      <c r="AG20" s="153">
        <v>0</v>
      </c>
      <c r="AH20" s="126">
        <f t="shared" si="18"/>
        <v>696.75631263290802</v>
      </c>
      <c r="AI20" s="126">
        <f t="shared" si="19"/>
        <v>49.359064505501429</v>
      </c>
      <c r="AJ20" s="126">
        <f t="shared" si="20"/>
        <v>16.976069380543162</v>
      </c>
      <c r="AK20" s="126">
        <f t="shared" si="21"/>
        <v>799.6191278702338</v>
      </c>
      <c r="AL20" s="127">
        <f t="shared" si="22"/>
        <v>2.9820057534379885E-10</v>
      </c>
      <c r="AM20" s="126">
        <f t="shared" si="23"/>
        <v>19.244007639707213</v>
      </c>
      <c r="AN20" s="153">
        <v>0</v>
      </c>
      <c r="AO20" s="126">
        <f t="shared" si="24"/>
        <v>416.5813526912666</v>
      </c>
      <c r="AP20" s="126">
        <f t="shared" si="25"/>
        <v>187.92437310574181</v>
      </c>
      <c r="AQ20" s="126">
        <f t="shared" si="26"/>
        <v>87.521136354144303</v>
      </c>
      <c r="AR20" s="126">
        <f t="shared" si="27"/>
        <v>711.27086979073147</v>
      </c>
      <c r="AS20" s="127">
        <f t="shared" si="28"/>
        <v>1.2846612662542611E-10</v>
      </c>
      <c r="AT20" s="126">
        <f t="shared" si="29"/>
        <v>55.771688991286553</v>
      </c>
      <c r="AU20" s="153">
        <v>0</v>
      </c>
      <c r="AV20" s="126">
        <f t="shared" si="30"/>
        <v>1113.3376653241746</v>
      </c>
      <c r="AW20" s="126">
        <f t="shared" si="31"/>
        <v>237.28343761124324</v>
      </c>
      <c r="AX20" s="126">
        <f t="shared" si="32"/>
        <v>104.49720573468747</v>
      </c>
      <c r="AY20" s="126">
        <f t="shared" si="33"/>
        <v>1510.8899976609653</v>
      </c>
      <c r="AZ20" s="127">
        <f t="shared" si="34"/>
        <v>0</v>
      </c>
      <c r="BA20" s="127">
        <f t="shared" si="35"/>
        <v>4.2655301513150334E-10</v>
      </c>
      <c r="BB20" s="159">
        <f>TRP_Simple!I73</f>
        <v>1510.8899976609655</v>
      </c>
      <c r="BC20" s="65">
        <f t="shared" si="36"/>
        <v>0</v>
      </c>
      <c r="BE20" s="65">
        <f t="shared" si="37"/>
        <v>0.30103223088266273</v>
      </c>
      <c r="BF20" s="77">
        <f t="shared" si="38"/>
        <v>0.47076284235904803</v>
      </c>
    </row>
    <row r="21" spans="1:58" ht="13" x14ac:dyDescent="0.3">
      <c r="A21" s="124">
        <v>7</v>
      </c>
      <c r="B21" s="125" t="s">
        <v>130</v>
      </c>
      <c r="C21" s="93">
        <f t="shared" si="39"/>
        <v>4.5681350130867847E-2</v>
      </c>
      <c r="D21" s="93">
        <f t="shared" si="39"/>
        <v>0.87136023682762764</v>
      </c>
      <c r="E21" s="93">
        <f t="shared" si="39"/>
        <v>6.172821882959216E-2</v>
      </c>
      <c r="F21" s="93">
        <f t="shared" si="39"/>
        <v>2.1230194212285183E-2</v>
      </c>
      <c r="H21" s="80">
        <f t="shared" si="4"/>
        <v>27.649918750720168</v>
      </c>
      <c r="I21" s="80">
        <f t="shared" si="1"/>
        <v>527.41522923185266</v>
      </c>
      <c r="J21" s="80">
        <f t="shared" si="1"/>
        <v>37.362736223323459</v>
      </c>
      <c r="K21" s="80">
        <f t="shared" si="1"/>
        <v>12.850170657172363</v>
      </c>
      <c r="L21" s="78">
        <f t="shared" si="2"/>
        <v>605.27805486284296</v>
      </c>
      <c r="M21" s="82"/>
      <c r="N21" s="78">
        <f t="shared" si="5"/>
        <v>20.452542937083678</v>
      </c>
      <c r="O21" s="78">
        <f t="shared" si="6"/>
        <v>390.12710014763934</v>
      </c>
      <c r="P21" s="78">
        <f t="shared" si="7"/>
        <v>27.637078204237088</v>
      </c>
      <c r="Q21" s="78">
        <f t="shared" si="8"/>
        <v>9.5052238483639364</v>
      </c>
      <c r="R21" s="88">
        <f t="shared" si="9"/>
        <v>447.72194513715709</v>
      </c>
      <c r="S21" s="91">
        <f t="shared" si="10"/>
        <v>48.102461687803846</v>
      </c>
      <c r="T21" s="91">
        <f t="shared" si="11"/>
        <v>917.542329379492</v>
      </c>
      <c r="U21" s="91">
        <f t="shared" si="12"/>
        <v>64.999814427560551</v>
      </c>
      <c r="V21" s="91">
        <f t="shared" si="13"/>
        <v>22.355394505536299</v>
      </c>
      <c r="W21" s="119">
        <f>TRP_Simple!$I44</f>
        <v>1053</v>
      </c>
      <c r="X21" s="71">
        <f t="shared" si="14"/>
        <v>3.9267433749046177E-10</v>
      </c>
      <c r="Y21" s="65">
        <f>TRP_Simple!I74</f>
        <v>1529.9855607492564</v>
      </c>
      <c r="Z21" s="71">
        <f t="shared" si="3"/>
        <v>-476.98556074925636</v>
      </c>
      <c r="AA21" s="774">
        <f>TRP_Simple!$D44/SUM(TRP_Simple!$C44:$D44)</f>
        <v>0.42518703241895262</v>
      </c>
      <c r="AB21" s="121">
        <f t="shared" si="15"/>
        <v>0.42518703241895262</v>
      </c>
      <c r="AC21" s="77">
        <f>TRP_Simple!D74/SUM(TRP_Simple!C74:D74)</f>
        <v>0.39760216724105729</v>
      </c>
      <c r="AD21" s="94">
        <f t="shared" si="16"/>
        <v>2.7584865177895324E-2</v>
      </c>
      <c r="AE21" s="158"/>
      <c r="AF21" s="126">
        <f t="shared" si="17"/>
        <v>27.649918750720168</v>
      </c>
      <c r="AG21" s="153">
        <v>0</v>
      </c>
      <c r="AH21" s="126">
        <f t="shared" si="18"/>
        <v>527.41522923185266</v>
      </c>
      <c r="AI21" s="126">
        <f t="shared" si="19"/>
        <v>37.362736223323459</v>
      </c>
      <c r="AJ21" s="126">
        <f t="shared" si="20"/>
        <v>12.850170657172363</v>
      </c>
      <c r="AK21" s="126">
        <f t="shared" si="21"/>
        <v>605.27805486284296</v>
      </c>
      <c r="AL21" s="127">
        <f t="shared" si="22"/>
        <v>2.2578205971512944E-10</v>
      </c>
      <c r="AM21" s="126">
        <f t="shared" si="23"/>
        <v>25.018708151239721</v>
      </c>
      <c r="AN21" s="153">
        <v>0</v>
      </c>
      <c r="AO21" s="126">
        <f t="shared" si="24"/>
        <v>541.58819095075103</v>
      </c>
      <c r="AP21" s="126">
        <f t="shared" si="25"/>
        <v>244.31631566888998</v>
      </c>
      <c r="AQ21" s="126">
        <f t="shared" si="26"/>
        <v>113.78429111569962</v>
      </c>
      <c r="AR21" s="126">
        <f t="shared" si="27"/>
        <v>924.7075058864134</v>
      </c>
      <c r="AS21" s="127">
        <f t="shared" si="28"/>
        <v>1.6689227777533233E-10</v>
      </c>
      <c r="AT21" s="126">
        <f t="shared" si="29"/>
        <v>52.66862690195989</v>
      </c>
      <c r="AU21" s="153">
        <v>0</v>
      </c>
      <c r="AV21" s="126">
        <f t="shared" si="30"/>
        <v>1069.0034201826038</v>
      </c>
      <c r="AW21" s="126">
        <f t="shared" si="31"/>
        <v>281.67905189221347</v>
      </c>
      <c r="AX21" s="126">
        <f t="shared" si="32"/>
        <v>126.63446177287199</v>
      </c>
      <c r="AY21" s="126">
        <f t="shared" si="33"/>
        <v>1529.9855607492564</v>
      </c>
      <c r="AZ21" s="127">
        <f t="shared" si="34"/>
        <v>0</v>
      </c>
      <c r="BA21" s="127">
        <f t="shared" si="35"/>
        <v>3.92901711165905E-10</v>
      </c>
      <c r="BB21" s="159">
        <f>TRP_Simple!I74</f>
        <v>1529.9855607492564</v>
      </c>
      <c r="BC21" s="65">
        <f t="shared" si="36"/>
        <v>0</v>
      </c>
      <c r="BE21" s="65">
        <f t="shared" si="37"/>
        <v>0.42518703241895262</v>
      </c>
      <c r="BF21" s="77">
        <f t="shared" si="38"/>
        <v>0.60438969465409242</v>
      </c>
    </row>
    <row r="22" spans="1:58" ht="13" x14ac:dyDescent="0.3">
      <c r="A22" s="124">
        <v>8</v>
      </c>
      <c r="B22" s="125" t="s">
        <v>131</v>
      </c>
      <c r="C22" s="93">
        <f t="shared" si="39"/>
        <v>4.5681350130867847E-2</v>
      </c>
      <c r="D22" s="93">
        <f t="shared" si="39"/>
        <v>0.87136023682762764</v>
      </c>
      <c r="E22" s="93">
        <f t="shared" si="39"/>
        <v>6.172821882959216E-2</v>
      </c>
      <c r="F22" s="93">
        <f t="shared" si="39"/>
        <v>2.1230194212285183E-2</v>
      </c>
      <c r="H22" s="80">
        <f t="shared" si="4"/>
        <v>17.288587654043432</v>
      </c>
      <c r="I22" s="80">
        <f t="shared" si="1"/>
        <v>329.77545080181477</v>
      </c>
      <c r="J22" s="80">
        <f t="shared" si="1"/>
        <v>23.361693971524129</v>
      </c>
      <c r="K22" s="80">
        <f t="shared" si="1"/>
        <v>8.0347904013336358</v>
      </c>
      <c r="L22" s="78">
        <f t="shared" si="2"/>
        <v>378.46052282857488</v>
      </c>
      <c r="M22" s="82"/>
      <c r="N22" s="78">
        <f t="shared" si="5"/>
        <v>12.906784782460214</v>
      </c>
      <c r="O22" s="78">
        <f t="shared" si="6"/>
        <v>246.19366574124709</v>
      </c>
      <c r="P22" s="78">
        <f t="shared" si="7"/>
        <v>17.440658674836289</v>
      </c>
      <c r="Q22" s="78">
        <f t="shared" si="8"/>
        <v>5.9983679729868715</v>
      </c>
      <c r="R22" s="88">
        <f t="shared" si="9"/>
        <v>282.53947717142512</v>
      </c>
      <c r="S22" s="91">
        <f t="shared" si="10"/>
        <v>30.195372436503646</v>
      </c>
      <c r="T22" s="91">
        <f t="shared" si="11"/>
        <v>575.96911654306189</v>
      </c>
      <c r="U22" s="91">
        <f t="shared" si="12"/>
        <v>40.802352646360418</v>
      </c>
      <c r="V22" s="91">
        <f t="shared" si="13"/>
        <v>14.033158374320507</v>
      </c>
      <c r="W22" s="119">
        <f>TRP_Simple!$I45</f>
        <v>661</v>
      </c>
      <c r="X22" s="71">
        <f t="shared" si="14"/>
        <v>2.4635937734274194E-10</v>
      </c>
      <c r="Y22" s="65">
        <f>TRP_Simple!I75</f>
        <v>962.00657878435845</v>
      </c>
      <c r="Z22" s="71">
        <f t="shared" si="3"/>
        <v>-301.00657878435845</v>
      </c>
      <c r="AA22" s="774">
        <f>TRP_Simple!$D45/SUM(TRP_Simple!$C45:$D45)</f>
        <v>0.4274424768100229</v>
      </c>
      <c r="AB22" s="121">
        <f t="shared" si="15"/>
        <v>0.4274424768100229</v>
      </c>
      <c r="AC22" s="77">
        <f>TRP_Simple!D75/SUM(TRP_Simple!C75:D75)</f>
        <v>0.4232451925903481</v>
      </c>
      <c r="AD22" s="94">
        <f t="shared" si="16"/>
        <v>4.1972842196748017E-3</v>
      </c>
      <c r="AE22" s="158"/>
      <c r="AF22" s="126">
        <f t="shared" si="17"/>
        <v>17.288587654043432</v>
      </c>
      <c r="AG22" s="153">
        <v>0</v>
      </c>
      <c r="AH22" s="126">
        <f t="shared" si="18"/>
        <v>329.77545080181477</v>
      </c>
      <c r="AI22" s="126">
        <f t="shared" si="19"/>
        <v>23.361693971524129</v>
      </c>
      <c r="AJ22" s="126">
        <f t="shared" si="20"/>
        <v>8.0347904013336358</v>
      </c>
      <c r="AK22" s="126">
        <f t="shared" si="21"/>
        <v>378.46052282857488</v>
      </c>
      <c r="AL22" s="127">
        <f t="shared" si="22"/>
        <v>1.4108536561252549E-10</v>
      </c>
      <c r="AM22" s="126">
        <f t="shared" si="23"/>
        <v>15.788309680442993</v>
      </c>
      <c r="AN22" s="153">
        <v>0</v>
      </c>
      <c r="AO22" s="126">
        <f t="shared" si="24"/>
        <v>341.77472419085086</v>
      </c>
      <c r="AP22" s="126">
        <f t="shared" si="25"/>
        <v>154.17829043959503</v>
      </c>
      <c r="AQ22" s="126">
        <f t="shared" si="26"/>
        <v>71.804731645000061</v>
      </c>
      <c r="AR22" s="126">
        <f t="shared" si="27"/>
        <v>583.54605595578357</v>
      </c>
      <c r="AS22" s="127">
        <f t="shared" si="28"/>
        <v>1.0538769856793806E-10</v>
      </c>
      <c r="AT22" s="126">
        <f t="shared" si="29"/>
        <v>33.076897334486425</v>
      </c>
      <c r="AU22" s="153">
        <v>0</v>
      </c>
      <c r="AV22" s="126">
        <f t="shared" si="30"/>
        <v>671.55017499266569</v>
      </c>
      <c r="AW22" s="126">
        <f t="shared" si="31"/>
        <v>177.53998441111915</v>
      </c>
      <c r="AX22" s="126">
        <f t="shared" si="32"/>
        <v>79.839522046333698</v>
      </c>
      <c r="AY22" s="126">
        <f t="shared" si="33"/>
        <v>962.00657878435845</v>
      </c>
      <c r="AZ22" s="127">
        <f t="shared" si="34"/>
        <v>0</v>
      </c>
      <c r="BA22" s="127">
        <f t="shared" si="35"/>
        <v>2.4647306418046355E-10</v>
      </c>
      <c r="BB22" s="159">
        <f>TRP_Simple!I75</f>
        <v>962.00657878435845</v>
      </c>
      <c r="BC22" s="65">
        <f t="shared" si="36"/>
        <v>0</v>
      </c>
      <c r="BE22" s="65">
        <f t="shared" si="37"/>
        <v>0.4274424768100229</v>
      </c>
      <c r="BF22" s="77">
        <f t="shared" si="38"/>
        <v>0.60659258348646916</v>
      </c>
    </row>
    <row r="23" spans="1:58" ht="13" x14ac:dyDescent="0.3">
      <c r="A23" s="124">
        <v>9</v>
      </c>
      <c r="B23" s="125" t="s">
        <v>135</v>
      </c>
      <c r="C23" s="93">
        <f t="shared" si="39"/>
        <v>4.5681350130867847E-2</v>
      </c>
      <c r="D23" s="93">
        <f t="shared" si="39"/>
        <v>0.87136023682762764</v>
      </c>
      <c r="E23" s="93">
        <f t="shared" si="39"/>
        <v>6.172821882959216E-2</v>
      </c>
      <c r="F23" s="93">
        <f t="shared" si="39"/>
        <v>2.1230194212285183E-2</v>
      </c>
      <c r="H23" s="80">
        <f t="shared" si="4"/>
        <v>39.960753838547021</v>
      </c>
      <c r="I23" s="80">
        <f t="shared" si="1"/>
        <v>762.24130479537018</v>
      </c>
      <c r="J23" s="80">
        <f t="shared" si="1"/>
        <v>53.99810098595335</v>
      </c>
      <c r="K23" s="80">
        <f t="shared" si="1"/>
        <v>18.571573791738903</v>
      </c>
      <c r="L23" s="78">
        <f t="shared" si="2"/>
        <v>874.77173341128332</v>
      </c>
      <c r="M23" s="82"/>
      <c r="N23" s="78">
        <f t="shared" si="5"/>
        <v>14.354371467054852</v>
      </c>
      <c r="O23" s="78">
        <f t="shared" si="6"/>
        <v>273.80601679267915</v>
      </c>
      <c r="P23" s="78">
        <f t="shared" si="7"/>
        <v>19.39675120243173</v>
      </c>
      <c r="Q23" s="78">
        <f t="shared" si="8"/>
        <v>6.6711271266681793</v>
      </c>
      <c r="R23" s="88">
        <f t="shared" si="9"/>
        <v>314.22826658871674</v>
      </c>
      <c r="S23" s="91">
        <f t="shared" si="10"/>
        <v>54.315125305601875</v>
      </c>
      <c r="T23" s="91">
        <f t="shared" si="11"/>
        <v>1036.0473215880493</v>
      </c>
      <c r="U23" s="91">
        <f t="shared" si="12"/>
        <v>73.394852188385073</v>
      </c>
      <c r="V23" s="91">
        <f t="shared" si="13"/>
        <v>25.242700918407081</v>
      </c>
      <c r="W23" s="119">
        <f>TRP_Simple!$I46</f>
        <v>1189</v>
      </c>
      <c r="X23" s="71">
        <f t="shared" si="14"/>
        <v>4.4337866711430252E-10</v>
      </c>
      <c r="Y23" s="65">
        <f>TRP_Simple!I76</f>
        <v>1523.7665835235534</v>
      </c>
      <c r="Z23" s="71">
        <f t="shared" si="3"/>
        <v>-334.76658352355344</v>
      </c>
      <c r="AA23" s="774">
        <f>TRP_Simple!$D46/SUM(TRP_Simple!$C46:$D46)</f>
        <v>0.26427945045308388</v>
      </c>
      <c r="AB23" s="121">
        <f t="shared" si="15"/>
        <v>0.26427945045308388</v>
      </c>
      <c r="AC23" s="77">
        <f>TRP_Simple!D76/SUM(TRP_Simple!C76:D76)</f>
        <v>0.25699058657531659</v>
      </c>
      <c r="AD23" s="94">
        <f t="shared" si="16"/>
        <v>7.2888638777672821E-3</v>
      </c>
      <c r="AE23" s="158"/>
      <c r="AF23" s="126">
        <f t="shared" si="17"/>
        <v>39.960753838547021</v>
      </c>
      <c r="AG23" s="153">
        <v>0</v>
      </c>
      <c r="AH23" s="126">
        <f t="shared" si="18"/>
        <v>762.24130479537018</v>
      </c>
      <c r="AI23" s="126">
        <f t="shared" si="19"/>
        <v>53.99810098595335</v>
      </c>
      <c r="AJ23" s="126">
        <f t="shared" si="20"/>
        <v>18.571573791738903</v>
      </c>
      <c r="AK23" s="126">
        <f t="shared" si="21"/>
        <v>874.77173341128332</v>
      </c>
      <c r="AL23" s="127">
        <f t="shared" si="22"/>
        <v>3.2616753742331639E-10</v>
      </c>
      <c r="AM23" s="126">
        <f t="shared" si="23"/>
        <v>17.559079647625278</v>
      </c>
      <c r="AN23" s="153">
        <v>0</v>
      </c>
      <c r="AO23" s="126">
        <f t="shared" si="24"/>
        <v>380.10716315287834</v>
      </c>
      <c r="AP23" s="126">
        <f t="shared" si="25"/>
        <v>171.47047002232301</v>
      </c>
      <c r="AQ23" s="126">
        <f t="shared" si="26"/>
        <v>79.858137289560617</v>
      </c>
      <c r="AR23" s="126">
        <f t="shared" si="27"/>
        <v>648.99485011227011</v>
      </c>
      <c r="AS23" s="127">
        <f t="shared" si="28"/>
        <v>1.1721112969098613E-10</v>
      </c>
      <c r="AT23" s="126">
        <f t="shared" si="29"/>
        <v>57.519833486172303</v>
      </c>
      <c r="AU23" s="153">
        <v>0</v>
      </c>
      <c r="AV23" s="126">
        <f t="shared" si="30"/>
        <v>1142.3484679482485</v>
      </c>
      <c r="AW23" s="126">
        <f t="shared" si="31"/>
        <v>225.46857100827637</v>
      </c>
      <c r="AX23" s="126">
        <f t="shared" si="32"/>
        <v>98.429711081299516</v>
      </c>
      <c r="AY23" s="126">
        <f t="shared" si="33"/>
        <v>1523.7665835235534</v>
      </c>
      <c r="AZ23" s="127">
        <f t="shared" si="34"/>
        <v>0</v>
      </c>
      <c r="BA23" s="127">
        <f t="shared" si="35"/>
        <v>4.4315129343885928E-10</v>
      </c>
      <c r="BB23" s="159">
        <f>TRP_Simple!I76</f>
        <v>1523.7665835235534</v>
      </c>
      <c r="BC23" s="65">
        <f t="shared" si="36"/>
        <v>0</v>
      </c>
      <c r="BE23" s="65">
        <f t="shared" si="37"/>
        <v>0.26427945045308388</v>
      </c>
      <c r="BF23" s="77">
        <f t="shared" si="38"/>
        <v>0.42591487248101761</v>
      </c>
    </row>
    <row r="24" spans="1:58" ht="13" x14ac:dyDescent="0.3">
      <c r="A24" s="124">
        <v>10</v>
      </c>
      <c r="B24" s="125" t="s">
        <v>136</v>
      </c>
      <c r="C24" s="93">
        <f t="shared" si="39"/>
        <v>4.5681350130867847E-2</v>
      </c>
      <c r="D24" s="93">
        <f t="shared" si="39"/>
        <v>0.87136023682762764</v>
      </c>
      <c r="E24" s="93">
        <f t="shared" si="39"/>
        <v>6.172821882959216E-2</v>
      </c>
      <c r="F24" s="93">
        <f t="shared" si="39"/>
        <v>2.1230194212285183E-2</v>
      </c>
      <c r="H24" s="80">
        <f t="shared" si="4"/>
        <v>28.698356751075796</v>
      </c>
      <c r="I24" s="80">
        <f t="shared" si="1"/>
        <v>547.41391976249099</v>
      </c>
      <c r="J24" s="80">
        <f t="shared" si="1"/>
        <v>38.779467780727252</v>
      </c>
      <c r="K24" s="80">
        <f t="shared" si="1"/>
        <v>13.337427323258712</v>
      </c>
      <c r="L24" s="78">
        <f t="shared" si="2"/>
        <v>628.22917161731857</v>
      </c>
      <c r="M24" s="82"/>
      <c r="N24" s="78">
        <f t="shared" si="5"/>
        <v>15.384146125211677</v>
      </c>
      <c r="O24" s="78">
        <f t="shared" si="6"/>
        <v>293.44870877616961</v>
      </c>
      <c r="P24" s="78">
        <f t="shared" si="7"/>
        <v>20.788263389829186</v>
      </c>
      <c r="Q24" s="78">
        <f t="shared" si="8"/>
        <v>7.1497100915964902</v>
      </c>
      <c r="R24" s="88">
        <f t="shared" si="9"/>
        <v>336.77082838268143</v>
      </c>
      <c r="S24" s="91">
        <f t="shared" si="10"/>
        <v>44.082502876287471</v>
      </c>
      <c r="T24" s="91">
        <f t="shared" si="11"/>
        <v>840.8626285386606</v>
      </c>
      <c r="U24" s="91">
        <f t="shared" si="12"/>
        <v>59.567731170556442</v>
      </c>
      <c r="V24" s="91">
        <f t="shared" si="13"/>
        <v>20.487137414855201</v>
      </c>
      <c r="W24" s="119">
        <f>TRP_Simple!$I47</f>
        <v>965</v>
      </c>
      <c r="X24" s="71">
        <f t="shared" si="14"/>
        <v>3.5970515455119312E-10</v>
      </c>
      <c r="Y24" s="65">
        <f>TRP_Simple!I77</f>
        <v>1323.7825527982448</v>
      </c>
      <c r="Z24" s="71">
        <f t="shared" si="3"/>
        <v>-358.78255279824475</v>
      </c>
      <c r="AA24" s="774">
        <f>TRP_Simple!$D47/SUM(TRP_Simple!$C47:$D47)</f>
        <v>0.3489853143861984</v>
      </c>
      <c r="AB24" s="121">
        <f t="shared" si="15"/>
        <v>0.3489853143861984</v>
      </c>
      <c r="AC24" s="77">
        <f>TRP_Simple!D77/SUM(TRP_Simple!C77:D77)</f>
        <v>0.34337182650045966</v>
      </c>
      <c r="AD24" s="94">
        <f t="shared" si="16"/>
        <v>5.6134878857387327E-3</v>
      </c>
      <c r="AE24" s="158"/>
      <c r="AF24" s="126">
        <f t="shared" si="17"/>
        <v>28.698356751075796</v>
      </c>
      <c r="AG24" s="153">
        <v>0</v>
      </c>
      <c r="AH24" s="126">
        <f t="shared" si="18"/>
        <v>547.41391976249099</v>
      </c>
      <c r="AI24" s="126">
        <f t="shared" si="19"/>
        <v>38.779467780727252</v>
      </c>
      <c r="AJ24" s="126">
        <f t="shared" si="20"/>
        <v>13.337427323258712</v>
      </c>
      <c r="AK24" s="126">
        <f t="shared" si="21"/>
        <v>628.22917161731857</v>
      </c>
      <c r="AL24" s="127">
        <f t="shared" si="22"/>
        <v>2.3419488570652902E-10</v>
      </c>
      <c r="AM24" s="126">
        <f t="shared" si="23"/>
        <v>18.818758295567619</v>
      </c>
      <c r="AN24" s="153">
        <v>0</v>
      </c>
      <c r="AO24" s="126">
        <f t="shared" si="24"/>
        <v>407.3758404960198</v>
      </c>
      <c r="AP24" s="126">
        <f t="shared" si="25"/>
        <v>183.77166656419126</v>
      </c>
      <c r="AQ24" s="126">
        <f t="shared" si="26"/>
        <v>85.587115825272903</v>
      </c>
      <c r="AR24" s="126">
        <f t="shared" si="27"/>
        <v>695.55338118092618</v>
      </c>
      <c r="AS24" s="127">
        <f t="shared" si="28"/>
        <v>1.2539658200694248E-10</v>
      </c>
      <c r="AT24" s="126">
        <f t="shared" si="29"/>
        <v>47.517115046643411</v>
      </c>
      <c r="AU24" s="153">
        <v>0</v>
      </c>
      <c r="AV24" s="126">
        <f t="shared" si="30"/>
        <v>954.7897602585108</v>
      </c>
      <c r="AW24" s="126">
        <f t="shared" si="31"/>
        <v>222.55113434491852</v>
      </c>
      <c r="AX24" s="126">
        <f t="shared" si="32"/>
        <v>98.924543148531612</v>
      </c>
      <c r="AY24" s="126">
        <f t="shared" si="33"/>
        <v>1323.7825527982448</v>
      </c>
      <c r="AZ24" s="127">
        <f t="shared" si="34"/>
        <v>0</v>
      </c>
      <c r="BA24" s="127">
        <f t="shared" si="35"/>
        <v>3.5970515455119312E-10</v>
      </c>
      <c r="BB24" s="159">
        <f>TRP_Simple!I77</f>
        <v>1323.7825527982448</v>
      </c>
      <c r="BC24" s="65">
        <f t="shared" si="36"/>
        <v>0</v>
      </c>
      <c r="BE24" s="65">
        <f t="shared" si="37"/>
        <v>0.3489853143861984</v>
      </c>
      <c r="BF24" s="77">
        <f t="shared" si="38"/>
        <v>0.52542872672754903</v>
      </c>
    </row>
    <row r="25" spans="1:58" ht="13" x14ac:dyDescent="0.3">
      <c r="A25" s="124">
        <v>11</v>
      </c>
      <c r="B25" s="125" t="s">
        <v>137</v>
      </c>
      <c r="C25" s="93">
        <f t="shared" si="39"/>
        <v>4.5681350130867847E-2</v>
      </c>
      <c r="D25" s="93">
        <f t="shared" si="39"/>
        <v>0.87136023682762764</v>
      </c>
      <c r="E25" s="93">
        <f t="shared" si="39"/>
        <v>6.172821882959216E-2</v>
      </c>
      <c r="F25" s="93">
        <f t="shared" si="39"/>
        <v>2.1230194212285183E-2</v>
      </c>
      <c r="H25" s="80">
        <f t="shared" si="4"/>
        <v>8.3210640130917159</v>
      </c>
      <c r="I25" s="80">
        <f t="shared" si="1"/>
        <v>158.72219819103015</v>
      </c>
      <c r="J25" s="80">
        <f t="shared" si="1"/>
        <v>11.244073540376588</v>
      </c>
      <c r="K25" s="80">
        <f t="shared" si="1"/>
        <v>3.867175653624626</v>
      </c>
      <c r="L25" s="78">
        <f t="shared" si="2"/>
        <v>182.15451139805515</v>
      </c>
      <c r="M25" s="82"/>
      <c r="N25" s="78">
        <f t="shared" si="5"/>
        <v>8.1699033841515778</v>
      </c>
      <c r="O25" s="78">
        <f t="shared" si="6"/>
        <v>155.83884730374345</v>
      </c>
      <c r="P25" s="78">
        <f t="shared" si="7"/>
        <v>11.039813457106183</v>
      </c>
      <c r="Q25" s="78">
        <f t="shared" si="8"/>
        <v>3.7969244570103253</v>
      </c>
      <c r="R25" s="88">
        <f t="shared" si="9"/>
        <v>178.84548860194485</v>
      </c>
      <c r="S25" s="91">
        <f t="shared" si="10"/>
        <v>16.490967397243296</v>
      </c>
      <c r="T25" s="91">
        <f t="shared" si="11"/>
        <v>314.56104549477357</v>
      </c>
      <c r="U25" s="91">
        <f t="shared" si="12"/>
        <v>22.283886997482771</v>
      </c>
      <c r="V25" s="91">
        <f t="shared" si="13"/>
        <v>7.6641001106349513</v>
      </c>
      <c r="W25" s="119">
        <f>TRP_Simple!$I48</f>
        <v>361</v>
      </c>
      <c r="X25" s="71">
        <f t="shared" si="14"/>
        <v>1.3460521586239338E-10</v>
      </c>
      <c r="Y25" s="65">
        <f>TRP_Simple!I78</f>
        <v>551.53503317140326</v>
      </c>
      <c r="Z25" s="71">
        <f t="shared" si="3"/>
        <v>-190.53503317140326</v>
      </c>
      <c r="AA25" s="774">
        <f>TRP_Simple!$D48/SUM(TRP_Simple!$C48:$D48)</f>
        <v>0.4954168659333652</v>
      </c>
      <c r="AB25" s="121">
        <f t="shared" si="15"/>
        <v>0.4954168659333652</v>
      </c>
      <c r="AC25" s="77">
        <f>TRP_Simple!D78/SUM(TRP_Simple!C78:D78)</f>
        <v>0.49154179657473068</v>
      </c>
      <c r="AD25" s="94">
        <f t="shared" si="16"/>
        <v>3.8750693586345197E-3</v>
      </c>
      <c r="AE25" s="158"/>
      <c r="AF25" s="126">
        <f t="shared" si="17"/>
        <v>8.3210640130917159</v>
      </c>
      <c r="AG25" s="153">
        <v>0</v>
      </c>
      <c r="AH25" s="126">
        <f t="shared" si="18"/>
        <v>158.72219819103015</v>
      </c>
      <c r="AI25" s="126">
        <f t="shared" si="19"/>
        <v>11.244073540376588</v>
      </c>
      <c r="AJ25" s="126">
        <f t="shared" si="20"/>
        <v>3.867175653624626</v>
      </c>
      <c r="AK25" s="126">
        <f t="shared" si="21"/>
        <v>182.15451139805515</v>
      </c>
      <c r="AL25" s="127">
        <f t="shared" si="22"/>
        <v>6.7927885538665578E-11</v>
      </c>
      <c r="AM25" s="126">
        <f t="shared" si="23"/>
        <v>9.9938882426841875</v>
      </c>
      <c r="AN25" s="153">
        <v>0</v>
      </c>
      <c r="AO25" s="126">
        <f t="shared" si="24"/>
        <v>216.34098056542163</v>
      </c>
      <c r="AP25" s="126">
        <f t="shared" si="25"/>
        <v>97.593766228822986</v>
      </c>
      <c r="AQ25" s="126">
        <f t="shared" si="26"/>
        <v>45.451886736485939</v>
      </c>
      <c r="AR25" s="126">
        <f t="shared" si="27"/>
        <v>369.38052177334805</v>
      </c>
      <c r="AS25" s="127">
        <f t="shared" si="28"/>
        <v>6.6734173742588609E-11</v>
      </c>
      <c r="AT25" s="126">
        <f t="shared" si="29"/>
        <v>18.314952255775903</v>
      </c>
      <c r="AU25" s="153">
        <v>0</v>
      </c>
      <c r="AV25" s="126">
        <f t="shared" si="30"/>
        <v>375.06317875645175</v>
      </c>
      <c r="AW25" s="126">
        <f t="shared" si="31"/>
        <v>108.83783976919958</v>
      </c>
      <c r="AX25" s="126">
        <f t="shared" si="32"/>
        <v>49.319062390110567</v>
      </c>
      <c r="AY25" s="126">
        <f t="shared" si="33"/>
        <v>551.53503317140326</v>
      </c>
      <c r="AZ25" s="127">
        <f t="shared" si="34"/>
        <v>0</v>
      </c>
      <c r="BA25" s="127">
        <f t="shared" si="35"/>
        <v>1.3460521586239338E-10</v>
      </c>
      <c r="BB25" s="159">
        <f>TRP_Simple!I78</f>
        <v>551.53503317140326</v>
      </c>
      <c r="BC25" s="65">
        <f t="shared" si="36"/>
        <v>0</v>
      </c>
      <c r="BE25" s="65">
        <f t="shared" si="37"/>
        <v>0.49541686593336526</v>
      </c>
      <c r="BF25" s="77">
        <f t="shared" si="38"/>
        <v>0.6697317478626128</v>
      </c>
    </row>
    <row r="26" spans="1:58" ht="13" x14ac:dyDescent="0.3">
      <c r="A26" s="124">
        <v>12</v>
      </c>
      <c r="B26" s="125" t="s">
        <v>309</v>
      </c>
      <c r="C26" s="93">
        <f t="shared" si="39"/>
        <v>4.5681350130867847E-2</v>
      </c>
      <c r="D26" s="93">
        <f t="shared" si="39"/>
        <v>0.87136023682762764</v>
      </c>
      <c r="E26" s="93">
        <f t="shared" si="39"/>
        <v>6.172821882959216E-2</v>
      </c>
      <c r="F26" s="93">
        <f t="shared" si="39"/>
        <v>2.1230194212285183E-2</v>
      </c>
      <c r="H26" s="80">
        <f t="shared" si="4"/>
        <v>485.69496188217471</v>
      </c>
      <c r="I26" s="80">
        <f t="shared" si="1"/>
        <v>9264.5089472883574</v>
      </c>
      <c r="J26" s="80">
        <f t="shared" si="1"/>
        <v>656.30908030527883</v>
      </c>
      <c r="K26" s="80">
        <f t="shared" si="1"/>
        <v>225.72446609276966</v>
      </c>
      <c r="L26" s="78">
        <f t="shared" si="2"/>
        <v>10632.237455564617</v>
      </c>
      <c r="M26" s="82"/>
      <c r="N26" s="78">
        <f t="shared" si="5"/>
        <v>235.84196343488287</v>
      </c>
      <c r="O26" s="78">
        <f t="shared" si="6"/>
        <v>4498.6259934040208</v>
      </c>
      <c r="P26" s="78">
        <f t="shared" si="7"/>
        <v>318.6881361081293</v>
      </c>
      <c r="Q26" s="78">
        <f t="shared" si="8"/>
        <v>109.60645149027478</v>
      </c>
      <c r="R26" s="88">
        <f t="shared" si="9"/>
        <v>5162.7625444353826</v>
      </c>
      <c r="S26" s="91">
        <f t="shared" si="10"/>
        <v>721.53692531705758</v>
      </c>
      <c r="T26" s="91">
        <f t="shared" si="11"/>
        <v>13763.134940692378</v>
      </c>
      <c r="U26" s="91">
        <f t="shared" si="12"/>
        <v>974.99721641340807</v>
      </c>
      <c r="V26" s="91">
        <f t="shared" si="13"/>
        <v>335.33091758304442</v>
      </c>
      <c r="W26" s="119">
        <f>TRP_Simple!$I49</f>
        <v>15795</v>
      </c>
      <c r="X26" s="71">
        <f t="shared" si="14"/>
        <v>5.8880686992779374E-9</v>
      </c>
      <c r="Y26" s="65">
        <f>TRP_Simple!I79</f>
        <v>21295.206576915447</v>
      </c>
      <c r="Z26" s="71">
        <f t="shared" si="3"/>
        <v>-5500.2065769154469</v>
      </c>
      <c r="AA26" s="774">
        <f>TRP_Simple!$D49/SUM(TRP_Simple!$C49:$D49)</f>
        <v>0.32686055995159119</v>
      </c>
      <c r="AB26" s="121">
        <f t="shared" si="15"/>
        <v>0.32686055995159119</v>
      </c>
      <c r="AC26" s="77">
        <f>TRP_Simple!D79/SUM(TRP_Simple!C79:D79)</f>
        <v>0.32102343561588542</v>
      </c>
      <c r="AD26" s="94">
        <f t="shared" si="16"/>
        <v>5.8371243357057678E-3</v>
      </c>
      <c r="AE26" s="158"/>
      <c r="AF26" s="126">
        <f t="shared" si="17"/>
        <v>485.69496188217471</v>
      </c>
      <c r="AG26" s="153">
        <v>0</v>
      </c>
      <c r="AH26" s="126">
        <f t="shared" si="18"/>
        <v>9264.5089472883574</v>
      </c>
      <c r="AI26" s="126">
        <f t="shared" si="19"/>
        <v>656.30908030527883</v>
      </c>
      <c r="AJ26" s="126">
        <f t="shared" si="20"/>
        <v>225.72446609276966</v>
      </c>
      <c r="AK26" s="126">
        <f t="shared" si="21"/>
        <v>10632.237455564617</v>
      </c>
      <c r="AL26" s="127">
        <f t="shared" si="22"/>
        <v>3.9635779103264213E-9</v>
      </c>
      <c r="AM26" s="126">
        <f t="shared" si="23"/>
        <v>288.4952385208893</v>
      </c>
      <c r="AN26" s="153">
        <v>0</v>
      </c>
      <c r="AO26" s="126">
        <f t="shared" si="24"/>
        <v>6245.1511638378333</v>
      </c>
      <c r="AP26" s="126">
        <f t="shared" si="25"/>
        <v>2817.2555248400654</v>
      </c>
      <c r="AQ26" s="126">
        <f t="shared" si="26"/>
        <v>1312.0671941539663</v>
      </c>
      <c r="AR26" s="126">
        <f t="shared" si="27"/>
        <v>10662.96912135083</v>
      </c>
      <c r="AS26" s="127">
        <f t="shared" si="28"/>
        <v>1.9226717995479703E-9</v>
      </c>
      <c r="AT26" s="126">
        <f t="shared" si="29"/>
        <v>774.19020040306395</v>
      </c>
      <c r="AU26" s="153">
        <v>0</v>
      </c>
      <c r="AV26" s="126">
        <f t="shared" si="30"/>
        <v>15509.660111126192</v>
      </c>
      <c r="AW26" s="126">
        <f t="shared" si="31"/>
        <v>3473.5646051453441</v>
      </c>
      <c r="AX26" s="126">
        <f t="shared" si="32"/>
        <v>1537.791660246736</v>
      </c>
      <c r="AY26" s="126">
        <f t="shared" si="33"/>
        <v>21295.206576915447</v>
      </c>
      <c r="AZ26" s="127">
        <f t="shared" si="34"/>
        <v>0</v>
      </c>
      <c r="BA26" s="127">
        <f t="shared" si="35"/>
        <v>5.8898876886814833E-9</v>
      </c>
      <c r="BB26" s="159">
        <f>TRP_Simple!I79</f>
        <v>21295.206576915447</v>
      </c>
      <c r="BC26" s="65">
        <f t="shared" si="36"/>
        <v>0</v>
      </c>
      <c r="BE26" s="65">
        <f t="shared" si="37"/>
        <v>0.32686055995159119</v>
      </c>
      <c r="BF26" s="77">
        <f t="shared" si="38"/>
        <v>0.5007215629882531</v>
      </c>
    </row>
    <row r="27" spans="1:58" ht="13" x14ac:dyDescent="0.3">
      <c r="A27" s="124">
        <v>13</v>
      </c>
      <c r="B27" s="125" t="s">
        <v>310</v>
      </c>
      <c r="C27" s="93">
        <v>0</v>
      </c>
      <c r="D27" s="93">
        <v>0</v>
      </c>
      <c r="E27" s="93">
        <v>0</v>
      </c>
      <c r="F27" s="93">
        <v>0</v>
      </c>
      <c r="H27" s="80">
        <f t="shared" si="4"/>
        <v>0</v>
      </c>
      <c r="I27" s="80">
        <f t="shared" si="1"/>
        <v>0</v>
      </c>
      <c r="J27" s="80">
        <f t="shared" si="1"/>
        <v>0</v>
      </c>
      <c r="K27" s="80">
        <f t="shared" si="1"/>
        <v>0</v>
      </c>
      <c r="L27" s="78">
        <f t="shared" si="2"/>
        <v>0</v>
      </c>
      <c r="M27" s="82"/>
      <c r="N27" s="78">
        <f t="shared" si="5"/>
        <v>0</v>
      </c>
      <c r="O27" s="78">
        <f t="shared" si="6"/>
        <v>0</v>
      </c>
      <c r="P27" s="78">
        <f t="shared" si="7"/>
        <v>0</v>
      </c>
      <c r="Q27" s="78">
        <f t="shared" si="8"/>
        <v>0</v>
      </c>
      <c r="R27" s="88">
        <f t="shared" si="9"/>
        <v>0</v>
      </c>
      <c r="S27" s="91">
        <f t="shared" si="10"/>
        <v>0</v>
      </c>
      <c r="T27" s="91">
        <f t="shared" si="11"/>
        <v>0</v>
      </c>
      <c r="U27" s="91">
        <f t="shared" si="12"/>
        <v>0</v>
      </c>
      <c r="V27" s="91">
        <f t="shared" si="13"/>
        <v>0</v>
      </c>
      <c r="W27" s="119">
        <f t="shared" ref="W27:W34" si="40">AA27</f>
        <v>0</v>
      </c>
      <c r="X27" s="71">
        <f t="shared" si="14"/>
        <v>0</v>
      </c>
      <c r="Y27" s="65">
        <v>0</v>
      </c>
      <c r="Z27" s="71">
        <f t="shared" si="3"/>
        <v>0</v>
      </c>
      <c r="AA27" s="774">
        <f>TRP_Simple!$D50/SUM(TRP_Simple!$C50:$D50)</f>
        <v>0</v>
      </c>
      <c r="AB27" s="121">
        <f t="shared" si="15"/>
        <v>0</v>
      </c>
      <c r="AC27" s="77">
        <f>TRP_Simple!D80/SUM(TRP_Simple!C80:D80)</f>
        <v>0</v>
      </c>
      <c r="AD27" s="94">
        <f t="shared" si="16"/>
        <v>0</v>
      </c>
      <c r="AE27" s="158"/>
      <c r="AF27" s="126">
        <f t="shared" si="17"/>
        <v>0</v>
      </c>
      <c r="AG27" s="153">
        <v>0</v>
      </c>
      <c r="AH27" s="126">
        <f t="shared" si="18"/>
        <v>0</v>
      </c>
      <c r="AI27" s="126">
        <f t="shared" si="19"/>
        <v>0</v>
      </c>
      <c r="AJ27" s="126">
        <f t="shared" si="20"/>
        <v>0</v>
      </c>
      <c r="AK27" s="126">
        <f t="shared" si="21"/>
        <v>0</v>
      </c>
      <c r="AL27" s="127">
        <f t="shared" si="22"/>
        <v>0</v>
      </c>
      <c r="AM27" s="126">
        <f t="shared" si="23"/>
        <v>0</v>
      </c>
      <c r="AN27" s="153">
        <v>0</v>
      </c>
      <c r="AO27" s="126">
        <f t="shared" si="24"/>
        <v>0</v>
      </c>
      <c r="AP27" s="126">
        <f t="shared" si="25"/>
        <v>0</v>
      </c>
      <c r="AQ27" s="126">
        <f t="shared" si="26"/>
        <v>0</v>
      </c>
      <c r="AR27" s="126">
        <f t="shared" si="27"/>
        <v>0</v>
      </c>
      <c r="AS27" s="127">
        <f t="shared" si="28"/>
        <v>0</v>
      </c>
      <c r="AT27" s="126">
        <f t="shared" si="29"/>
        <v>0</v>
      </c>
      <c r="AU27" s="153">
        <v>0</v>
      </c>
      <c r="AV27" s="126">
        <f t="shared" si="30"/>
        <v>0</v>
      </c>
      <c r="AW27" s="126">
        <f t="shared" si="31"/>
        <v>0</v>
      </c>
      <c r="AX27" s="126">
        <f t="shared" si="32"/>
        <v>0</v>
      </c>
      <c r="AY27" s="126">
        <f t="shared" si="33"/>
        <v>0</v>
      </c>
      <c r="AZ27" s="127">
        <f t="shared" si="34"/>
        <v>0</v>
      </c>
      <c r="BA27" s="127">
        <f t="shared" si="35"/>
        <v>0</v>
      </c>
      <c r="BB27" s="159">
        <f>TRP_Simple!I80</f>
        <v>0</v>
      </c>
      <c r="BC27" s="65">
        <f t="shared" si="36"/>
        <v>0</v>
      </c>
      <c r="BE27" s="65" t="e">
        <f t="shared" si="37"/>
        <v>#DIV/0!</v>
      </c>
      <c r="BF27" s="77" t="e">
        <f t="shared" si="38"/>
        <v>#DIV/0!</v>
      </c>
    </row>
    <row r="28" spans="1:58" ht="13" x14ac:dyDescent="0.3">
      <c r="A28" s="124">
        <v>14</v>
      </c>
      <c r="B28" s="125"/>
      <c r="C28" s="93">
        <v>0</v>
      </c>
      <c r="D28" s="93">
        <v>0</v>
      </c>
      <c r="E28" s="93">
        <v>0</v>
      </c>
      <c r="F28" s="93">
        <v>0</v>
      </c>
      <c r="H28" s="80">
        <f t="shared" si="4"/>
        <v>0</v>
      </c>
      <c r="I28" s="80">
        <f t="shared" si="1"/>
        <v>0</v>
      </c>
      <c r="J28" s="80">
        <f t="shared" si="1"/>
        <v>0</v>
      </c>
      <c r="K28" s="80">
        <f t="shared" si="1"/>
        <v>0</v>
      </c>
      <c r="L28" s="78">
        <f t="shared" si="2"/>
        <v>0</v>
      </c>
      <c r="M28" s="82"/>
      <c r="N28" s="78">
        <f t="shared" si="5"/>
        <v>0</v>
      </c>
      <c r="O28" s="78">
        <f t="shared" si="6"/>
        <v>0</v>
      </c>
      <c r="P28" s="78">
        <f t="shared" si="7"/>
        <v>0</v>
      </c>
      <c r="Q28" s="78">
        <f t="shared" si="8"/>
        <v>0</v>
      </c>
      <c r="R28" s="88">
        <f t="shared" si="9"/>
        <v>0</v>
      </c>
      <c r="S28" s="91">
        <f t="shared" si="10"/>
        <v>0</v>
      </c>
      <c r="T28" s="91">
        <f t="shared" si="11"/>
        <v>0</v>
      </c>
      <c r="U28" s="91">
        <f t="shared" si="12"/>
        <v>0</v>
      </c>
      <c r="V28" s="91">
        <f t="shared" si="13"/>
        <v>0</v>
      </c>
      <c r="W28" s="119">
        <f t="shared" si="40"/>
        <v>0</v>
      </c>
      <c r="X28" s="71">
        <f t="shared" si="14"/>
        <v>0</v>
      </c>
      <c r="Y28" s="65">
        <v>0</v>
      </c>
      <c r="Z28" s="71">
        <f t="shared" si="3"/>
        <v>0</v>
      </c>
      <c r="AA28" s="774">
        <f>TRP_Simple!$D51/SUM(TRP_Simple!$C51:$D51)</f>
        <v>0</v>
      </c>
      <c r="AB28" s="121">
        <f t="shared" si="15"/>
        <v>0</v>
      </c>
      <c r="AC28" s="77">
        <f>TRP_Simple!D81/SUM(TRP_Simple!C81:D81)</f>
        <v>0</v>
      </c>
      <c r="AD28" s="94">
        <f t="shared" si="16"/>
        <v>0</v>
      </c>
      <c r="AE28" s="158"/>
      <c r="AF28" s="126">
        <f t="shared" si="17"/>
        <v>0</v>
      </c>
      <c r="AG28" s="153">
        <v>0</v>
      </c>
      <c r="AH28" s="126">
        <f t="shared" si="18"/>
        <v>0</v>
      </c>
      <c r="AI28" s="126">
        <f t="shared" si="19"/>
        <v>0</v>
      </c>
      <c r="AJ28" s="126">
        <f t="shared" si="20"/>
        <v>0</v>
      </c>
      <c r="AK28" s="126">
        <f t="shared" si="21"/>
        <v>0</v>
      </c>
      <c r="AL28" s="127">
        <f t="shared" si="22"/>
        <v>0</v>
      </c>
      <c r="AM28" s="126">
        <f t="shared" si="23"/>
        <v>0</v>
      </c>
      <c r="AN28" s="153">
        <v>0</v>
      </c>
      <c r="AO28" s="126">
        <f t="shared" si="24"/>
        <v>0</v>
      </c>
      <c r="AP28" s="126">
        <f t="shared" si="25"/>
        <v>0</v>
      </c>
      <c r="AQ28" s="126">
        <f t="shared" si="26"/>
        <v>0</v>
      </c>
      <c r="AR28" s="126">
        <f t="shared" si="27"/>
        <v>0</v>
      </c>
      <c r="AS28" s="127">
        <f t="shared" si="28"/>
        <v>0</v>
      </c>
      <c r="AT28" s="126">
        <f t="shared" si="29"/>
        <v>0</v>
      </c>
      <c r="AU28" s="153">
        <v>0</v>
      </c>
      <c r="AV28" s="126">
        <f t="shared" si="30"/>
        <v>0</v>
      </c>
      <c r="AW28" s="126">
        <f t="shared" si="31"/>
        <v>0</v>
      </c>
      <c r="AX28" s="126">
        <f t="shared" si="32"/>
        <v>0</v>
      </c>
      <c r="AY28" s="126">
        <f t="shared" si="33"/>
        <v>0</v>
      </c>
      <c r="AZ28" s="127">
        <f t="shared" si="34"/>
        <v>0</v>
      </c>
      <c r="BA28" s="127">
        <f t="shared" si="35"/>
        <v>0</v>
      </c>
      <c r="BB28" s="159">
        <v>0</v>
      </c>
      <c r="BC28" s="65">
        <f t="shared" si="36"/>
        <v>0</v>
      </c>
      <c r="BE28" s="65" t="e">
        <f t="shared" si="37"/>
        <v>#DIV/0!</v>
      </c>
      <c r="BF28" s="77" t="e">
        <f t="shared" si="38"/>
        <v>#DIV/0!</v>
      </c>
    </row>
    <row r="29" spans="1:58" ht="13" x14ac:dyDescent="0.3">
      <c r="A29" s="124">
        <v>15</v>
      </c>
      <c r="B29" s="125"/>
      <c r="C29" s="93">
        <v>0</v>
      </c>
      <c r="D29" s="93">
        <v>0</v>
      </c>
      <c r="E29" s="93">
        <v>0</v>
      </c>
      <c r="F29" s="93">
        <v>0</v>
      </c>
      <c r="H29" s="80">
        <f t="shared" si="4"/>
        <v>0</v>
      </c>
      <c r="I29" s="80">
        <f t="shared" si="1"/>
        <v>0</v>
      </c>
      <c r="J29" s="80">
        <f t="shared" si="1"/>
        <v>0</v>
      </c>
      <c r="K29" s="80">
        <f t="shared" si="1"/>
        <v>0</v>
      </c>
      <c r="L29" s="78">
        <f t="shared" si="2"/>
        <v>0</v>
      </c>
      <c r="M29" s="82"/>
      <c r="N29" s="78">
        <f t="shared" si="5"/>
        <v>0</v>
      </c>
      <c r="O29" s="78">
        <f t="shared" si="6"/>
        <v>0</v>
      </c>
      <c r="P29" s="78">
        <f t="shared" si="7"/>
        <v>0</v>
      </c>
      <c r="Q29" s="78">
        <f t="shared" si="8"/>
        <v>0</v>
      </c>
      <c r="R29" s="88">
        <f t="shared" si="9"/>
        <v>0</v>
      </c>
      <c r="S29" s="91">
        <f t="shared" si="10"/>
        <v>0</v>
      </c>
      <c r="T29" s="91">
        <f t="shared" si="11"/>
        <v>0</v>
      </c>
      <c r="U29" s="91">
        <f t="shared" si="12"/>
        <v>0</v>
      </c>
      <c r="V29" s="91">
        <f t="shared" si="13"/>
        <v>0</v>
      </c>
      <c r="W29" s="119">
        <f t="shared" si="40"/>
        <v>0</v>
      </c>
      <c r="X29" s="71">
        <f t="shared" si="14"/>
        <v>0</v>
      </c>
      <c r="Y29" s="65">
        <v>0</v>
      </c>
      <c r="Z29" s="71">
        <f t="shared" si="3"/>
        <v>0</v>
      </c>
      <c r="AA29" s="774">
        <f>TRP_Simple!$D52/SUM(TRP_Simple!$C52:$D52)</f>
        <v>0</v>
      </c>
      <c r="AB29" s="121">
        <f t="shared" si="15"/>
        <v>0</v>
      </c>
      <c r="AC29" s="77">
        <f>TRP_Simple!D82/SUM(TRP_Simple!C82:D82)</f>
        <v>0</v>
      </c>
      <c r="AD29" s="94">
        <f t="shared" si="16"/>
        <v>0</v>
      </c>
      <c r="AE29" s="158"/>
      <c r="AF29" s="126">
        <f t="shared" si="17"/>
        <v>0</v>
      </c>
      <c r="AG29" s="153">
        <v>0</v>
      </c>
      <c r="AH29" s="126">
        <f t="shared" si="18"/>
        <v>0</v>
      </c>
      <c r="AI29" s="126">
        <f t="shared" si="19"/>
        <v>0</v>
      </c>
      <c r="AJ29" s="126">
        <f t="shared" si="20"/>
        <v>0</v>
      </c>
      <c r="AK29" s="126">
        <f t="shared" si="21"/>
        <v>0</v>
      </c>
      <c r="AL29" s="127">
        <f t="shared" si="22"/>
        <v>0</v>
      </c>
      <c r="AM29" s="126">
        <f t="shared" si="23"/>
        <v>0</v>
      </c>
      <c r="AN29" s="153">
        <v>0</v>
      </c>
      <c r="AO29" s="126">
        <f t="shared" si="24"/>
        <v>0</v>
      </c>
      <c r="AP29" s="126">
        <f t="shared" si="25"/>
        <v>0</v>
      </c>
      <c r="AQ29" s="126">
        <f t="shared" si="26"/>
        <v>0</v>
      </c>
      <c r="AR29" s="126">
        <f t="shared" si="27"/>
        <v>0</v>
      </c>
      <c r="AS29" s="127">
        <f t="shared" si="28"/>
        <v>0</v>
      </c>
      <c r="AT29" s="126">
        <f t="shared" si="29"/>
        <v>0</v>
      </c>
      <c r="AU29" s="153">
        <v>0</v>
      </c>
      <c r="AV29" s="126">
        <f t="shared" si="30"/>
        <v>0</v>
      </c>
      <c r="AW29" s="126">
        <f t="shared" si="31"/>
        <v>0</v>
      </c>
      <c r="AX29" s="126">
        <f t="shared" si="32"/>
        <v>0</v>
      </c>
      <c r="AY29" s="126">
        <f t="shared" si="33"/>
        <v>0</v>
      </c>
      <c r="AZ29" s="127">
        <f t="shared" si="34"/>
        <v>0</v>
      </c>
      <c r="BA29" s="127">
        <f t="shared" si="35"/>
        <v>0</v>
      </c>
      <c r="BB29" s="159">
        <v>0</v>
      </c>
      <c r="BC29" s="65">
        <f t="shared" si="36"/>
        <v>0</v>
      </c>
      <c r="BE29" s="65" t="e">
        <f t="shared" si="37"/>
        <v>#DIV/0!</v>
      </c>
      <c r="BF29" s="77" t="e">
        <f t="shared" si="38"/>
        <v>#DIV/0!</v>
      </c>
    </row>
    <row r="30" spans="1:58" ht="13" x14ac:dyDescent="0.3">
      <c r="A30" s="124">
        <v>16</v>
      </c>
      <c r="B30" s="125"/>
      <c r="C30" s="93">
        <v>0</v>
      </c>
      <c r="D30" s="93">
        <v>0</v>
      </c>
      <c r="E30" s="93">
        <v>0</v>
      </c>
      <c r="F30" s="93">
        <v>0</v>
      </c>
      <c r="H30" s="80">
        <f t="shared" si="4"/>
        <v>0</v>
      </c>
      <c r="I30" s="80">
        <f t="shared" si="1"/>
        <v>0</v>
      </c>
      <c r="J30" s="80">
        <f t="shared" si="1"/>
        <v>0</v>
      </c>
      <c r="K30" s="80">
        <f t="shared" si="1"/>
        <v>0</v>
      </c>
      <c r="L30" s="78">
        <f t="shared" si="2"/>
        <v>0</v>
      </c>
      <c r="M30" s="82"/>
      <c r="N30" s="78">
        <f t="shared" si="5"/>
        <v>0</v>
      </c>
      <c r="O30" s="78">
        <f t="shared" si="6"/>
        <v>0</v>
      </c>
      <c r="P30" s="78">
        <f t="shared" si="7"/>
        <v>0</v>
      </c>
      <c r="Q30" s="78">
        <f t="shared" si="8"/>
        <v>0</v>
      </c>
      <c r="R30" s="88">
        <f t="shared" si="9"/>
        <v>0</v>
      </c>
      <c r="S30" s="91">
        <f t="shared" si="10"/>
        <v>0</v>
      </c>
      <c r="T30" s="91">
        <f t="shared" si="11"/>
        <v>0</v>
      </c>
      <c r="U30" s="91">
        <f t="shared" si="12"/>
        <v>0</v>
      </c>
      <c r="V30" s="91">
        <f t="shared" si="13"/>
        <v>0</v>
      </c>
      <c r="W30" s="119">
        <f t="shared" si="40"/>
        <v>0</v>
      </c>
      <c r="X30" s="71">
        <f t="shared" si="14"/>
        <v>0</v>
      </c>
      <c r="Y30" s="65">
        <v>0</v>
      </c>
      <c r="Z30" s="71">
        <f t="shared" si="3"/>
        <v>0</v>
      </c>
      <c r="AA30" s="774">
        <f>TRP_Simple!$D53/SUM(TRP_Simple!$C53:$D53)</f>
        <v>0</v>
      </c>
      <c r="AB30" s="121">
        <f t="shared" si="15"/>
        <v>0</v>
      </c>
      <c r="AC30" s="77">
        <f>TRP_Simple!D83/SUM(TRP_Simple!C83:D83)</f>
        <v>0</v>
      </c>
      <c r="AD30" s="94">
        <f t="shared" si="16"/>
        <v>0</v>
      </c>
      <c r="AE30" s="158"/>
      <c r="AF30" s="126">
        <f t="shared" si="17"/>
        <v>0</v>
      </c>
      <c r="AG30" s="153">
        <v>0</v>
      </c>
      <c r="AH30" s="126">
        <f t="shared" si="18"/>
        <v>0</v>
      </c>
      <c r="AI30" s="126">
        <f t="shared" si="19"/>
        <v>0</v>
      </c>
      <c r="AJ30" s="126">
        <f t="shared" si="20"/>
        <v>0</v>
      </c>
      <c r="AK30" s="126">
        <f t="shared" si="21"/>
        <v>0</v>
      </c>
      <c r="AL30" s="127">
        <f t="shared" si="22"/>
        <v>0</v>
      </c>
      <c r="AM30" s="126">
        <f t="shared" si="23"/>
        <v>0</v>
      </c>
      <c r="AN30" s="153">
        <v>0</v>
      </c>
      <c r="AO30" s="126">
        <f t="shared" si="24"/>
        <v>0</v>
      </c>
      <c r="AP30" s="126">
        <f t="shared" si="25"/>
        <v>0</v>
      </c>
      <c r="AQ30" s="126">
        <f t="shared" si="26"/>
        <v>0</v>
      </c>
      <c r="AR30" s="126">
        <f t="shared" si="27"/>
        <v>0</v>
      </c>
      <c r="AS30" s="127">
        <f t="shared" si="28"/>
        <v>0</v>
      </c>
      <c r="AT30" s="126">
        <f t="shared" si="29"/>
        <v>0</v>
      </c>
      <c r="AU30" s="153">
        <v>0</v>
      </c>
      <c r="AV30" s="126">
        <f t="shared" si="30"/>
        <v>0</v>
      </c>
      <c r="AW30" s="126">
        <f t="shared" si="31"/>
        <v>0</v>
      </c>
      <c r="AX30" s="126">
        <f t="shared" si="32"/>
        <v>0</v>
      </c>
      <c r="AY30" s="126">
        <f t="shared" si="33"/>
        <v>0</v>
      </c>
      <c r="AZ30" s="127">
        <f t="shared" si="34"/>
        <v>0</v>
      </c>
      <c r="BA30" s="127">
        <f t="shared" si="35"/>
        <v>0</v>
      </c>
      <c r="BB30" s="159">
        <v>0</v>
      </c>
      <c r="BC30" s="65">
        <f t="shared" si="36"/>
        <v>0</v>
      </c>
      <c r="BE30" s="65" t="e">
        <f t="shared" si="37"/>
        <v>#DIV/0!</v>
      </c>
      <c r="BF30" s="77" t="e">
        <f t="shared" si="38"/>
        <v>#DIV/0!</v>
      </c>
    </row>
    <row r="31" spans="1:58" ht="13" x14ac:dyDescent="0.3">
      <c r="A31" s="124">
        <v>17</v>
      </c>
      <c r="B31" s="125"/>
      <c r="C31" s="93">
        <v>0</v>
      </c>
      <c r="D31" s="93">
        <v>0</v>
      </c>
      <c r="E31" s="93">
        <v>0</v>
      </c>
      <c r="F31" s="93">
        <v>0</v>
      </c>
      <c r="H31" s="80">
        <f t="shared" si="4"/>
        <v>0</v>
      </c>
      <c r="I31" s="80">
        <f t="shared" ref="I31:I38" si="41">$L31*D31</f>
        <v>0</v>
      </c>
      <c r="J31" s="80">
        <f t="shared" ref="J31:J38" si="42">$L31*E31</f>
        <v>0</v>
      </c>
      <c r="K31" s="80">
        <f t="shared" ref="K31:K38" si="43">$L31*F31</f>
        <v>0</v>
      </c>
      <c r="L31" s="78">
        <f t="shared" si="2"/>
        <v>0</v>
      </c>
      <c r="M31" s="82"/>
      <c r="N31" s="78">
        <f t="shared" si="5"/>
        <v>0</v>
      </c>
      <c r="O31" s="78">
        <f t="shared" si="6"/>
        <v>0</v>
      </c>
      <c r="P31" s="78">
        <f t="shared" si="7"/>
        <v>0</v>
      </c>
      <c r="Q31" s="78">
        <f t="shared" si="8"/>
        <v>0</v>
      </c>
      <c r="R31" s="88">
        <f t="shared" si="9"/>
        <v>0</v>
      </c>
      <c r="S31" s="91">
        <f t="shared" si="10"/>
        <v>0</v>
      </c>
      <c r="T31" s="91">
        <f t="shared" si="11"/>
        <v>0</v>
      </c>
      <c r="U31" s="91">
        <f t="shared" si="12"/>
        <v>0</v>
      </c>
      <c r="V31" s="91">
        <f t="shared" si="13"/>
        <v>0</v>
      </c>
      <c r="W31" s="119">
        <f t="shared" si="40"/>
        <v>0</v>
      </c>
      <c r="X31" s="71">
        <f t="shared" si="14"/>
        <v>0</v>
      </c>
      <c r="Y31" s="65">
        <v>0</v>
      </c>
      <c r="Z31" s="71">
        <f t="shared" si="3"/>
        <v>0</v>
      </c>
      <c r="AA31" s="774">
        <f>TRP_Simple!$D54/SUM(TRP_Simple!$C54:$D54)</f>
        <v>0</v>
      </c>
      <c r="AB31" s="121">
        <f t="shared" si="15"/>
        <v>0</v>
      </c>
      <c r="AC31" s="77">
        <f>TRP_Simple!D84/SUM(TRP_Simple!C84:D84)</f>
        <v>0</v>
      </c>
      <c r="AD31" s="94">
        <f t="shared" si="16"/>
        <v>0</v>
      </c>
      <c r="AE31" s="158"/>
      <c r="AF31" s="126">
        <f t="shared" si="17"/>
        <v>0</v>
      </c>
      <c r="AG31" s="153">
        <v>0</v>
      </c>
      <c r="AH31" s="126">
        <f t="shared" si="18"/>
        <v>0</v>
      </c>
      <c r="AI31" s="126">
        <f t="shared" si="19"/>
        <v>0</v>
      </c>
      <c r="AJ31" s="126">
        <f t="shared" si="20"/>
        <v>0</v>
      </c>
      <c r="AK31" s="126">
        <f t="shared" si="21"/>
        <v>0</v>
      </c>
      <c r="AL31" s="127">
        <f t="shared" si="22"/>
        <v>0</v>
      </c>
      <c r="AM31" s="126">
        <f t="shared" si="23"/>
        <v>0</v>
      </c>
      <c r="AN31" s="153">
        <v>0</v>
      </c>
      <c r="AO31" s="126">
        <f t="shared" si="24"/>
        <v>0</v>
      </c>
      <c r="AP31" s="126">
        <f t="shared" si="25"/>
        <v>0</v>
      </c>
      <c r="AQ31" s="126">
        <f t="shared" si="26"/>
        <v>0</v>
      </c>
      <c r="AR31" s="126">
        <f t="shared" si="27"/>
        <v>0</v>
      </c>
      <c r="AS31" s="127">
        <f t="shared" si="28"/>
        <v>0</v>
      </c>
      <c r="AT31" s="126">
        <f t="shared" si="29"/>
        <v>0</v>
      </c>
      <c r="AU31" s="153">
        <v>0</v>
      </c>
      <c r="AV31" s="126">
        <f t="shared" si="30"/>
        <v>0</v>
      </c>
      <c r="AW31" s="126">
        <f t="shared" si="31"/>
        <v>0</v>
      </c>
      <c r="AX31" s="126">
        <f t="shared" si="32"/>
        <v>0</v>
      </c>
      <c r="AY31" s="126">
        <f t="shared" si="33"/>
        <v>0</v>
      </c>
      <c r="AZ31" s="127">
        <f t="shared" si="34"/>
        <v>0</v>
      </c>
      <c r="BA31" s="127">
        <f t="shared" si="35"/>
        <v>0</v>
      </c>
      <c r="BB31" s="159">
        <v>0</v>
      </c>
      <c r="BC31" s="65">
        <f t="shared" si="36"/>
        <v>0</v>
      </c>
      <c r="BE31" s="65" t="e">
        <f t="shared" si="37"/>
        <v>#DIV/0!</v>
      </c>
      <c r="BF31" s="77" t="e">
        <f t="shared" si="38"/>
        <v>#DIV/0!</v>
      </c>
    </row>
    <row r="32" spans="1:58" ht="13" x14ac:dyDescent="0.3">
      <c r="A32" s="124">
        <v>18</v>
      </c>
      <c r="B32" s="125"/>
      <c r="C32" s="93">
        <v>0</v>
      </c>
      <c r="D32" s="93">
        <v>0</v>
      </c>
      <c r="E32" s="93">
        <v>0</v>
      </c>
      <c r="F32" s="93">
        <v>0</v>
      </c>
      <c r="H32" s="80">
        <f t="shared" si="4"/>
        <v>0</v>
      </c>
      <c r="I32" s="80">
        <f t="shared" si="41"/>
        <v>0</v>
      </c>
      <c r="J32" s="80">
        <f t="shared" si="42"/>
        <v>0</v>
      </c>
      <c r="K32" s="80">
        <f t="shared" si="43"/>
        <v>0</v>
      </c>
      <c r="L32" s="78">
        <f t="shared" si="2"/>
        <v>0</v>
      </c>
      <c r="M32" s="82"/>
      <c r="N32" s="78">
        <f t="shared" si="5"/>
        <v>0</v>
      </c>
      <c r="O32" s="78">
        <f t="shared" si="6"/>
        <v>0</v>
      </c>
      <c r="P32" s="78">
        <f t="shared" si="7"/>
        <v>0</v>
      </c>
      <c r="Q32" s="78">
        <f t="shared" si="8"/>
        <v>0</v>
      </c>
      <c r="R32" s="88">
        <f t="shared" si="9"/>
        <v>0</v>
      </c>
      <c r="S32" s="91">
        <f t="shared" si="10"/>
        <v>0</v>
      </c>
      <c r="T32" s="91">
        <f t="shared" si="11"/>
        <v>0</v>
      </c>
      <c r="U32" s="91">
        <f t="shared" si="12"/>
        <v>0</v>
      </c>
      <c r="V32" s="91">
        <f t="shared" si="13"/>
        <v>0</v>
      </c>
      <c r="W32" s="119">
        <f t="shared" si="40"/>
        <v>0</v>
      </c>
      <c r="X32" s="71">
        <f t="shared" si="14"/>
        <v>0</v>
      </c>
      <c r="Y32" s="65">
        <v>0</v>
      </c>
      <c r="Z32" s="71">
        <f t="shared" si="3"/>
        <v>0</v>
      </c>
      <c r="AA32" s="774">
        <f>TRP_Simple!$D55/SUM(TRP_Simple!$C55:$D55)</f>
        <v>0</v>
      </c>
      <c r="AB32" s="121">
        <f t="shared" si="15"/>
        <v>0</v>
      </c>
      <c r="AC32" s="77">
        <f>TRP_Simple!D85/SUM(TRP_Simple!C85:D85)</f>
        <v>0</v>
      </c>
      <c r="AD32" s="94">
        <f t="shared" si="16"/>
        <v>0</v>
      </c>
      <c r="AE32" s="158"/>
      <c r="AF32" s="126">
        <f t="shared" si="17"/>
        <v>0</v>
      </c>
      <c r="AG32" s="153">
        <v>0</v>
      </c>
      <c r="AH32" s="126">
        <f t="shared" si="18"/>
        <v>0</v>
      </c>
      <c r="AI32" s="126">
        <f t="shared" si="19"/>
        <v>0</v>
      </c>
      <c r="AJ32" s="126">
        <f t="shared" si="20"/>
        <v>0</v>
      </c>
      <c r="AK32" s="126">
        <f t="shared" si="21"/>
        <v>0</v>
      </c>
      <c r="AL32" s="127">
        <f t="shared" si="22"/>
        <v>0</v>
      </c>
      <c r="AM32" s="126">
        <f t="shared" si="23"/>
        <v>0</v>
      </c>
      <c r="AN32" s="153">
        <v>0</v>
      </c>
      <c r="AO32" s="126">
        <f t="shared" si="24"/>
        <v>0</v>
      </c>
      <c r="AP32" s="126">
        <f t="shared" si="25"/>
        <v>0</v>
      </c>
      <c r="AQ32" s="126">
        <f t="shared" si="26"/>
        <v>0</v>
      </c>
      <c r="AR32" s="126">
        <f t="shared" si="27"/>
        <v>0</v>
      </c>
      <c r="AS32" s="127">
        <f t="shared" si="28"/>
        <v>0</v>
      </c>
      <c r="AT32" s="126">
        <f t="shared" si="29"/>
        <v>0</v>
      </c>
      <c r="AU32" s="153">
        <v>0</v>
      </c>
      <c r="AV32" s="126">
        <f t="shared" si="30"/>
        <v>0</v>
      </c>
      <c r="AW32" s="126">
        <f t="shared" si="31"/>
        <v>0</v>
      </c>
      <c r="AX32" s="126">
        <f t="shared" si="32"/>
        <v>0</v>
      </c>
      <c r="AY32" s="126">
        <f t="shared" si="33"/>
        <v>0</v>
      </c>
      <c r="AZ32" s="127">
        <f t="shared" si="34"/>
        <v>0</v>
      </c>
      <c r="BA32" s="127">
        <f t="shared" si="35"/>
        <v>0</v>
      </c>
      <c r="BB32" s="159">
        <v>0</v>
      </c>
      <c r="BC32" s="65">
        <f t="shared" si="36"/>
        <v>0</v>
      </c>
      <c r="BE32" s="65" t="e">
        <f t="shared" si="37"/>
        <v>#DIV/0!</v>
      </c>
      <c r="BF32" s="77" t="e">
        <f t="shared" si="38"/>
        <v>#DIV/0!</v>
      </c>
    </row>
    <row r="33" spans="1:58" ht="13" x14ac:dyDescent="0.3">
      <c r="A33" s="124">
        <v>19</v>
      </c>
      <c r="B33" s="125" t="s">
        <v>311</v>
      </c>
      <c r="C33" s="93">
        <v>0</v>
      </c>
      <c r="D33" s="93">
        <v>0</v>
      </c>
      <c r="E33" s="93">
        <v>0</v>
      </c>
      <c r="F33" s="93">
        <v>0</v>
      </c>
      <c r="H33" s="80">
        <f t="shared" si="4"/>
        <v>0</v>
      </c>
      <c r="I33" s="80">
        <f t="shared" si="41"/>
        <v>0</v>
      </c>
      <c r="J33" s="80">
        <f t="shared" si="42"/>
        <v>0</v>
      </c>
      <c r="K33" s="80">
        <f t="shared" si="43"/>
        <v>0</v>
      </c>
      <c r="L33" s="78">
        <f t="shared" si="2"/>
        <v>0</v>
      </c>
      <c r="M33" s="82"/>
      <c r="N33" s="78">
        <f t="shared" si="5"/>
        <v>0</v>
      </c>
      <c r="O33" s="78">
        <f t="shared" si="6"/>
        <v>0</v>
      </c>
      <c r="P33" s="78">
        <f t="shared" si="7"/>
        <v>0</v>
      </c>
      <c r="Q33" s="78">
        <f t="shared" si="8"/>
        <v>0</v>
      </c>
      <c r="R33" s="88">
        <f t="shared" si="9"/>
        <v>0</v>
      </c>
      <c r="S33" s="91">
        <f t="shared" si="10"/>
        <v>0</v>
      </c>
      <c r="T33" s="91">
        <f t="shared" si="11"/>
        <v>0</v>
      </c>
      <c r="U33" s="91">
        <f t="shared" si="12"/>
        <v>0</v>
      </c>
      <c r="V33" s="91">
        <f t="shared" si="13"/>
        <v>0</v>
      </c>
      <c r="W33" s="119">
        <f t="shared" si="40"/>
        <v>0</v>
      </c>
      <c r="X33" s="71">
        <f t="shared" si="14"/>
        <v>0</v>
      </c>
      <c r="Y33" s="65">
        <v>0</v>
      </c>
      <c r="Z33" s="71">
        <f t="shared" si="3"/>
        <v>0</v>
      </c>
      <c r="AA33" s="774">
        <f>TRP_Simple!$D56/SUM(TRP_Simple!$C56:$D56)</f>
        <v>0</v>
      </c>
      <c r="AB33" s="121">
        <f t="shared" si="15"/>
        <v>0</v>
      </c>
      <c r="AC33" s="77">
        <f>TRP_Simple!D86/SUM(TRP_Simple!C86:D86)</f>
        <v>0</v>
      </c>
      <c r="AD33" s="94">
        <f t="shared" si="16"/>
        <v>0</v>
      </c>
      <c r="AE33" s="158"/>
      <c r="AF33" s="126">
        <f t="shared" si="17"/>
        <v>0</v>
      </c>
      <c r="AG33" s="153">
        <v>0</v>
      </c>
      <c r="AH33" s="126">
        <f t="shared" si="18"/>
        <v>0</v>
      </c>
      <c r="AI33" s="126">
        <f t="shared" si="19"/>
        <v>0</v>
      </c>
      <c r="AJ33" s="126">
        <f t="shared" si="20"/>
        <v>0</v>
      </c>
      <c r="AK33" s="126">
        <f t="shared" si="21"/>
        <v>0</v>
      </c>
      <c r="AL33" s="127">
        <f t="shared" si="22"/>
        <v>0</v>
      </c>
      <c r="AM33" s="126">
        <f t="shared" si="23"/>
        <v>0</v>
      </c>
      <c r="AN33" s="153">
        <v>0</v>
      </c>
      <c r="AO33" s="126">
        <f t="shared" si="24"/>
        <v>0</v>
      </c>
      <c r="AP33" s="126">
        <f t="shared" si="25"/>
        <v>0</v>
      </c>
      <c r="AQ33" s="126">
        <f t="shared" si="26"/>
        <v>0</v>
      </c>
      <c r="AR33" s="126">
        <f t="shared" si="27"/>
        <v>0</v>
      </c>
      <c r="AS33" s="127">
        <f t="shared" si="28"/>
        <v>0</v>
      </c>
      <c r="AT33" s="126">
        <f t="shared" si="29"/>
        <v>0</v>
      </c>
      <c r="AU33" s="153">
        <v>0</v>
      </c>
      <c r="AV33" s="126">
        <f t="shared" si="30"/>
        <v>0</v>
      </c>
      <c r="AW33" s="126">
        <f t="shared" si="31"/>
        <v>0</v>
      </c>
      <c r="AX33" s="126">
        <f t="shared" si="32"/>
        <v>0</v>
      </c>
      <c r="AY33" s="126">
        <f t="shared" si="33"/>
        <v>0</v>
      </c>
      <c r="AZ33" s="127">
        <f t="shared" si="34"/>
        <v>0</v>
      </c>
      <c r="BA33" s="127">
        <f t="shared" si="35"/>
        <v>0</v>
      </c>
      <c r="BB33" s="159">
        <f>TRP_Simple!I86</f>
        <v>0</v>
      </c>
      <c r="BC33" s="65">
        <f t="shared" si="36"/>
        <v>0</v>
      </c>
      <c r="BE33" s="65" t="e">
        <f t="shared" si="37"/>
        <v>#DIV/0!</v>
      </c>
      <c r="BF33" s="77" t="e">
        <f t="shared" si="38"/>
        <v>#DIV/0!</v>
      </c>
    </row>
    <row r="34" spans="1:58" ht="13" x14ac:dyDescent="0.3">
      <c r="A34" s="124">
        <v>20</v>
      </c>
      <c r="B34" s="125" t="s">
        <v>312</v>
      </c>
      <c r="C34" s="93">
        <v>0</v>
      </c>
      <c r="D34" s="93">
        <v>0</v>
      </c>
      <c r="E34" s="93">
        <v>0</v>
      </c>
      <c r="F34" s="93">
        <v>0</v>
      </c>
      <c r="H34" s="80">
        <f t="shared" si="4"/>
        <v>0</v>
      </c>
      <c r="I34" s="80">
        <f t="shared" si="41"/>
        <v>0</v>
      </c>
      <c r="J34" s="80">
        <f t="shared" si="42"/>
        <v>0</v>
      </c>
      <c r="K34" s="80">
        <f t="shared" si="43"/>
        <v>0</v>
      </c>
      <c r="L34" s="78">
        <f t="shared" si="2"/>
        <v>0</v>
      </c>
      <c r="M34" s="82"/>
      <c r="N34" s="78">
        <f t="shared" si="5"/>
        <v>0</v>
      </c>
      <c r="O34" s="78">
        <f t="shared" si="6"/>
        <v>0</v>
      </c>
      <c r="P34" s="78">
        <f t="shared" si="7"/>
        <v>0</v>
      </c>
      <c r="Q34" s="78">
        <f t="shared" si="8"/>
        <v>0</v>
      </c>
      <c r="R34" s="88">
        <f t="shared" si="9"/>
        <v>0</v>
      </c>
      <c r="S34" s="91">
        <f t="shared" si="10"/>
        <v>0</v>
      </c>
      <c r="T34" s="91">
        <f t="shared" si="11"/>
        <v>0</v>
      </c>
      <c r="U34" s="91">
        <f t="shared" si="12"/>
        <v>0</v>
      </c>
      <c r="V34" s="91">
        <f t="shared" si="13"/>
        <v>0</v>
      </c>
      <c r="W34" s="119">
        <f t="shared" si="40"/>
        <v>0</v>
      </c>
      <c r="X34" s="71">
        <f t="shared" si="14"/>
        <v>0</v>
      </c>
      <c r="Y34" s="65">
        <v>0</v>
      </c>
      <c r="Z34" s="71">
        <f t="shared" si="3"/>
        <v>0</v>
      </c>
      <c r="AA34" s="774">
        <f>TRP_Simple!$D57/SUM(TRP_Simple!$C57:$D57)</f>
        <v>0</v>
      </c>
      <c r="AB34" s="121">
        <f t="shared" si="15"/>
        <v>0</v>
      </c>
      <c r="AC34" s="77">
        <f>TRP_Simple!D87/SUM(TRP_Simple!C87:D87)</f>
        <v>0</v>
      </c>
      <c r="AD34" s="94">
        <f t="shared" si="16"/>
        <v>0</v>
      </c>
      <c r="AE34" s="158"/>
      <c r="AF34" s="126">
        <f t="shared" si="17"/>
        <v>0</v>
      </c>
      <c r="AG34" s="153">
        <v>0</v>
      </c>
      <c r="AH34" s="126">
        <f t="shared" si="18"/>
        <v>0</v>
      </c>
      <c r="AI34" s="126">
        <f t="shared" si="19"/>
        <v>0</v>
      </c>
      <c r="AJ34" s="126">
        <f t="shared" si="20"/>
        <v>0</v>
      </c>
      <c r="AK34" s="126">
        <f t="shared" si="21"/>
        <v>0</v>
      </c>
      <c r="AL34" s="127">
        <f t="shared" si="22"/>
        <v>0</v>
      </c>
      <c r="AM34" s="126">
        <f t="shared" si="23"/>
        <v>0</v>
      </c>
      <c r="AN34" s="153">
        <v>0</v>
      </c>
      <c r="AO34" s="126">
        <f t="shared" si="24"/>
        <v>0</v>
      </c>
      <c r="AP34" s="126">
        <f t="shared" si="25"/>
        <v>0</v>
      </c>
      <c r="AQ34" s="126">
        <f t="shared" si="26"/>
        <v>0</v>
      </c>
      <c r="AR34" s="126">
        <f t="shared" si="27"/>
        <v>0</v>
      </c>
      <c r="AS34" s="127">
        <f t="shared" si="28"/>
        <v>0</v>
      </c>
      <c r="AT34" s="126">
        <f t="shared" si="29"/>
        <v>0</v>
      </c>
      <c r="AU34" s="153">
        <v>0</v>
      </c>
      <c r="AV34" s="126">
        <f t="shared" si="30"/>
        <v>0</v>
      </c>
      <c r="AW34" s="126">
        <f t="shared" si="31"/>
        <v>0</v>
      </c>
      <c r="AX34" s="126">
        <f t="shared" si="32"/>
        <v>0</v>
      </c>
      <c r="AY34" s="126">
        <f t="shared" si="33"/>
        <v>0</v>
      </c>
      <c r="AZ34" s="127">
        <f t="shared" si="34"/>
        <v>0</v>
      </c>
      <c r="BA34" s="127">
        <f t="shared" si="35"/>
        <v>0</v>
      </c>
      <c r="BB34" s="159">
        <f>TRP_Simple!I87</f>
        <v>0</v>
      </c>
      <c r="BC34" s="65">
        <f t="shared" si="36"/>
        <v>0</v>
      </c>
      <c r="BE34" s="65" t="e">
        <f t="shared" si="37"/>
        <v>#DIV/0!</v>
      </c>
      <c r="BF34" s="77" t="e">
        <f t="shared" si="38"/>
        <v>#DIV/0!</v>
      </c>
    </row>
    <row r="35" spans="1:58" ht="13" x14ac:dyDescent="0.3">
      <c r="A35" s="124">
        <v>21</v>
      </c>
      <c r="B35" s="125" t="s">
        <v>144</v>
      </c>
      <c r="C35" s="93">
        <f>C$52</f>
        <v>6.2175737384148937E-2</v>
      </c>
      <c r="D35" s="93">
        <f t="shared" ref="D35:F36" si="44">D$52</f>
        <v>0.75445982725997507</v>
      </c>
      <c r="E35" s="93">
        <f t="shared" si="44"/>
        <v>0.18208409826073499</v>
      </c>
      <c r="F35" s="93">
        <f t="shared" si="44"/>
        <v>1.2803370922328497E-3</v>
      </c>
      <c r="H35" s="80">
        <f t="shared" si="4"/>
        <v>0.31289976585462648</v>
      </c>
      <c r="I35" s="80">
        <f t="shared" si="41"/>
        <v>3.7968235396682539</v>
      </c>
      <c r="J35" s="80">
        <f t="shared" si="42"/>
        <v>0.91633930064430136</v>
      </c>
      <c r="K35" s="80">
        <f t="shared" si="43"/>
        <v>6.4433039836659049E-3</v>
      </c>
      <c r="L35" s="78">
        <f t="shared" si="2"/>
        <v>5.032505910165483</v>
      </c>
      <c r="M35" s="82"/>
      <c r="N35" s="78">
        <f t="shared" si="5"/>
        <v>3.7285231641150545</v>
      </c>
      <c r="O35" s="78">
        <f t="shared" si="6"/>
        <v>45.243065232230123</v>
      </c>
      <c r="P35" s="78">
        <f t="shared" si="7"/>
        <v>10.919127086303472</v>
      </c>
      <c r="Q35" s="78">
        <f t="shared" si="8"/>
        <v>7.6778607011469324E-2</v>
      </c>
      <c r="R35" s="88">
        <f t="shared" si="9"/>
        <v>59.967494089834517</v>
      </c>
      <c r="S35" s="91">
        <f t="shared" si="10"/>
        <v>4.0414229299696807</v>
      </c>
      <c r="T35" s="91">
        <f t="shared" si="11"/>
        <v>49.039888771898376</v>
      </c>
      <c r="U35" s="91">
        <f t="shared" si="12"/>
        <v>11.835466386947774</v>
      </c>
      <c r="V35" s="91">
        <f t="shared" si="13"/>
        <v>8.3221910995135234E-2</v>
      </c>
      <c r="W35" s="119">
        <f>TRP_Simple!$I58</f>
        <v>65</v>
      </c>
      <c r="X35" s="71">
        <f t="shared" si="14"/>
        <v>-1.8903278942161705E-10</v>
      </c>
      <c r="Y35" s="65">
        <f>TRP_Simple!I88</f>
        <v>169.84743769672667</v>
      </c>
      <c r="Z35" s="71">
        <f t="shared" si="3"/>
        <v>-104.84743769672667</v>
      </c>
      <c r="AA35" s="774">
        <f>TRP_Simple!$D58/SUM(TRP_Simple!$C58:$D58)</f>
        <v>0.92257683215130026</v>
      </c>
      <c r="AB35" s="121">
        <f t="shared" si="15"/>
        <v>0.92257683215130026</v>
      </c>
      <c r="AC35" s="77">
        <f>TRP_Simple!D88/SUM(TRP_Simple!C88:D88)</f>
        <v>0.91746085375543907</v>
      </c>
      <c r="AD35" s="94">
        <f t="shared" si="16"/>
        <v>5.1159783958611982E-3</v>
      </c>
      <c r="AE35" s="158"/>
      <c r="AF35" s="126">
        <f t="shared" si="17"/>
        <v>0.31289976585462648</v>
      </c>
      <c r="AG35" s="153">
        <v>0</v>
      </c>
      <c r="AH35" s="126">
        <f t="shared" si="18"/>
        <v>3.7968235396682539</v>
      </c>
      <c r="AI35" s="126">
        <f t="shared" si="19"/>
        <v>0.91633930064430136</v>
      </c>
      <c r="AJ35" s="126">
        <f t="shared" si="20"/>
        <v>6.4433039836659049E-3</v>
      </c>
      <c r="AK35" s="126">
        <f t="shared" si="21"/>
        <v>5.032505910165483</v>
      </c>
      <c r="AL35" s="127">
        <f t="shared" si="22"/>
        <v>-1.4635403999818664E-11</v>
      </c>
      <c r="AM35" s="126">
        <f t="shared" si="23"/>
        <v>4.5609405717953528</v>
      </c>
      <c r="AN35" s="153">
        <v>0</v>
      </c>
      <c r="AO35" s="126">
        <f t="shared" si="24"/>
        <v>62.808017804754911</v>
      </c>
      <c r="AP35" s="126">
        <f t="shared" si="25"/>
        <v>96.526878866560253</v>
      </c>
      <c r="AQ35" s="126">
        <f t="shared" si="26"/>
        <v>0.91909454327628681</v>
      </c>
      <c r="AR35" s="126">
        <f t="shared" si="27"/>
        <v>164.8149317865612</v>
      </c>
      <c r="AS35" s="127">
        <f t="shared" si="28"/>
        <v>-1.7439560906495899E-10</v>
      </c>
      <c r="AT35" s="126">
        <f t="shared" si="29"/>
        <v>4.8738403376499795</v>
      </c>
      <c r="AU35" s="153">
        <v>0</v>
      </c>
      <c r="AV35" s="126">
        <f t="shared" si="30"/>
        <v>66.604841344423164</v>
      </c>
      <c r="AW35" s="126">
        <f t="shared" si="31"/>
        <v>97.443218167204549</v>
      </c>
      <c r="AX35" s="126">
        <f t="shared" si="32"/>
        <v>0.9255378472599527</v>
      </c>
      <c r="AY35" s="126">
        <f t="shared" si="33"/>
        <v>169.84743769672667</v>
      </c>
      <c r="AZ35" s="127">
        <f t="shared" si="34"/>
        <v>0</v>
      </c>
      <c r="BA35" s="127">
        <f t="shared" si="35"/>
        <v>-1.8903278942161705E-10</v>
      </c>
      <c r="BB35" s="159">
        <f>TRP_Simple!I88</f>
        <v>169.84743769672667</v>
      </c>
      <c r="BC35" s="65">
        <f t="shared" si="36"/>
        <v>0</v>
      </c>
      <c r="BE35" s="65">
        <f t="shared" si="37"/>
        <v>0.92257683215130026</v>
      </c>
      <c r="BF35" s="77">
        <f t="shared" si="38"/>
        <v>0.97037043373505982</v>
      </c>
    </row>
    <row r="36" spans="1:58" ht="13" x14ac:dyDescent="0.3">
      <c r="A36" s="124">
        <v>22</v>
      </c>
      <c r="B36" s="125" t="s">
        <v>148</v>
      </c>
      <c r="C36" s="93">
        <f>C$52</f>
        <v>6.2175737384148937E-2</v>
      </c>
      <c r="D36" s="93">
        <f t="shared" si="44"/>
        <v>0.75445982725997507</v>
      </c>
      <c r="E36" s="93">
        <f t="shared" si="44"/>
        <v>0.18208409826073499</v>
      </c>
      <c r="F36" s="93">
        <f t="shared" si="44"/>
        <v>1.2803370922328497E-3</v>
      </c>
      <c r="H36" s="80">
        <f t="shared" si="4"/>
        <v>78.544476579599973</v>
      </c>
      <c r="I36" s="80">
        <f t="shared" si="41"/>
        <v>953.08322386824693</v>
      </c>
      <c r="J36" s="80">
        <f t="shared" si="42"/>
        <v>230.0205963460588</v>
      </c>
      <c r="K36" s="80">
        <f t="shared" si="43"/>
        <v>1.6174059365561106</v>
      </c>
      <c r="L36" s="78">
        <f t="shared" si="2"/>
        <v>1263.2657027341356</v>
      </c>
      <c r="M36" s="82"/>
      <c r="N36" s="78">
        <f t="shared" si="5"/>
        <v>77.202738996091995</v>
      </c>
      <c r="O36" s="78">
        <f t="shared" si="6"/>
        <v>936.80216073863278</v>
      </c>
      <c r="P36" s="78">
        <f t="shared" si="7"/>
        <v>226.09126493361185</v>
      </c>
      <c r="Q36" s="78">
        <f t="shared" si="8"/>
        <v>1.5897765674728888</v>
      </c>
      <c r="R36" s="88">
        <f t="shared" si="9"/>
        <v>1241.6859412394206</v>
      </c>
      <c r="S36" s="91">
        <f t="shared" si="10"/>
        <v>155.74721557569197</v>
      </c>
      <c r="T36" s="91">
        <f t="shared" si="11"/>
        <v>1889.8853846068796</v>
      </c>
      <c r="U36" s="91">
        <f t="shared" si="12"/>
        <v>456.11186127967062</v>
      </c>
      <c r="V36" s="91">
        <f t="shared" si="13"/>
        <v>3.2071825040289994</v>
      </c>
      <c r="W36" s="119">
        <f>TRP_Simple!$I59</f>
        <v>2504.9516439735562</v>
      </c>
      <c r="X36" s="71">
        <f t="shared" si="14"/>
        <v>-7.2850525612011552E-9</v>
      </c>
      <c r="Y36" s="65">
        <f>TRP_Simple!I89</f>
        <v>4675.920955580501</v>
      </c>
      <c r="Z36" s="71">
        <f t="shared" si="3"/>
        <v>-2170.9693116069448</v>
      </c>
      <c r="AA36" s="774">
        <f>TRP_Simple!$D59/SUM(TRP_Simple!$C59:$D59)</f>
        <v>0.49569257922670246</v>
      </c>
      <c r="AB36" s="121">
        <f t="shared" si="15"/>
        <v>0.49569257922670246</v>
      </c>
      <c r="AC36" s="77">
        <f>TRP_Simple!D89/SUM(TRP_Simple!C89:D89)</f>
        <v>0.48446094126713402</v>
      </c>
      <c r="AD36" s="94">
        <f t="shared" si="16"/>
        <v>1.1231637959568441E-2</v>
      </c>
      <c r="AE36" s="158"/>
      <c r="AF36" s="126">
        <f t="shared" si="17"/>
        <v>78.544476579599973</v>
      </c>
      <c r="AG36" s="153">
        <v>0</v>
      </c>
      <c r="AH36" s="126">
        <f t="shared" si="18"/>
        <v>953.08322386824693</v>
      </c>
      <c r="AI36" s="126">
        <f t="shared" si="19"/>
        <v>230.0205963460588</v>
      </c>
      <c r="AJ36" s="126">
        <f t="shared" si="20"/>
        <v>1.6174059365561106</v>
      </c>
      <c r="AK36" s="126">
        <f t="shared" si="21"/>
        <v>1263.2657027341356</v>
      </c>
      <c r="AL36" s="127">
        <f t="shared" si="22"/>
        <v>-3.6739038478117436E-9</v>
      </c>
      <c r="AM36" s="126">
        <f t="shared" si="23"/>
        <v>94.438760077966791</v>
      </c>
      <c r="AN36" s="153">
        <v>0</v>
      </c>
      <c r="AO36" s="126">
        <f t="shared" si="24"/>
        <v>1300.5017783209255</v>
      </c>
      <c r="AP36" s="126">
        <f t="shared" si="25"/>
        <v>1998.6839580252858</v>
      </c>
      <c r="AQ36" s="126">
        <f t="shared" si="26"/>
        <v>19.030756418575915</v>
      </c>
      <c r="AR36" s="126">
        <f t="shared" si="27"/>
        <v>3412.6552528463649</v>
      </c>
      <c r="AS36" s="127">
        <f t="shared" si="28"/>
        <v>-3.6106939660385251E-9</v>
      </c>
      <c r="AT36" s="126">
        <f t="shared" si="29"/>
        <v>172.98323665756675</v>
      </c>
      <c r="AU36" s="153">
        <v>0</v>
      </c>
      <c r="AV36" s="126">
        <f t="shared" si="30"/>
        <v>2253.5850021891724</v>
      </c>
      <c r="AW36" s="126">
        <f t="shared" si="31"/>
        <v>2228.7045543713448</v>
      </c>
      <c r="AX36" s="126">
        <f t="shared" si="32"/>
        <v>20.648162355132026</v>
      </c>
      <c r="AY36" s="126">
        <f t="shared" si="33"/>
        <v>4675.920955580501</v>
      </c>
      <c r="AZ36" s="127">
        <f t="shared" si="34"/>
        <v>0</v>
      </c>
      <c r="BA36" s="127">
        <f t="shared" si="35"/>
        <v>-7.2850525612011552E-9</v>
      </c>
      <c r="BB36" s="159">
        <f>TRP_Simple!I89</f>
        <v>4675.920955580501</v>
      </c>
      <c r="BC36" s="65">
        <f t="shared" si="36"/>
        <v>0</v>
      </c>
      <c r="BE36" s="65">
        <f t="shared" si="37"/>
        <v>0.49569257922670246</v>
      </c>
      <c r="BF36" s="77">
        <f t="shared" si="38"/>
        <v>0.72983595857699746</v>
      </c>
    </row>
    <row r="37" spans="1:58" ht="13" x14ac:dyDescent="0.3">
      <c r="A37" s="124">
        <v>23</v>
      </c>
      <c r="B37" s="125" t="s">
        <v>149</v>
      </c>
      <c r="C37" s="93">
        <v>0</v>
      </c>
      <c r="D37" s="93">
        <v>0</v>
      </c>
      <c r="E37" s="93">
        <v>0</v>
      </c>
      <c r="F37" s="93">
        <v>0</v>
      </c>
      <c r="H37" s="80">
        <f t="shared" si="4"/>
        <v>0</v>
      </c>
      <c r="I37" s="80">
        <f t="shared" si="41"/>
        <v>0</v>
      </c>
      <c r="J37" s="80">
        <f t="shared" si="42"/>
        <v>0</v>
      </c>
      <c r="K37" s="80">
        <f t="shared" si="43"/>
        <v>0</v>
      </c>
      <c r="L37" s="78">
        <f t="shared" si="2"/>
        <v>0</v>
      </c>
      <c r="M37" s="82"/>
      <c r="N37" s="78">
        <f t="shared" si="5"/>
        <v>0</v>
      </c>
      <c r="O37" s="78">
        <f t="shared" si="6"/>
        <v>0</v>
      </c>
      <c r="P37" s="78">
        <f t="shared" si="7"/>
        <v>0</v>
      </c>
      <c r="Q37" s="78">
        <f t="shared" si="8"/>
        <v>0</v>
      </c>
      <c r="R37" s="88">
        <f t="shared" si="9"/>
        <v>0</v>
      </c>
      <c r="S37" s="91">
        <f t="shared" si="10"/>
        <v>0</v>
      </c>
      <c r="T37" s="91">
        <f t="shared" si="11"/>
        <v>0</v>
      </c>
      <c r="U37" s="91">
        <f t="shared" si="12"/>
        <v>0</v>
      </c>
      <c r="V37" s="91">
        <f t="shared" si="13"/>
        <v>0</v>
      </c>
      <c r="W37" s="119">
        <f>TRP_Simple!$I60</f>
        <v>0</v>
      </c>
      <c r="X37" s="71">
        <f t="shared" si="14"/>
        <v>0</v>
      </c>
      <c r="Y37" s="65">
        <f>TRP_Simple!I90</f>
        <v>0</v>
      </c>
      <c r="Z37" s="71">
        <f t="shared" si="3"/>
        <v>0</v>
      </c>
      <c r="AA37" s="774">
        <f>TRP_Simple!$D60/SUM(TRP_Simple!$C60:$D60)</f>
        <v>1.1763443168401846E-2</v>
      </c>
      <c r="AB37" s="121">
        <f t="shared" si="15"/>
        <v>1.1763443168401846E-2</v>
      </c>
      <c r="AC37" s="77">
        <f>TRP_Simple!D90/SUM(TRP_Simple!C90:D90)</f>
        <v>1.1763443168401846E-2</v>
      </c>
      <c r="AD37" s="94">
        <f t="shared" si="16"/>
        <v>0</v>
      </c>
      <c r="AE37" s="158"/>
      <c r="AF37" s="126">
        <f t="shared" si="17"/>
        <v>0</v>
      </c>
      <c r="AG37" s="153">
        <v>0</v>
      </c>
      <c r="AH37" s="126">
        <f t="shared" si="18"/>
        <v>0</v>
      </c>
      <c r="AI37" s="126">
        <f t="shared" si="19"/>
        <v>0</v>
      </c>
      <c r="AJ37" s="126">
        <f t="shared" si="20"/>
        <v>0</v>
      </c>
      <c r="AK37" s="126">
        <f t="shared" si="21"/>
        <v>0</v>
      </c>
      <c r="AL37" s="127">
        <f t="shared" si="22"/>
        <v>0</v>
      </c>
      <c r="AM37" s="126">
        <f t="shared" si="23"/>
        <v>0</v>
      </c>
      <c r="AN37" s="153">
        <v>0</v>
      </c>
      <c r="AO37" s="126">
        <f t="shared" si="24"/>
        <v>0</v>
      </c>
      <c r="AP37" s="126">
        <f t="shared" si="25"/>
        <v>0</v>
      </c>
      <c r="AQ37" s="126">
        <f t="shared" si="26"/>
        <v>0</v>
      </c>
      <c r="AR37" s="126">
        <f t="shared" si="27"/>
        <v>0</v>
      </c>
      <c r="AS37" s="127">
        <f t="shared" si="28"/>
        <v>0</v>
      </c>
      <c r="AT37" s="126">
        <f t="shared" si="29"/>
        <v>0</v>
      </c>
      <c r="AU37" s="153">
        <v>0</v>
      </c>
      <c r="AV37" s="126">
        <f t="shared" si="30"/>
        <v>0</v>
      </c>
      <c r="AW37" s="126">
        <f t="shared" si="31"/>
        <v>0</v>
      </c>
      <c r="AX37" s="126">
        <f t="shared" si="32"/>
        <v>0</v>
      </c>
      <c r="AY37" s="126">
        <f t="shared" si="33"/>
        <v>0</v>
      </c>
      <c r="AZ37" s="127">
        <f t="shared" si="34"/>
        <v>0</v>
      </c>
      <c r="BA37" s="127">
        <f t="shared" si="35"/>
        <v>0</v>
      </c>
      <c r="BB37" s="159">
        <f>TRP_Simple!I90</f>
        <v>0</v>
      </c>
      <c r="BC37" s="65">
        <f t="shared" si="36"/>
        <v>0</v>
      </c>
      <c r="BE37" s="65" t="e">
        <f t="shared" si="37"/>
        <v>#DIV/0!</v>
      </c>
      <c r="BF37" s="77" t="e">
        <f t="shared" si="38"/>
        <v>#DIV/0!</v>
      </c>
    </row>
    <row r="38" spans="1:58" ht="13" x14ac:dyDescent="0.3">
      <c r="A38" s="124">
        <v>24</v>
      </c>
      <c r="B38" s="125" t="s">
        <v>150</v>
      </c>
      <c r="C38" s="93">
        <f>C$52</f>
        <v>6.2175737384148937E-2</v>
      </c>
      <c r="D38" s="93">
        <f>D$52</f>
        <v>0.75445982725997507</v>
      </c>
      <c r="E38" s="93">
        <f>E$52</f>
        <v>0.18208409826073499</v>
      </c>
      <c r="F38" s="93">
        <f>F$52</f>
        <v>1.2803370922328497E-3</v>
      </c>
      <c r="H38" s="80">
        <f t="shared" si="4"/>
        <v>69.308039183653278</v>
      </c>
      <c r="I38" s="80">
        <f t="shared" si="41"/>
        <v>841.00540613061492</v>
      </c>
      <c r="J38" s="80">
        <f t="shared" si="42"/>
        <v>202.97132527763966</v>
      </c>
      <c r="K38" s="80">
        <f t="shared" si="43"/>
        <v>1.4272070921893367</v>
      </c>
      <c r="L38" s="78">
        <f t="shared" si="2"/>
        <v>1114.711977687339</v>
      </c>
      <c r="M38" s="82"/>
      <c r="N38" s="78">
        <f t="shared" si="5"/>
        <v>32.60100096056793</v>
      </c>
      <c r="O38" s="78">
        <f t="shared" si="6"/>
        <v>395.59073342784183</v>
      </c>
      <c r="P38" s="78">
        <f t="shared" si="7"/>
        <v>95.473316635175436</v>
      </c>
      <c r="Q38" s="78">
        <f t="shared" si="8"/>
        <v>0.67132731399459256</v>
      </c>
      <c r="R38" s="88">
        <f t="shared" si="9"/>
        <v>524.33637833910461</v>
      </c>
      <c r="S38" s="91">
        <f t="shared" si="10"/>
        <v>101.90904014422121</v>
      </c>
      <c r="T38" s="91">
        <f t="shared" si="11"/>
        <v>1236.5961395584568</v>
      </c>
      <c r="U38" s="91">
        <f t="shared" si="12"/>
        <v>298.44464191281509</v>
      </c>
      <c r="V38" s="91">
        <f t="shared" si="13"/>
        <v>2.0985344061839291</v>
      </c>
      <c r="W38" s="119">
        <f>TRP_Simple!$I61</f>
        <v>1639.0483560264436</v>
      </c>
      <c r="X38" s="71">
        <f t="shared" si="14"/>
        <v>-4.7664343583164737E-9</v>
      </c>
      <c r="Y38" s="65">
        <f>TRP_Simple!I91</f>
        <v>2555.8004497137435</v>
      </c>
      <c r="Z38" s="71">
        <f t="shared" si="3"/>
        <v>-916.75209368729998</v>
      </c>
      <c r="AA38" s="774">
        <f>TRP_Simple!$D61/SUM(TRP_Simple!$C61:$D61)</f>
        <v>0.31990293416983556</v>
      </c>
      <c r="AB38" s="121">
        <f t="shared" si="15"/>
        <v>0.31990293416983556</v>
      </c>
      <c r="AC38" s="77">
        <f>TRP_Simple!D91/SUM(TRP_Simple!C91:D91)</f>
        <v>0.30175579897985311</v>
      </c>
      <c r="AD38" s="94">
        <f t="shared" si="16"/>
        <v>1.8147135189982455E-2</v>
      </c>
      <c r="AE38" s="158"/>
      <c r="AF38" s="126">
        <f t="shared" si="17"/>
        <v>69.308039183653278</v>
      </c>
      <c r="AG38" s="153">
        <v>0</v>
      </c>
      <c r="AH38" s="126">
        <f t="shared" si="18"/>
        <v>841.00540613061492</v>
      </c>
      <c r="AI38" s="126">
        <f t="shared" si="19"/>
        <v>202.97132527763966</v>
      </c>
      <c r="AJ38" s="126">
        <f t="shared" si="20"/>
        <v>1.4272070921893367</v>
      </c>
      <c r="AK38" s="126">
        <f t="shared" si="21"/>
        <v>1114.711977687339</v>
      </c>
      <c r="AL38" s="127">
        <f t="shared" si="22"/>
        <v>-3.2418938644696027E-9</v>
      </c>
      <c r="AM38" s="126">
        <f t="shared" si="23"/>
        <v>39.879389618190729</v>
      </c>
      <c r="AN38" s="153">
        <v>0</v>
      </c>
      <c r="AO38" s="126">
        <f t="shared" si="24"/>
        <v>549.17299924303165</v>
      </c>
      <c r="AP38" s="126">
        <f t="shared" si="25"/>
        <v>843.99981765870268</v>
      </c>
      <c r="AQ38" s="126">
        <f t="shared" si="26"/>
        <v>8.0362655049548621</v>
      </c>
      <c r="AR38" s="126">
        <f t="shared" si="27"/>
        <v>1441.0884720264048</v>
      </c>
      <c r="AS38" s="127">
        <f t="shared" si="28"/>
        <v>-1.5247678675223142E-9</v>
      </c>
      <c r="AT38" s="126">
        <f t="shared" si="29"/>
        <v>109.18742880184401</v>
      </c>
      <c r="AU38" s="153">
        <v>0</v>
      </c>
      <c r="AV38" s="126">
        <f t="shared" si="30"/>
        <v>1390.1784053736465</v>
      </c>
      <c r="AW38" s="126">
        <f t="shared" si="31"/>
        <v>1046.9711429363424</v>
      </c>
      <c r="AX38" s="126">
        <f t="shared" si="32"/>
        <v>9.4634725971441984</v>
      </c>
      <c r="AY38" s="126">
        <f t="shared" si="33"/>
        <v>2555.8004497137435</v>
      </c>
      <c r="AZ38" s="127">
        <f t="shared" si="34"/>
        <v>0</v>
      </c>
      <c r="BA38" s="127">
        <f t="shared" si="35"/>
        <v>-4.7666617319919169E-9</v>
      </c>
      <c r="BB38" s="159">
        <f>TRP_Simple!I91</f>
        <v>2555.8004497137435</v>
      </c>
      <c r="BC38" s="65">
        <f t="shared" si="36"/>
        <v>0</v>
      </c>
      <c r="BE38" s="65">
        <f t="shared" si="37"/>
        <v>0.31990293416983556</v>
      </c>
      <c r="BF38" s="77">
        <f t="shared" si="38"/>
        <v>0.56385015198968702</v>
      </c>
    </row>
    <row r="39" spans="1:58" s="131" customFormat="1" ht="13" x14ac:dyDescent="0.3">
      <c r="A39" s="129"/>
      <c r="B39" s="130" t="s">
        <v>65</v>
      </c>
      <c r="H39" s="132">
        <f>SUM(H15:H38)</f>
        <v>1099.5204165746422</v>
      </c>
      <c r="I39" s="132">
        <f>SUM(I15:I38)</f>
        <v>23309.823038185801</v>
      </c>
      <c r="J39" s="132">
        <f>SUM(J15:J38)</f>
        <v>1684.0165497120768</v>
      </c>
      <c r="K39" s="132">
        <f>SUM(K15:K38)</f>
        <v>438.49852979142804</v>
      </c>
      <c r="L39" s="132">
        <f>SUM(L15:L38)</f>
        <v>26531.858534265779</v>
      </c>
      <c r="M39" s="132"/>
      <c r="N39" s="132">
        <f t="shared" ref="N39:W39" si="45">SUM(N15:N38)</f>
        <v>533.01895471664432</v>
      </c>
      <c r="O39" s="132">
        <f t="shared" si="45"/>
        <v>9756.9708994126504</v>
      </c>
      <c r="P39" s="132">
        <f t="shared" si="45"/>
        <v>855.08410703831373</v>
      </c>
      <c r="Q39" s="132">
        <f t="shared" si="45"/>
        <v>196.06750456843832</v>
      </c>
      <c r="R39" s="132">
        <f t="shared" si="45"/>
        <v>11341.141465734227</v>
      </c>
      <c r="S39" s="132">
        <f t="shared" si="45"/>
        <v>1632.5393712912864</v>
      </c>
      <c r="T39" s="132">
        <f t="shared" si="45"/>
        <v>33066.79393759845</v>
      </c>
      <c r="U39" s="132">
        <f t="shared" si="45"/>
        <v>2539.100656750391</v>
      </c>
      <c r="V39" s="132">
        <f t="shared" si="45"/>
        <v>634.56603435986642</v>
      </c>
      <c r="W39" s="133">
        <f t="shared" si="45"/>
        <v>37873</v>
      </c>
      <c r="X39" s="134">
        <f t="shared" si="14"/>
        <v>0</v>
      </c>
      <c r="Y39" s="133">
        <f>SUM(Y15:Y38)</f>
        <v>50635.000000000007</v>
      </c>
      <c r="Z39" s="134">
        <f t="shared" si="3"/>
        <v>-12762.000000000007</v>
      </c>
      <c r="AA39" s="132"/>
      <c r="AE39" s="162"/>
      <c r="AF39" s="155">
        <f t="shared" si="17"/>
        <v>1099.5204165746422</v>
      </c>
      <c r="AG39" s="156">
        <v>0</v>
      </c>
      <c r="AH39" s="155">
        <f t="shared" si="18"/>
        <v>23309.823038185801</v>
      </c>
      <c r="AI39" s="155">
        <f t="shared" si="19"/>
        <v>1684.0165497120768</v>
      </c>
      <c r="AJ39" s="155">
        <f t="shared" si="20"/>
        <v>438.49852979142804</v>
      </c>
      <c r="AK39" s="155">
        <f t="shared" si="21"/>
        <v>26531.858534265779</v>
      </c>
      <c r="AL39" s="157">
        <f t="shared" si="22"/>
        <v>-1.8299033399671316E-9</v>
      </c>
      <c r="AM39" s="155">
        <f t="shared" si="23"/>
        <v>652.01895471664432</v>
      </c>
      <c r="AN39" s="156">
        <v>0</v>
      </c>
      <c r="AO39" s="155">
        <f t="shared" si="24"/>
        <v>13544.970899412649</v>
      </c>
      <c r="AP39" s="155">
        <f t="shared" si="25"/>
        <v>7559.0841070383149</v>
      </c>
      <c r="AQ39" s="155">
        <f t="shared" si="26"/>
        <v>2347.0675045684384</v>
      </c>
      <c r="AR39" s="155">
        <f t="shared" si="27"/>
        <v>24103.141465734225</v>
      </c>
      <c r="AS39" s="157">
        <f t="shared" si="28"/>
        <v>1.8189894035458565E-9</v>
      </c>
      <c r="AT39" s="155">
        <f t="shared" si="29"/>
        <v>1751.5393712912864</v>
      </c>
      <c r="AU39" s="156">
        <v>0</v>
      </c>
      <c r="AV39" s="695">
        <f t="shared" si="30"/>
        <v>36854.79393759845</v>
      </c>
      <c r="AW39" s="155">
        <f t="shared" si="31"/>
        <v>9243.1006567503919</v>
      </c>
      <c r="AX39" s="155">
        <f t="shared" si="32"/>
        <v>2785.5660343598665</v>
      </c>
      <c r="AY39" s="155">
        <f t="shared" si="33"/>
        <v>50635</v>
      </c>
      <c r="AZ39" s="157">
        <f t="shared" si="34"/>
        <v>0</v>
      </c>
      <c r="BA39" s="157">
        <f t="shared" si="35"/>
        <v>0</v>
      </c>
      <c r="BB39" s="163"/>
    </row>
    <row r="40" spans="1:58" x14ac:dyDescent="0.25">
      <c r="G40" s="83"/>
      <c r="H40" s="78"/>
      <c r="I40" s="78"/>
      <c r="J40" s="78"/>
      <c r="K40" s="78"/>
      <c r="M40" s="79"/>
      <c r="N40" s="78"/>
      <c r="O40" s="78"/>
      <c r="P40" s="78"/>
      <c r="Q40" s="78"/>
      <c r="R40" s="78"/>
      <c r="S40" s="92"/>
      <c r="T40" s="92"/>
      <c r="U40" s="92"/>
      <c r="V40" s="92"/>
      <c r="W40" s="92"/>
      <c r="AE40" s="158"/>
      <c r="AF40" s="127">
        <f t="shared" ref="AF40:AX40" si="46">SUM(AF15:AF38)-AF39</f>
        <v>0</v>
      </c>
      <c r="AG40" s="127">
        <f t="shared" si="46"/>
        <v>0</v>
      </c>
      <c r="AH40" s="127">
        <f t="shared" si="46"/>
        <v>0</v>
      </c>
      <c r="AI40" s="127">
        <f t="shared" si="46"/>
        <v>0</v>
      </c>
      <c r="AJ40" s="127">
        <f t="shared" si="46"/>
        <v>0</v>
      </c>
      <c r="AK40" s="127">
        <f t="shared" si="46"/>
        <v>0</v>
      </c>
      <c r="AL40" s="127"/>
      <c r="AM40" s="127">
        <f t="shared" si="46"/>
        <v>0</v>
      </c>
      <c r="AN40" s="127">
        <f t="shared" si="46"/>
        <v>0</v>
      </c>
      <c r="AO40" s="127">
        <f t="shared" si="46"/>
        <v>0</v>
      </c>
      <c r="AP40" s="127">
        <f t="shared" si="46"/>
        <v>0</v>
      </c>
      <c r="AQ40" s="127">
        <f t="shared" si="46"/>
        <v>0</v>
      </c>
      <c r="AR40" s="127">
        <f t="shared" si="46"/>
        <v>0</v>
      </c>
      <c r="AS40" s="127"/>
      <c r="AT40" s="127">
        <f t="shared" si="46"/>
        <v>0</v>
      </c>
      <c r="AU40" s="127">
        <f t="shared" si="46"/>
        <v>0</v>
      </c>
      <c r="AV40" s="127">
        <f t="shared" si="46"/>
        <v>0</v>
      </c>
      <c r="AW40" s="127">
        <f t="shared" si="46"/>
        <v>0</v>
      </c>
      <c r="AX40" s="127">
        <f t="shared" si="46"/>
        <v>0</v>
      </c>
      <c r="AY40" s="127">
        <f>SUM(AY15:AY38)-AY39</f>
        <v>0</v>
      </c>
      <c r="AZ40" s="126"/>
      <c r="BA40" s="126"/>
      <c r="BB40" s="159"/>
    </row>
    <row r="41" spans="1:58" x14ac:dyDescent="0.25">
      <c r="G41" s="83" t="s">
        <v>581</v>
      </c>
      <c r="H41" s="78">
        <f>S39</f>
        <v>1632.5393712912864</v>
      </c>
      <c r="I41" s="78">
        <f>T39</f>
        <v>33066.79393759845</v>
      </c>
      <c r="J41" s="78">
        <f>U39</f>
        <v>2539.100656750391</v>
      </c>
      <c r="K41" s="78">
        <f>V39</f>
        <v>634.56603435986642</v>
      </c>
      <c r="L41" s="79">
        <f>SUM(H41:K41)</f>
        <v>37872.999999999993</v>
      </c>
      <c r="M41" s="79"/>
      <c r="N41" s="78"/>
      <c r="O41" s="78"/>
      <c r="P41" s="78"/>
      <c r="Q41" s="78"/>
      <c r="R41" s="140" t="s">
        <v>741</v>
      </c>
      <c r="S41" s="145">
        <f>S14</f>
        <v>14</v>
      </c>
      <c r="T41" s="149">
        <f>T14</f>
        <v>16</v>
      </c>
      <c r="U41" s="141">
        <f>U14</f>
        <v>17</v>
      </c>
      <c r="V41" s="141">
        <f>V14</f>
        <v>18</v>
      </c>
      <c r="W41" s="73"/>
      <c r="X41" s="73"/>
      <c r="Y41" s="73"/>
      <c r="Z41" s="73"/>
      <c r="AA41" s="73"/>
      <c r="AB41" s="73"/>
      <c r="AC41" s="73"/>
      <c r="AD41" s="73"/>
      <c r="AE41" s="158"/>
      <c r="AF41" s="126"/>
      <c r="AG41" s="126"/>
      <c r="AH41" s="126"/>
      <c r="AI41" s="126"/>
      <c r="AJ41" s="126"/>
      <c r="AK41" s="126"/>
      <c r="AL41" s="126"/>
      <c r="AM41" s="126"/>
      <c r="AN41" s="126"/>
      <c r="AO41" s="126"/>
      <c r="AP41" s="126"/>
      <c r="AQ41" s="126"/>
      <c r="AR41" s="126"/>
      <c r="AS41" s="693" t="s">
        <v>739</v>
      </c>
      <c r="AT41" s="127">
        <f>-TRP_Simple!I81</f>
        <v>1751.5393712912962</v>
      </c>
      <c r="AU41" s="127">
        <v>0</v>
      </c>
      <c r="AV41" s="127">
        <f t="array" ref="AV41:AX41">-TRANSPOSE(TRP_Simple!I83:I85)</f>
        <v>36854.79393759845</v>
      </c>
      <c r="AW41" s="127">
        <v>9243.10065675039</v>
      </c>
      <c r="AX41" s="127">
        <v>2785.5660343598665</v>
      </c>
      <c r="AY41" s="127">
        <f>SUM(AT41:AX41)</f>
        <v>50635.000000000007</v>
      </c>
      <c r="AZ41" s="126"/>
      <c r="BA41" s="126"/>
      <c r="BB41" s="159"/>
    </row>
    <row r="42" spans="1:58" x14ac:dyDescent="0.25">
      <c r="G42" s="121" t="s">
        <v>582</v>
      </c>
      <c r="H42" s="121">
        <f>-TRP_Simple!I51</f>
        <v>1632.5393712912962</v>
      </c>
      <c r="I42" s="121">
        <f t="array" ref="I42:K42">-TRANSPOSE(TRP_Simple!I53:I55)</f>
        <v>33066.79393759845</v>
      </c>
      <c r="J42" s="121">
        <v>2539.100656750391</v>
      </c>
      <c r="K42" s="121">
        <v>634.56603435986642</v>
      </c>
      <c r="L42" s="79">
        <f>SUM(H42:K42)</f>
        <v>37873.000000000007</v>
      </c>
      <c r="N42" s="78"/>
      <c r="R42" s="102">
        <v>1</v>
      </c>
      <c r="S42" s="146">
        <f>N15/N$39</f>
        <v>1.2624655709454556E-2</v>
      </c>
      <c r="T42" s="150">
        <f>O15/O$39</f>
        <v>1.5641160263541478E-2</v>
      </c>
      <c r="U42" s="144">
        <f>P15/P$39</f>
        <v>1.6329268009183297E-2</v>
      </c>
      <c r="V42" s="144">
        <f>Q15/Q$39</f>
        <v>7.9154932085571238E-3</v>
      </c>
      <c r="W42" s="93"/>
      <c r="X42" s="93"/>
      <c r="Y42" s="93"/>
      <c r="Z42" s="93"/>
      <c r="AA42" s="139"/>
      <c r="AB42" s="139"/>
      <c r="AC42" s="139"/>
      <c r="AD42" s="139"/>
      <c r="AE42" s="158"/>
      <c r="AF42" s="126"/>
      <c r="AG42" s="126"/>
      <c r="AH42" s="126"/>
      <c r="AI42" s="126"/>
      <c r="AJ42" s="126"/>
      <c r="AK42" s="126"/>
      <c r="AL42" s="126"/>
      <c r="AM42" s="126"/>
      <c r="AN42" s="126"/>
      <c r="AO42" s="126"/>
      <c r="AP42" s="126"/>
      <c r="AQ42" s="126"/>
      <c r="AR42" s="126"/>
      <c r="AS42" s="126"/>
      <c r="AT42" s="127">
        <f t="shared" ref="AT42:AY42" si="47">AT39-AT41</f>
        <v>-9.7770680440589786E-12</v>
      </c>
      <c r="AU42" s="127">
        <f t="shared" si="47"/>
        <v>0</v>
      </c>
      <c r="AV42" s="127">
        <f t="shared" si="47"/>
        <v>0</v>
      </c>
      <c r="AW42" s="127">
        <f t="shared" si="47"/>
        <v>0</v>
      </c>
      <c r="AX42" s="127">
        <f t="shared" si="47"/>
        <v>0</v>
      </c>
      <c r="AY42" s="127">
        <f t="shared" si="47"/>
        <v>0</v>
      </c>
      <c r="AZ42" s="126"/>
      <c r="BA42" s="126"/>
      <c r="BB42" s="159"/>
    </row>
    <row r="43" spans="1:58" ht="13" thickBot="1" x14ac:dyDescent="0.3">
      <c r="B43" s="79"/>
      <c r="G43" s="81" t="s">
        <v>583</v>
      </c>
      <c r="H43" s="71">
        <f>H41-H42</f>
        <v>-9.7770680440589786E-12</v>
      </c>
      <c r="I43" s="71">
        <f>I41-I42</f>
        <v>0</v>
      </c>
      <c r="J43" s="71">
        <f>J41-J42</f>
        <v>0</v>
      </c>
      <c r="K43" s="71">
        <f>K41-K42</f>
        <v>0</v>
      </c>
      <c r="L43" s="75">
        <f>SUM(H43:K43)</f>
        <v>-9.7770680440589786E-12</v>
      </c>
      <c r="N43" s="78"/>
      <c r="R43" s="104">
        <v>2</v>
      </c>
      <c r="S43" s="147">
        <f t="shared" ref="S43:S65" si="48">N16/N$39</f>
        <v>2.9838221783125701E-2</v>
      </c>
      <c r="T43" s="151">
        <f t="shared" ref="T43:T65" si="49">O16/O$39</f>
        <v>0.11321271865289242</v>
      </c>
      <c r="U43" s="142">
        <f t="shared" ref="U43:U65" si="50">P16/P$39</f>
        <v>3.3096225590869596E-2</v>
      </c>
      <c r="V43" s="142">
        <f t="shared" ref="V43:V65" si="51">Q16/Q$39</f>
        <v>4.5394831313830014E-2</v>
      </c>
      <c r="W43" s="93"/>
      <c r="X43" s="93"/>
      <c r="Y43" s="93"/>
      <c r="Z43" s="93"/>
      <c r="AA43" s="139"/>
      <c r="AB43" s="139"/>
      <c r="AC43" s="139"/>
      <c r="AD43" s="139"/>
      <c r="AE43" s="164"/>
      <c r="AF43" s="165"/>
      <c r="AG43" s="165"/>
      <c r="AH43" s="165"/>
      <c r="AI43" s="165"/>
      <c r="AJ43" s="165"/>
      <c r="AK43" s="165"/>
      <c r="AL43" s="165"/>
      <c r="AM43" s="165"/>
      <c r="AN43" s="165"/>
      <c r="AO43" s="165"/>
      <c r="AP43" s="165"/>
      <c r="AQ43" s="165"/>
      <c r="AR43" s="165"/>
      <c r="AS43" s="165"/>
      <c r="AT43" s="694" t="str">
        <f t="shared" ref="AT43:AY43" si="52">IF(AT42=0,"GOOD!","OUPS!")</f>
        <v>OUPS!</v>
      </c>
      <c r="AU43" s="694" t="str">
        <f t="shared" si="52"/>
        <v>GOOD!</v>
      </c>
      <c r="AV43" s="694" t="str">
        <f t="shared" si="52"/>
        <v>GOOD!</v>
      </c>
      <c r="AW43" s="694" t="str">
        <f t="shared" si="52"/>
        <v>GOOD!</v>
      </c>
      <c r="AX43" s="694" t="str">
        <f t="shared" si="52"/>
        <v>GOOD!</v>
      </c>
      <c r="AY43" s="694" t="str">
        <f t="shared" si="52"/>
        <v>GOOD!</v>
      </c>
      <c r="AZ43" s="165"/>
      <c r="BA43" s="165"/>
      <c r="BB43" s="166"/>
    </row>
    <row r="44" spans="1:58" x14ac:dyDescent="0.25">
      <c r="B44" s="84"/>
      <c r="G44" s="122" t="s">
        <v>585</v>
      </c>
      <c r="H44" s="122">
        <v>808.69390674439569</v>
      </c>
      <c r="I44" s="122">
        <v>-990.98386526646937</v>
      </c>
      <c r="J44" s="122">
        <v>216.0445817226464</v>
      </c>
      <c r="K44" s="122">
        <v>-33.754623200572951</v>
      </c>
      <c r="L44" s="123">
        <v>-2.2737367544323206E-13</v>
      </c>
      <c r="N44" s="78"/>
      <c r="O44" s="78"/>
      <c r="R44" s="104">
        <v>3</v>
      </c>
      <c r="S44" s="147">
        <f t="shared" si="48"/>
        <v>0.1123108245752983</v>
      </c>
      <c r="T44" s="151">
        <f t="shared" si="49"/>
        <v>7.1141344755799849E-2</v>
      </c>
      <c r="U44" s="142">
        <f t="shared" si="50"/>
        <v>2.9202978205963105E-2</v>
      </c>
      <c r="V44" s="142">
        <f t="shared" si="51"/>
        <v>0.13598867985096408</v>
      </c>
      <c r="W44" s="93"/>
      <c r="X44" s="93"/>
      <c r="Y44" s="93"/>
      <c r="Z44" s="93"/>
      <c r="AA44" s="139"/>
      <c r="AB44" s="139"/>
      <c r="AC44" s="139"/>
      <c r="AD44" s="139"/>
    </row>
    <row r="45" spans="1:58" x14ac:dyDescent="0.25">
      <c r="B45" s="85" t="s">
        <v>586</v>
      </c>
      <c r="C45" s="65">
        <v>14</v>
      </c>
      <c r="D45" s="65">
        <v>16</v>
      </c>
      <c r="E45" s="65">
        <v>17</v>
      </c>
      <c r="F45" s="65">
        <v>18</v>
      </c>
      <c r="G45" s="76" t="s">
        <v>742</v>
      </c>
      <c r="I45" s="81" t="s">
        <v>584</v>
      </c>
      <c r="N45" s="78"/>
      <c r="O45" s="78"/>
      <c r="R45" s="104">
        <v>4</v>
      </c>
      <c r="S45" s="147">
        <f t="shared" si="48"/>
        <v>1.0961825530430798E-2</v>
      </c>
      <c r="T45" s="151">
        <f t="shared" si="49"/>
        <v>1.1422714854216814E-2</v>
      </c>
      <c r="U45" s="142">
        <f t="shared" si="50"/>
        <v>9.2333972065990495E-3</v>
      </c>
      <c r="V45" s="142">
        <f t="shared" si="51"/>
        <v>1.3849527381820556E-2</v>
      </c>
      <c r="W45" s="93"/>
      <c r="X45" s="93"/>
      <c r="Y45" s="93"/>
      <c r="Z45" s="93"/>
      <c r="AA45" s="139"/>
      <c r="AB45" s="139"/>
      <c r="AC45" s="139"/>
      <c r="AD45" s="139"/>
    </row>
    <row r="46" spans="1:58" x14ac:dyDescent="0.25">
      <c r="B46" s="84" t="s">
        <v>318</v>
      </c>
      <c r="C46" s="93">
        <f t="shared" ref="C46:F52" si="53">C57*C$54*$I46</f>
        <v>3.848448187360471E-2</v>
      </c>
      <c r="D46" s="93">
        <f t="shared" si="53"/>
        <v>0.87278530023517598</v>
      </c>
      <c r="E46" s="93">
        <f t="shared" si="53"/>
        <v>7.9854427248276821E-2</v>
      </c>
      <c r="F46" s="93">
        <f t="shared" si="53"/>
        <v>8.8757906370057153E-3</v>
      </c>
      <c r="G46" s="696">
        <f>SUM(C46:F46)</f>
        <v>0.9999999999940633</v>
      </c>
      <c r="I46" s="71">
        <v>1.0002399941911717</v>
      </c>
      <c r="O46" s="78"/>
      <c r="R46" s="104">
        <v>5</v>
      </c>
      <c r="S46" s="147">
        <f t="shared" si="48"/>
        <v>1.5581094281053398E-2</v>
      </c>
      <c r="T46" s="151">
        <f t="shared" si="49"/>
        <v>1.6236200493709805E-2</v>
      </c>
      <c r="U46" s="142">
        <f t="shared" si="50"/>
        <v>1.3124313282587058E-2</v>
      </c>
      <c r="V46" s="142">
        <f t="shared" si="51"/>
        <v>1.9685661962519502E-2</v>
      </c>
      <c r="W46" s="93"/>
      <c r="X46" s="93"/>
      <c r="Y46" s="93"/>
      <c r="Z46" s="93"/>
      <c r="AA46" s="139"/>
      <c r="AB46" s="139"/>
      <c r="AC46" s="139"/>
      <c r="AD46" s="139"/>
    </row>
    <row r="47" spans="1:58" x14ac:dyDescent="0.25">
      <c r="B47" s="84" t="s">
        <v>319</v>
      </c>
      <c r="C47" s="93">
        <f t="shared" si="53"/>
        <v>1.3737660760882005E-2</v>
      </c>
      <c r="D47" s="93">
        <f t="shared" si="53"/>
        <v>0.954129724651814</v>
      </c>
      <c r="E47" s="93">
        <f t="shared" si="53"/>
        <v>2.4444688048878692E-2</v>
      </c>
      <c r="F47" s="93">
        <f t="shared" si="53"/>
        <v>7.6879265375767933E-3</v>
      </c>
      <c r="G47" s="696">
        <f t="shared" ref="G47:G52" si="54">SUM(C47:F47)</f>
        <v>0.99999999999915146</v>
      </c>
      <c r="I47" s="71">
        <v>0.98025292142980192</v>
      </c>
      <c r="O47" s="78"/>
      <c r="R47" s="104">
        <v>6</v>
      </c>
      <c r="S47" s="147">
        <f t="shared" si="48"/>
        <v>2.9514491105661664E-2</v>
      </c>
      <c r="T47" s="151">
        <f t="shared" si="49"/>
        <v>3.0755426186211354E-2</v>
      </c>
      <c r="U47" s="142">
        <f t="shared" si="50"/>
        <v>2.4860733184694183E-2</v>
      </c>
      <c r="V47" s="142">
        <f t="shared" si="51"/>
        <v>3.7289569296063793E-2</v>
      </c>
      <c r="W47" s="93"/>
      <c r="X47" s="93"/>
      <c r="Y47" s="93"/>
      <c r="Z47" s="93"/>
      <c r="AA47" s="139"/>
      <c r="AB47" s="139"/>
      <c r="AC47" s="139"/>
      <c r="AD47" s="139"/>
    </row>
    <row r="48" spans="1:58" x14ac:dyDescent="0.25">
      <c r="B48" s="84" t="s">
        <v>320</v>
      </c>
      <c r="C48" s="93">
        <f t="shared" si="53"/>
        <v>1.7375408042904879E-2</v>
      </c>
      <c r="D48" s="93">
        <f t="shared" si="53"/>
        <v>0.9503822270035801</v>
      </c>
      <c r="E48" s="93">
        <f t="shared" si="53"/>
        <v>1.433455498912586E-2</v>
      </c>
      <c r="F48" s="93">
        <f t="shared" si="53"/>
        <v>1.7907809964389156E-2</v>
      </c>
      <c r="G48" s="696">
        <f t="shared" si="54"/>
        <v>0.99999999999999989</v>
      </c>
      <c r="I48" s="71">
        <v>0.98072150376539113</v>
      </c>
      <c r="R48" s="104">
        <v>7</v>
      </c>
      <c r="S48" s="147">
        <f t="shared" si="48"/>
        <v>3.8371136253412146E-2</v>
      </c>
      <c r="T48" s="151">
        <f t="shared" si="49"/>
        <v>3.9984448469670461E-2</v>
      </c>
      <c r="U48" s="142">
        <f t="shared" si="50"/>
        <v>3.2320888643295478E-2</v>
      </c>
      <c r="V48" s="142">
        <f t="shared" si="51"/>
        <v>4.8479343220518681E-2</v>
      </c>
      <c r="W48" s="93"/>
      <c r="X48" s="93"/>
      <c r="Y48" s="93"/>
      <c r="Z48" s="93"/>
      <c r="AA48" s="139"/>
      <c r="AB48" s="139"/>
      <c r="AC48" s="139"/>
      <c r="AD48" s="139"/>
    </row>
    <row r="49" spans="2:30" x14ac:dyDescent="0.25">
      <c r="B49" s="84" t="s">
        <v>321</v>
      </c>
      <c r="C49" s="93">
        <f t="shared" si="53"/>
        <v>7.4307570719378505E-2</v>
      </c>
      <c r="D49" s="93">
        <f t="shared" si="53"/>
        <v>0.86160036508250659</v>
      </c>
      <c r="E49" s="93">
        <f t="shared" si="53"/>
        <v>3.099593726845358E-2</v>
      </c>
      <c r="F49" s="93">
        <f t="shared" si="53"/>
        <v>3.3096126937604615E-2</v>
      </c>
      <c r="G49" s="696">
        <f t="shared" si="54"/>
        <v>1.0000000000079434</v>
      </c>
      <c r="I49" s="71">
        <v>1.0127851756135311</v>
      </c>
      <c r="R49" s="104">
        <v>8</v>
      </c>
      <c r="S49" s="147">
        <f t="shared" si="48"/>
        <v>2.4214494941031749E-2</v>
      </c>
      <c r="T49" s="151">
        <f t="shared" si="49"/>
        <v>2.5232591987751796E-2</v>
      </c>
      <c r="U49" s="142">
        <f t="shared" si="50"/>
        <v>2.0396424785912699E-2</v>
      </c>
      <c r="V49" s="142">
        <f t="shared" si="51"/>
        <v>3.0593381530457087E-2</v>
      </c>
      <c r="W49" s="93"/>
      <c r="X49" s="93"/>
      <c r="Y49" s="93"/>
      <c r="Z49" s="93"/>
      <c r="AA49" s="139"/>
      <c r="AB49" s="139"/>
      <c r="AC49" s="139"/>
      <c r="AD49" s="139"/>
    </row>
    <row r="50" spans="2:30" x14ac:dyDescent="0.25">
      <c r="B50" s="86" t="s">
        <v>322</v>
      </c>
      <c r="C50" s="93">
        <f t="shared" si="53"/>
        <v>6.5323657627169934E-2</v>
      </c>
      <c r="D50" s="93">
        <f t="shared" si="53"/>
        <v>0.88046064266318858</v>
      </c>
      <c r="E50" s="93">
        <f t="shared" si="53"/>
        <v>2.5838356189324539E-2</v>
      </c>
      <c r="F50" s="93">
        <f t="shared" si="53"/>
        <v>2.8377343521049585E-2</v>
      </c>
      <c r="G50" s="696">
        <f t="shared" si="54"/>
        <v>1.0000000000007325</v>
      </c>
      <c r="I50" s="71">
        <v>1.0074655298276143</v>
      </c>
      <c r="R50" s="104">
        <v>9</v>
      </c>
      <c r="S50" s="147">
        <f t="shared" si="48"/>
        <v>2.693032084512963E-2</v>
      </c>
      <c r="T50" s="151">
        <f t="shared" si="49"/>
        <v>2.8062604635744247E-2</v>
      </c>
      <c r="U50" s="142">
        <f t="shared" si="50"/>
        <v>2.2684027270270177E-2</v>
      </c>
      <c r="V50" s="142">
        <f t="shared" si="51"/>
        <v>3.4024644427193135E-2</v>
      </c>
      <c r="W50" s="93"/>
      <c r="X50" s="93"/>
      <c r="Y50" s="93"/>
      <c r="Z50" s="93"/>
      <c r="AA50" s="139"/>
      <c r="AB50" s="139"/>
      <c r="AC50" s="139"/>
      <c r="AD50" s="139"/>
    </row>
    <row r="51" spans="2:30" x14ac:dyDescent="0.25">
      <c r="B51" s="86" t="s">
        <v>323</v>
      </c>
      <c r="C51" s="93">
        <f t="shared" si="53"/>
        <v>4.5681350130867847E-2</v>
      </c>
      <c r="D51" s="93">
        <f t="shared" si="53"/>
        <v>0.87136023682762764</v>
      </c>
      <c r="E51" s="93">
        <f t="shared" si="53"/>
        <v>6.172821882959216E-2</v>
      </c>
      <c r="F51" s="93">
        <f t="shared" si="53"/>
        <v>2.1230194212285183E-2</v>
      </c>
      <c r="G51" s="696">
        <f t="shared" si="54"/>
        <v>1.0000000000003728</v>
      </c>
      <c r="I51" s="71">
        <v>1.0015717003414728</v>
      </c>
      <c r="R51" s="104">
        <v>10</v>
      </c>
      <c r="S51" s="147">
        <f t="shared" si="48"/>
        <v>2.8862287145848257E-2</v>
      </c>
      <c r="T51" s="151">
        <f t="shared" si="49"/>
        <v>3.0075800348429309E-2</v>
      </c>
      <c r="U51" s="142">
        <f t="shared" si="50"/>
        <v>2.4311366821951383E-2</v>
      </c>
      <c r="V51" s="142">
        <f t="shared" si="51"/>
        <v>3.6465553572141519E-2</v>
      </c>
      <c r="W51" s="93"/>
      <c r="X51" s="93"/>
      <c r="Y51" s="93"/>
      <c r="Z51" s="93"/>
      <c r="AA51" s="139"/>
      <c r="AB51" s="139"/>
      <c r="AC51" s="139"/>
      <c r="AD51" s="139"/>
    </row>
    <row r="52" spans="2:30" x14ac:dyDescent="0.25">
      <c r="B52" s="84" t="s">
        <v>324</v>
      </c>
      <c r="C52" s="93">
        <f t="shared" si="53"/>
        <v>6.2175737384148937E-2</v>
      </c>
      <c r="D52" s="93">
        <f t="shared" si="53"/>
        <v>0.75445982725997507</v>
      </c>
      <c r="E52" s="93">
        <f t="shared" si="53"/>
        <v>0.18208409826073499</v>
      </c>
      <c r="F52" s="93">
        <f t="shared" si="53"/>
        <v>1.2803370922328497E-3</v>
      </c>
      <c r="G52" s="696">
        <f t="shared" si="54"/>
        <v>0.99999999999709188</v>
      </c>
      <c r="I52" s="71">
        <v>1.0256228137187988</v>
      </c>
      <c r="R52" s="104">
        <v>11</v>
      </c>
      <c r="S52" s="147">
        <f t="shared" si="48"/>
        <v>1.5327603853215204E-2</v>
      </c>
      <c r="T52" s="151">
        <f t="shared" si="49"/>
        <v>1.5972052075416625E-2</v>
      </c>
      <c r="U52" s="142">
        <f t="shared" si="50"/>
        <v>1.2910792477881386E-2</v>
      </c>
      <c r="V52" s="142">
        <f t="shared" si="51"/>
        <v>1.9365393900267602E-2</v>
      </c>
      <c r="W52" s="93"/>
      <c r="X52" s="93"/>
      <c r="Y52" s="93"/>
      <c r="Z52" s="93"/>
      <c r="AA52" s="139"/>
      <c r="AB52" s="139"/>
      <c r="AC52" s="139"/>
      <c r="AD52" s="139"/>
    </row>
    <row r="53" spans="2:30" x14ac:dyDescent="0.25">
      <c r="R53" s="104">
        <v>12</v>
      </c>
      <c r="S53" s="147">
        <f t="shared" si="48"/>
        <v>0.44246449652106218</v>
      </c>
      <c r="T53" s="151">
        <f t="shared" si="49"/>
        <v>0.46106789082202027</v>
      </c>
      <c r="U53" s="142">
        <f t="shared" si="50"/>
        <v>0.37269799951252031</v>
      </c>
      <c r="V53" s="142">
        <f t="shared" si="51"/>
        <v>0.55902405516675568</v>
      </c>
      <c r="W53" s="93"/>
      <c r="X53" s="93"/>
      <c r="Y53" s="93"/>
      <c r="Z53" s="93"/>
      <c r="AA53" s="139"/>
      <c r="AB53" s="139"/>
      <c r="AC53" s="139"/>
      <c r="AD53" s="139"/>
    </row>
    <row r="54" spans="2:30" x14ac:dyDescent="0.25">
      <c r="B54" s="87" t="s">
        <v>584</v>
      </c>
      <c r="C54" s="71">
        <v>0.66527201606783248</v>
      </c>
      <c r="D54" s="71">
        <v>1.0308318864887733</v>
      </c>
      <c r="E54" s="71">
        <v>0.91473902593662915</v>
      </c>
      <c r="F54" s="71">
        <v>1.0548564525529216</v>
      </c>
      <c r="R54" s="104">
        <v>13</v>
      </c>
      <c r="S54" s="147">
        <f t="shared" si="48"/>
        <v>0</v>
      </c>
      <c r="T54" s="151">
        <f t="shared" si="49"/>
        <v>0</v>
      </c>
      <c r="U54" s="142">
        <f t="shared" si="50"/>
        <v>0</v>
      </c>
      <c r="V54" s="142">
        <f t="shared" si="51"/>
        <v>0</v>
      </c>
      <c r="W54" s="93"/>
      <c r="X54" s="93"/>
      <c r="Y54" s="93"/>
      <c r="Z54" s="93"/>
      <c r="AA54" s="139"/>
      <c r="AB54" s="139"/>
      <c r="AC54" s="139"/>
      <c r="AD54" s="139"/>
    </row>
    <row r="55" spans="2:30" x14ac:dyDescent="0.25">
      <c r="R55" s="104">
        <v>14</v>
      </c>
      <c r="S55" s="147">
        <f t="shared" si="48"/>
        <v>0</v>
      </c>
      <c r="T55" s="151">
        <f t="shared" si="49"/>
        <v>0</v>
      </c>
      <c r="U55" s="142">
        <f t="shared" si="50"/>
        <v>0</v>
      </c>
      <c r="V55" s="142">
        <f t="shared" si="51"/>
        <v>0</v>
      </c>
      <c r="W55" s="93"/>
      <c r="X55" s="93"/>
      <c r="Y55" s="93"/>
      <c r="Z55" s="93"/>
      <c r="AA55" s="139"/>
      <c r="AB55" s="139"/>
      <c r="AC55" s="139"/>
      <c r="AD55" s="139"/>
    </row>
    <row r="56" spans="2:30" x14ac:dyDescent="0.25">
      <c r="B56" s="85" t="s">
        <v>329</v>
      </c>
      <c r="C56" s="65">
        <v>14</v>
      </c>
      <c r="D56" s="65">
        <v>16</v>
      </c>
      <c r="E56" s="65">
        <v>17</v>
      </c>
      <c r="F56" s="65">
        <v>18</v>
      </c>
      <c r="R56" s="104">
        <v>15</v>
      </c>
      <c r="S56" s="147">
        <f t="shared" si="48"/>
        <v>0</v>
      </c>
      <c r="T56" s="151">
        <f t="shared" si="49"/>
        <v>0</v>
      </c>
      <c r="U56" s="142">
        <f t="shared" si="50"/>
        <v>0</v>
      </c>
      <c r="V56" s="142">
        <f t="shared" si="51"/>
        <v>0</v>
      </c>
      <c r="W56" s="93"/>
      <c r="X56" s="93"/>
      <c r="Y56" s="93"/>
      <c r="Z56" s="93"/>
      <c r="AA56" s="139"/>
      <c r="AB56" s="139"/>
      <c r="AC56" s="139"/>
      <c r="AD56" s="139"/>
    </row>
    <row r="57" spans="2:30" x14ac:dyDescent="0.25">
      <c r="B57" s="84" t="s">
        <v>318</v>
      </c>
      <c r="C57" s="93">
        <v>5.783385909568875E-2</v>
      </c>
      <c r="D57" s="93">
        <v>0.84647739221871721</v>
      </c>
      <c r="E57" s="93">
        <v>8.7276550998948502E-2</v>
      </c>
      <c r="F57" s="93">
        <v>8.4121976866456376E-3</v>
      </c>
      <c r="G57" s="93">
        <f>SUM(C57:F57)</f>
        <v>1</v>
      </c>
      <c r="R57" s="104">
        <v>16</v>
      </c>
      <c r="S57" s="147">
        <f t="shared" si="48"/>
        <v>0</v>
      </c>
      <c r="T57" s="151">
        <f t="shared" si="49"/>
        <v>0</v>
      </c>
      <c r="U57" s="142">
        <f t="shared" si="50"/>
        <v>0</v>
      </c>
      <c r="V57" s="142">
        <f t="shared" si="51"/>
        <v>0</v>
      </c>
      <c r="W57" s="93"/>
      <c r="X57" s="93"/>
      <c r="Y57" s="93"/>
      <c r="Z57" s="93"/>
      <c r="AA57" s="139"/>
      <c r="AB57" s="139"/>
      <c r="AC57" s="139"/>
      <c r="AD57" s="139"/>
    </row>
    <row r="58" spans="2:30" x14ac:dyDescent="0.25">
      <c r="B58" s="84" t="s">
        <v>319</v>
      </c>
      <c r="C58" s="93">
        <v>2.1065675340768277E-2</v>
      </c>
      <c r="D58" s="93">
        <v>0.94423791821561343</v>
      </c>
      <c r="E58" s="93">
        <v>2.7261462205700124E-2</v>
      </c>
      <c r="F58" s="93">
        <v>7.4349442379182153E-3</v>
      </c>
      <c r="G58" s="93">
        <f t="shared" ref="G58:G63" si="55">SUM(C58:F58)</f>
        <v>1</v>
      </c>
      <c r="R58" s="104">
        <v>17</v>
      </c>
      <c r="S58" s="147">
        <f t="shared" si="48"/>
        <v>0</v>
      </c>
      <c r="T58" s="151">
        <f t="shared" si="49"/>
        <v>0</v>
      </c>
      <c r="U58" s="142">
        <f t="shared" si="50"/>
        <v>0</v>
      </c>
      <c r="V58" s="142">
        <f t="shared" si="51"/>
        <v>0</v>
      </c>
      <c r="W58" s="93"/>
      <c r="X58" s="93"/>
      <c r="Y58" s="93"/>
      <c r="Z58" s="93"/>
      <c r="AA58" s="139"/>
      <c r="AB58" s="139"/>
      <c r="AC58" s="139"/>
      <c r="AD58" s="139"/>
    </row>
    <row r="59" spans="2:30" x14ac:dyDescent="0.25">
      <c r="B59" s="84" t="s">
        <v>320</v>
      </c>
      <c r="C59" s="93">
        <v>2.6631158455392812E-2</v>
      </c>
      <c r="D59" s="93">
        <v>0.94007989347536602</v>
      </c>
      <c r="E59" s="93">
        <v>1.5978695073235686E-2</v>
      </c>
      <c r="F59" s="93">
        <v>1.7310252996005328E-2</v>
      </c>
      <c r="G59" s="93">
        <f t="shared" si="55"/>
        <v>0.99999999999999978</v>
      </c>
      <c r="R59" s="104">
        <v>18</v>
      </c>
      <c r="S59" s="147">
        <f t="shared" si="48"/>
        <v>0</v>
      </c>
      <c r="T59" s="151">
        <f t="shared" si="49"/>
        <v>0</v>
      </c>
      <c r="U59" s="142">
        <f t="shared" si="50"/>
        <v>0</v>
      </c>
      <c r="V59" s="142">
        <f t="shared" si="51"/>
        <v>0</v>
      </c>
      <c r="W59" s="93"/>
      <c r="X59" s="93"/>
      <c r="Y59" s="93"/>
      <c r="Z59" s="93"/>
      <c r="AA59" s="139"/>
      <c r="AB59" s="139"/>
      <c r="AC59" s="139"/>
      <c r="AD59" s="139"/>
    </row>
    <row r="60" spans="2:30" x14ac:dyDescent="0.25">
      <c r="B60" s="84" t="s">
        <v>321</v>
      </c>
      <c r="C60" s="93">
        <v>0.11028500619578686</v>
      </c>
      <c r="D60" s="93">
        <v>0.82527881040892181</v>
      </c>
      <c r="E60" s="93">
        <v>3.3457249070631967E-2</v>
      </c>
      <c r="F60" s="93">
        <v>3.097893432465923E-2</v>
      </c>
      <c r="G60" s="93">
        <f t="shared" si="55"/>
        <v>0.99999999999999989</v>
      </c>
      <c r="R60" s="104">
        <v>19</v>
      </c>
      <c r="S60" s="147">
        <f t="shared" si="48"/>
        <v>0</v>
      </c>
      <c r="T60" s="151">
        <f t="shared" si="49"/>
        <v>0</v>
      </c>
      <c r="U60" s="142">
        <f t="shared" si="50"/>
        <v>0</v>
      </c>
      <c r="V60" s="142">
        <f t="shared" si="51"/>
        <v>0</v>
      </c>
      <c r="W60" s="93"/>
      <c r="X60" s="93"/>
      <c r="Y60" s="93"/>
      <c r="Z60" s="93"/>
      <c r="AA60" s="139"/>
      <c r="AB60" s="139"/>
      <c r="AC60" s="139"/>
      <c r="AD60" s="139"/>
    </row>
    <row r="61" spans="2:30" x14ac:dyDescent="0.25">
      <c r="B61" s="86" t="s">
        <v>322</v>
      </c>
      <c r="C61" s="93">
        <v>9.7463284379172246E-2</v>
      </c>
      <c r="D61" s="93">
        <v>0.84779706275033395</v>
      </c>
      <c r="E61" s="93">
        <v>2.8037383177570097E-2</v>
      </c>
      <c r="F61" s="93">
        <v>2.6702269692923903E-2</v>
      </c>
      <c r="G61" s="93">
        <f t="shared" si="55"/>
        <v>1.0000000000000002</v>
      </c>
      <c r="R61" s="104">
        <v>20</v>
      </c>
      <c r="S61" s="147">
        <f t="shared" si="48"/>
        <v>0</v>
      </c>
      <c r="T61" s="151">
        <f t="shared" si="49"/>
        <v>0</v>
      </c>
      <c r="U61" s="142">
        <f t="shared" si="50"/>
        <v>0</v>
      </c>
      <c r="V61" s="142">
        <f t="shared" si="51"/>
        <v>0</v>
      </c>
      <c r="W61" s="93"/>
      <c r="X61" s="93"/>
      <c r="Y61" s="93"/>
      <c r="Z61" s="93"/>
      <c r="AA61" s="139"/>
      <c r="AB61" s="139"/>
      <c r="AC61" s="139"/>
      <c r="AD61" s="139"/>
    </row>
    <row r="62" spans="2:30" x14ac:dyDescent="0.25">
      <c r="B62" s="86" t="s">
        <v>323</v>
      </c>
      <c r="C62" s="93">
        <v>6.8557919621749411E-2</v>
      </c>
      <c r="D62" s="93">
        <v>0.84397163120567387</v>
      </c>
      <c r="E62" s="93">
        <v>6.7375886524822681E-2</v>
      </c>
      <c r="F62" s="93">
        <v>2.0094562647754138E-2</v>
      </c>
      <c r="G62" s="93">
        <f t="shared" si="55"/>
        <v>1.0000000000000002</v>
      </c>
      <c r="R62" s="104">
        <v>21</v>
      </c>
      <c r="S62" s="147">
        <f t="shared" si="48"/>
        <v>6.995104266220996E-3</v>
      </c>
      <c r="T62" s="151">
        <f t="shared" si="49"/>
        <v>4.6369990951754978E-3</v>
      </c>
      <c r="U62" s="142">
        <f t="shared" si="50"/>
        <v>1.2769652711852144E-2</v>
      </c>
      <c r="V62" s="142">
        <f t="shared" si="51"/>
        <v>3.9159271792878545E-4</v>
      </c>
      <c r="W62" s="93"/>
      <c r="X62" s="93"/>
      <c r="Y62" s="93"/>
      <c r="Z62" s="93"/>
      <c r="AA62" s="139"/>
      <c r="AB62" s="139"/>
      <c r="AC62" s="139"/>
      <c r="AD62" s="139"/>
    </row>
    <row r="63" spans="2:30" x14ac:dyDescent="0.25">
      <c r="B63" s="84" t="s">
        <v>324</v>
      </c>
      <c r="C63" s="93">
        <v>9.1124260355029574E-2</v>
      </c>
      <c r="D63" s="93">
        <v>0.71360946745562126</v>
      </c>
      <c r="E63" s="93">
        <v>0.19408284023668634</v>
      </c>
      <c r="F63" s="93">
        <v>1.1834319526627219E-3</v>
      </c>
      <c r="G63" s="93">
        <f t="shared" si="55"/>
        <v>0.99999999999999978</v>
      </c>
      <c r="R63" s="104">
        <v>22</v>
      </c>
      <c r="S63" s="147">
        <f t="shared" si="48"/>
        <v>0.14484051329306549</v>
      </c>
      <c r="T63" s="151">
        <f t="shared" si="49"/>
        <v>9.6013626605673932E-2</v>
      </c>
      <c r="U63" s="142">
        <f t="shared" si="50"/>
        <v>0.2644082179432688</v>
      </c>
      <c r="V63" s="142">
        <f t="shared" si="51"/>
        <v>8.1083123436090313E-3</v>
      </c>
      <c r="W63" s="93"/>
      <c r="X63" s="93"/>
      <c r="Y63" s="93"/>
      <c r="Z63" s="93"/>
      <c r="AA63" s="139"/>
      <c r="AB63" s="139"/>
      <c r="AC63" s="139"/>
      <c r="AD63" s="139"/>
    </row>
    <row r="64" spans="2:30" x14ac:dyDescent="0.25">
      <c r="R64" s="104">
        <v>23</v>
      </c>
      <c r="S64" s="147">
        <f t="shared" si="48"/>
        <v>0</v>
      </c>
      <c r="T64" s="151">
        <f t="shared" si="49"/>
        <v>0</v>
      </c>
      <c r="U64" s="142">
        <f t="shared" si="50"/>
        <v>0</v>
      </c>
      <c r="V64" s="142">
        <f t="shared" si="51"/>
        <v>0</v>
      </c>
      <c r="W64" s="93"/>
      <c r="X64" s="93"/>
      <c r="Y64" s="93"/>
      <c r="Z64" s="93"/>
      <c r="AA64" s="139"/>
      <c r="AB64" s="139"/>
      <c r="AC64" s="139"/>
      <c r="AD64" s="139"/>
    </row>
    <row r="65" spans="2:30" x14ac:dyDescent="0.25">
      <c r="B65" s="84"/>
      <c r="C65" s="90"/>
      <c r="D65" s="90"/>
      <c r="E65" s="90"/>
      <c r="F65" s="90"/>
      <c r="R65" s="106">
        <v>24</v>
      </c>
      <c r="S65" s="148">
        <f t="shared" si="48"/>
        <v>6.1162929895989898E-2</v>
      </c>
      <c r="T65" s="152">
        <f t="shared" si="49"/>
        <v>4.054442075374598E-2</v>
      </c>
      <c r="U65" s="143">
        <f t="shared" si="50"/>
        <v>0.11165371435315143</v>
      </c>
      <c r="V65" s="143">
        <f t="shared" si="51"/>
        <v>3.4239601073734402E-3</v>
      </c>
      <c r="W65" s="93"/>
      <c r="X65" s="93"/>
      <c r="Y65" s="93"/>
      <c r="Z65" s="93"/>
      <c r="AA65" s="139"/>
      <c r="AB65" s="139"/>
      <c r="AC65" s="139"/>
      <c r="AD65" s="139"/>
    </row>
    <row r="66" spans="2:30" x14ac:dyDescent="0.25">
      <c r="B66" s="84"/>
      <c r="C66" s="90"/>
      <c r="D66" s="90"/>
      <c r="E66" s="90"/>
      <c r="F66" s="90"/>
      <c r="R66" s="81" t="s">
        <v>580</v>
      </c>
      <c r="S66" s="94">
        <f>SUM(S42:S65)</f>
        <v>0.99999999999999989</v>
      </c>
      <c r="T66" s="94">
        <f>SUM(T42:T65)</f>
        <v>0.99999999999999978</v>
      </c>
      <c r="U66" s="94">
        <f>SUM(U42:U65)</f>
        <v>1.0000000000000002</v>
      </c>
      <c r="V66" s="94">
        <f>SUM(V42:V65)</f>
        <v>1</v>
      </c>
      <c r="W66" s="93"/>
      <c r="X66" s="93"/>
      <c r="Y66" s="93"/>
      <c r="Z66" s="93"/>
      <c r="AA66" s="139"/>
      <c r="AB66" s="139"/>
      <c r="AC66" s="139"/>
      <c r="AD66" s="139"/>
    </row>
    <row r="67" spans="2:30" x14ac:dyDescent="0.25">
      <c r="B67" s="84"/>
      <c r="C67" s="90"/>
      <c r="D67" s="90"/>
      <c r="E67" s="90"/>
      <c r="F67" s="90"/>
    </row>
    <row r="68" spans="2:30" ht="13" x14ac:dyDescent="0.3">
      <c r="B68" s="84"/>
      <c r="C68" s="90"/>
      <c r="D68" s="90"/>
      <c r="E68" s="90"/>
      <c r="F68" s="90"/>
      <c r="R68" s="99" t="s">
        <v>743</v>
      </c>
      <c r="S68" s="100">
        <f>-TRP_Simple!F51</f>
        <v>119</v>
      </c>
      <c r="T68" s="100">
        <f t="array" ref="T68:V68">-TRANSPOSE(TRP_Simple!F53:F55)</f>
        <v>3788</v>
      </c>
      <c r="U68" s="100">
        <v>6704</v>
      </c>
      <c r="V68" s="100">
        <v>2151</v>
      </c>
      <c r="W68" s="101">
        <f>SUM(S68:V68)</f>
        <v>12762</v>
      </c>
      <c r="Z68" s="65"/>
    </row>
    <row r="69" spans="2:30" ht="13" x14ac:dyDescent="0.3">
      <c r="B69" s="84"/>
      <c r="C69" s="90"/>
      <c r="D69" s="90"/>
      <c r="E69" s="90"/>
      <c r="F69" s="90"/>
      <c r="R69" s="102">
        <v>1</v>
      </c>
      <c r="S69" s="108">
        <f t="shared" ref="S69:V92" si="56">S$68*S42</f>
        <v>1.5023340294250922</v>
      </c>
      <c r="T69" s="103">
        <f t="shared" si="56"/>
        <v>59.24871507829512</v>
      </c>
      <c r="U69" s="103">
        <f t="shared" si="56"/>
        <v>109.47141273356483</v>
      </c>
      <c r="V69" s="109">
        <f t="shared" si="56"/>
        <v>17.026225891606373</v>
      </c>
      <c r="W69" s="96">
        <f>SUM(S69:V69)</f>
        <v>187.24868773289143</v>
      </c>
      <c r="X69" s="71">
        <f>W69+Z15</f>
        <v>0</v>
      </c>
    </row>
    <row r="70" spans="2:30" ht="13" x14ac:dyDescent="0.3">
      <c r="B70" s="84"/>
      <c r="C70" s="90"/>
      <c r="D70" s="90"/>
      <c r="E70" s="90"/>
      <c r="F70" s="90"/>
      <c r="R70" s="104">
        <v>2</v>
      </c>
      <c r="S70" s="110">
        <f t="shared" si="56"/>
        <v>3.5507483921919585</v>
      </c>
      <c r="T70" s="105">
        <f t="shared" si="56"/>
        <v>428.84977825715652</v>
      </c>
      <c r="U70" s="105">
        <f t="shared" si="56"/>
        <v>221.87709636118979</v>
      </c>
      <c r="V70" s="111">
        <f t="shared" si="56"/>
        <v>97.644282156048362</v>
      </c>
      <c r="W70" s="97">
        <f t="shared" ref="W70:W92" si="57">SUM(S70:V70)</f>
        <v>751.92190516658661</v>
      </c>
      <c r="X70" s="71">
        <f t="shared" ref="X70:X92" si="58">W70+Z16</f>
        <v>0</v>
      </c>
    </row>
    <row r="71" spans="2:30" ht="13" x14ac:dyDescent="0.3">
      <c r="B71" s="84"/>
      <c r="C71" s="90"/>
      <c r="D71" s="90"/>
      <c r="E71" s="90"/>
      <c r="F71" s="90"/>
      <c r="R71" s="104">
        <v>3</v>
      </c>
      <c r="S71" s="110">
        <f t="shared" si="56"/>
        <v>13.364988124460497</v>
      </c>
      <c r="T71" s="105">
        <f t="shared" si="56"/>
        <v>269.4834139349698</v>
      </c>
      <c r="U71" s="105">
        <f t="shared" si="56"/>
        <v>195.77676589277667</v>
      </c>
      <c r="V71" s="111">
        <f t="shared" si="56"/>
        <v>292.51165035942375</v>
      </c>
      <c r="W71" s="97">
        <f t="shared" si="57"/>
        <v>771.1368183116308</v>
      </c>
      <c r="X71" s="71">
        <f t="shared" si="58"/>
        <v>0</v>
      </c>
    </row>
    <row r="72" spans="2:30" ht="13" x14ac:dyDescent="0.3">
      <c r="B72" s="84"/>
      <c r="C72" s="90"/>
      <c r="D72" s="90"/>
      <c r="E72" s="90"/>
      <c r="F72" s="90"/>
      <c r="R72" s="104">
        <v>4</v>
      </c>
      <c r="S72" s="110">
        <f t="shared" si="56"/>
        <v>1.3044572381212649</v>
      </c>
      <c r="T72" s="105">
        <f t="shared" si="56"/>
        <v>43.269243867773291</v>
      </c>
      <c r="U72" s="105">
        <f t="shared" si="56"/>
        <v>61.900694873040031</v>
      </c>
      <c r="V72" s="111">
        <f t="shared" si="56"/>
        <v>29.790333398296017</v>
      </c>
      <c r="W72" s="97">
        <f t="shared" si="57"/>
        <v>136.26472937723059</v>
      </c>
      <c r="X72" s="71">
        <f t="shared" si="58"/>
        <v>0</v>
      </c>
    </row>
    <row r="73" spans="2:30" ht="13" x14ac:dyDescent="0.3">
      <c r="R73" s="104">
        <v>5</v>
      </c>
      <c r="S73" s="110">
        <f t="shared" si="56"/>
        <v>1.8541502194453543</v>
      </c>
      <c r="T73" s="105">
        <f t="shared" si="56"/>
        <v>61.502727470172744</v>
      </c>
      <c r="U73" s="105">
        <f t="shared" si="56"/>
        <v>87.985396246463637</v>
      </c>
      <c r="V73" s="111">
        <f t="shared" si="56"/>
        <v>42.343858881379447</v>
      </c>
      <c r="W73" s="97">
        <f t="shared" si="57"/>
        <v>193.68613281746119</v>
      </c>
      <c r="X73" s="71">
        <f t="shared" si="58"/>
        <v>0</v>
      </c>
    </row>
    <row r="74" spans="2:30" ht="13" x14ac:dyDescent="0.3">
      <c r="R74" s="104">
        <v>6</v>
      </c>
      <c r="S74" s="110">
        <f t="shared" si="56"/>
        <v>3.5122244415737378</v>
      </c>
      <c r="T74" s="105">
        <f t="shared" si="56"/>
        <v>116.50155439336861</v>
      </c>
      <c r="U74" s="105">
        <f t="shared" si="56"/>
        <v>166.6663552701898</v>
      </c>
      <c r="V74" s="111">
        <f t="shared" si="56"/>
        <v>80.209863555833223</v>
      </c>
      <c r="W74" s="97">
        <f t="shared" si="57"/>
        <v>366.88999766096538</v>
      </c>
      <c r="X74" s="71">
        <f t="shared" si="58"/>
        <v>0</v>
      </c>
    </row>
    <row r="75" spans="2:30" ht="13" x14ac:dyDescent="0.3">
      <c r="R75" s="104">
        <v>7</v>
      </c>
      <c r="S75" s="110">
        <f t="shared" si="56"/>
        <v>4.5661652141560456</v>
      </c>
      <c r="T75" s="105">
        <f t="shared" si="56"/>
        <v>151.46109080311172</v>
      </c>
      <c r="U75" s="105">
        <f t="shared" si="56"/>
        <v>216.67923746465289</v>
      </c>
      <c r="V75" s="111">
        <f t="shared" si="56"/>
        <v>104.27906726733568</v>
      </c>
      <c r="W75" s="97">
        <f t="shared" si="57"/>
        <v>476.98556074925636</v>
      </c>
      <c r="X75" s="71">
        <f t="shared" si="58"/>
        <v>0</v>
      </c>
    </row>
    <row r="76" spans="2:30" ht="13" x14ac:dyDescent="0.3">
      <c r="R76" s="104">
        <v>8</v>
      </c>
      <c r="S76" s="110">
        <f t="shared" si="56"/>
        <v>2.8815248979827781</v>
      </c>
      <c r="T76" s="105">
        <f t="shared" si="56"/>
        <v>95.581058449603802</v>
      </c>
      <c r="U76" s="105">
        <f t="shared" si="56"/>
        <v>136.73763176475873</v>
      </c>
      <c r="V76" s="111">
        <f t="shared" si="56"/>
        <v>65.806363672013191</v>
      </c>
      <c r="W76" s="97">
        <f t="shared" si="57"/>
        <v>301.00657878435845</v>
      </c>
      <c r="X76" s="71">
        <f t="shared" si="58"/>
        <v>0</v>
      </c>
    </row>
    <row r="77" spans="2:30" ht="13" x14ac:dyDescent="0.3">
      <c r="R77" s="104">
        <v>9</v>
      </c>
      <c r="S77" s="110">
        <f t="shared" si="56"/>
        <v>3.2047081805704258</v>
      </c>
      <c r="T77" s="105">
        <f t="shared" si="56"/>
        <v>106.30114636019921</v>
      </c>
      <c r="U77" s="105">
        <f t="shared" si="56"/>
        <v>152.07371881989127</v>
      </c>
      <c r="V77" s="111">
        <f t="shared" si="56"/>
        <v>73.187010162892435</v>
      </c>
      <c r="W77" s="97">
        <f t="shared" si="57"/>
        <v>334.76658352355332</v>
      </c>
      <c r="X77" s="71">
        <f t="shared" si="58"/>
        <v>0</v>
      </c>
    </row>
    <row r="78" spans="2:30" ht="13" x14ac:dyDescent="0.3">
      <c r="R78" s="104">
        <v>10</v>
      </c>
      <c r="S78" s="110">
        <f t="shared" si="56"/>
        <v>3.4346121703559427</v>
      </c>
      <c r="T78" s="105">
        <f t="shared" si="56"/>
        <v>113.92713171985022</v>
      </c>
      <c r="U78" s="105">
        <f t="shared" si="56"/>
        <v>162.98340317436208</v>
      </c>
      <c r="V78" s="111">
        <f t="shared" si="56"/>
        <v>78.437405733676414</v>
      </c>
      <c r="W78" s="97">
        <f t="shared" si="57"/>
        <v>358.78255279824469</v>
      </c>
      <c r="X78" s="71">
        <f t="shared" si="58"/>
        <v>0</v>
      </c>
    </row>
    <row r="79" spans="2:30" ht="13" x14ac:dyDescent="0.3">
      <c r="R79" s="104">
        <v>11</v>
      </c>
      <c r="S79" s="110">
        <f t="shared" si="56"/>
        <v>1.8239848585326093</v>
      </c>
      <c r="T79" s="105">
        <f t="shared" si="56"/>
        <v>60.502133261678175</v>
      </c>
      <c r="U79" s="105">
        <f t="shared" si="56"/>
        <v>86.553952771716808</v>
      </c>
      <c r="V79" s="111">
        <f t="shared" si="56"/>
        <v>41.654962279475612</v>
      </c>
      <c r="W79" s="97">
        <f t="shared" si="57"/>
        <v>190.5350331714032</v>
      </c>
      <c r="X79" s="71">
        <f t="shared" si="58"/>
        <v>0</v>
      </c>
    </row>
    <row r="80" spans="2:30" ht="13" x14ac:dyDescent="0.3">
      <c r="R80" s="104">
        <v>12</v>
      </c>
      <c r="S80" s="110">
        <f t="shared" si="56"/>
        <v>52.653275086006403</v>
      </c>
      <c r="T80" s="105">
        <f t="shared" si="56"/>
        <v>1746.5251704338127</v>
      </c>
      <c r="U80" s="105">
        <f t="shared" si="56"/>
        <v>2498.5673887319363</v>
      </c>
      <c r="V80" s="111">
        <f t="shared" si="56"/>
        <v>1202.4607426636915</v>
      </c>
      <c r="W80" s="97">
        <f t="shared" si="57"/>
        <v>5500.2065769154469</v>
      </c>
      <c r="X80" s="71">
        <f t="shared" si="58"/>
        <v>0</v>
      </c>
    </row>
    <row r="81" spans="18:24" ht="13" x14ac:dyDescent="0.3">
      <c r="R81" s="104">
        <v>13</v>
      </c>
      <c r="S81" s="110">
        <f t="shared" si="56"/>
        <v>0</v>
      </c>
      <c r="T81" s="105">
        <f t="shared" si="56"/>
        <v>0</v>
      </c>
      <c r="U81" s="105">
        <f t="shared" si="56"/>
        <v>0</v>
      </c>
      <c r="V81" s="111">
        <f t="shared" si="56"/>
        <v>0</v>
      </c>
      <c r="W81" s="97">
        <f t="shared" si="57"/>
        <v>0</v>
      </c>
      <c r="X81" s="71">
        <f t="shared" si="58"/>
        <v>0</v>
      </c>
    </row>
    <row r="82" spans="18:24" ht="13" x14ac:dyDescent="0.3">
      <c r="R82" s="104">
        <v>14</v>
      </c>
      <c r="S82" s="110">
        <f t="shared" si="56"/>
        <v>0</v>
      </c>
      <c r="T82" s="105">
        <f t="shared" si="56"/>
        <v>0</v>
      </c>
      <c r="U82" s="105">
        <f t="shared" si="56"/>
        <v>0</v>
      </c>
      <c r="V82" s="111">
        <f t="shared" si="56"/>
        <v>0</v>
      </c>
      <c r="W82" s="97">
        <f t="shared" si="57"/>
        <v>0</v>
      </c>
      <c r="X82" s="71">
        <f t="shared" si="58"/>
        <v>0</v>
      </c>
    </row>
    <row r="83" spans="18:24" ht="13" x14ac:dyDescent="0.3">
      <c r="R83" s="104">
        <v>15</v>
      </c>
      <c r="S83" s="110">
        <f t="shared" si="56"/>
        <v>0</v>
      </c>
      <c r="T83" s="105">
        <f t="shared" si="56"/>
        <v>0</v>
      </c>
      <c r="U83" s="105">
        <f t="shared" si="56"/>
        <v>0</v>
      </c>
      <c r="V83" s="111">
        <f t="shared" si="56"/>
        <v>0</v>
      </c>
      <c r="W83" s="97">
        <f t="shared" si="57"/>
        <v>0</v>
      </c>
      <c r="X83" s="71">
        <f t="shared" si="58"/>
        <v>0</v>
      </c>
    </row>
    <row r="84" spans="18:24" ht="13" x14ac:dyDescent="0.3">
      <c r="R84" s="104">
        <v>16</v>
      </c>
      <c r="S84" s="110">
        <f t="shared" si="56"/>
        <v>0</v>
      </c>
      <c r="T84" s="105">
        <f t="shared" si="56"/>
        <v>0</v>
      </c>
      <c r="U84" s="105">
        <f t="shared" si="56"/>
        <v>0</v>
      </c>
      <c r="V84" s="111">
        <f t="shared" si="56"/>
        <v>0</v>
      </c>
      <c r="W84" s="97">
        <f t="shared" si="57"/>
        <v>0</v>
      </c>
      <c r="X84" s="71">
        <f t="shared" si="58"/>
        <v>0</v>
      </c>
    </row>
    <row r="85" spans="18:24" ht="13" x14ac:dyDescent="0.3">
      <c r="R85" s="104">
        <v>17</v>
      </c>
      <c r="S85" s="110">
        <f t="shared" si="56"/>
        <v>0</v>
      </c>
      <c r="T85" s="105">
        <f t="shared" si="56"/>
        <v>0</v>
      </c>
      <c r="U85" s="105">
        <f t="shared" si="56"/>
        <v>0</v>
      </c>
      <c r="V85" s="111">
        <f t="shared" si="56"/>
        <v>0</v>
      </c>
      <c r="W85" s="97">
        <f t="shared" si="57"/>
        <v>0</v>
      </c>
      <c r="X85" s="71">
        <f t="shared" si="58"/>
        <v>0</v>
      </c>
    </row>
    <row r="86" spans="18:24" ht="13" x14ac:dyDescent="0.3">
      <c r="R86" s="104">
        <v>18</v>
      </c>
      <c r="S86" s="110">
        <f t="shared" si="56"/>
        <v>0</v>
      </c>
      <c r="T86" s="105">
        <f t="shared" si="56"/>
        <v>0</v>
      </c>
      <c r="U86" s="105">
        <f t="shared" si="56"/>
        <v>0</v>
      </c>
      <c r="V86" s="111">
        <f t="shared" si="56"/>
        <v>0</v>
      </c>
      <c r="W86" s="97">
        <f t="shared" si="57"/>
        <v>0</v>
      </c>
      <c r="X86" s="71">
        <f t="shared" si="58"/>
        <v>0</v>
      </c>
    </row>
    <row r="87" spans="18:24" ht="13" x14ac:dyDescent="0.3">
      <c r="R87" s="104">
        <v>19</v>
      </c>
      <c r="S87" s="110">
        <f t="shared" si="56"/>
        <v>0</v>
      </c>
      <c r="T87" s="105">
        <f t="shared" si="56"/>
        <v>0</v>
      </c>
      <c r="U87" s="105">
        <f t="shared" si="56"/>
        <v>0</v>
      </c>
      <c r="V87" s="111">
        <f t="shared" si="56"/>
        <v>0</v>
      </c>
      <c r="W87" s="97">
        <f t="shared" si="57"/>
        <v>0</v>
      </c>
      <c r="X87" s="71">
        <f t="shared" si="58"/>
        <v>0</v>
      </c>
    </row>
    <row r="88" spans="18:24" ht="13" x14ac:dyDescent="0.3">
      <c r="R88" s="104">
        <v>20</v>
      </c>
      <c r="S88" s="110">
        <f t="shared" si="56"/>
        <v>0</v>
      </c>
      <c r="T88" s="105">
        <f t="shared" si="56"/>
        <v>0</v>
      </c>
      <c r="U88" s="105">
        <f t="shared" si="56"/>
        <v>0</v>
      </c>
      <c r="V88" s="111">
        <f t="shared" si="56"/>
        <v>0</v>
      </c>
      <c r="W88" s="97">
        <f t="shared" si="57"/>
        <v>0</v>
      </c>
      <c r="X88" s="71">
        <f t="shared" si="58"/>
        <v>0</v>
      </c>
    </row>
    <row r="89" spans="18:24" ht="13" x14ac:dyDescent="0.3">
      <c r="R89" s="104">
        <v>21</v>
      </c>
      <c r="S89" s="110">
        <f t="shared" si="56"/>
        <v>0.83241740768029848</v>
      </c>
      <c r="T89" s="105">
        <f t="shared" si="56"/>
        <v>17.564952572524785</v>
      </c>
      <c r="U89" s="105">
        <f t="shared" si="56"/>
        <v>85.607751780256777</v>
      </c>
      <c r="V89" s="111">
        <f t="shared" si="56"/>
        <v>0.84231593626481749</v>
      </c>
      <c r="W89" s="97">
        <f t="shared" si="57"/>
        <v>104.84743769672667</v>
      </c>
      <c r="X89" s="71">
        <f t="shared" si="58"/>
        <v>0</v>
      </c>
    </row>
    <row r="90" spans="18:24" ht="13" x14ac:dyDescent="0.3">
      <c r="R90" s="104">
        <v>22</v>
      </c>
      <c r="S90" s="110">
        <f t="shared" si="56"/>
        <v>17.236021081874792</v>
      </c>
      <c r="T90" s="105">
        <f t="shared" si="56"/>
        <v>363.69961758229283</v>
      </c>
      <c r="U90" s="105">
        <f t="shared" si="56"/>
        <v>1772.5926930916739</v>
      </c>
      <c r="V90" s="111">
        <f t="shared" si="56"/>
        <v>17.440979851103027</v>
      </c>
      <c r="W90" s="97">
        <f t="shared" si="57"/>
        <v>2170.9693116069443</v>
      </c>
      <c r="X90" s="71">
        <f t="shared" si="58"/>
        <v>0</v>
      </c>
    </row>
    <row r="91" spans="18:24" ht="13" x14ac:dyDescent="0.3">
      <c r="R91" s="104">
        <v>23</v>
      </c>
      <c r="S91" s="110">
        <f t="shared" si="56"/>
        <v>0</v>
      </c>
      <c r="T91" s="105">
        <f t="shared" si="56"/>
        <v>0</v>
      </c>
      <c r="U91" s="105">
        <f t="shared" si="56"/>
        <v>0</v>
      </c>
      <c r="V91" s="111">
        <f t="shared" si="56"/>
        <v>0</v>
      </c>
      <c r="W91" s="97">
        <f t="shared" si="57"/>
        <v>0</v>
      </c>
      <c r="X91" s="71">
        <f t="shared" si="58"/>
        <v>0</v>
      </c>
    </row>
    <row r="92" spans="18:24" ht="13" x14ac:dyDescent="0.3">
      <c r="R92" s="106">
        <v>24</v>
      </c>
      <c r="S92" s="112">
        <f t="shared" si="56"/>
        <v>7.2783886576227976</v>
      </c>
      <c r="T92" s="107">
        <f t="shared" si="56"/>
        <v>153.58226581518977</v>
      </c>
      <c r="U92" s="107">
        <f t="shared" si="56"/>
        <v>748.5265010235272</v>
      </c>
      <c r="V92" s="113">
        <f t="shared" si="56"/>
        <v>7.3649381909602702</v>
      </c>
      <c r="W92" s="98">
        <f t="shared" si="57"/>
        <v>916.75209368730009</v>
      </c>
      <c r="X92" s="71">
        <f t="shared" si="58"/>
        <v>0</v>
      </c>
    </row>
    <row r="93" spans="18:24" x14ac:dyDescent="0.25">
      <c r="R93" s="135" t="s">
        <v>65</v>
      </c>
      <c r="S93" s="138">
        <f>SUM(S69:S92)</f>
        <v>119</v>
      </c>
      <c r="T93" s="136">
        <f>SUM(T69:T92)</f>
        <v>3787.9999999999991</v>
      </c>
      <c r="U93" s="136">
        <f>SUM(U69:U92)</f>
        <v>6704.0000000000009</v>
      </c>
      <c r="V93" s="137">
        <f>SUM(V69:V92)</f>
        <v>2151</v>
      </c>
      <c r="W93" s="137">
        <f>SUM(W69:W92)</f>
        <v>12762</v>
      </c>
      <c r="X93" s="71"/>
    </row>
    <row r="94" spans="18:24" x14ac:dyDescent="0.25">
      <c r="R94" s="71" t="s">
        <v>580</v>
      </c>
      <c r="S94" s="94">
        <f>S93-S68</f>
        <v>0</v>
      </c>
      <c r="T94" s="94">
        <f>T93-T68</f>
        <v>0</v>
      </c>
      <c r="U94" s="94">
        <f>U93-U68</f>
        <v>0</v>
      </c>
      <c r="V94" s="94">
        <f>V93-V68</f>
        <v>0</v>
      </c>
      <c r="W94" s="94">
        <f>W93-W68</f>
        <v>0</v>
      </c>
    </row>
    <row r="95" spans="18:24" x14ac:dyDescent="0.25">
      <c r="V95" s="77"/>
    </row>
    <row r="96" spans="18:24" x14ac:dyDescent="0.25">
      <c r="S96" s="73"/>
      <c r="T96" s="73"/>
      <c r="U96" s="73"/>
      <c r="V96" s="73"/>
      <c r="W96" s="73"/>
    </row>
  </sheetData>
  <phoneticPr fontId="12" type="noConversion"/>
  <pageMargins left="0.78740157499999996" right="0.78740157499999996" top="0.984251969" bottom="0.984251969"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292" r:id="rId4" name="Button 4">
              <controlPr defaultSize="0" print="0" autoFill="0" autoPict="0" macro="[0]!Equilibre_Marge_Transport">
                <anchor moveWithCells="1" sizeWithCells="1">
                  <from>
                    <xdr:col>1</xdr:col>
                    <xdr:colOff>222250</xdr:colOff>
                    <xdr:row>1</xdr:row>
                    <xdr:rowOff>69850</xdr:rowOff>
                  </from>
                  <to>
                    <xdr:col>8</xdr:col>
                    <xdr:colOff>336550</xdr:colOff>
                    <xdr:row>6</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
    <tabColor rgb="FFFF0000"/>
  </sheetPr>
  <dimension ref="A1:BN348"/>
  <sheetViews>
    <sheetView zoomScaleNormal="100" workbookViewId="0">
      <pane xSplit="3" ySplit="4" topLeftCell="AH231" activePane="bottomRight" state="frozen"/>
      <selection activeCell="B209" sqref="B209"/>
      <selection pane="topRight" activeCell="B209" sqref="B209"/>
      <selection pane="bottomLeft" activeCell="B209" sqref="B209"/>
      <selection pane="bottomRight" activeCell="B191" sqref="B191"/>
    </sheetView>
  </sheetViews>
  <sheetFormatPr baseColWidth="10" defaultColWidth="11.453125" defaultRowHeight="12.5" outlineLevelRow="1" x14ac:dyDescent="0.25"/>
  <cols>
    <col min="1" max="1" width="6.54296875" style="65" customWidth="1"/>
    <col min="2" max="2" width="30.453125" style="65" customWidth="1"/>
    <col min="3" max="3" width="6.54296875" style="65" customWidth="1"/>
    <col min="4" max="14" width="8.54296875" style="65" customWidth="1"/>
    <col min="15" max="19" width="6.54296875" style="65" customWidth="1"/>
    <col min="20" max="20" width="8" style="65" customWidth="1"/>
    <col min="21" max="22" width="6.54296875" style="65" customWidth="1"/>
    <col min="23" max="23" width="6.453125" style="65" customWidth="1"/>
    <col min="24" max="24" width="6.54296875" style="65" customWidth="1"/>
    <col min="25" max="25" width="5.54296875" style="65" customWidth="1"/>
    <col min="26" max="26" width="7.54296875" style="65" customWidth="1"/>
    <col min="27" max="28" width="5.453125" style="65" customWidth="1"/>
    <col min="29" max="30" width="6.54296875" style="65" customWidth="1"/>
    <col min="31" max="31" width="7.54296875" style="65" customWidth="1"/>
    <col min="32" max="32" width="9.453125" style="65" customWidth="1"/>
    <col min="33" max="33" width="9.1796875" style="65" customWidth="1"/>
    <col min="34" max="34" width="11.453125" style="71"/>
    <col min="35" max="35" width="11.453125" style="65"/>
    <col min="36" max="36" width="55.1796875" style="65" bestFit="1" customWidth="1"/>
    <col min="37" max="37" width="6.54296875" style="65" bestFit="1" customWidth="1"/>
    <col min="38" max="38" width="6" style="65" bestFit="1" customWidth="1"/>
    <col min="39" max="39" width="15.81640625" style="65" bestFit="1" customWidth="1"/>
    <col min="40" max="40" width="15.54296875" style="65" bestFit="1" customWidth="1"/>
    <col min="41" max="41" width="6" style="65" bestFit="1" customWidth="1"/>
    <col min="42" max="42" width="57.453125" style="65" bestFit="1" customWidth="1"/>
    <col min="43" max="43" width="6.453125" style="65" bestFit="1" customWidth="1"/>
    <col min="44" max="44" width="6" style="65" bestFit="1" customWidth="1"/>
    <col min="45" max="45" width="15.81640625" style="65" bestFit="1" customWidth="1"/>
    <col min="46" max="46" width="22.1796875" style="65" bestFit="1" customWidth="1"/>
    <col min="47" max="47" width="22.453125" style="65" bestFit="1" customWidth="1"/>
    <col min="48" max="48" width="8.81640625" style="65" customWidth="1"/>
    <col min="49" max="49" width="22.1796875" style="65" bestFit="1" customWidth="1"/>
    <col min="50" max="50" width="22.453125" style="65" bestFit="1" customWidth="1"/>
    <col min="51" max="51" width="32.81640625" style="65" bestFit="1" customWidth="1"/>
    <col min="52" max="16384" width="11.453125" style="65"/>
  </cols>
  <sheetData>
    <row r="1" spans="1:34" ht="13" x14ac:dyDescent="0.3">
      <c r="O1" s="823" t="s">
        <v>13</v>
      </c>
      <c r="P1" s="823"/>
      <c r="Q1" s="823"/>
      <c r="R1" s="823"/>
      <c r="S1" s="823"/>
      <c r="T1" s="823"/>
      <c r="U1" s="823"/>
      <c r="V1" s="823"/>
      <c r="W1" s="823"/>
      <c r="X1" s="823"/>
      <c r="Y1" s="823"/>
      <c r="Z1" s="823"/>
      <c r="AA1" s="823"/>
      <c r="AB1" s="823"/>
      <c r="AC1" s="823"/>
      <c r="AD1" s="823"/>
      <c r="AE1" s="824"/>
    </row>
    <row r="2" spans="1:34" ht="13" x14ac:dyDescent="0.3">
      <c r="C2" s="234"/>
      <c r="D2" s="823" t="s">
        <v>0</v>
      </c>
      <c r="E2" s="823"/>
      <c r="F2" s="823"/>
      <c r="G2" s="823"/>
      <c r="H2" s="823"/>
      <c r="I2" s="823"/>
      <c r="J2" s="823"/>
      <c r="K2" s="823"/>
      <c r="L2" s="823"/>
      <c r="M2" s="823"/>
      <c r="N2" s="824"/>
      <c r="O2" s="825" t="s">
        <v>304</v>
      </c>
      <c r="P2" s="825"/>
      <c r="Q2" s="825"/>
      <c r="R2" s="825"/>
      <c r="S2" s="825"/>
      <c r="T2" s="825"/>
      <c r="U2" s="825"/>
      <c r="V2" s="825"/>
      <c r="W2" s="825"/>
      <c r="X2" s="825"/>
      <c r="Y2" s="825"/>
      <c r="Z2" s="825"/>
      <c r="AA2" s="825"/>
      <c r="AB2" s="825"/>
      <c r="AC2" s="825"/>
      <c r="AD2" s="825"/>
      <c r="AE2" s="826"/>
    </row>
    <row r="3" spans="1:34" x14ac:dyDescent="0.25">
      <c r="B3" s="236"/>
      <c r="C3" s="235"/>
      <c r="D3" s="825" t="s">
        <v>304</v>
      </c>
      <c r="E3" s="825"/>
      <c r="F3" s="825"/>
      <c r="G3" s="825"/>
      <c r="H3" s="825"/>
      <c r="I3" s="825"/>
      <c r="J3" s="825"/>
      <c r="K3" s="825"/>
      <c r="L3" s="825"/>
      <c r="M3" s="825"/>
      <c r="N3" s="826"/>
      <c r="O3" s="827" t="s">
        <v>14</v>
      </c>
      <c r="P3" s="828"/>
      <c r="Q3" s="828"/>
      <c r="R3" s="828"/>
      <c r="S3" s="828"/>
      <c r="T3" s="829"/>
      <c r="U3" s="827" t="s">
        <v>15</v>
      </c>
      <c r="V3" s="830"/>
      <c r="W3" s="830"/>
      <c r="X3" s="830"/>
      <c r="Y3" s="830"/>
      <c r="Z3" s="831"/>
      <c r="AA3" s="237"/>
      <c r="AB3" s="237"/>
      <c r="AC3" s="237"/>
      <c r="AD3" s="237"/>
      <c r="AE3" s="237"/>
    </row>
    <row r="4" spans="1:34" ht="85.5" customHeight="1" x14ac:dyDescent="0.25">
      <c r="A4" s="95" t="s">
        <v>325</v>
      </c>
      <c r="B4" s="821" t="s">
        <v>1</v>
      </c>
      <c r="C4" s="822"/>
      <c r="D4" s="238" t="s">
        <v>2</v>
      </c>
      <c r="E4" s="239" t="s">
        <v>3</v>
      </c>
      <c r="F4" s="239" t="s">
        <v>4</v>
      </c>
      <c r="G4" s="239" t="s">
        <v>5</v>
      </c>
      <c r="H4" s="240" t="s">
        <v>6</v>
      </c>
      <c r="I4" s="239" t="s">
        <v>7</v>
      </c>
      <c r="J4" s="239" t="s">
        <v>8</v>
      </c>
      <c r="K4" s="239" t="s">
        <v>9</v>
      </c>
      <c r="L4" s="241" t="s">
        <v>10</v>
      </c>
      <c r="M4" s="242" t="s">
        <v>11</v>
      </c>
      <c r="N4" s="240" t="s">
        <v>12</v>
      </c>
      <c r="O4" s="239" t="s">
        <v>16</v>
      </c>
      <c r="P4" s="239" t="s">
        <v>17</v>
      </c>
      <c r="Q4" s="239" t="s">
        <v>18</v>
      </c>
      <c r="R4" s="239" t="s">
        <v>19</v>
      </c>
      <c r="S4" s="242" t="s">
        <v>20</v>
      </c>
      <c r="T4" s="243" t="s">
        <v>21</v>
      </c>
      <c r="U4" s="238" t="s">
        <v>22</v>
      </c>
      <c r="V4" s="239" t="s">
        <v>23</v>
      </c>
      <c r="W4" s="239" t="s">
        <v>24</v>
      </c>
      <c r="X4" s="239" t="s">
        <v>25</v>
      </c>
      <c r="Y4" s="242" t="s">
        <v>20</v>
      </c>
      <c r="Z4" s="243" t="s">
        <v>26</v>
      </c>
      <c r="AA4" s="244" t="s">
        <v>27</v>
      </c>
      <c r="AB4" s="244" t="s">
        <v>28</v>
      </c>
      <c r="AC4" s="244" t="s">
        <v>29</v>
      </c>
      <c r="AD4" s="244" t="s">
        <v>30</v>
      </c>
      <c r="AE4" s="244" t="s">
        <v>31</v>
      </c>
      <c r="AF4" s="245" t="s">
        <v>305</v>
      </c>
      <c r="AG4" s="244" t="s">
        <v>306</v>
      </c>
      <c r="AH4" s="246" t="s">
        <v>580</v>
      </c>
    </row>
    <row r="5" spans="1:34" s="247" customFormat="1" hidden="1" outlineLevel="1" x14ac:dyDescent="0.25">
      <c r="B5" s="248" t="s">
        <v>82</v>
      </c>
      <c r="C5" s="249" t="s">
        <v>184</v>
      </c>
      <c r="D5" s="250">
        <v>60993</v>
      </c>
      <c r="E5" s="251">
        <v>7546</v>
      </c>
      <c r="F5" s="252">
        <v>0</v>
      </c>
      <c r="G5" s="252">
        <v>0</v>
      </c>
      <c r="H5" s="253">
        <v>68539</v>
      </c>
      <c r="I5" s="250">
        <v>16031</v>
      </c>
      <c r="J5" s="252">
        <v>1149</v>
      </c>
      <c r="K5" s="252">
        <v>1648</v>
      </c>
      <c r="L5" s="252">
        <v>1562</v>
      </c>
      <c r="M5" s="254">
        <v>-2779</v>
      </c>
      <c r="N5" s="253">
        <v>84588</v>
      </c>
      <c r="O5" s="255">
        <v>26191</v>
      </c>
      <c r="P5" s="256">
        <v>0</v>
      </c>
      <c r="Q5" s="256">
        <v>0</v>
      </c>
      <c r="R5" s="256">
        <v>0</v>
      </c>
      <c r="S5" s="256">
        <v>0</v>
      </c>
      <c r="T5" s="253">
        <v>26191</v>
      </c>
      <c r="U5" s="250">
        <v>1057</v>
      </c>
      <c r="V5" s="252">
        <v>0</v>
      </c>
      <c r="W5" s="252">
        <v>0</v>
      </c>
      <c r="X5" s="252">
        <v>10</v>
      </c>
      <c r="Y5" s="254">
        <v>0</v>
      </c>
      <c r="Z5" s="253">
        <v>1067</v>
      </c>
      <c r="AA5" s="257">
        <v>0</v>
      </c>
      <c r="AB5" s="257">
        <v>839</v>
      </c>
      <c r="AC5" s="257">
        <v>1906</v>
      </c>
      <c r="AD5" s="257">
        <v>9916</v>
      </c>
      <c r="AE5" s="253">
        <v>38013</v>
      </c>
      <c r="AF5" s="258">
        <v>46575</v>
      </c>
      <c r="AG5" s="247">
        <f>SUM(AE5:AF5)</f>
        <v>84588</v>
      </c>
      <c r="AH5" s="259">
        <f>AG5-N5</f>
        <v>0</v>
      </c>
    </row>
    <row r="6" spans="1:34" s="247" customFormat="1" hidden="1" outlineLevel="1" x14ac:dyDescent="0.25">
      <c r="B6" s="260" t="s">
        <v>83</v>
      </c>
      <c r="C6" s="261" t="s">
        <v>185</v>
      </c>
      <c r="D6" s="262">
        <v>6467</v>
      </c>
      <c r="E6" s="263">
        <v>388</v>
      </c>
      <c r="F6" s="263">
        <v>0</v>
      </c>
      <c r="G6" s="263">
        <v>0</v>
      </c>
      <c r="H6" s="258">
        <v>6855</v>
      </c>
      <c r="I6" s="262">
        <v>704</v>
      </c>
      <c r="J6" s="263">
        <v>248</v>
      </c>
      <c r="K6" s="263">
        <v>60</v>
      </c>
      <c r="L6" s="263">
        <v>60</v>
      </c>
      <c r="M6" s="264">
        <v>-143</v>
      </c>
      <c r="N6" s="258">
        <v>7724</v>
      </c>
      <c r="O6" s="256">
        <v>733</v>
      </c>
      <c r="P6" s="256">
        <v>0</v>
      </c>
      <c r="Q6" s="256">
        <v>0</v>
      </c>
      <c r="R6" s="256">
        <v>0</v>
      </c>
      <c r="S6" s="256">
        <v>0</v>
      </c>
      <c r="T6" s="258">
        <v>733</v>
      </c>
      <c r="U6" s="262">
        <v>300</v>
      </c>
      <c r="V6" s="263">
        <v>0</v>
      </c>
      <c r="W6" s="263">
        <v>0</v>
      </c>
      <c r="X6" s="263">
        <v>119</v>
      </c>
      <c r="Y6" s="264">
        <v>0</v>
      </c>
      <c r="Z6" s="258">
        <v>419</v>
      </c>
      <c r="AA6" s="265">
        <v>0</v>
      </c>
      <c r="AB6" s="265">
        <v>2110</v>
      </c>
      <c r="AC6" s="265">
        <v>2529</v>
      </c>
      <c r="AD6" s="265">
        <v>356</v>
      </c>
      <c r="AE6" s="258">
        <v>3618</v>
      </c>
      <c r="AF6" s="258">
        <v>4106</v>
      </c>
      <c r="AG6" s="247">
        <f t="shared" ref="AG6:AG69" si="0">SUM(AE6:AF6)</f>
        <v>7724</v>
      </c>
      <c r="AH6" s="259">
        <f t="shared" ref="AH6:AH69" si="1">AG6-N6</f>
        <v>0</v>
      </c>
    </row>
    <row r="7" spans="1:34" s="247" customFormat="1" hidden="1" outlineLevel="1" x14ac:dyDescent="0.25">
      <c r="B7" s="260" t="s">
        <v>84</v>
      </c>
      <c r="C7" s="261" t="s">
        <v>186</v>
      </c>
      <c r="D7" s="262">
        <v>2071</v>
      </c>
      <c r="E7" s="263">
        <v>1138</v>
      </c>
      <c r="F7" s="263">
        <v>0</v>
      </c>
      <c r="G7" s="263">
        <v>0</v>
      </c>
      <c r="H7" s="258">
        <v>3209</v>
      </c>
      <c r="I7" s="262">
        <v>2656</v>
      </c>
      <c r="J7" s="263">
        <v>118</v>
      </c>
      <c r="K7" s="263">
        <v>178</v>
      </c>
      <c r="L7" s="263">
        <v>163</v>
      </c>
      <c r="M7" s="264">
        <v>0</v>
      </c>
      <c r="N7" s="258">
        <v>6161</v>
      </c>
      <c r="O7" s="256">
        <v>3510</v>
      </c>
      <c r="P7" s="256">
        <v>0</v>
      </c>
      <c r="Q7" s="256">
        <v>0</v>
      </c>
      <c r="R7" s="256">
        <v>0</v>
      </c>
      <c r="S7" s="256">
        <v>0</v>
      </c>
      <c r="T7" s="258">
        <v>3510</v>
      </c>
      <c r="U7" s="262">
        <v>0</v>
      </c>
      <c r="V7" s="263">
        <v>0</v>
      </c>
      <c r="W7" s="263">
        <v>0</v>
      </c>
      <c r="X7" s="263">
        <v>0</v>
      </c>
      <c r="Y7" s="264">
        <v>0</v>
      </c>
      <c r="Z7" s="258">
        <v>0</v>
      </c>
      <c r="AA7" s="265">
        <v>0</v>
      </c>
      <c r="AB7" s="265">
        <v>-20</v>
      </c>
      <c r="AC7" s="265">
        <v>-20</v>
      </c>
      <c r="AD7" s="265">
        <v>525</v>
      </c>
      <c r="AE7" s="258">
        <v>4015</v>
      </c>
      <c r="AF7" s="258">
        <v>2146</v>
      </c>
      <c r="AG7" s="247">
        <f t="shared" si="0"/>
        <v>6161</v>
      </c>
      <c r="AH7" s="259">
        <f t="shared" si="1"/>
        <v>0</v>
      </c>
    </row>
    <row r="8" spans="1:34" s="266" customFormat="1" hidden="1" outlineLevel="1" x14ac:dyDescent="0.25">
      <c r="B8" s="267" t="s">
        <v>85</v>
      </c>
      <c r="C8" s="268" t="s">
        <v>187</v>
      </c>
      <c r="D8" s="269">
        <v>29328</v>
      </c>
      <c r="E8" s="270">
        <v>4133</v>
      </c>
      <c r="F8" s="270">
        <v>0</v>
      </c>
      <c r="G8" s="270">
        <v>0</v>
      </c>
      <c r="H8" s="271">
        <v>33461</v>
      </c>
      <c r="I8" s="269">
        <v>12931</v>
      </c>
      <c r="J8" s="270">
        <v>1541</v>
      </c>
      <c r="K8" s="270">
        <v>1883</v>
      </c>
      <c r="L8" s="270">
        <v>1742</v>
      </c>
      <c r="M8" s="272">
        <v>-205</v>
      </c>
      <c r="N8" s="271">
        <v>49611</v>
      </c>
      <c r="O8" s="273">
        <v>35962</v>
      </c>
      <c r="P8" s="273">
        <v>0</v>
      </c>
      <c r="Q8" s="273">
        <v>0</v>
      </c>
      <c r="R8" s="273">
        <v>0</v>
      </c>
      <c r="S8" s="273">
        <v>0</v>
      </c>
      <c r="T8" s="271">
        <v>35962</v>
      </c>
      <c r="U8" s="269">
        <v>0</v>
      </c>
      <c r="V8" s="270">
        <v>0</v>
      </c>
      <c r="W8" s="270">
        <v>0</v>
      </c>
      <c r="X8" s="270">
        <v>0</v>
      </c>
      <c r="Y8" s="272">
        <v>0</v>
      </c>
      <c r="Z8" s="271">
        <v>0</v>
      </c>
      <c r="AA8" s="274">
        <v>0</v>
      </c>
      <c r="AB8" s="274">
        <v>0</v>
      </c>
      <c r="AC8" s="274">
        <v>0</v>
      </c>
      <c r="AD8" s="274">
        <v>3890</v>
      </c>
      <c r="AE8" s="271">
        <v>39852</v>
      </c>
      <c r="AF8" s="271">
        <v>9759</v>
      </c>
      <c r="AG8" s="266">
        <f t="shared" si="0"/>
        <v>49611</v>
      </c>
      <c r="AH8" s="275">
        <f t="shared" si="1"/>
        <v>0</v>
      </c>
    </row>
    <row r="9" spans="1:34" s="266" customFormat="1" hidden="1" outlineLevel="1" x14ac:dyDescent="0.25">
      <c r="B9" s="267" t="s">
        <v>86</v>
      </c>
      <c r="C9" s="268" t="s">
        <v>188</v>
      </c>
      <c r="D9" s="269">
        <v>21557</v>
      </c>
      <c r="E9" s="270">
        <v>2224</v>
      </c>
      <c r="F9" s="270">
        <v>0</v>
      </c>
      <c r="G9" s="270">
        <v>0</v>
      </c>
      <c r="H9" s="271">
        <v>23781</v>
      </c>
      <c r="I9" s="269">
        <v>8428</v>
      </c>
      <c r="J9" s="270">
        <v>703</v>
      </c>
      <c r="K9" s="270">
        <v>1040</v>
      </c>
      <c r="L9" s="270">
        <v>1020</v>
      </c>
      <c r="M9" s="272">
        <v>-159</v>
      </c>
      <c r="N9" s="271">
        <v>33793</v>
      </c>
      <c r="O9" s="273">
        <v>20631</v>
      </c>
      <c r="P9" s="273">
        <v>0</v>
      </c>
      <c r="Q9" s="273">
        <v>0</v>
      </c>
      <c r="R9" s="273">
        <v>0</v>
      </c>
      <c r="S9" s="273">
        <v>0</v>
      </c>
      <c r="T9" s="271">
        <v>20631</v>
      </c>
      <c r="U9" s="269">
        <v>0</v>
      </c>
      <c r="V9" s="270">
        <v>0</v>
      </c>
      <c r="W9" s="270">
        <v>0</v>
      </c>
      <c r="X9" s="270">
        <v>0</v>
      </c>
      <c r="Y9" s="272">
        <v>0</v>
      </c>
      <c r="Z9" s="271">
        <v>0</v>
      </c>
      <c r="AA9" s="274">
        <v>0</v>
      </c>
      <c r="AB9" s="274">
        <v>0</v>
      </c>
      <c r="AC9" s="274">
        <v>0</v>
      </c>
      <c r="AD9" s="274">
        <v>4647</v>
      </c>
      <c r="AE9" s="271">
        <v>25278</v>
      </c>
      <c r="AF9" s="271">
        <v>8515</v>
      </c>
      <c r="AG9" s="266">
        <f t="shared" si="0"/>
        <v>33793</v>
      </c>
      <c r="AH9" s="275">
        <f t="shared" si="1"/>
        <v>0</v>
      </c>
    </row>
    <row r="10" spans="1:34" s="266" customFormat="1" hidden="1" outlineLevel="1" x14ac:dyDescent="0.25">
      <c r="B10" s="267" t="s">
        <v>87</v>
      </c>
      <c r="C10" s="268" t="s">
        <v>189</v>
      </c>
      <c r="D10" s="269">
        <v>23994</v>
      </c>
      <c r="E10" s="270">
        <v>2305</v>
      </c>
      <c r="F10" s="270">
        <v>0</v>
      </c>
      <c r="G10" s="270">
        <v>0</v>
      </c>
      <c r="H10" s="271">
        <v>26299</v>
      </c>
      <c r="I10" s="269">
        <v>10639</v>
      </c>
      <c r="J10" s="270">
        <v>842</v>
      </c>
      <c r="K10" s="270">
        <v>5777</v>
      </c>
      <c r="L10" s="270">
        <v>2508</v>
      </c>
      <c r="M10" s="272">
        <v>-100</v>
      </c>
      <c r="N10" s="271">
        <v>43457</v>
      </c>
      <c r="O10" s="273">
        <v>20107</v>
      </c>
      <c r="P10" s="273">
        <v>0</v>
      </c>
      <c r="Q10" s="273">
        <v>0</v>
      </c>
      <c r="R10" s="273">
        <v>0</v>
      </c>
      <c r="S10" s="273">
        <v>0</v>
      </c>
      <c r="T10" s="271">
        <v>20107</v>
      </c>
      <c r="U10" s="269">
        <v>0</v>
      </c>
      <c r="V10" s="270">
        <v>0</v>
      </c>
      <c r="W10" s="270">
        <v>0</v>
      </c>
      <c r="X10" s="270">
        <v>0</v>
      </c>
      <c r="Y10" s="272">
        <v>0</v>
      </c>
      <c r="Z10" s="271">
        <v>0</v>
      </c>
      <c r="AA10" s="274">
        <v>0</v>
      </c>
      <c r="AB10" s="274">
        <v>-259</v>
      </c>
      <c r="AC10" s="274">
        <v>-259</v>
      </c>
      <c r="AD10" s="274">
        <v>11029</v>
      </c>
      <c r="AE10" s="271">
        <v>30877</v>
      </c>
      <c r="AF10" s="271">
        <v>12580</v>
      </c>
      <c r="AG10" s="266">
        <f t="shared" si="0"/>
        <v>43457</v>
      </c>
      <c r="AH10" s="275">
        <f t="shared" si="1"/>
        <v>0</v>
      </c>
    </row>
    <row r="11" spans="1:34" s="266" customFormat="1" hidden="1" outlineLevel="1" x14ac:dyDescent="0.25">
      <c r="B11" s="267" t="s">
        <v>88</v>
      </c>
      <c r="C11" s="268" t="s">
        <v>190</v>
      </c>
      <c r="D11" s="269">
        <v>13243</v>
      </c>
      <c r="E11" s="270">
        <v>1531</v>
      </c>
      <c r="F11" s="270">
        <v>0</v>
      </c>
      <c r="G11" s="270">
        <v>0</v>
      </c>
      <c r="H11" s="271">
        <v>14774</v>
      </c>
      <c r="I11" s="269">
        <v>3692</v>
      </c>
      <c r="J11" s="270">
        <v>793</v>
      </c>
      <c r="K11" s="270">
        <v>543</v>
      </c>
      <c r="L11" s="270">
        <v>455</v>
      </c>
      <c r="M11" s="272">
        <v>0</v>
      </c>
      <c r="N11" s="271">
        <v>19802</v>
      </c>
      <c r="O11" s="273">
        <v>3801</v>
      </c>
      <c r="P11" s="273">
        <v>0</v>
      </c>
      <c r="Q11" s="273">
        <v>0</v>
      </c>
      <c r="R11" s="273">
        <v>0</v>
      </c>
      <c r="S11" s="273">
        <v>0</v>
      </c>
      <c r="T11" s="271">
        <v>3801</v>
      </c>
      <c r="U11" s="269">
        <v>0</v>
      </c>
      <c r="V11" s="270">
        <v>0</v>
      </c>
      <c r="W11" s="270">
        <v>0</v>
      </c>
      <c r="X11" s="270">
        <v>0</v>
      </c>
      <c r="Y11" s="272">
        <v>0</v>
      </c>
      <c r="Z11" s="271">
        <v>0</v>
      </c>
      <c r="AA11" s="274">
        <v>0</v>
      </c>
      <c r="AB11" s="274">
        <v>0</v>
      </c>
      <c r="AC11" s="274">
        <v>0</v>
      </c>
      <c r="AD11" s="274">
        <v>3398</v>
      </c>
      <c r="AE11" s="271">
        <v>7199</v>
      </c>
      <c r="AF11" s="271">
        <v>12603</v>
      </c>
      <c r="AG11" s="266">
        <f t="shared" si="0"/>
        <v>19802</v>
      </c>
      <c r="AH11" s="275">
        <f t="shared" si="1"/>
        <v>0</v>
      </c>
    </row>
    <row r="12" spans="1:34" s="266" customFormat="1" hidden="1" outlineLevel="1" x14ac:dyDescent="0.25">
      <c r="B12" s="267" t="s">
        <v>89</v>
      </c>
      <c r="C12" s="268" t="s">
        <v>191</v>
      </c>
      <c r="D12" s="269">
        <v>40729</v>
      </c>
      <c r="E12" s="270">
        <v>13730</v>
      </c>
      <c r="F12" s="270">
        <v>0</v>
      </c>
      <c r="G12" s="270">
        <v>0</v>
      </c>
      <c r="H12" s="271">
        <v>54459</v>
      </c>
      <c r="I12" s="269">
        <v>23127</v>
      </c>
      <c r="J12" s="270">
        <v>3104</v>
      </c>
      <c r="K12" s="270">
        <v>3039</v>
      </c>
      <c r="L12" s="270">
        <v>2715</v>
      </c>
      <c r="M12" s="272">
        <v>-177</v>
      </c>
      <c r="N12" s="271">
        <v>83552</v>
      </c>
      <c r="O12" s="273">
        <v>49008</v>
      </c>
      <c r="P12" s="273">
        <v>0</v>
      </c>
      <c r="Q12" s="273">
        <v>0</v>
      </c>
      <c r="R12" s="273">
        <v>0</v>
      </c>
      <c r="S12" s="273">
        <v>0</v>
      </c>
      <c r="T12" s="271">
        <v>49008</v>
      </c>
      <c r="U12" s="269">
        <v>0</v>
      </c>
      <c r="V12" s="270">
        <v>0</v>
      </c>
      <c r="W12" s="270">
        <v>0</v>
      </c>
      <c r="X12" s="270">
        <v>0</v>
      </c>
      <c r="Y12" s="272">
        <v>0</v>
      </c>
      <c r="Z12" s="271">
        <v>0</v>
      </c>
      <c r="AA12" s="274">
        <v>0</v>
      </c>
      <c r="AB12" s="274">
        <v>0</v>
      </c>
      <c r="AC12" s="274">
        <v>0</v>
      </c>
      <c r="AD12" s="274">
        <v>9487</v>
      </c>
      <c r="AE12" s="271">
        <v>58495</v>
      </c>
      <c r="AF12" s="271">
        <v>25057</v>
      </c>
      <c r="AG12" s="266">
        <f t="shared" si="0"/>
        <v>83552</v>
      </c>
      <c r="AH12" s="275">
        <f t="shared" si="1"/>
        <v>0</v>
      </c>
    </row>
    <row r="13" spans="1:34" s="266" customFormat="1" hidden="1" outlineLevel="1" x14ac:dyDescent="0.25">
      <c r="B13" s="267" t="s">
        <v>90</v>
      </c>
      <c r="C13" s="268" t="s">
        <v>192</v>
      </c>
      <c r="D13" s="269">
        <v>765</v>
      </c>
      <c r="E13" s="270">
        <v>1806</v>
      </c>
      <c r="F13" s="270">
        <v>0</v>
      </c>
      <c r="G13" s="270">
        <v>0</v>
      </c>
      <c r="H13" s="271">
        <v>2571</v>
      </c>
      <c r="I13" s="269">
        <v>1559</v>
      </c>
      <c r="J13" s="270">
        <v>7</v>
      </c>
      <c r="K13" s="270">
        <v>12219</v>
      </c>
      <c r="L13" s="270">
        <v>2573</v>
      </c>
      <c r="M13" s="272">
        <v>0</v>
      </c>
      <c r="N13" s="271">
        <v>16356</v>
      </c>
      <c r="O13" s="273">
        <v>15838</v>
      </c>
      <c r="P13" s="273">
        <v>0</v>
      </c>
      <c r="Q13" s="273">
        <v>0</v>
      </c>
      <c r="R13" s="273">
        <v>0</v>
      </c>
      <c r="S13" s="273">
        <v>0</v>
      </c>
      <c r="T13" s="271">
        <v>15838</v>
      </c>
      <c r="U13" s="269">
        <v>0</v>
      </c>
      <c r="V13" s="270">
        <v>0</v>
      </c>
      <c r="W13" s="270">
        <v>0</v>
      </c>
      <c r="X13" s="270">
        <v>0</v>
      </c>
      <c r="Y13" s="272">
        <v>0</v>
      </c>
      <c r="Z13" s="271">
        <v>0</v>
      </c>
      <c r="AA13" s="274">
        <v>0</v>
      </c>
      <c r="AB13" s="274">
        <v>0</v>
      </c>
      <c r="AC13" s="274">
        <v>0</v>
      </c>
      <c r="AD13" s="274">
        <v>405</v>
      </c>
      <c r="AE13" s="271">
        <v>16243</v>
      </c>
      <c r="AF13" s="271">
        <v>113</v>
      </c>
      <c r="AG13" s="266">
        <f t="shared" si="0"/>
        <v>16356</v>
      </c>
      <c r="AH13" s="275">
        <f t="shared" si="1"/>
        <v>0</v>
      </c>
    </row>
    <row r="14" spans="1:34" hidden="1" outlineLevel="1" x14ac:dyDescent="0.25">
      <c r="A14" s="276"/>
      <c r="B14" s="223" t="s">
        <v>91</v>
      </c>
      <c r="C14" s="277" t="s">
        <v>193</v>
      </c>
      <c r="D14" s="278">
        <v>9847</v>
      </c>
      <c r="E14" s="220">
        <v>12486</v>
      </c>
      <c r="F14" s="220">
        <v>0</v>
      </c>
      <c r="G14" s="220">
        <v>0</v>
      </c>
      <c r="H14" s="279">
        <v>22333</v>
      </c>
      <c r="I14" s="278">
        <v>12780</v>
      </c>
      <c r="J14" s="220">
        <v>468</v>
      </c>
      <c r="K14" s="220">
        <v>5094</v>
      </c>
      <c r="L14" s="220">
        <v>4790</v>
      </c>
      <c r="M14" s="280">
        <v>0</v>
      </c>
      <c r="N14" s="279">
        <v>40675</v>
      </c>
      <c r="O14" s="281">
        <v>30390</v>
      </c>
      <c r="P14" s="281">
        <v>0</v>
      </c>
      <c r="Q14" s="281">
        <v>0</v>
      </c>
      <c r="R14" s="281">
        <v>0</v>
      </c>
      <c r="S14" s="281">
        <v>0</v>
      </c>
      <c r="T14" s="279">
        <v>30390</v>
      </c>
      <c r="U14" s="278">
        <v>0</v>
      </c>
      <c r="V14" s="220">
        <v>0</v>
      </c>
      <c r="W14" s="220">
        <v>0</v>
      </c>
      <c r="X14" s="220">
        <v>0</v>
      </c>
      <c r="Y14" s="280">
        <v>0</v>
      </c>
      <c r="Z14" s="279">
        <v>0</v>
      </c>
      <c r="AA14" s="282">
        <v>0</v>
      </c>
      <c r="AB14" s="282">
        <v>281</v>
      </c>
      <c r="AC14" s="282">
        <v>281</v>
      </c>
      <c r="AD14" s="282">
        <v>6549</v>
      </c>
      <c r="AE14" s="279">
        <v>37220</v>
      </c>
      <c r="AF14" s="279">
        <v>3455</v>
      </c>
      <c r="AG14" s="283">
        <f t="shared" si="0"/>
        <v>40675</v>
      </c>
      <c r="AH14" s="71">
        <f t="shared" si="1"/>
        <v>0</v>
      </c>
    </row>
    <row r="15" spans="1:34" hidden="1" outlineLevel="1" x14ac:dyDescent="0.25">
      <c r="A15" s="276"/>
      <c r="B15" s="223" t="s">
        <v>92</v>
      </c>
      <c r="C15" s="277" t="s">
        <v>194</v>
      </c>
      <c r="D15" s="278">
        <v>3294</v>
      </c>
      <c r="E15" s="220">
        <v>5937</v>
      </c>
      <c r="F15" s="220">
        <v>0</v>
      </c>
      <c r="G15" s="220">
        <v>0</v>
      </c>
      <c r="H15" s="279">
        <v>9231</v>
      </c>
      <c r="I15" s="278">
        <v>4386</v>
      </c>
      <c r="J15" s="220">
        <v>267</v>
      </c>
      <c r="K15" s="220">
        <v>1714</v>
      </c>
      <c r="L15" s="220">
        <v>1616</v>
      </c>
      <c r="M15" s="280">
        <v>0</v>
      </c>
      <c r="N15" s="279">
        <v>15598</v>
      </c>
      <c r="O15" s="281">
        <v>10376</v>
      </c>
      <c r="P15" s="281">
        <v>0</v>
      </c>
      <c r="Q15" s="281">
        <v>0</v>
      </c>
      <c r="R15" s="281">
        <v>0</v>
      </c>
      <c r="S15" s="281">
        <v>0</v>
      </c>
      <c r="T15" s="279">
        <v>10376</v>
      </c>
      <c r="U15" s="278">
        <v>0</v>
      </c>
      <c r="V15" s="220">
        <v>0</v>
      </c>
      <c r="W15" s="220">
        <v>0</v>
      </c>
      <c r="X15" s="220">
        <v>0</v>
      </c>
      <c r="Y15" s="280">
        <v>0</v>
      </c>
      <c r="Z15" s="279">
        <v>0</v>
      </c>
      <c r="AA15" s="282">
        <v>0</v>
      </c>
      <c r="AB15" s="282">
        <v>-221</v>
      </c>
      <c r="AC15" s="282">
        <v>-221</v>
      </c>
      <c r="AD15" s="282">
        <v>4330</v>
      </c>
      <c r="AE15" s="279">
        <v>14485</v>
      </c>
      <c r="AF15" s="279">
        <v>1113</v>
      </c>
      <c r="AG15" s="283">
        <f t="shared" si="0"/>
        <v>15598</v>
      </c>
      <c r="AH15" s="71">
        <f t="shared" si="1"/>
        <v>0</v>
      </c>
    </row>
    <row r="16" spans="1:34" hidden="1" outlineLevel="1" x14ac:dyDescent="0.25">
      <c r="A16" s="276"/>
      <c r="B16" s="223" t="s">
        <v>68</v>
      </c>
      <c r="C16" s="277" t="s">
        <v>195</v>
      </c>
      <c r="D16" s="278">
        <v>28695</v>
      </c>
      <c r="E16" s="220">
        <v>2841</v>
      </c>
      <c r="F16" s="220">
        <v>0</v>
      </c>
      <c r="G16" s="220">
        <v>0</v>
      </c>
      <c r="H16" s="279">
        <v>31536</v>
      </c>
      <c r="I16" s="278">
        <v>6804</v>
      </c>
      <c r="J16" s="220">
        <v>1919</v>
      </c>
      <c r="K16" s="220">
        <v>1429</v>
      </c>
      <c r="L16" s="220">
        <v>1388</v>
      </c>
      <c r="M16" s="280">
        <v>-36</v>
      </c>
      <c r="N16" s="279">
        <v>41652</v>
      </c>
      <c r="O16" s="281">
        <v>12882</v>
      </c>
      <c r="P16" s="281">
        <v>0</v>
      </c>
      <c r="Q16" s="281">
        <v>6</v>
      </c>
      <c r="R16" s="281">
        <v>6</v>
      </c>
      <c r="S16" s="281">
        <v>0</v>
      </c>
      <c r="T16" s="279">
        <v>12888</v>
      </c>
      <c r="U16" s="278">
        <v>0</v>
      </c>
      <c r="V16" s="220">
        <v>0</v>
      </c>
      <c r="W16" s="220">
        <v>0</v>
      </c>
      <c r="X16" s="220">
        <v>0</v>
      </c>
      <c r="Y16" s="280">
        <v>0</v>
      </c>
      <c r="Z16" s="279">
        <v>0</v>
      </c>
      <c r="AA16" s="282">
        <v>0</v>
      </c>
      <c r="AB16" s="282">
        <v>0</v>
      </c>
      <c r="AC16" s="282">
        <v>0</v>
      </c>
      <c r="AD16" s="282">
        <v>2301</v>
      </c>
      <c r="AE16" s="279">
        <v>15189</v>
      </c>
      <c r="AF16" s="279">
        <v>26463</v>
      </c>
      <c r="AG16" s="283">
        <f t="shared" si="0"/>
        <v>41652</v>
      </c>
      <c r="AH16" s="71">
        <f t="shared" si="1"/>
        <v>0</v>
      </c>
    </row>
    <row r="17" spans="1:34" hidden="1" outlineLevel="1" x14ac:dyDescent="0.25">
      <c r="A17" s="276"/>
      <c r="B17" s="223" t="s">
        <v>93</v>
      </c>
      <c r="C17" s="277" t="s">
        <v>196</v>
      </c>
      <c r="D17" s="278">
        <v>36417</v>
      </c>
      <c r="E17" s="220">
        <v>16410</v>
      </c>
      <c r="F17" s="220">
        <v>0</v>
      </c>
      <c r="G17" s="220">
        <v>0</v>
      </c>
      <c r="H17" s="279">
        <v>52827</v>
      </c>
      <c r="I17" s="278">
        <v>18980</v>
      </c>
      <c r="J17" s="220">
        <v>678</v>
      </c>
      <c r="K17" s="220">
        <v>1415</v>
      </c>
      <c r="L17" s="220">
        <v>807</v>
      </c>
      <c r="M17" s="280">
        <v>0</v>
      </c>
      <c r="N17" s="279">
        <v>73900</v>
      </c>
      <c r="O17" s="281">
        <v>10281</v>
      </c>
      <c r="P17" s="281">
        <v>0</v>
      </c>
      <c r="Q17" s="281">
        <v>23449</v>
      </c>
      <c r="R17" s="281">
        <v>23449</v>
      </c>
      <c r="S17" s="281">
        <v>0</v>
      </c>
      <c r="T17" s="279">
        <v>33730</v>
      </c>
      <c r="U17" s="278">
        <v>0</v>
      </c>
      <c r="V17" s="220">
        <v>0</v>
      </c>
      <c r="W17" s="220">
        <v>0</v>
      </c>
      <c r="X17" s="220">
        <v>0</v>
      </c>
      <c r="Y17" s="280">
        <v>0</v>
      </c>
      <c r="Z17" s="279">
        <v>0</v>
      </c>
      <c r="AA17" s="282">
        <v>0</v>
      </c>
      <c r="AB17" s="282">
        <v>0</v>
      </c>
      <c r="AC17" s="282">
        <v>0</v>
      </c>
      <c r="AD17" s="282">
        <v>21123</v>
      </c>
      <c r="AE17" s="279">
        <v>54853</v>
      </c>
      <c r="AF17" s="279">
        <v>19047</v>
      </c>
      <c r="AG17" s="283">
        <f t="shared" si="0"/>
        <v>73900</v>
      </c>
      <c r="AH17" s="71">
        <f t="shared" si="1"/>
        <v>0</v>
      </c>
    </row>
    <row r="18" spans="1:34" hidden="1" outlineLevel="1" x14ac:dyDescent="0.25">
      <c r="A18" s="276"/>
      <c r="B18" s="223" t="s">
        <v>94</v>
      </c>
      <c r="C18" s="277" t="s">
        <v>197</v>
      </c>
      <c r="D18" s="278">
        <v>16171</v>
      </c>
      <c r="E18" s="220">
        <v>3263</v>
      </c>
      <c r="F18" s="220">
        <v>0</v>
      </c>
      <c r="G18" s="220">
        <v>0</v>
      </c>
      <c r="H18" s="279">
        <v>19434</v>
      </c>
      <c r="I18" s="278">
        <v>8581</v>
      </c>
      <c r="J18" s="220">
        <v>816</v>
      </c>
      <c r="K18" s="220">
        <v>2928</v>
      </c>
      <c r="L18" s="220">
        <v>2839</v>
      </c>
      <c r="M18" s="280">
        <v>0</v>
      </c>
      <c r="N18" s="279">
        <v>31759</v>
      </c>
      <c r="O18" s="281">
        <v>17647</v>
      </c>
      <c r="P18" s="281">
        <v>0</v>
      </c>
      <c r="Q18" s="281">
        <v>0</v>
      </c>
      <c r="R18" s="281">
        <v>0</v>
      </c>
      <c r="S18" s="281">
        <v>0</v>
      </c>
      <c r="T18" s="279">
        <v>17647</v>
      </c>
      <c r="U18" s="278">
        <v>0</v>
      </c>
      <c r="V18" s="220">
        <v>0</v>
      </c>
      <c r="W18" s="220">
        <v>0</v>
      </c>
      <c r="X18" s="220">
        <v>0</v>
      </c>
      <c r="Y18" s="280">
        <v>0</v>
      </c>
      <c r="Z18" s="279">
        <v>0</v>
      </c>
      <c r="AA18" s="282">
        <v>0</v>
      </c>
      <c r="AB18" s="282">
        <v>0</v>
      </c>
      <c r="AC18" s="282">
        <v>0</v>
      </c>
      <c r="AD18" s="282">
        <v>9972</v>
      </c>
      <c r="AE18" s="279">
        <v>27619</v>
      </c>
      <c r="AF18" s="279">
        <v>4140</v>
      </c>
      <c r="AG18" s="283">
        <f t="shared" si="0"/>
        <v>31759</v>
      </c>
      <c r="AH18" s="71">
        <f t="shared" si="1"/>
        <v>0</v>
      </c>
    </row>
    <row r="19" spans="1:34" hidden="1" outlineLevel="1" x14ac:dyDescent="0.25">
      <c r="A19" s="276"/>
      <c r="B19" s="223" t="s">
        <v>95</v>
      </c>
      <c r="C19" s="277" t="s">
        <v>198</v>
      </c>
      <c r="D19" s="278">
        <v>13183</v>
      </c>
      <c r="E19" s="220">
        <v>5404</v>
      </c>
      <c r="F19" s="220">
        <v>0</v>
      </c>
      <c r="G19" s="220">
        <v>0</v>
      </c>
      <c r="H19" s="279">
        <v>18587</v>
      </c>
      <c r="I19" s="278">
        <v>4863</v>
      </c>
      <c r="J19" s="220">
        <v>410</v>
      </c>
      <c r="K19" s="220">
        <v>2678</v>
      </c>
      <c r="L19" s="220">
        <v>2642</v>
      </c>
      <c r="M19" s="280">
        <v>0</v>
      </c>
      <c r="N19" s="279">
        <v>26538</v>
      </c>
      <c r="O19" s="281">
        <v>13826</v>
      </c>
      <c r="P19" s="281">
        <v>0</v>
      </c>
      <c r="Q19" s="281">
        <v>0</v>
      </c>
      <c r="R19" s="281">
        <v>0</v>
      </c>
      <c r="S19" s="281">
        <v>0</v>
      </c>
      <c r="T19" s="279">
        <v>13826</v>
      </c>
      <c r="U19" s="278">
        <v>2331</v>
      </c>
      <c r="V19" s="220">
        <v>0</v>
      </c>
      <c r="W19" s="220">
        <v>388</v>
      </c>
      <c r="X19" s="220">
        <v>1584</v>
      </c>
      <c r="Y19" s="280">
        <v>193</v>
      </c>
      <c r="Z19" s="279">
        <v>4496</v>
      </c>
      <c r="AA19" s="282">
        <v>0</v>
      </c>
      <c r="AB19" s="282">
        <v>12</v>
      </c>
      <c r="AC19" s="282">
        <v>4508</v>
      </c>
      <c r="AD19" s="282">
        <v>2496</v>
      </c>
      <c r="AE19" s="279">
        <v>20830</v>
      </c>
      <c r="AF19" s="279">
        <v>5708</v>
      </c>
      <c r="AG19" s="283">
        <f t="shared" si="0"/>
        <v>26538</v>
      </c>
      <c r="AH19" s="71">
        <f t="shared" si="1"/>
        <v>0</v>
      </c>
    </row>
    <row r="20" spans="1:34" hidden="1" outlineLevel="1" x14ac:dyDescent="0.25">
      <c r="A20" s="276"/>
      <c r="B20" s="223" t="s">
        <v>96</v>
      </c>
      <c r="C20" s="277" t="s">
        <v>199</v>
      </c>
      <c r="D20" s="278">
        <v>1622</v>
      </c>
      <c r="E20" s="220">
        <v>1813</v>
      </c>
      <c r="F20" s="220">
        <v>0</v>
      </c>
      <c r="G20" s="220">
        <v>0</v>
      </c>
      <c r="H20" s="279">
        <v>3435</v>
      </c>
      <c r="I20" s="278">
        <v>2188</v>
      </c>
      <c r="J20" s="220">
        <v>86</v>
      </c>
      <c r="K20" s="220">
        <v>703</v>
      </c>
      <c r="L20" s="220">
        <v>647</v>
      </c>
      <c r="M20" s="280">
        <v>0</v>
      </c>
      <c r="N20" s="279">
        <v>6412</v>
      </c>
      <c r="O20" s="281">
        <v>3733</v>
      </c>
      <c r="P20" s="281">
        <v>0</v>
      </c>
      <c r="Q20" s="281">
        <v>0</v>
      </c>
      <c r="R20" s="281">
        <v>0</v>
      </c>
      <c r="S20" s="281">
        <v>0</v>
      </c>
      <c r="T20" s="279">
        <v>3733</v>
      </c>
      <c r="U20" s="278">
        <v>67</v>
      </c>
      <c r="V20" s="220">
        <v>0</v>
      </c>
      <c r="W20" s="220">
        <v>0</v>
      </c>
      <c r="X20" s="220">
        <v>0</v>
      </c>
      <c r="Y20" s="280">
        <v>0</v>
      </c>
      <c r="Z20" s="279">
        <v>67</v>
      </c>
      <c r="AA20" s="282">
        <v>476</v>
      </c>
      <c r="AB20" s="282">
        <v>19</v>
      </c>
      <c r="AC20" s="282">
        <v>562</v>
      </c>
      <c r="AD20" s="282">
        <v>1649</v>
      </c>
      <c r="AE20" s="279">
        <v>5944</v>
      </c>
      <c r="AF20" s="279">
        <v>468</v>
      </c>
      <c r="AG20" s="283">
        <f t="shared" si="0"/>
        <v>6412</v>
      </c>
      <c r="AH20" s="71">
        <f t="shared" si="1"/>
        <v>0</v>
      </c>
    </row>
    <row r="21" spans="1:34" hidden="1" outlineLevel="1" x14ac:dyDescent="0.25">
      <c r="A21" s="276"/>
      <c r="B21" s="223" t="s">
        <v>97</v>
      </c>
      <c r="C21" s="277" t="s">
        <v>200</v>
      </c>
      <c r="D21" s="278">
        <v>4187</v>
      </c>
      <c r="E21" s="220">
        <v>4630</v>
      </c>
      <c r="F21" s="220">
        <v>0</v>
      </c>
      <c r="G21" s="220">
        <v>0</v>
      </c>
      <c r="H21" s="279">
        <v>8817</v>
      </c>
      <c r="I21" s="278">
        <v>7603</v>
      </c>
      <c r="J21" s="220">
        <v>243</v>
      </c>
      <c r="K21" s="220">
        <v>2148</v>
      </c>
      <c r="L21" s="220">
        <v>2087</v>
      </c>
      <c r="M21" s="280">
        <v>0</v>
      </c>
      <c r="N21" s="279">
        <v>18811</v>
      </c>
      <c r="O21" s="281">
        <v>13037</v>
      </c>
      <c r="P21" s="281">
        <v>0</v>
      </c>
      <c r="Q21" s="281">
        <v>0</v>
      </c>
      <c r="R21" s="281">
        <v>0</v>
      </c>
      <c r="S21" s="281">
        <v>0</v>
      </c>
      <c r="T21" s="279">
        <v>13037</v>
      </c>
      <c r="U21" s="278">
        <v>145</v>
      </c>
      <c r="V21" s="220">
        <v>0</v>
      </c>
      <c r="W21" s="220">
        <v>0</v>
      </c>
      <c r="X21" s="220">
        <v>0</v>
      </c>
      <c r="Y21" s="280">
        <v>0</v>
      </c>
      <c r="Z21" s="279">
        <v>145</v>
      </c>
      <c r="AA21" s="282">
        <v>0</v>
      </c>
      <c r="AB21" s="282">
        <v>-8</v>
      </c>
      <c r="AC21" s="282">
        <v>137</v>
      </c>
      <c r="AD21" s="282">
        <v>2665</v>
      </c>
      <c r="AE21" s="279">
        <v>15839</v>
      </c>
      <c r="AF21" s="279">
        <v>2972</v>
      </c>
      <c r="AG21" s="283">
        <f t="shared" si="0"/>
        <v>18811</v>
      </c>
      <c r="AH21" s="71">
        <f t="shared" si="1"/>
        <v>0</v>
      </c>
    </row>
    <row r="22" spans="1:34" hidden="1" outlineLevel="1" x14ac:dyDescent="0.25">
      <c r="A22" s="276"/>
      <c r="B22" s="223" t="s">
        <v>98</v>
      </c>
      <c r="C22" s="277" t="s">
        <v>201</v>
      </c>
      <c r="D22" s="278">
        <v>2886</v>
      </c>
      <c r="E22" s="220">
        <v>3995</v>
      </c>
      <c r="F22" s="220">
        <v>0</v>
      </c>
      <c r="G22" s="220">
        <v>0</v>
      </c>
      <c r="H22" s="279">
        <v>6881</v>
      </c>
      <c r="I22" s="278">
        <v>3686</v>
      </c>
      <c r="J22" s="220">
        <v>67</v>
      </c>
      <c r="K22" s="220">
        <v>1378</v>
      </c>
      <c r="L22" s="220">
        <v>1352</v>
      </c>
      <c r="M22" s="280">
        <v>0</v>
      </c>
      <c r="N22" s="279">
        <v>12012</v>
      </c>
      <c r="O22" s="281">
        <v>8608</v>
      </c>
      <c r="P22" s="281">
        <v>0</v>
      </c>
      <c r="Q22" s="281">
        <v>0</v>
      </c>
      <c r="R22" s="281">
        <v>0</v>
      </c>
      <c r="S22" s="281">
        <v>0</v>
      </c>
      <c r="T22" s="279">
        <v>8608</v>
      </c>
      <c r="U22" s="278">
        <v>1</v>
      </c>
      <c r="V22" s="220">
        <v>0</v>
      </c>
      <c r="W22" s="220">
        <v>0</v>
      </c>
      <c r="X22" s="220">
        <v>0</v>
      </c>
      <c r="Y22" s="280">
        <v>0</v>
      </c>
      <c r="Z22" s="279">
        <v>1</v>
      </c>
      <c r="AA22" s="282">
        <v>0</v>
      </c>
      <c r="AB22" s="282">
        <v>9</v>
      </c>
      <c r="AC22" s="282">
        <v>10</v>
      </c>
      <c r="AD22" s="282">
        <v>1977</v>
      </c>
      <c r="AE22" s="279">
        <v>10595</v>
      </c>
      <c r="AF22" s="279">
        <v>1417</v>
      </c>
      <c r="AG22" s="283">
        <f t="shared" si="0"/>
        <v>12012</v>
      </c>
      <c r="AH22" s="71">
        <f t="shared" si="1"/>
        <v>0</v>
      </c>
    </row>
    <row r="23" spans="1:34" hidden="1" outlineLevel="1" x14ac:dyDescent="0.25">
      <c r="A23" s="276"/>
      <c r="B23" s="223" t="s">
        <v>99</v>
      </c>
      <c r="C23" s="277" t="s">
        <v>202</v>
      </c>
      <c r="D23" s="278">
        <v>1741</v>
      </c>
      <c r="E23" s="220">
        <v>8130</v>
      </c>
      <c r="F23" s="220">
        <v>0</v>
      </c>
      <c r="G23" s="220">
        <v>0</v>
      </c>
      <c r="H23" s="279">
        <v>9871</v>
      </c>
      <c r="I23" s="278">
        <v>4250</v>
      </c>
      <c r="J23" s="220">
        <v>592</v>
      </c>
      <c r="K23" s="220">
        <v>1593</v>
      </c>
      <c r="L23" s="220">
        <v>1460</v>
      </c>
      <c r="M23" s="280">
        <v>0</v>
      </c>
      <c r="N23" s="279">
        <v>16306</v>
      </c>
      <c r="O23" s="281">
        <v>9103</v>
      </c>
      <c r="P23" s="281">
        <v>0</v>
      </c>
      <c r="Q23" s="281">
        <v>0</v>
      </c>
      <c r="R23" s="281">
        <v>0</v>
      </c>
      <c r="S23" s="281">
        <v>0</v>
      </c>
      <c r="T23" s="279">
        <v>9103</v>
      </c>
      <c r="U23" s="278">
        <v>1637</v>
      </c>
      <c r="V23" s="220">
        <v>0</v>
      </c>
      <c r="W23" s="220">
        <v>15</v>
      </c>
      <c r="X23" s="220">
        <v>0</v>
      </c>
      <c r="Y23" s="280">
        <v>7</v>
      </c>
      <c r="Z23" s="279">
        <v>1659</v>
      </c>
      <c r="AA23" s="282">
        <v>0</v>
      </c>
      <c r="AB23" s="282">
        <v>-20</v>
      </c>
      <c r="AC23" s="282">
        <v>1639</v>
      </c>
      <c r="AD23" s="282">
        <v>3845</v>
      </c>
      <c r="AE23" s="279">
        <v>14587</v>
      </c>
      <c r="AF23" s="279">
        <v>1719</v>
      </c>
      <c r="AG23" s="283">
        <f t="shared" si="0"/>
        <v>16306</v>
      </c>
      <c r="AH23" s="71">
        <f t="shared" si="1"/>
        <v>0</v>
      </c>
    </row>
    <row r="24" spans="1:34" hidden="1" outlineLevel="1" x14ac:dyDescent="0.25">
      <c r="A24" s="276"/>
      <c r="B24" s="223" t="s">
        <v>100</v>
      </c>
      <c r="C24" s="277" t="s">
        <v>203</v>
      </c>
      <c r="D24" s="278">
        <v>2021</v>
      </c>
      <c r="E24" s="220">
        <v>2497</v>
      </c>
      <c r="F24" s="220">
        <v>0</v>
      </c>
      <c r="G24" s="220">
        <v>0</v>
      </c>
      <c r="H24" s="279">
        <v>4518</v>
      </c>
      <c r="I24" s="278">
        <v>3080</v>
      </c>
      <c r="J24" s="220">
        <v>104</v>
      </c>
      <c r="K24" s="220">
        <v>907</v>
      </c>
      <c r="L24" s="220">
        <v>876</v>
      </c>
      <c r="M24" s="280">
        <v>0</v>
      </c>
      <c r="N24" s="279">
        <v>8609</v>
      </c>
      <c r="O24" s="281">
        <v>5562</v>
      </c>
      <c r="P24" s="281">
        <v>0</v>
      </c>
      <c r="Q24" s="281">
        <v>185</v>
      </c>
      <c r="R24" s="281">
        <v>185</v>
      </c>
      <c r="S24" s="281">
        <v>0</v>
      </c>
      <c r="T24" s="279">
        <v>5747</v>
      </c>
      <c r="U24" s="278">
        <v>53</v>
      </c>
      <c r="V24" s="220">
        <v>0</v>
      </c>
      <c r="W24" s="220">
        <v>0</v>
      </c>
      <c r="X24" s="220">
        <v>0</v>
      </c>
      <c r="Y24" s="280">
        <v>0</v>
      </c>
      <c r="Z24" s="279">
        <v>53</v>
      </c>
      <c r="AA24" s="282">
        <v>0</v>
      </c>
      <c r="AB24" s="282">
        <v>4</v>
      </c>
      <c r="AC24" s="282">
        <v>57</v>
      </c>
      <c r="AD24" s="282">
        <v>1913</v>
      </c>
      <c r="AE24" s="279">
        <v>7717</v>
      </c>
      <c r="AF24" s="279">
        <v>892</v>
      </c>
      <c r="AG24" s="283">
        <f t="shared" si="0"/>
        <v>8609</v>
      </c>
      <c r="AH24" s="71">
        <f t="shared" si="1"/>
        <v>0</v>
      </c>
    </row>
    <row r="25" spans="1:34" s="284" customFormat="1" hidden="1" outlineLevel="1" x14ac:dyDescent="0.25">
      <c r="B25" s="285" t="s">
        <v>101</v>
      </c>
      <c r="C25" s="286" t="s">
        <v>204</v>
      </c>
      <c r="D25" s="287">
        <v>62433</v>
      </c>
      <c r="E25" s="288">
        <v>32074</v>
      </c>
      <c r="F25" s="288">
        <v>0</v>
      </c>
      <c r="G25" s="288">
        <v>0</v>
      </c>
      <c r="H25" s="289">
        <v>94507</v>
      </c>
      <c r="I25" s="287">
        <v>14309</v>
      </c>
      <c r="J25" s="288">
        <v>1782</v>
      </c>
      <c r="K25" s="288">
        <v>7184</v>
      </c>
      <c r="L25" s="288">
        <v>6853</v>
      </c>
      <c r="M25" s="290">
        <v>0</v>
      </c>
      <c r="N25" s="289">
        <v>117782</v>
      </c>
      <c r="O25" s="291">
        <v>35817</v>
      </c>
      <c r="P25" s="291">
        <v>0</v>
      </c>
      <c r="Q25" s="291">
        <v>0</v>
      </c>
      <c r="R25" s="291">
        <v>0</v>
      </c>
      <c r="S25" s="291">
        <v>0</v>
      </c>
      <c r="T25" s="289">
        <v>35817</v>
      </c>
      <c r="U25" s="287">
        <v>21335</v>
      </c>
      <c r="V25" s="288">
        <v>0</v>
      </c>
      <c r="W25" s="288">
        <v>242</v>
      </c>
      <c r="X25" s="288">
        <v>2059</v>
      </c>
      <c r="Y25" s="290">
        <v>267</v>
      </c>
      <c r="Z25" s="289">
        <v>23903</v>
      </c>
      <c r="AA25" s="292">
        <v>0</v>
      </c>
      <c r="AB25" s="292">
        <v>483</v>
      </c>
      <c r="AC25" s="292">
        <v>24386</v>
      </c>
      <c r="AD25" s="292">
        <v>35788</v>
      </c>
      <c r="AE25" s="289">
        <v>95991</v>
      </c>
      <c r="AF25" s="289">
        <v>21791</v>
      </c>
      <c r="AG25" s="284">
        <f t="shared" si="0"/>
        <v>117782</v>
      </c>
      <c r="AH25" s="293">
        <f t="shared" si="1"/>
        <v>0</v>
      </c>
    </row>
    <row r="26" spans="1:34" s="284" customFormat="1" hidden="1" outlineLevel="1" x14ac:dyDescent="0.25">
      <c r="B26" s="285" t="s">
        <v>102</v>
      </c>
      <c r="C26" s="286" t="s">
        <v>205</v>
      </c>
      <c r="D26" s="287">
        <v>26296</v>
      </c>
      <c r="E26" s="288">
        <v>13296</v>
      </c>
      <c r="F26" s="288">
        <v>0</v>
      </c>
      <c r="G26" s="288">
        <v>0</v>
      </c>
      <c r="H26" s="289">
        <v>39592</v>
      </c>
      <c r="I26" s="287">
        <v>5356</v>
      </c>
      <c r="J26" s="288">
        <v>559</v>
      </c>
      <c r="K26" s="288">
        <v>3579</v>
      </c>
      <c r="L26" s="288">
        <v>3551</v>
      </c>
      <c r="M26" s="290">
        <v>0</v>
      </c>
      <c r="N26" s="289">
        <v>49086</v>
      </c>
      <c r="O26" s="291">
        <v>20594</v>
      </c>
      <c r="P26" s="291">
        <v>0</v>
      </c>
      <c r="Q26" s="291">
        <v>0</v>
      </c>
      <c r="R26" s="291">
        <v>0</v>
      </c>
      <c r="S26" s="291">
        <v>0</v>
      </c>
      <c r="T26" s="289">
        <v>20594</v>
      </c>
      <c r="U26" s="287">
        <v>0</v>
      </c>
      <c r="V26" s="288">
        <v>0</v>
      </c>
      <c r="W26" s="288">
        <v>0</v>
      </c>
      <c r="X26" s="288">
        <v>0</v>
      </c>
      <c r="Y26" s="290">
        <v>0</v>
      </c>
      <c r="Z26" s="289">
        <v>0</v>
      </c>
      <c r="AA26" s="292">
        <v>0</v>
      </c>
      <c r="AB26" s="292">
        <v>-559</v>
      </c>
      <c r="AC26" s="292">
        <v>-559</v>
      </c>
      <c r="AD26" s="292">
        <v>15257</v>
      </c>
      <c r="AE26" s="289">
        <v>35292</v>
      </c>
      <c r="AF26" s="289">
        <v>13794</v>
      </c>
      <c r="AG26" s="284">
        <f t="shared" si="0"/>
        <v>49086</v>
      </c>
      <c r="AH26" s="293">
        <f t="shared" si="1"/>
        <v>0</v>
      </c>
    </row>
    <row r="27" spans="1:34" hidden="1" outlineLevel="1" x14ac:dyDescent="0.25">
      <c r="B27" s="223" t="s">
        <v>103</v>
      </c>
      <c r="C27" s="277" t="s">
        <v>206</v>
      </c>
      <c r="D27" s="278">
        <v>4661</v>
      </c>
      <c r="E27" s="220">
        <v>1570</v>
      </c>
      <c r="F27" s="220">
        <v>0</v>
      </c>
      <c r="G27" s="220">
        <v>0</v>
      </c>
      <c r="H27" s="279">
        <v>6231</v>
      </c>
      <c r="I27" s="278">
        <v>107</v>
      </c>
      <c r="J27" s="220">
        <v>59</v>
      </c>
      <c r="K27" s="220">
        <v>273</v>
      </c>
      <c r="L27" s="220">
        <v>269</v>
      </c>
      <c r="M27" s="280">
        <v>-7</v>
      </c>
      <c r="N27" s="279">
        <v>6663</v>
      </c>
      <c r="O27" s="281">
        <v>1562</v>
      </c>
      <c r="P27" s="281">
        <v>0</v>
      </c>
      <c r="Q27" s="281">
        <v>0</v>
      </c>
      <c r="R27" s="281">
        <v>0</v>
      </c>
      <c r="S27" s="281">
        <v>0</v>
      </c>
      <c r="T27" s="279">
        <v>1562</v>
      </c>
      <c r="U27" s="278">
        <v>37</v>
      </c>
      <c r="V27" s="220">
        <v>0</v>
      </c>
      <c r="W27" s="220">
        <v>0</v>
      </c>
      <c r="X27" s="220">
        <v>10</v>
      </c>
      <c r="Y27" s="280">
        <v>0</v>
      </c>
      <c r="Z27" s="279">
        <v>47</v>
      </c>
      <c r="AA27" s="282">
        <v>0</v>
      </c>
      <c r="AB27" s="282">
        <v>623</v>
      </c>
      <c r="AC27" s="282">
        <v>670</v>
      </c>
      <c r="AD27" s="282">
        <v>1908</v>
      </c>
      <c r="AE27" s="279">
        <v>4140</v>
      </c>
      <c r="AF27" s="279">
        <v>2523</v>
      </c>
      <c r="AG27" s="283">
        <f t="shared" si="0"/>
        <v>6663</v>
      </c>
      <c r="AH27" s="71">
        <f t="shared" si="1"/>
        <v>0</v>
      </c>
    </row>
    <row r="28" spans="1:34" hidden="1" outlineLevel="1" x14ac:dyDescent="0.25">
      <c r="B28" s="223" t="s">
        <v>104</v>
      </c>
      <c r="C28" s="277" t="s">
        <v>207</v>
      </c>
      <c r="D28" s="278">
        <v>3341</v>
      </c>
      <c r="E28" s="220">
        <v>379</v>
      </c>
      <c r="F28" s="220">
        <v>0</v>
      </c>
      <c r="G28" s="220">
        <v>0</v>
      </c>
      <c r="H28" s="279">
        <v>3720</v>
      </c>
      <c r="I28" s="278">
        <v>17</v>
      </c>
      <c r="J28" s="220">
        <v>66</v>
      </c>
      <c r="K28" s="220">
        <v>3</v>
      </c>
      <c r="L28" s="220">
        <v>3</v>
      </c>
      <c r="M28" s="280">
        <v>0</v>
      </c>
      <c r="N28" s="279">
        <v>3806</v>
      </c>
      <c r="O28" s="281">
        <v>0</v>
      </c>
      <c r="P28" s="281">
        <v>0</v>
      </c>
      <c r="Q28" s="281">
        <v>0</v>
      </c>
      <c r="R28" s="281">
        <v>0</v>
      </c>
      <c r="S28" s="281">
        <v>0</v>
      </c>
      <c r="T28" s="279">
        <v>0</v>
      </c>
      <c r="U28" s="278">
        <v>2258</v>
      </c>
      <c r="V28" s="220">
        <v>0</v>
      </c>
      <c r="W28" s="220">
        <v>0</v>
      </c>
      <c r="X28" s="220">
        <v>0</v>
      </c>
      <c r="Y28" s="280">
        <v>0</v>
      </c>
      <c r="Z28" s="279">
        <v>2258</v>
      </c>
      <c r="AA28" s="282">
        <v>0</v>
      </c>
      <c r="AB28" s="282">
        <v>-65</v>
      </c>
      <c r="AC28" s="282">
        <v>2193</v>
      </c>
      <c r="AD28" s="282">
        <v>859</v>
      </c>
      <c r="AE28" s="279">
        <v>3052</v>
      </c>
      <c r="AF28" s="279">
        <v>754</v>
      </c>
      <c r="AG28" s="283">
        <f t="shared" si="0"/>
        <v>3806</v>
      </c>
      <c r="AH28" s="71">
        <f t="shared" si="1"/>
        <v>0</v>
      </c>
    </row>
    <row r="29" spans="1:34" hidden="1" outlineLevel="1" x14ac:dyDescent="0.25">
      <c r="B29" s="223" t="s">
        <v>105</v>
      </c>
      <c r="C29" s="277" t="s">
        <v>208</v>
      </c>
      <c r="D29" s="278">
        <v>46487</v>
      </c>
      <c r="E29" s="220">
        <v>14603</v>
      </c>
      <c r="F29" s="220">
        <v>0</v>
      </c>
      <c r="G29" s="220">
        <v>0</v>
      </c>
      <c r="H29" s="279">
        <v>61090</v>
      </c>
      <c r="I29" s="278">
        <v>180</v>
      </c>
      <c r="J29" s="220">
        <v>175</v>
      </c>
      <c r="K29" s="220">
        <v>276</v>
      </c>
      <c r="L29" s="220">
        <v>276</v>
      </c>
      <c r="M29" s="280">
        <v>0</v>
      </c>
      <c r="N29" s="279">
        <v>61721</v>
      </c>
      <c r="O29" s="281">
        <v>43</v>
      </c>
      <c r="P29" s="281">
        <v>0</v>
      </c>
      <c r="Q29" s="281">
        <v>0</v>
      </c>
      <c r="R29" s="281">
        <v>0</v>
      </c>
      <c r="S29" s="281">
        <v>0</v>
      </c>
      <c r="T29" s="279">
        <v>43</v>
      </c>
      <c r="U29" s="278">
        <v>2469</v>
      </c>
      <c r="V29" s="220">
        <v>0</v>
      </c>
      <c r="W29" s="220">
        <v>0</v>
      </c>
      <c r="X29" s="220">
        <v>112</v>
      </c>
      <c r="Y29" s="280">
        <v>0</v>
      </c>
      <c r="Z29" s="279">
        <v>2581</v>
      </c>
      <c r="AA29" s="282">
        <v>0</v>
      </c>
      <c r="AB29" s="282">
        <v>1570</v>
      </c>
      <c r="AC29" s="282">
        <v>4151</v>
      </c>
      <c r="AD29" s="282">
        <v>29038</v>
      </c>
      <c r="AE29" s="279">
        <v>33232</v>
      </c>
      <c r="AF29" s="279">
        <v>28489</v>
      </c>
      <c r="AG29" s="283">
        <f t="shared" si="0"/>
        <v>61721</v>
      </c>
      <c r="AH29" s="71">
        <f t="shared" si="1"/>
        <v>0</v>
      </c>
    </row>
    <row r="30" spans="1:34" hidden="1" outlineLevel="1" x14ac:dyDescent="0.25">
      <c r="B30" s="223" t="s">
        <v>754</v>
      </c>
      <c r="C30" s="277" t="s">
        <v>209</v>
      </c>
      <c r="D30" s="278">
        <v>1016</v>
      </c>
      <c r="E30" s="220">
        <v>1924</v>
      </c>
      <c r="F30" s="220">
        <v>0</v>
      </c>
      <c r="G30" s="220">
        <v>0</v>
      </c>
      <c r="H30" s="279">
        <v>2940</v>
      </c>
      <c r="I30" s="278">
        <v>878</v>
      </c>
      <c r="J30" s="220">
        <v>10</v>
      </c>
      <c r="K30" s="220">
        <v>569</v>
      </c>
      <c r="L30" s="220">
        <v>532</v>
      </c>
      <c r="M30" s="280">
        <v>0</v>
      </c>
      <c r="N30" s="279">
        <v>4397</v>
      </c>
      <c r="O30" s="281">
        <v>3132</v>
      </c>
      <c r="P30" s="281">
        <v>0</v>
      </c>
      <c r="Q30" s="281">
        <v>126</v>
      </c>
      <c r="R30" s="281">
        <v>126</v>
      </c>
      <c r="S30" s="281">
        <v>0</v>
      </c>
      <c r="T30" s="279">
        <v>3258</v>
      </c>
      <c r="U30" s="278">
        <v>25</v>
      </c>
      <c r="V30" s="220">
        <v>0</v>
      </c>
      <c r="W30" s="220">
        <v>0</v>
      </c>
      <c r="X30" s="220">
        <v>199</v>
      </c>
      <c r="Y30" s="280">
        <v>0</v>
      </c>
      <c r="Z30" s="279">
        <v>224</v>
      </c>
      <c r="AA30" s="282">
        <v>0</v>
      </c>
      <c r="AB30" s="282">
        <v>-199</v>
      </c>
      <c r="AC30" s="282">
        <v>25</v>
      </c>
      <c r="AD30" s="282">
        <v>867</v>
      </c>
      <c r="AE30" s="279">
        <v>4150</v>
      </c>
      <c r="AF30" s="279">
        <v>247</v>
      </c>
      <c r="AG30" s="283">
        <f t="shared" si="0"/>
        <v>4397</v>
      </c>
      <c r="AH30" s="71">
        <f t="shared" si="1"/>
        <v>0</v>
      </c>
    </row>
    <row r="31" spans="1:34" hidden="1" outlineLevel="1" x14ac:dyDescent="0.25">
      <c r="B31" s="223" t="s">
        <v>107</v>
      </c>
      <c r="C31" s="277" t="s">
        <v>210</v>
      </c>
      <c r="D31" s="278">
        <v>9437</v>
      </c>
      <c r="E31" s="220">
        <v>1472</v>
      </c>
      <c r="F31" s="220">
        <v>0</v>
      </c>
      <c r="G31" s="220">
        <v>0</v>
      </c>
      <c r="H31" s="279">
        <v>10909</v>
      </c>
      <c r="I31" s="278">
        <v>758</v>
      </c>
      <c r="J31" s="220">
        <v>170</v>
      </c>
      <c r="K31" s="220">
        <v>89</v>
      </c>
      <c r="L31" s="220">
        <v>80</v>
      </c>
      <c r="M31" s="280">
        <v>0</v>
      </c>
      <c r="N31" s="279">
        <v>11926</v>
      </c>
      <c r="O31" s="281">
        <v>0</v>
      </c>
      <c r="P31" s="281">
        <v>0</v>
      </c>
      <c r="Q31" s="281">
        <v>0</v>
      </c>
      <c r="R31" s="281">
        <v>0</v>
      </c>
      <c r="S31" s="281">
        <v>0</v>
      </c>
      <c r="T31" s="279">
        <v>0</v>
      </c>
      <c r="U31" s="278">
        <v>3459</v>
      </c>
      <c r="V31" s="220">
        <v>0</v>
      </c>
      <c r="W31" s="220">
        <v>165</v>
      </c>
      <c r="X31" s="220">
        <v>23</v>
      </c>
      <c r="Y31" s="280">
        <v>0</v>
      </c>
      <c r="Z31" s="279">
        <v>3647</v>
      </c>
      <c r="AA31" s="282">
        <v>0</v>
      </c>
      <c r="AB31" s="282">
        <v>89</v>
      </c>
      <c r="AC31" s="282">
        <v>3736</v>
      </c>
      <c r="AD31" s="282">
        <v>813</v>
      </c>
      <c r="AE31" s="279">
        <v>4549</v>
      </c>
      <c r="AF31" s="279">
        <v>7377</v>
      </c>
      <c r="AG31" s="283">
        <f t="shared" si="0"/>
        <v>11926</v>
      </c>
      <c r="AH31" s="71">
        <f t="shared" si="1"/>
        <v>0</v>
      </c>
    </row>
    <row r="32" spans="1:34" hidden="1" outlineLevel="1" x14ac:dyDescent="0.25">
      <c r="B32" s="223" t="s">
        <v>108</v>
      </c>
      <c r="C32" s="277" t="s">
        <v>211</v>
      </c>
      <c r="D32" s="278">
        <v>10302</v>
      </c>
      <c r="E32" s="220">
        <v>819</v>
      </c>
      <c r="F32" s="220">
        <v>0</v>
      </c>
      <c r="G32" s="220">
        <v>0</v>
      </c>
      <c r="H32" s="279">
        <v>11121</v>
      </c>
      <c r="I32" s="278">
        <v>1391</v>
      </c>
      <c r="J32" s="220">
        <v>218</v>
      </c>
      <c r="K32" s="220">
        <v>84</v>
      </c>
      <c r="L32" s="220">
        <v>84</v>
      </c>
      <c r="M32" s="280">
        <v>0</v>
      </c>
      <c r="N32" s="279">
        <v>12814</v>
      </c>
      <c r="O32" s="281">
        <v>0</v>
      </c>
      <c r="P32" s="281">
        <v>0</v>
      </c>
      <c r="Q32" s="281">
        <v>0</v>
      </c>
      <c r="R32" s="281">
        <v>0</v>
      </c>
      <c r="S32" s="281">
        <v>0</v>
      </c>
      <c r="T32" s="279">
        <v>0</v>
      </c>
      <c r="U32" s="278">
        <v>4186</v>
      </c>
      <c r="V32" s="220">
        <v>0</v>
      </c>
      <c r="W32" s="220">
        <v>0</v>
      </c>
      <c r="X32" s="220">
        <v>0</v>
      </c>
      <c r="Y32" s="280">
        <v>0</v>
      </c>
      <c r="Z32" s="279">
        <v>4186</v>
      </c>
      <c r="AA32" s="282">
        <v>0</v>
      </c>
      <c r="AB32" s="282">
        <v>0</v>
      </c>
      <c r="AC32" s="282">
        <v>4186</v>
      </c>
      <c r="AD32" s="282">
        <v>806</v>
      </c>
      <c r="AE32" s="279">
        <v>4992</v>
      </c>
      <c r="AF32" s="279">
        <v>7822</v>
      </c>
      <c r="AG32" s="283">
        <f t="shared" si="0"/>
        <v>12814</v>
      </c>
      <c r="AH32" s="71">
        <f t="shared" si="1"/>
        <v>0</v>
      </c>
    </row>
    <row r="33" spans="2:34" hidden="1" outlineLevel="1" x14ac:dyDescent="0.25">
      <c r="B33" s="223" t="s">
        <v>109</v>
      </c>
      <c r="C33" s="277" t="s">
        <v>212</v>
      </c>
      <c r="D33" s="278">
        <v>13695</v>
      </c>
      <c r="E33" s="220">
        <v>8989</v>
      </c>
      <c r="F33" s="220">
        <v>0</v>
      </c>
      <c r="G33" s="220">
        <v>0</v>
      </c>
      <c r="H33" s="279">
        <v>22684</v>
      </c>
      <c r="I33" s="278">
        <v>1539</v>
      </c>
      <c r="J33" s="220">
        <v>849</v>
      </c>
      <c r="K33" s="220">
        <v>81</v>
      </c>
      <c r="L33" s="220">
        <v>48</v>
      </c>
      <c r="M33" s="280">
        <v>0</v>
      </c>
      <c r="N33" s="279">
        <v>25153</v>
      </c>
      <c r="O33" s="281">
        <v>0</v>
      </c>
      <c r="P33" s="281">
        <v>0</v>
      </c>
      <c r="Q33" s="281">
        <v>0</v>
      </c>
      <c r="R33" s="281">
        <v>0</v>
      </c>
      <c r="S33" s="281">
        <v>0</v>
      </c>
      <c r="T33" s="279">
        <v>0</v>
      </c>
      <c r="U33" s="278">
        <v>2638</v>
      </c>
      <c r="V33" s="220">
        <v>0</v>
      </c>
      <c r="W33" s="220">
        <v>0</v>
      </c>
      <c r="X33" s="220">
        <v>0</v>
      </c>
      <c r="Y33" s="280">
        <v>0</v>
      </c>
      <c r="Z33" s="279">
        <v>2638</v>
      </c>
      <c r="AA33" s="282">
        <v>0</v>
      </c>
      <c r="AB33" s="282">
        <v>109</v>
      </c>
      <c r="AC33" s="282">
        <v>2747</v>
      </c>
      <c r="AD33" s="282">
        <v>9889</v>
      </c>
      <c r="AE33" s="279">
        <v>12636</v>
      </c>
      <c r="AF33" s="279">
        <v>12517</v>
      </c>
      <c r="AG33" s="283">
        <f t="shared" si="0"/>
        <v>25153</v>
      </c>
      <c r="AH33" s="71">
        <f t="shared" si="1"/>
        <v>0</v>
      </c>
    </row>
    <row r="34" spans="2:34" hidden="1" outlineLevel="1" x14ac:dyDescent="0.25">
      <c r="B34" s="223" t="s">
        <v>110</v>
      </c>
      <c r="C34" s="277" t="s">
        <v>213</v>
      </c>
      <c r="D34" s="278">
        <v>21110</v>
      </c>
      <c r="E34" s="220">
        <v>8396</v>
      </c>
      <c r="F34" s="220">
        <v>0</v>
      </c>
      <c r="G34" s="220">
        <v>0</v>
      </c>
      <c r="H34" s="279">
        <v>29506</v>
      </c>
      <c r="I34" s="278">
        <v>6984</v>
      </c>
      <c r="J34" s="220">
        <v>327</v>
      </c>
      <c r="K34" s="220">
        <v>384</v>
      </c>
      <c r="L34" s="220">
        <v>359</v>
      </c>
      <c r="M34" s="280">
        <v>0</v>
      </c>
      <c r="N34" s="279">
        <v>37201</v>
      </c>
      <c r="O34" s="281">
        <v>972</v>
      </c>
      <c r="P34" s="281">
        <v>0</v>
      </c>
      <c r="Q34" s="281">
        <v>0</v>
      </c>
      <c r="R34" s="281">
        <v>0</v>
      </c>
      <c r="S34" s="281">
        <v>0</v>
      </c>
      <c r="T34" s="279">
        <v>972</v>
      </c>
      <c r="U34" s="278">
        <v>10949</v>
      </c>
      <c r="V34" s="220">
        <v>0</v>
      </c>
      <c r="W34" s="220">
        <v>535</v>
      </c>
      <c r="X34" s="220">
        <v>112</v>
      </c>
      <c r="Y34" s="280">
        <v>0</v>
      </c>
      <c r="Z34" s="279">
        <v>11596</v>
      </c>
      <c r="AA34" s="282">
        <v>0</v>
      </c>
      <c r="AB34" s="282">
        <v>274</v>
      </c>
      <c r="AC34" s="282">
        <v>11870</v>
      </c>
      <c r="AD34" s="282">
        <v>9402</v>
      </c>
      <c r="AE34" s="279">
        <v>22244</v>
      </c>
      <c r="AF34" s="279">
        <v>14957</v>
      </c>
      <c r="AG34" s="283">
        <f t="shared" si="0"/>
        <v>37201</v>
      </c>
      <c r="AH34" s="71">
        <f t="shared" si="1"/>
        <v>0</v>
      </c>
    </row>
    <row r="35" spans="2:34" hidden="1" outlineLevel="1" x14ac:dyDescent="0.25">
      <c r="B35" s="223" t="s">
        <v>111</v>
      </c>
      <c r="C35" s="277" t="s">
        <v>214</v>
      </c>
      <c r="D35" s="278">
        <v>4801</v>
      </c>
      <c r="E35" s="220">
        <v>2378</v>
      </c>
      <c r="F35" s="220">
        <v>0</v>
      </c>
      <c r="G35" s="220">
        <v>0</v>
      </c>
      <c r="H35" s="279">
        <v>7179</v>
      </c>
      <c r="I35" s="278">
        <v>3892</v>
      </c>
      <c r="J35" s="220">
        <v>57</v>
      </c>
      <c r="K35" s="220">
        <v>147</v>
      </c>
      <c r="L35" s="220">
        <v>146</v>
      </c>
      <c r="M35" s="280">
        <v>0</v>
      </c>
      <c r="N35" s="279">
        <v>11275</v>
      </c>
      <c r="O35" s="281">
        <v>776</v>
      </c>
      <c r="P35" s="281">
        <v>0</v>
      </c>
      <c r="Q35" s="281">
        <v>0</v>
      </c>
      <c r="R35" s="281">
        <v>0</v>
      </c>
      <c r="S35" s="281">
        <v>0</v>
      </c>
      <c r="T35" s="279">
        <v>776</v>
      </c>
      <c r="U35" s="278">
        <v>4878</v>
      </c>
      <c r="V35" s="220">
        <v>0</v>
      </c>
      <c r="W35" s="220">
        <v>0</v>
      </c>
      <c r="X35" s="220">
        <v>1</v>
      </c>
      <c r="Y35" s="280">
        <v>0</v>
      </c>
      <c r="Z35" s="279">
        <v>4879</v>
      </c>
      <c r="AA35" s="282">
        <v>0</v>
      </c>
      <c r="AB35" s="282">
        <v>16</v>
      </c>
      <c r="AC35" s="282">
        <v>4895</v>
      </c>
      <c r="AD35" s="282">
        <v>1970</v>
      </c>
      <c r="AE35" s="279">
        <v>7641</v>
      </c>
      <c r="AF35" s="279">
        <v>3634</v>
      </c>
      <c r="AG35" s="283">
        <f t="shared" si="0"/>
        <v>11275</v>
      </c>
      <c r="AH35" s="71">
        <f t="shared" si="1"/>
        <v>0</v>
      </c>
    </row>
    <row r="36" spans="2:34" hidden="1" outlineLevel="1" x14ac:dyDescent="0.25">
      <c r="B36" s="223" t="s">
        <v>112</v>
      </c>
      <c r="C36" s="277" t="s">
        <v>215</v>
      </c>
      <c r="D36" s="278">
        <v>2196</v>
      </c>
      <c r="E36" s="220">
        <v>2893</v>
      </c>
      <c r="F36" s="220">
        <v>0</v>
      </c>
      <c r="G36" s="220">
        <v>0</v>
      </c>
      <c r="H36" s="279">
        <v>5089</v>
      </c>
      <c r="I36" s="278">
        <v>707</v>
      </c>
      <c r="J36" s="220">
        <v>332</v>
      </c>
      <c r="K36" s="220">
        <v>253</v>
      </c>
      <c r="L36" s="220">
        <v>241</v>
      </c>
      <c r="M36" s="280">
        <v>0</v>
      </c>
      <c r="N36" s="279">
        <v>6381</v>
      </c>
      <c r="O36" s="281">
        <v>985</v>
      </c>
      <c r="P36" s="281">
        <v>0</v>
      </c>
      <c r="Q36" s="281">
        <v>0</v>
      </c>
      <c r="R36" s="281">
        <v>0</v>
      </c>
      <c r="S36" s="281">
        <v>0</v>
      </c>
      <c r="T36" s="279">
        <v>985</v>
      </c>
      <c r="U36" s="278">
        <v>2168</v>
      </c>
      <c r="V36" s="220">
        <v>0</v>
      </c>
      <c r="W36" s="220">
        <v>0</v>
      </c>
      <c r="X36" s="220">
        <v>10</v>
      </c>
      <c r="Y36" s="280">
        <v>299</v>
      </c>
      <c r="Z36" s="279">
        <v>2477</v>
      </c>
      <c r="AA36" s="282">
        <v>0</v>
      </c>
      <c r="AB36" s="282">
        <v>14</v>
      </c>
      <c r="AC36" s="282">
        <v>2491</v>
      </c>
      <c r="AD36" s="282">
        <v>1671</v>
      </c>
      <c r="AE36" s="279">
        <v>5147</v>
      </c>
      <c r="AF36" s="279">
        <v>1234</v>
      </c>
      <c r="AG36" s="283">
        <f t="shared" si="0"/>
        <v>6381</v>
      </c>
      <c r="AH36" s="71">
        <f t="shared" si="1"/>
        <v>0</v>
      </c>
    </row>
    <row r="37" spans="2:34" hidden="1" outlineLevel="1" x14ac:dyDescent="0.25">
      <c r="B37" s="223" t="s">
        <v>113</v>
      </c>
      <c r="C37" s="277" t="s">
        <v>216</v>
      </c>
      <c r="D37" s="278">
        <v>12418</v>
      </c>
      <c r="E37" s="220">
        <v>6881</v>
      </c>
      <c r="F37" s="220">
        <v>0</v>
      </c>
      <c r="G37" s="220">
        <v>0</v>
      </c>
      <c r="H37" s="279">
        <v>19299</v>
      </c>
      <c r="I37" s="278">
        <v>1151</v>
      </c>
      <c r="J37" s="220">
        <v>74</v>
      </c>
      <c r="K37" s="220">
        <v>139</v>
      </c>
      <c r="L37" s="220">
        <v>122</v>
      </c>
      <c r="M37" s="280">
        <v>0</v>
      </c>
      <c r="N37" s="279">
        <v>20663</v>
      </c>
      <c r="O37" s="281">
        <v>37</v>
      </c>
      <c r="P37" s="281">
        <v>0</v>
      </c>
      <c r="Q37" s="281">
        <v>0</v>
      </c>
      <c r="R37" s="281">
        <v>0</v>
      </c>
      <c r="S37" s="281">
        <v>0</v>
      </c>
      <c r="T37" s="279">
        <v>37</v>
      </c>
      <c r="U37" s="278">
        <v>6606</v>
      </c>
      <c r="V37" s="220">
        <v>0</v>
      </c>
      <c r="W37" s="220">
        <v>0</v>
      </c>
      <c r="X37" s="220">
        <v>256</v>
      </c>
      <c r="Y37" s="280">
        <v>0</v>
      </c>
      <c r="Z37" s="279">
        <v>6862</v>
      </c>
      <c r="AA37" s="282">
        <v>0</v>
      </c>
      <c r="AB37" s="282">
        <v>46</v>
      </c>
      <c r="AC37" s="282">
        <v>6908</v>
      </c>
      <c r="AD37" s="282">
        <v>8824</v>
      </c>
      <c r="AE37" s="279">
        <v>15769</v>
      </c>
      <c r="AF37" s="279">
        <v>4894</v>
      </c>
      <c r="AG37" s="283">
        <f t="shared" si="0"/>
        <v>20663</v>
      </c>
      <c r="AH37" s="71">
        <f t="shared" si="1"/>
        <v>0</v>
      </c>
    </row>
    <row r="38" spans="2:34" hidden="1" outlineLevel="1" x14ac:dyDescent="0.25">
      <c r="B38" s="223" t="s">
        <v>114</v>
      </c>
      <c r="C38" s="277" t="s">
        <v>217</v>
      </c>
      <c r="D38" s="278">
        <v>4353</v>
      </c>
      <c r="E38" s="220">
        <v>341</v>
      </c>
      <c r="F38" s="220">
        <v>0</v>
      </c>
      <c r="G38" s="220">
        <v>0</v>
      </c>
      <c r="H38" s="279">
        <v>4694</v>
      </c>
      <c r="I38" s="278">
        <v>10</v>
      </c>
      <c r="J38" s="220">
        <v>2</v>
      </c>
      <c r="K38" s="220">
        <v>458</v>
      </c>
      <c r="L38" s="220">
        <v>457</v>
      </c>
      <c r="M38" s="280">
        <v>0</v>
      </c>
      <c r="N38" s="279">
        <v>5164</v>
      </c>
      <c r="O38" s="281">
        <v>305</v>
      </c>
      <c r="P38" s="281">
        <v>0</v>
      </c>
      <c r="Q38" s="281">
        <v>0</v>
      </c>
      <c r="R38" s="281">
        <v>0</v>
      </c>
      <c r="S38" s="281">
        <v>0</v>
      </c>
      <c r="T38" s="279">
        <v>305</v>
      </c>
      <c r="U38" s="278">
        <v>64</v>
      </c>
      <c r="V38" s="220">
        <v>0</v>
      </c>
      <c r="W38" s="220">
        <v>0</v>
      </c>
      <c r="X38" s="220">
        <v>79</v>
      </c>
      <c r="Y38" s="280">
        <v>0</v>
      </c>
      <c r="Z38" s="279">
        <v>143</v>
      </c>
      <c r="AA38" s="282">
        <v>0</v>
      </c>
      <c r="AB38" s="282">
        <v>-196</v>
      </c>
      <c r="AC38" s="282">
        <v>-53</v>
      </c>
      <c r="AD38" s="282">
        <v>1275</v>
      </c>
      <c r="AE38" s="279">
        <v>1527</v>
      </c>
      <c r="AF38" s="279">
        <v>3637</v>
      </c>
      <c r="AG38" s="283">
        <f t="shared" si="0"/>
        <v>5164</v>
      </c>
      <c r="AH38" s="71">
        <f t="shared" si="1"/>
        <v>0</v>
      </c>
    </row>
    <row r="39" spans="2:34" hidden="1" outlineLevel="1" x14ac:dyDescent="0.25">
      <c r="B39" s="223" t="s">
        <v>115</v>
      </c>
      <c r="C39" s="277" t="s">
        <v>218</v>
      </c>
      <c r="D39" s="278">
        <v>2391</v>
      </c>
      <c r="E39" s="220">
        <v>15043</v>
      </c>
      <c r="F39" s="220">
        <v>0</v>
      </c>
      <c r="G39" s="220">
        <v>0</v>
      </c>
      <c r="H39" s="279">
        <v>17434</v>
      </c>
      <c r="I39" s="278">
        <v>8646</v>
      </c>
      <c r="J39" s="220">
        <v>309</v>
      </c>
      <c r="K39" s="220">
        <v>1840</v>
      </c>
      <c r="L39" s="220">
        <v>1808</v>
      </c>
      <c r="M39" s="280">
        <v>0</v>
      </c>
      <c r="N39" s="279">
        <v>28229</v>
      </c>
      <c r="O39" s="281">
        <v>6242</v>
      </c>
      <c r="P39" s="281">
        <v>0</v>
      </c>
      <c r="Q39" s="281">
        <v>0</v>
      </c>
      <c r="R39" s="281">
        <v>0</v>
      </c>
      <c r="S39" s="281">
        <v>0</v>
      </c>
      <c r="T39" s="279">
        <v>6242</v>
      </c>
      <c r="U39" s="278">
        <v>4193</v>
      </c>
      <c r="V39" s="220">
        <v>0</v>
      </c>
      <c r="W39" s="220">
        <v>2338</v>
      </c>
      <c r="X39" s="220">
        <v>1953</v>
      </c>
      <c r="Y39" s="280">
        <v>179</v>
      </c>
      <c r="Z39" s="279">
        <v>8663</v>
      </c>
      <c r="AA39" s="282">
        <v>0</v>
      </c>
      <c r="AB39" s="282">
        <v>-265</v>
      </c>
      <c r="AC39" s="282">
        <v>8398</v>
      </c>
      <c r="AD39" s="282">
        <v>6542</v>
      </c>
      <c r="AE39" s="279">
        <v>21182</v>
      </c>
      <c r="AF39" s="279">
        <v>7047</v>
      </c>
      <c r="AG39" s="283">
        <f t="shared" si="0"/>
        <v>28229</v>
      </c>
      <c r="AH39" s="71">
        <f t="shared" si="1"/>
        <v>0</v>
      </c>
    </row>
    <row r="40" spans="2:34" hidden="1" outlineLevel="1" x14ac:dyDescent="0.25">
      <c r="B40" s="223" t="s">
        <v>116</v>
      </c>
      <c r="C40" s="277" t="s">
        <v>219</v>
      </c>
      <c r="D40" s="278">
        <v>6272</v>
      </c>
      <c r="E40" s="220">
        <v>3121</v>
      </c>
      <c r="F40" s="220">
        <v>0</v>
      </c>
      <c r="G40" s="220">
        <v>0</v>
      </c>
      <c r="H40" s="279">
        <v>9393</v>
      </c>
      <c r="I40" s="278">
        <v>1120</v>
      </c>
      <c r="J40" s="220">
        <v>199</v>
      </c>
      <c r="K40" s="220">
        <v>41</v>
      </c>
      <c r="L40" s="220">
        <v>25</v>
      </c>
      <c r="M40" s="280">
        <v>0</v>
      </c>
      <c r="N40" s="279">
        <v>10753</v>
      </c>
      <c r="O40" s="281">
        <v>0</v>
      </c>
      <c r="P40" s="281">
        <v>0</v>
      </c>
      <c r="Q40" s="281">
        <v>0</v>
      </c>
      <c r="R40" s="281">
        <v>0</v>
      </c>
      <c r="S40" s="281">
        <v>0</v>
      </c>
      <c r="T40" s="279">
        <v>0</v>
      </c>
      <c r="U40" s="278">
        <v>1684</v>
      </c>
      <c r="V40" s="220">
        <v>0</v>
      </c>
      <c r="W40" s="220">
        <v>15</v>
      </c>
      <c r="X40" s="220">
        <v>6</v>
      </c>
      <c r="Y40" s="280">
        <v>0</v>
      </c>
      <c r="Z40" s="279">
        <v>1705</v>
      </c>
      <c r="AA40" s="282">
        <v>0</v>
      </c>
      <c r="AB40" s="282">
        <v>21</v>
      </c>
      <c r="AC40" s="282">
        <v>1726</v>
      </c>
      <c r="AD40" s="282">
        <v>3499</v>
      </c>
      <c r="AE40" s="279">
        <v>5225</v>
      </c>
      <c r="AF40" s="279">
        <v>5528</v>
      </c>
      <c r="AG40" s="283">
        <f t="shared" si="0"/>
        <v>10753</v>
      </c>
      <c r="AH40" s="71">
        <f t="shared" si="1"/>
        <v>0</v>
      </c>
    </row>
    <row r="41" spans="2:34" hidden="1" outlineLevel="1" x14ac:dyDescent="0.25">
      <c r="B41" s="223" t="s">
        <v>117</v>
      </c>
      <c r="C41" s="277" t="s">
        <v>220</v>
      </c>
      <c r="D41" s="278">
        <v>9673</v>
      </c>
      <c r="E41" s="220">
        <v>8526</v>
      </c>
      <c r="F41" s="220">
        <v>0</v>
      </c>
      <c r="G41" s="220">
        <v>0</v>
      </c>
      <c r="H41" s="279">
        <v>18199</v>
      </c>
      <c r="I41" s="278">
        <v>3332</v>
      </c>
      <c r="J41" s="220">
        <v>570</v>
      </c>
      <c r="K41" s="220">
        <v>513</v>
      </c>
      <c r="L41" s="220">
        <v>481</v>
      </c>
      <c r="M41" s="280">
        <v>0</v>
      </c>
      <c r="N41" s="279">
        <v>22614</v>
      </c>
      <c r="O41" s="281">
        <v>1794</v>
      </c>
      <c r="P41" s="281">
        <v>0</v>
      </c>
      <c r="Q41" s="281">
        <v>0</v>
      </c>
      <c r="R41" s="281">
        <v>0</v>
      </c>
      <c r="S41" s="281">
        <v>0</v>
      </c>
      <c r="T41" s="279">
        <v>1794</v>
      </c>
      <c r="U41" s="278">
        <v>5822</v>
      </c>
      <c r="V41" s="220">
        <v>0</v>
      </c>
      <c r="W41" s="220">
        <v>185</v>
      </c>
      <c r="X41" s="220">
        <v>261</v>
      </c>
      <c r="Y41" s="280">
        <v>0</v>
      </c>
      <c r="Z41" s="279">
        <v>6268</v>
      </c>
      <c r="AA41" s="282">
        <v>0</v>
      </c>
      <c r="AB41" s="282">
        <v>261</v>
      </c>
      <c r="AC41" s="282">
        <v>6529</v>
      </c>
      <c r="AD41" s="282">
        <v>7703</v>
      </c>
      <c r="AE41" s="279">
        <v>16026</v>
      </c>
      <c r="AF41" s="279">
        <v>6588</v>
      </c>
      <c r="AG41" s="283">
        <f t="shared" si="0"/>
        <v>22614</v>
      </c>
      <c r="AH41" s="71">
        <f t="shared" si="1"/>
        <v>0</v>
      </c>
    </row>
    <row r="42" spans="2:34" hidden="1" outlineLevel="1" x14ac:dyDescent="0.25">
      <c r="B42" s="223" t="s">
        <v>118</v>
      </c>
      <c r="C42" s="277" t="s">
        <v>221</v>
      </c>
      <c r="D42" s="278">
        <v>5854</v>
      </c>
      <c r="E42" s="220">
        <v>5768</v>
      </c>
      <c r="F42" s="220">
        <v>0</v>
      </c>
      <c r="G42" s="220">
        <v>0</v>
      </c>
      <c r="H42" s="279">
        <v>11622</v>
      </c>
      <c r="I42" s="278">
        <v>3662</v>
      </c>
      <c r="J42" s="220">
        <v>255</v>
      </c>
      <c r="K42" s="220">
        <v>1065</v>
      </c>
      <c r="L42" s="220">
        <v>1057</v>
      </c>
      <c r="M42" s="280">
        <v>0</v>
      </c>
      <c r="N42" s="279">
        <v>16604</v>
      </c>
      <c r="O42" s="281">
        <v>681</v>
      </c>
      <c r="P42" s="281">
        <v>0</v>
      </c>
      <c r="Q42" s="281">
        <v>3975</v>
      </c>
      <c r="R42" s="281">
        <v>3975</v>
      </c>
      <c r="S42" s="281">
        <v>0</v>
      </c>
      <c r="T42" s="279">
        <v>4656</v>
      </c>
      <c r="U42" s="278">
        <v>1334</v>
      </c>
      <c r="V42" s="220">
        <v>0</v>
      </c>
      <c r="W42" s="220">
        <v>0</v>
      </c>
      <c r="X42" s="220">
        <v>876</v>
      </c>
      <c r="Y42" s="280">
        <v>0</v>
      </c>
      <c r="Z42" s="279">
        <v>2210</v>
      </c>
      <c r="AA42" s="282">
        <v>0</v>
      </c>
      <c r="AB42" s="282">
        <v>36</v>
      </c>
      <c r="AC42" s="282">
        <v>2246</v>
      </c>
      <c r="AD42" s="282">
        <v>5301</v>
      </c>
      <c r="AE42" s="279">
        <v>12203</v>
      </c>
      <c r="AF42" s="279">
        <v>4401</v>
      </c>
      <c r="AG42" s="283">
        <f t="shared" si="0"/>
        <v>16604</v>
      </c>
      <c r="AH42" s="71">
        <f t="shared" si="1"/>
        <v>0</v>
      </c>
    </row>
    <row r="43" spans="2:34" hidden="1" outlineLevel="1" x14ac:dyDescent="0.25">
      <c r="B43" s="223" t="s">
        <v>119</v>
      </c>
      <c r="C43" s="277" t="s">
        <v>222</v>
      </c>
      <c r="D43" s="278">
        <v>12612</v>
      </c>
      <c r="E43" s="220">
        <v>5587</v>
      </c>
      <c r="F43" s="220">
        <v>0</v>
      </c>
      <c r="G43" s="220">
        <v>0</v>
      </c>
      <c r="H43" s="279">
        <v>18199</v>
      </c>
      <c r="I43" s="278">
        <v>1449</v>
      </c>
      <c r="J43" s="220">
        <v>384</v>
      </c>
      <c r="K43" s="220">
        <v>164</v>
      </c>
      <c r="L43" s="220">
        <v>146</v>
      </c>
      <c r="M43" s="280">
        <v>0</v>
      </c>
      <c r="N43" s="279">
        <v>20196</v>
      </c>
      <c r="O43" s="281">
        <v>485</v>
      </c>
      <c r="P43" s="281">
        <v>0</v>
      </c>
      <c r="Q43" s="281">
        <v>0</v>
      </c>
      <c r="R43" s="281">
        <v>0</v>
      </c>
      <c r="S43" s="281">
        <v>0</v>
      </c>
      <c r="T43" s="279">
        <v>485</v>
      </c>
      <c r="U43" s="278">
        <v>1274</v>
      </c>
      <c r="V43" s="220">
        <v>0</v>
      </c>
      <c r="W43" s="220">
        <v>0</v>
      </c>
      <c r="X43" s="220">
        <v>367</v>
      </c>
      <c r="Y43" s="280">
        <v>0</v>
      </c>
      <c r="Z43" s="279">
        <v>1641</v>
      </c>
      <c r="AA43" s="282">
        <v>0</v>
      </c>
      <c r="AB43" s="282">
        <v>-269</v>
      </c>
      <c r="AC43" s="282">
        <v>1372</v>
      </c>
      <c r="AD43" s="282">
        <v>5838</v>
      </c>
      <c r="AE43" s="279">
        <v>7695</v>
      </c>
      <c r="AF43" s="279">
        <v>12501</v>
      </c>
      <c r="AG43" s="283">
        <f t="shared" si="0"/>
        <v>20196</v>
      </c>
      <c r="AH43" s="71">
        <f t="shared" si="1"/>
        <v>0</v>
      </c>
    </row>
    <row r="44" spans="2:34" hidden="1" outlineLevel="1" x14ac:dyDescent="0.25">
      <c r="B44" s="223" t="s">
        <v>120</v>
      </c>
      <c r="C44" s="277" t="s">
        <v>223</v>
      </c>
      <c r="D44" s="278">
        <v>31</v>
      </c>
      <c r="E44" s="220">
        <v>1328</v>
      </c>
      <c r="F44" s="220">
        <v>0</v>
      </c>
      <c r="G44" s="220">
        <v>0</v>
      </c>
      <c r="H44" s="279">
        <v>1359</v>
      </c>
      <c r="I44" s="278">
        <v>750</v>
      </c>
      <c r="J44" s="220">
        <v>59</v>
      </c>
      <c r="K44" s="220">
        <v>1</v>
      </c>
      <c r="L44" s="220">
        <v>0</v>
      </c>
      <c r="M44" s="280">
        <v>0</v>
      </c>
      <c r="N44" s="279">
        <v>2169</v>
      </c>
      <c r="O44" s="281">
        <v>0</v>
      </c>
      <c r="P44" s="281">
        <v>0</v>
      </c>
      <c r="Q44" s="281">
        <v>0</v>
      </c>
      <c r="R44" s="281">
        <v>0</v>
      </c>
      <c r="S44" s="281">
        <v>0</v>
      </c>
      <c r="T44" s="279">
        <v>0</v>
      </c>
      <c r="U44" s="278">
        <v>0</v>
      </c>
      <c r="V44" s="220">
        <v>0</v>
      </c>
      <c r="W44" s="220">
        <v>0</v>
      </c>
      <c r="X44" s="220">
        <v>0</v>
      </c>
      <c r="Y44" s="280">
        <v>0</v>
      </c>
      <c r="Z44" s="279">
        <v>0</v>
      </c>
      <c r="AA44" s="282">
        <v>0</v>
      </c>
      <c r="AB44" s="282">
        <v>30</v>
      </c>
      <c r="AC44" s="282">
        <v>30</v>
      </c>
      <c r="AD44" s="282">
        <v>86</v>
      </c>
      <c r="AE44" s="279">
        <v>116</v>
      </c>
      <c r="AF44" s="279">
        <v>2053</v>
      </c>
      <c r="AG44" s="283">
        <f t="shared" si="0"/>
        <v>2169</v>
      </c>
      <c r="AH44" s="71">
        <f t="shared" si="1"/>
        <v>0</v>
      </c>
    </row>
    <row r="45" spans="2:34" hidden="1" outlineLevel="1" x14ac:dyDescent="0.25">
      <c r="B45" s="223" t="s">
        <v>121</v>
      </c>
      <c r="C45" s="277" t="s">
        <v>224</v>
      </c>
      <c r="D45" s="278">
        <v>5494</v>
      </c>
      <c r="E45" s="220">
        <v>674</v>
      </c>
      <c r="F45" s="220">
        <v>0</v>
      </c>
      <c r="G45" s="220">
        <v>0</v>
      </c>
      <c r="H45" s="279">
        <v>6168</v>
      </c>
      <c r="I45" s="278">
        <v>278</v>
      </c>
      <c r="J45" s="220">
        <v>1183</v>
      </c>
      <c r="K45" s="220">
        <v>44</v>
      </c>
      <c r="L45" s="220">
        <v>19</v>
      </c>
      <c r="M45" s="280">
        <v>0</v>
      </c>
      <c r="N45" s="279">
        <v>7673</v>
      </c>
      <c r="O45" s="281">
        <v>201</v>
      </c>
      <c r="P45" s="281">
        <v>0</v>
      </c>
      <c r="Q45" s="281">
        <v>0</v>
      </c>
      <c r="R45" s="281">
        <v>0</v>
      </c>
      <c r="S45" s="281">
        <v>0</v>
      </c>
      <c r="T45" s="279">
        <v>201</v>
      </c>
      <c r="U45" s="281">
        <v>0</v>
      </c>
      <c r="V45" s="281">
        <v>0</v>
      </c>
      <c r="W45" s="281">
        <v>0</v>
      </c>
      <c r="X45" s="281">
        <v>0</v>
      </c>
      <c r="Y45" s="281">
        <v>0</v>
      </c>
      <c r="Z45" s="279">
        <v>0</v>
      </c>
      <c r="AA45" s="282">
        <v>0</v>
      </c>
      <c r="AB45" s="282">
        <v>0</v>
      </c>
      <c r="AC45" s="282">
        <v>0</v>
      </c>
      <c r="AD45" s="282">
        <v>541</v>
      </c>
      <c r="AE45" s="279">
        <v>742</v>
      </c>
      <c r="AF45" s="279">
        <v>6931</v>
      </c>
      <c r="AG45" s="283">
        <f t="shared" si="0"/>
        <v>7673</v>
      </c>
      <c r="AH45" s="71">
        <f t="shared" si="1"/>
        <v>0</v>
      </c>
    </row>
    <row r="46" spans="2:34" s="302" customFormat="1" hidden="1" outlineLevel="1" x14ac:dyDescent="0.25">
      <c r="B46" s="294" t="s">
        <v>122</v>
      </c>
      <c r="C46" s="295" t="s">
        <v>225</v>
      </c>
      <c r="D46" s="296">
        <v>6754</v>
      </c>
      <c r="E46" s="297">
        <v>2399</v>
      </c>
      <c r="F46" s="297">
        <v>0</v>
      </c>
      <c r="G46" s="297">
        <v>0</v>
      </c>
      <c r="H46" s="298">
        <v>9153</v>
      </c>
      <c r="I46" s="296">
        <v>477</v>
      </c>
      <c r="J46" s="297">
        <v>488</v>
      </c>
      <c r="K46" s="297">
        <v>329</v>
      </c>
      <c r="L46" s="297">
        <v>323</v>
      </c>
      <c r="M46" s="299">
        <v>0</v>
      </c>
      <c r="N46" s="298">
        <v>10447</v>
      </c>
      <c r="O46" s="300">
        <v>1878</v>
      </c>
      <c r="P46" s="300">
        <v>0</v>
      </c>
      <c r="Q46" s="300">
        <v>0</v>
      </c>
      <c r="R46" s="300">
        <v>0</v>
      </c>
      <c r="S46" s="300">
        <v>0</v>
      </c>
      <c r="T46" s="298">
        <v>1878</v>
      </c>
      <c r="U46" s="300">
        <v>0</v>
      </c>
      <c r="V46" s="300">
        <v>0</v>
      </c>
      <c r="W46" s="300">
        <v>0</v>
      </c>
      <c r="X46" s="300">
        <v>0</v>
      </c>
      <c r="Y46" s="300">
        <v>0</v>
      </c>
      <c r="Z46" s="298">
        <v>0</v>
      </c>
      <c r="AA46" s="301">
        <v>0</v>
      </c>
      <c r="AB46" s="301">
        <v>0</v>
      </c>
      <c r="AC46" s="301">
        <v>0</v>
      </c>
      <c r="AD46" s="301">
        <v>2847</v>
      </c>
      <c r="AE46" s="298">
        <v>4725</v>
      </c>
      <c r="AF46" s="298">
        <v>5722</v>
      </c>
      <c r="AG46" s="302">
        <f t="shared" si="0"/>
        <v>10447</v>
      </c>
      <c r="AH46" s="303">
        <f t="shared" si="1"/>
        <v>0</v>
      </c>
    </row>
    <row r="47" spans="2:34" s="312" customFormat="1" hidden="1" outlineLevel="1" x14ac:dyDescent="0.25">
      <c r="B47" s="304" t="s">
        <v>123</v>
      </c>
      <c r="C47" s="305" t="s">
        <v>226</v>
      </c>
      <c r="D47" s="306">
        <v>19667</v>
      </c>
      <c r="E47" s="307">
        <v>3674</v>
      </c>
      <c r="F47" s="307">
        <v>0</v>
      </c>
      <c r="G47" s="307">
        <v>0</v>
      </c>
      <c r="H47" s="308">
        <v>23341</v>
      </c>
      <c r="I47" s="306">
        <v>7756</v>
      </c>
      <c r="J47" s="307">
        <v>1155</v>
      </c>
      <c r="K47" s="307">
        <v>258</v>
      </c>
      <c r="L47" s="307">
        <v>246</v>
      </c>
      <c r="M47" s="309">
        <v>0</v>
      </c>
      <c r="N47" s="308">
        <v>32510</v>
      </c>
      <c r="O47" s="310">
        <v>1813</v>
      </c>
      <c r="P47" s="310">
        <v>0</v>
      </c>
      <c r="Q47" s="310">
        <v>0</v>
      </c>
      <c r="R47" s="310">
        <v>0</v>
      </c>
      <c r="S47" s="310">
        <v>0</v>
      </c>
      <c r="T47" s="308">
        <v>1813</v>
      </c>
      <c r="U47" s="310">
        <v>6</v>
      </c>
      <c r="V47" s="310">
        <v>0</v>
      </c>
      <c r="W47" s="310">
        <v>0</v>
      </c>
      <c r="X47" s="310">
        <v>0</v>
      </c>
      <c r="Y47" s="310">
        <v>0</v>
      </c>
      <c r="Z47" s="308">
        <v>6</v>
      </c>
      <c r="AA47" s="311">
        <v>0</v>
      </c>
      <c r="AB47" s="311">
        <v>201</v>
      </c>
      <c r="AC47" s="311">
        <v>207</v>
      </c>
      <c r="AD47" s="311">
        <v>2431</v>
      </c>
      <c r="AE47" s="308">
        <v>4451</v>
      </c>
      <c r="AF47" s="308">
        <v>28059</v>
      </c>
      <c r="AG47" s="312">
        <f t="shared" si="0"/>
        <v>32510</v>
      </c>
      <c r="AH47" s="313">
        <f t="shared" si="1"/>
        <v>0</v>
      </c>
    </row>
    <row r="48" spans="2:34" hidden="1" outlineLevel="1" x14ac:dyDescent="0.25">
      <c r="B48" s="223" t="s">
        <v>124</v>
      </c>
      <c r="C48" s="277" t="s">
        <v>227</v>
      </c>
      <c r="D48" s="278">
        <v>5172</v>
      </c>
      <c r="E48" s="220">
        <v>2044</v>
      </c>
      <c r="F48" s="220">
        <v>0</v>
      </c>
      <c r="G48" s="220">
        <v>0</v>
      </c>
      <c r="H48" s="279">
        <v>7216</v>
      </c>
      <c r="I48" s="278">
        <v>242</v>
      </c>
      <c r="J48" s="220">
        <v>368</v>
      </c>
      <c r="K48" s="220">
        <v>74</v>
      </c>
      <c r="L48" s="220">
        <v>49</v>
      </c>
      <c r="M48" s="280">
        <v>0</v>
      </c>
      <c r="N48" s="279">
        <v>7900</v>
      </c>
      <c r="O48" s="281">
        <v>414</v>
      </c>
      <c r="P48" s="281">
        <v>0</v>
      </c>
      <c r="Q48" s="281">
        <v>0</v>
      </c>
      <c r="R48" s="281">
        <v>0</v>
      </c>
      <c r="S48" s="281">
        <v>0</v>
      </c>
      <c r="T48" s="279">
        <v>414</v>
      </c>
      <c r="U48" s="281">
        <v>0</v>
      </c>
      <c r="V48" s="281">
        <v>0</v>
      </c>
      <c r="W48" s="281">
        <v>0</v>
      </c>
      <c r="X48" s="281">
        <v>0</v>
      </c>
      <c r="Y48" s="281">
        <v>0</v>
      </c>
      <c r="Z48" s="279">
        <v>0</v>
      </c>
      <c r="AA48" s="282">
        <v>0</v>
      </c>
      <c r="AB48" s="282">
        <v>-65</v>
      </c>
      <c r="AC48" s="282">
        <v>-65</v>
      </c>
      <c r="AD48" s="282">
        <v>2446</v>
      </c>
      <c r="AE48" s="279">
        <v>2795</v>
      </c>
      <c r="AF48" s="279">
        <v>5105</v>
      </c>
      <c r="AG48" s="283">
        <f t="shared" si="0"/>
        <v>7900</v>
      </c>
      <c r="AH48" s="71">
        <f t="shared" si="1"/>
        <v>0</v>
      </c>
    </row>
    <row r="49" spans="2:34" hidden="1" outlineLevel="1" x14ac:dyDescent="0.25">
      <c r="B49" s="223" t="s">
        <v>125</v>
      </c>
      <c r="C49" s="277" t="s">
        <v>228</v>
      </c>
      <c r="D49" s="278">
        <v>5118</v>
      </c>
      <c r="E49" s="220">
        <v>3447</v>
      </c>
      <c r="F49" s="220">
        <v>0</v>
      </c>
      <c r="G49" s="220">
        <v>0</v>
      </c>
      <c r="H49" s="279">
        <v>8565</v>
      </c>
      <c r="I49" s="278">
        <v>2191</v>
      </c>
      <c r="J49" s="220">
        <v>189</v>
      </c>
      <c r="K49" s="220">
        <v>635</v>
      </c>
      <c r="L49" s="220">
        <v>587</v>
      </c>
      <c r="M49" s="280">
        <v>0</v>
      </c>
      <c r="N49" s="279">
        <v>11580</v>
      </c>
      <c r="O49" s="281">
        <v>3543</v>
      </c>
      <c r="P49" s="281">
        <v>0</v>
      </c>
      <c r="Q49" s="281">
        <v>0</v>
      </c>
      <c r="R49" s="281">
        <v>0</v>
      </c>
      <c r="S49" s="281">
        <v>0</v>
      </c>
      <c r="T49" s="279">
        <v>3543</v>
      </c>
      <c r="U49" s="281">
        <v>0</v>
      </c>
      <c r="V49" s="281">
        <v>0</v>
      </c>
      <c r="W49" s="281">
        <v>0</v>
      </c>
      <c r="X49" s="281">
        <v>0</v>
      </c>
      <c r="Y49" s="281">
        <v>0</v>
      </c>
      <c r="Z49" s="279">
        <v>0</v>
      </c>
      <c r="AA49" s="282">
        <v>0</v>
      </c>
      <c r="AB49" s="282">
        <v>-62</v>
      </c>
      <c r="AC49" s="282">
        <v>-62</v>
      </c>
      <c r="AD49" s="282">
        <v>2466</v>
      </c>
      <c r="AE49" s="279">
        <v>5947</v>
      </c>
      <c r="AF49" s="279">
        <v>5633</v>
      </c>
      <c r="AG49" s="283">
        <f t="shared" si="0"/>
        <v>11580</v>
      </c>
      <c r="AH49" s="71">
        <f t="shared" si="1"/>
        <v>0</v>
      </c>
    </row>
    <row r="50" spans="2:34" hidden="1" outlineLevel="1" x14ac:dyDescent="0.25">
      <c r="B50" s="223" t="s">
        <v>126</v>
      </c>
      <c r="C50" s="277" t="s">
        <v>229</v>
      </c>
      <c r="D50" s="278">
        <v>1436</v>
      </c>
      <c r="E50" s="220">
        <v>2705</v>
      </c>
      <c r="F50" s="220">
        <v>0</v>
      </c>
      <c r="G50" s="220">
        <v>0</v>
      </c>
      <c r="H50" s="279">
        <v>4141</v>
      </c>
      <c r="I50" s="278">
        <v>1060</v>
      </c>
      <c r="J50" s="220">
        <v>274</v>
      </c>
      <c r="K50" s="220">
        <v>825</v>
      </c>
      <c r="L50" s="220">
        <v>761</v>
      </c>
      <c r="M50" s="280">
        <v>0</v>
      </c>
      <c r="N50" s="279">
        <v>6300</v>
      </c>
      <c r="O50" s="281">
        <v>4796</v>
      </c>
      <c r="P50" s="281">
        <v>0</v>
      </c>
      <c r="Q50" s="281">
        <v>0</v>
      </c>
      <c r="R50" s="281">
        <v>0</v>
      </c>
      <c r="S50" s="281">
        <v>0</v>
      </c>
      <c r="T50" s="279">
        <v>4796</v>
      </c>
      <c r="U50" s="281">
        <v>0</v>
      </c>
      <c r="V50" s="281">
        <v>0</v>
      </c>
      <c r="W50" s="281">
        <v>0</v>
      </c>
      <c r="X50" s="281">
        <v>0</v>
      </c>
      <c r="Y50" s="281">
        <v>0</v>
      </c>
      <c r="Z50" s="279">
        <v>0</v>
      </c>
      <c r="AA50" s="282">
        <v>0</v>
      </c>
      <c r="AB50" s="282">
        <v>-65</v>
      </c>
      <c r="AC50" s="282">
        <v>-65</v>
      </c>
      <c r="AD50" s="282">
        <v>1200</v>
      </c>
      <c r="AE50" s="279">
        <v>5931</v>
      </c>
      <c r="AF50" s="279">
        <v>369</v>
      </c>
      <c r="AG50" s="283">
        <f t="shared" si="0"/>
        <v>6300</v>
      </c>
      <c r="AH50" s="71">
        <f t="shared" si="1"/>
        <v>0</v>
      </c>
    </row>
    <row r="51" spans="2:34" hidden="1" outlineLevel="1" x14ac:dyDescent="0.25">
      <c r="B51" s="223" t="s">
        <v>127</v>
      </c>
      <c r="C51" s="277" t="s">
        <v>230</v>
      </c>
      <c r="D51" s="278">
        <v>11871</v>
      </c>
      <c r="E51" s="220">
        <v>3575</v>
      </c>
      <c r="F51" s="220">
        <v>0</v>
      </c>
      <c r="G51" s="220">
        <v>0</v>
      </c>
      <c r="H51" s="279">
        <v>15446</v>
      </c>
      <c r="I51" s="278">
        <v>2757</v>
      </c>
      <c r="J51" s="220">
        <v>642</v>
      </c>
      <c r="K51" s="220">
        <v>240</v>
      </c>
      <c r="L51" s="220">
        <v>225</v>
      </c>
      <c r="M51" s="280">
        <v>0</v>
      </c>
      <c r="N51" s="279">
        <v>19085</v>
      </c>
      <c r="O51" s="281">
        <v>1774</v>
      </c>
      <c r="P51" s="281">
        <v>0</v>
      </c>
      <c r="Q51" s="281">
        <v>0</v>
      </c>
      <c r="R51" s="281">
        <v>0</v>
      </c>
      <c r="S51" s="281">
        <v>0</v>
      </c>
      <c r="T51" s="279">
        <v>1774</v>
      </c>
      <c r="U51" s="281">
        <v>0</v>
      </c>
      <c r="V51" s="281">
        <v>0</v>
      </c>
      <c r="W51" s="281">
        <v>0</v>
      </c>
      <c r="X51" s="281">
        <v>0</v>
      </c>
      <c r="Y51" s="281">
        <v>0</v>
      </c>
      <c r="Z51" s="279">
        <v>0</v>
      </c>
      <c r="AA51" s="282">
        <v>0</v>
      </c>
      <c r="AB51" s="282">
        <v>-132</v>
      </c>
      <c r="AC51" s="282">
        <v>-132</v>
      </c>
      <c r="AD51" s="282">
        <v>2267</v>
      </c>
      <c r="AE51" s="279">
        <v>3909</v>
      </c>
      <c r="AF51" s="279">
        <v>15176</v>
      </c>
      <c r="AG51" s="283">
        <f t="shared" si="0"/>
        <v>19085</v>
      </c>
      <c r="AH51" s="71">
        <f t="shared" si="1"/>
        <v>0</v>
      </c>
    </row>
    <row r="52" spans="2:34" s="322" customFormat="1" hidden="1" outlineLevel="1" x14ac:dyDescent="0.25">
      <c r="B52" s="314" t="s">
        <v>128</v>
      </c>
      <c r="C52" s="315" t="s">
        <v>231</v>
      </c>
      <c r="D52" s="316">
        <v>9376</v>
      </c>
      <c r="E52" s="317">
        <v>5845</v>
      </c>
      <c r="F52" s="317">
        <v>0</v>
      </c>
      <c r="G52" s="317">
        <v>0</v>
      </c>
      <c r="H52" s="318">
        <v>15221</v>
      </c>
      <c r="I52" s="316">
        <v>419</v>
      </c>
      <c r="J52" s="317">
        <v>751</v>
      </c>
      <c r="K52" s="317">
        <v>22</v>
      </c>
      <c r="L52" s="317">
        <v>18</v>
      </c>
      <c r="M52" s="319">
        <v>0</v>
      </c>
      <c r="N52" s="318">
        <v>16413</v>
      </c>
      <c r="O52" s="320">
        <v>0</v>
      </c>
      <c r="P52" s="320">
        <v>0</v>
      </c>
      <c r="Q52" s="320">
        <v>0</v>
      </c>
      <c r="R52" s="320">
        <v>0</v>
      </c>
      <c r="S52" s="320">
        <v>0</v>
      </c>
      <c r="T52" s="318">
        <v>0</v>
      </c>
      <c r="U52" s="320">
        <v>0</v>
      </c>
      <c r="V52" s="320">
        <v>0</v>
      </c>
      <c r="W52" s="320">
        <v>0</v>
      </c>
      <c r="X52" s="320">
        <v>0</v>
      </c>
      <c r="Y52" s="320">
        <v>0</v>
      </c>
      <c r="Z52" s="318">
        <v>0</v>
      </c>
      <c r="AA52" s="321">
        <v>0</v>
      </c>
      <c r="AB52" s="321">
        <v>-100</v>
      </c>
      <c r="AC52" s="321">
        <v>-100</v>
      </c>
      <c r="AD52" s="321">
        <v>4913</v>
      </c>
      <c r="AE52" s="318">
        <v>4813</v>
      </c>
      <c r="AF52" s="318">
        <v>11600</v>
      </c>
      <c r="AG52" s="322">
        <f t="shared" si="0"/>
        <v>16413</v>
      </c>
      <c r="AH52" s="323">
        <f t="shared" si="1"/>
        <v>0</v>
      </c>
    </row>
    <row r="53" spans="2:34" s="322" customFormat="1" hidden="1" outlineLevel="1" x14ac:dyDescent="0.25">
      <c r="B53" s="314" t="s">
        <v>129</v>
      </c>
      <c r="C53" s="315" t="s">
        <v>232</v>
      </c>
      <c r="D53" s="316">
        <v>10532</v>
      </c>
      <c r="E53" s="317">
        <v>2729</v>
      </c>
      <c r="F53" s="317">
        <v>0</v>
      </c>
      <c r="G53" s="317">
        <v>0</v>
      </c>
      <c r="H53" s="318">
        <v>13261</v>
      </c>
      <c r="I53" s="316">
        <v>3185</v>
      </c>
      <c r="J53" s="317">
        <v>393</v>
      </c>
      <c r="K53" s="317">
        <v>840</v>
      </c>
      <c r="L53" s="317">
        <v>828</v>
      </c>
      <c r="M53" s="319">
        <v>0</v>
      </c>
      <c r="N53" s="318">
        <v>17679</v>
      </c>
      <c r="O53" s="320">
        <v>3920</v>
      </c>
      <c r="P53" s="320">
        <v>0</v>
      </c>
      <c r="Q53" s="320">
        <v>0</v>
      </c>
      <c r="R53" s="320">
        <v>0</v>
      </c>
      <c r="S53" s="320">
        <v>0</v>
      </c>
      <c r="T53" s="318">
        <v>3920</v>
      </c>
      <c r="U53" s="320">
        <v>0</v>
      </c>
      <c r="V53" s="320">
        <v>0</v>
      </c>
      <c r="W53" s="320">
        <v>0</v>
      </c>
      <c r="X53" s="320">
        <v>0</v>
      </c>
      <c r="Y53" s="320">
        <v>0</v>
      </c>
      <c r="Z53" s="318">
        <v>0</v>
      </c>
      <c r="AA53" s="321">
        <v>0</v>
      </c>
      <c r="AB53" s="321">
        <v>145</v>
      </c>
      <c r="AC53" s="321">
        <v>145</v>
      </c>
      <c r="AD53" s="321">
        <v>1784</v>
      </c>
      <c r="AE53" s="318">
        <v>5849</v>
      </c>
      <c r="AF53" s="318">
        <v>11830</v>
      </c>
      <c r="AG53" s="322">
        <f t="shared" si="0"/>
        <v>17679</v>
      </c>
      <c r="AH53" s="323">
        <f t="shared" si="1"/>
        <v>0</v>
      </c>
    </row>
    <row r="54" spans="2:34" s="332" customFormat="1" hidden="1" outlineLevel="1" x14ac:dyDescent="0.25">
      <c r="B54" s="324" t="s">
        <v>130</v>
      </c>
      <c r="C54" s="325" t="s">
        <v>233</v>
      </c>
      <c r="D54" s="326">
        <v>5993</v>
      </c>
      <c r="E54" s="327">
        <v>4433</v>
      </c>
      <c r="F54" s="327">
        <v>0</v>
      </c>
      <c r="G54" s="327">
        <v>0</v>
      </c>
      <c r="H54" s="328">
        <v>10426</v>
      </c>
      <c r="I54" s="326">
        <v>1096</v>
      </c>
      <c r="J54" s="327">
        <v>1053</v>
      </c>
      <c r="K54" s="327">
        <v>54</v>
      </c>
      <c r="L54" s="327">
        <v>12</v>
      </c>
      <c r="M54" s="329">
        <v>0</v>
      </c>
      <c r="N54" s="328">
        <v>12629</v>
      </c>
      <c r="O54" s="330">
        <v>98</v>
      </c>
      <c r="P54" s="330">
        <v>0</v>
      </c>
      <c r="Q54" s="330">
        <v>0</v>
      </c>
      <c r="R54" s="330">
        <v>0</v>
      </c>
      <c r="S54" s="330">
        <v>0</v>
      </c>
      <c r="T54" s="328">
        <v>98</v>
      </c>
      <c r="U54" s="330">
        <v>0</v>
      </c>
      <c r="V54" s="330">
        <v>0</v>
      </c>
      <c r="W54" s="330">
        <v>0</v>
      </c>
      <c r="X54" s="330">
        <v>0</v>
      </c>
      <c r="Y54" s="330">
        <v>0</v>
      </c>
      <c r="Z54" s="328">
        <v>0</v>
      </c>
      <c r="AA54" s="331">
        <v>0</v>
      </c>
      <c r="AB54" s="331">
        <v>0</v>
      </c>
      <c r="AC54" s="331">
        <v>0</v>
      </c>
      <c r="AD54" s="331">
        <v>2702</v>
      </c>
      <c r="AE54" s="328">
        <v>2800</v>
      </c>
      <c r="AF54" s="328">
        <v>9829</v>
      </c>
      <c r="AG54" s="332">
        <f t="shared" si="0"/>
        <v>12629</v>
      </c>
      <c r="AH54" s="333">
        <f t="shared" si="1"/>
        <v>0</v>
      </c>
    </row>
    <row r="55" spans="2:34" s="342" customFormat="1" hidden="1" outlineLevel="1" x14ac:dyDescent="0.25">
      <c r="B55" s="334" t="s">
        <v>131</v>
      </c>
      <c r="C55" s="335" t="s">
        <v>234</v>
      </c>
      <c r="D55" s="336">
        <v>23764</v>
      </c>
      <c r="E55" s="337">
        <v>17741</v>
      </c>
      <c r="F55" s="337">
        <v>0</v>
      </c>
      <c r="G55" s="337">
        <v>0</v>
      </c>
      <c r="H55" s="338">
        <v>41505</v>
      </c>
      <c r="I55" s="336">
        <v>2600</v>
      </c>
      <c r="J55" s="337">
        <v>661</v>
      </c>
      <c r="K55" s="337">
        <v>124</v>
      </c>
      <c r="L55" s="337">
        <v>70</v>
      </c>
      <c r="M55" s="339">
        <v>0</v>
      </c>
      <c r="N55" s="338">
        <v>44890</v>
      </c>
      <c r="O55" s="340">
        <v>20</v>
      </c>
      <c r="P55" s="340">
        <v>0</v>
      </c>
      <c r="Q55" s="340">
        <v>0</v>
      </c>
      <c r="R55" s="340">
        <v>0</v>
      </c>
      <c r="S55" s="340">
        <v>0</v>
      </c>
      <c r="T55" s="338">
        <v>20</v>
      </c>
      <c r="U55" s="340">
        <v>0</v>
      </c>
      <c r="V55" s="340">
        <v>0</v>
      </c>
      <c r="W55" s="340">
        <v>0</v>
      </c>
      <c r="X55" s="340">
        <v>0</v>
      </c>
      <c r="Y55" s="340">
        <v>0</v>
      </c>
      <c r="Z55" s="338">
        <v>0</v>
      </c>
      <c r="AA55" s="341">
        <v>0</v>
      </c>
      <c r="AB55" s="341">
        <v>0</v>
      </c>
      <c r="AC55" s="341">
        <v>0</v>
      </c>
      <c r="AD55" s="341">
        <v>18838</v>
      </c>
      <c r="AE55" s="338">
        <v>18858</v>
      </c>
      <c r="AF55" s="338">
        <v>26032</v>
      </c>
      <c r="AG55" s="342">
        <f t="shared" si="0"/>
        <v>44890</v>
      </c>
      <c r="AH55" s="343">
        <f t="shared" si="1"/>
        <v>0</v>
      </c>
    </row>
    <row r="56" spans="2:34" hidden="1" outlineLevel="1" x14ac:dyDescent="0.25">
      <c r="B56" s="223" t="s">
        <v>132</v>
      </c>
      <c r="C56" s="277" t="s">
        <v>235</v>
      </c>
      <c r="D56" s="278">
        <v>12207</v>
      </c>
      <c r="E56" s="220">
        <v>9903</v>
      </c>
      <c r="F56" s="220">
        <v>0</v>
      </c>
      <c r="G56" s="220">
        <v>0</v>
      </c>
      <c r="H56" s="279">
        <v>22110</v>
      </c>
      <c r="I56" s="278">
        <v>4191</v>
      </c>
      <c r="J56" s="220">
        <v>557</v>
      </c>
      <c r="K56" s="220">
        <v>453</v>
      </c>
      <c r="L56" s="220">
        <v>395</v>
      </c>
      <c r="M56" s="280">
        <v>0</v>
      </c>
      <c r="N56" s="279">
        <v>27311</v>
      </c>
      <c r="O56" s="281">
        <v>2726</v>
      </c>
      <c r="P56" s="281">
        <v>0</v>
      </c>
      <c r="Q56" s="281">
        <v>0</v>
      </c>
      <c r="R56" s="281">
        <v>0</v>
      </c>
      <c r="S56" s="281">
        <v>0</v>
      </c>
      <c r="T56" s="279">
        <v>2726</v>
      </c>
      <c r="U56" s="281">
        <v>0</v>
      </c>
      <c r="V56" s="281">
        <v>0</v>
      </c>
      <c r="W56" s="281">
        <v>0</v>
      </c>
      <c r="X56" s="281">
        <v>0</v>
      </c>
      <c r="Y56" s="281">
        <v>0</v>
      </c>
      <c r="Z56" s="279">
        <v>0</v>
      </c>
      <c r="AA56" s="282">
        <v>0</v>
      </c>
      <c r="AB56" s="282">
        <v>-160</v>
      </c>
      <c r="AC56" s="282">
        <v>-160</v>
      </c>
      <c r="AD56" s="282">
        <v>11755</v>
      </c>
      <c r="AE56" s="279">
        <v>14321</v>
      </c>
      <c r="AF56" s="279">
        <v>12990</v>
      </c>
      <c r="AG56" s="283">
        <f t="shared" si="0"/>
        <v>27311</v>
      </c>
      <c r="AH56" s="71">
        <f t="shared" si="1"/>
        <v>0</v>
      </c>
    </row>
    <row r="57" spans="2:34" hidden="1" outlineLevel="1" x14ac:dyDescent="0.25">
      <c r="B57" s="223" t="s">
        <v>133</v>
      </c>
      <c r="C57" s="277" t="s">
        <v>236</v>
      </c>
      <c r="D57" s="278">
        <v>425</v>
      </c>
      <c r="E57" s="220">
        <v>862</v>
      </c>
      <c r="F57" s="220">
        <v>0</v>
      </c>
      <c r="G57" s="220">
        <v>0</v>
      </c>
      <c r="H57" s="279">
        <v>1287</v>
      </c>
      <c r="I57" s="278">
        <v>39</v>
      </c>
      <c r="J57" s="220">
        <v>34</v>
      </c>
      <c r="K57" s="220">
        <v>5</v>
      </c>
      <c r="L57" s="220">
        <v>0</v>
      </c>
      <c r="M57" s="280">
        <v>0</v>
      </c>
      <c r="N57" s="279">
        <v>1365</v>
      </c>
      <c r="O57" s="281">
        <v>0</v>
      </c>
      <c r="P57" s="281">
        <v>0</v>
      </c>
      <c r="Q57" s="281">
        <v>0</v>
      </c>
      <c r="R57" s="281">
        <v>0</v>
      </c>
      <c r="S57" s="281">
        <v>0</v>
      </c>
      <c r="T57" s="279">
        <v>0</v>
      </c>
      <c r="U57" s="281">
        <v>0</v>
      </c>
      <c r="V57" s="281">
        <v>0</v>
      </c>
      <c r="W57" s="281">
        <v>0</v>
      </c>
      <c r="X57" s="281">
        <v>0</v>
      </c>
      <c r="Y57" s="281">
        <v>0</v>
      </c>
      <c r="Z57" s="279">
        <v>0</v>
      </c>
      <c r="AA57" s="282">
        <v>0</v>
      </c>
      <c r="AB57" s="282">
        <v>0</v>
      </c>
      <c r="AC57" s="282">
        <v>0</v>
      </c>
      <c r="AD57" s="282">
        <v>600</v>
      </c>
      <c r="AE57" s="279">
        <v>600</v>
      </c>
      <c r="AF57" s="279">
        <v>765</v>
      </c>
      <c r="AG57" s="283">
        <f t="shared" si="0"/>
        <v>1365</v>
      </c>
      <c r="AH57" s="71">
        <f t="shared" si="1"/>
        <v>0</v>
      </c>
    </row>
    <row r="58" spans="2:34" hidden="1" outlineLevel="1" x14ac:dyDescent="0.25">
      <c r="B58" s="223" t="s">
        <v>134</v>
      </c>
      <c r="C58" s="277" t="s">
        <v>237</v>
      </c>
      <c r="D58" s="278">
        <v>9614</v>
      </c>
      <c r="E58" s="220">
        <v>3799</v>
      </c>
      <c r="F58" s="220">
        <v>0</v>
      </c>
      <c r="G58" s="220">
        <v>0</v>
      </c>
      <c r="H58" s="279">
        <v>13413</v>
      </c>
      <c r="I58" s="278">
        <v>1030</v>
      </c>
      <c r="J58" s="220">
        <v>419</v>
      </c>
      <c r="K58" s="220">
        <v>376</v>
      </c>
      <c r="L58" s="220">
        <v>354</v>
      </c>
      <c r="M58" s="280">
        <v>0</v>
      </c>
      <c r="N58" s="279">
        <v>15238</v>
      </c>
      <c r="O58" s="281">
        <v>2156</v>
      </c>
      <c r="P58" s="281">
        <v>0</v>
      </c>
      <c r="Q58" s="281">
        <v>0</v>
      </c>
      <c r="R58" s="281">
        <v>0</v>
      </c>
      <c r="S58" s="281">
        <v>0</v>
      </c>
      <c r="T58" s="279">
        <v>2156</v>
      </c>
      <c r="U58" s="281">
        <v>0</v>
      </c>
      <c r="V58" s="281">
        <v>0</v>
      </c>
      <c r="W58" s="281">
        <v>0</v>
      </c>
      <c r="X58" s="281">
        <v>0</v>
      </c>
      <c r="Y58" s="281">
        <v>0</v>
      </c>
      <c r="Z58" s="279">
        <v>0</v>
      </c>
      <c r="AA58" s="282">
        <v>0</v>
      </c>
      <c r="AB58" s="282">
        <v>0</v>
      </c>
      <c r="AC58" s="282">
        <v>0</v>
      </c>
      <c r="AD58" s="282">
        <v>4820</v>
      </c>
      <c r="AE58" s="279">
        <v>6976</v>
      </c>
      <c r="AF58" s="279">
        <v>8262</v>
      </c>
      <c r="AG58" s="283">
        <f t="shared" si="0"/>
        <v>15238</v>
      </c>
      <c r="AH58" s="71">
        <f t="shared" si="1"/>
        <v>0</v>
      </c>
    </row>
    <row r="59" spans="2:34" s="352" customFormat="1" hidden="1" outlineLevel="1" x14ac:dyDescent="0.25">
      <c r="B59" s="344" t="s">
        <v>135</v>
      </c>
      <c r="C59" s="345" t="s">
        <v>238</v>
      </c>
      <c r="D59" s="346">
        <v>25169</v>
      </c>
      <c r="E59" s="347">
        <v>9041</v>
      </c>
      <c r="F59" s="347">
        <v>0</v>
      </c>
      <c r="G59" s="347">
        <v>0</v>
      </c>
      <c r="H59" s="348">
        <v>34210</v>
      </c>
      <c r="I59" s="346">
        <v>2072</v>
      </c>
      <c r="J59" s="347">
        <v>1189</v>
      </c>
      <c r="K59" s="347">
        <v>830</v>
      </c>
      <c r="L59" s="347">
        <v>768</v>
      </c>
      <c r="M59" s="349">
        <v>0</v>
      </c>
      <c r="N59" s="348">
        <v>38301</v>
      </c>
      <c r="O59" s="350">
        <v>5048</v>
      </c>
      <c r="P59" s="350">
        <v>0</v>
      </c>
      <c r="Q59" s="350">
        <v>0</v>
      </c>
      <c r="R59" s="350">
        <v>0</v>
      </c>
      <c r="S59" s="350">
        <v>0</v>
      </c>
      <c r="T59" s="348">
        <v>5048</v>
      </c>
      <c r="U59" s="350">
        <v>0</v>
      </c>
      <c r="V59" s="350">
        <v>0</v>
      </c>
      <c r="W59" s="350">
        <v>0</v>
      </c>
      <c r="X59" s="350">
        <v>0</v>
      </c>
      <c r="Y59" s="350">
        <v>0</v>
      </c>
      <c r="Z59" s="348">
        <v>0</v>
      </c>
      <c r="AA59" s="351">
        <v>0</v>
      </c>
      <c r="AB59" s="351">
        <v>0</v>
      </c>
      <c r="AC59" s="351">
        <v>0</v>
      </c>
      <c r="AD59" s="351">
        <v>7017</v>
      </c>
      <c r="AE59" s="348">
        <v>12065</v>
      </c>
      <c r="AF59" s="348">
        <v>26236</v>
      </c>
      <c r="AG59" s="352">
        <f t="shared" si="0"/>
        <v>38301</v>
      </c>
      <c r="AH59" s="353">
        <f t="shared" si="1"/>
        <v>0</v>
      </c>
    </row>
    <row r="60" spans="2:34" s="362" customFormat="1" hidden="1" outlineLevel="1" x14ac:dyDescent="0.25">
      <c r="B60" s="354" t="s">
        <v>136</v>
      </c>
      <c r="C60" s="355" t="s">
        <v>239</v>
      </c>
      <c r="D60" s="356">
        <v>27396</v>
      </c>
      <c r="E60" s="357">
        <v>14686</v>
      </c>
      <c r="F60" s="357">
        <v>0</v>
      </c>
      <c r="G60" s="357">
        <v>0</v>
      </c>
      <c r="H60" s="358">
        <v>42082</v>
      </c>
      <c r="I60" s="356">
        <v>2431</v>
      </c>
      <c r="J60" s="357">
        <v>965</v>
      </c>
      <c r="K60" s="357">
        <v>8</v>
      </c>
      <c r="L60" s="357">
        <v>5</v>
      </c>
      <c r="M60" s="359">
        <v>0</v>
      </c>
      <c r="N60" s="358">
        <v>45486</v>
      </c>
      <c r="O60" s="360">
        <v>0</v>
      </c>
      <c r="P60" s="360">
        <v>0</v>
      </c>
      <c r="Q60" s="360">
        <v>0</v>
      </c>
      <c r="R60" s="360">
        <v>0</v>
      </c>
      <c r="S60" s="360">
        <v>0</v>
      </c>
      <c r="T60" s="358">
        <v>0</v>
      </c>
      <c r="U60" s="360">
        <v>0</v>
      </c>
      <c r="V60" s="360">
        <v>0</v>
      </c>
      <c r="W60" s="360">
        <v>0</v>
      </c>
      <c r="X60" s="360">
        <v>0</v>
      </c>
      <c r="Y60" s="360">
        <v>0</v>
      </c>
      <c r="Z60" s="358">
        <v>0</v>
      </c>
      <c r="AA60" s="361">
        <v>0</v>
      </c>
      <c r="AB60" s="361">
        <v>80</v>
      </c>
      <c r="AC60" s="361">
        <v>80</v>
      </c>
      <c r="AD60" s="361">
        <v>16496</v>
      </c>
      <c r="AE60" s="358">
        <v>16576</v>
      </c>
      <c r="AF60" s="358">
        <v>28910</v>
      </c>
      <c r="AG60" s="362">
        <f t="shared" si="0"/>
        <v>45486</v>
      </c>
      <c r="AH60" s="363">
        <f t="shared" si="1"/>
        <v>0</v>
      </c>
    </row>
    <row r="61" spans="2:34" s="372" customFormat="1" hidden="1" outlineLevel="1" x14ac:dyDescent="0.25">
      <c r="B61" s="364" t="s">
        <v>137</v>
      </c>
      <c r="C61" s="365" t="s">
        <v>240</v>
      </c>
      <c r="D61" s="366">
        <v>12661</v>
      </c>
      <c r="E61" s="367">
        <v>12431</v>
      </c>
      <c r="F61" s="367">
        <v>0</v>
      </c>
      <c r="G61" s="367">
        <v>0</v>
      </c>
      <c r="H61" s="368">
        <v>25092</v>
      </c>
      <c r="I61" s="366">
        <v>1737</v>
      </c>
      <c r="J61" s="367">
        <v>361</v>
      </c>
      <c r="K61" s="367">
        <v>12</v>
      </c>
      <c r="L61" s="367">
        <v>0</v>
      </c>
      <c r="M61" s="369">
        <v>0</v>
      </c>
      <c r="N61" s="368">
        <v>27202</v>
      </c>
      <c r="O61" s="370">
        <v>164</v>
      </c>
      <c r="P61" s="370">
        <v>0</v>
      </c>
      <c r="Q61" s="370">
        <v>0</v>
      </c>
      <c r="R61" s="370">
        <v>0</v>
      </c>
      <c r="S61" s="370">
        <v>0</v>
      </c>
      <c r="T61" s="368">
        <v>164</v>
      </c>
      <c r="U61" s="370">
        <v>0</v>
      </c>
      <c r="V61" s="370">
        <v>0</v>
      </c>
      <c r="W61" s="370">
        <v>0</v>
      </c>
      <c r="X61" s="370">
        <v>0</v>
      </c>
      <c r="Y61" s="370">
        <v>0</v>
      </c>
      <c r="Z61" s="368">
        <v>0</v>
      </c>
      <c r="AA61" s="371">
        <v>330</v>
      </c>
      <c r="AB61" s="371">
        <v>0</v>
      </c>
      <c r="AC61" s="371">
        <v>330</v>
      </c>
      <c r="AD61" s="371">
        <v>9350</v>
      </c>
      <c r="AE61" s="368">
        <v>9844</v>
      </c>
      <c r="AF61" s="368">
        <v>17358</v>
      </c>
      <c r="AG61" s="372">
        <f t="shared" si="0"/>
        <v>27202</v>
      </c>
      <c r="AH61" s="373">
        <f t="shared" si="1"/>
        <v>0</v>
      </c>
    </row>
    <row r="62" spans="2:34" hidden="1" outlineLevel="1" x14ac:dyDescent="0.25">
      <c r="B62" s="223" t="s">
        <v>138</v>
      </c>
      <c r="C62" s="277" t="s">
        <v>241</v>
      </c>
      <c r="D62" s="278">
        <v>5547</v>
      </c>
      <c r="E62" s="220">
        <v>0</v>
      </c>
      <c r="F62" s="220">
        <v>0</v>
      </c>
      <c r="G62" s="220">
        <v>0</v>
      </c>
      <c r="H62" s="279">
        <v>5547</v>
      </c>
      <c r="I62" s="278">
        <v>15</v>
      </c>
      <c r="J62" s="220">
        <v>10</v>
      </c>
      <c r="K62" s="220">
        <v>0</v>
      </c>
      <c r="L62" s="220">
        <v>0</v>
      </c>
      <c r="M62" s="280">
        <v>0</v>
      </c>
      <c r="N62" s="279">
        <v>5572</v>
      </c>
      <c r="O62" s="281">
        <v>0</v>
      </c>
      <c r="P62" s="281">
        <v>0</v>
      </c>
      <c r="Q62" s="281">
        <v>0</v>
      </c>
      <c r="R62" s="281">
        <v>0</v>
      </c>
      <c r="S62" s="281">
        <v>0</v>
      </c>
      <c r="T62" s="279">
        <v>0</v>
      </c>
      <c r="U62" s="281">
        <v>0</v>
      </c>
      <c r="V62" s="281">
        <v>0</v>
      </c>
      <c r="W62" s="281">
        <v>0</v>
      </c>
      <c r="X62" s="281">
        <v>0</v>
      </c>
      <c r="Y62" s="281">
        <v>0</v>
      </c>
      <c r="Z62" s="279">
        <v>0</v>
      </c>
      <c r="AA62" s="282">
        <v>0</v>
      </c>
      <c r="AB62" s="282">
        <v>0</v>
      </c>
      <c r="AC62" s="282">
        <v>0</v>
      </c>
      <c r="AD62" s="282">
        <v>0</v>
      </c>
      <c r="AE62" s="279">
        <v>0</v>
      </c>
      <c r="AF62" s="279">
        <v>5572</v>
      </c>
      <c r="AG62" s="283">
        <f t="shared" si="0"/>
        <v>5572</v>
      </c>
      <c r="AH62" s="71">
        <f t="shared" si="1"/>
        <v>0</v>
      </c>
    </row>
    <row r="63" spans="2:34" hidden="1" outlineLevel="1" x14ac:dyDescent="0.25">
      <c r="B63" s="223" t="s">
        <v>139</v>
      </c>
      <c r="C63" s="277" t="s">
        <v>242</v>
      </c>
      <c r="D63" s="278">
        <v>28770</v>
      </c>
      <c r="E63" s="220">
        <v>0</v>
      </c>
      <c r="F63" s="220">
        <v>0</v>
      </c>
      <c r="G63" s="220">
        <v>0</v>
      </c>
      <c r="H63" s="279">
        <v>28770</v>
      </c>
      <c r="I63" s="278">
        <v>430</v>
      </c>
      <c r="J63" s="220">
        <v>0</v>
      </c>
      <c r="K63" s="220">
        <v>20</v>
      </c>
      <c r="L63" s="220">
        <v>20</v>
      </c>
      <c r="M63" s="280">
        <v>0</v>
      </c>
      <c r="N63" s="279">
        <v>29220</v>
      </c>
      <c r="O63" s="281">
        <v>0</v>
      </c>
      <c r="P63" s="281">
        <v>0</v>
      </c>
      <c r="Q63" s="281">
        <v>0</v>
      </c>
      <c r="R63" s="281">
        <v>0</v>
      </c>
      <c r="S63" s="281">
        <v>0</v>
      </c>
      <c r="T63" s="279">
        <v>0</v>
      </c>
      <c r="U63" s="281">
        <v>3417</v>
      </c>
      <c r="V63" s="281">
        <v>0</v>
      </c>
      <c r="W63" s="281">
        <v>0</v>
      </c>
      <c r="X63" s="281">
        <v>0</v>
      </c>
      <c r="Y63" s="281">
        <v>0</v>
      </c>
      <c r="Z63" s="279">
        <v>3417</v>
      </c>
      <c r="AA63" s="282">
        <v>0</v>
      </c>
      <c r="AB63" s="282">
        <v>0</v>
      </c>
      <c r="AC63" s="282">
        <v>3417</v>
      </c>
      <c r="AD63" s="282">
        <v>0</v>
      </c>
      <c r="AE63" s="279">
        <v>3417</v>
      </c>
      <c r="AF63" s="279">
        <v>25803</v>
      </c>
      <c r="AG63" s="283">
        <f t="shared" si="0"/>
        <v>29220</v>
      </c>
      <c r="AH63" s="71">
        <f t="shared" si="1"/>
        <v>0</v>
      </c>
    </row>
    <row r="64" spans="2:34" hidden="1" outlineLevel="1" x14ac:dyDescent="0.25">
      <c r="B64" s="223" t="s">
        <v>140</v>
      </c>
      <c r="C64" s="277" t="s">
        <v>243</v>
      </c>
      <c r="D64" s="278">
        <v>13506</v>
      </c>
      <c r="E64" s="220">
        <v>8507</v>
      </c>
      <c r="F64" s="220">
        <v>0</v>
      </c>
      <c r="G64" s="220">
        <v>0</v>
      </c>
      <c r="H64" s="279">
        <v>22013</v>
      </c>
      <c r="I64" s="278">
        <v>6411</v>
      </c>
      <c r="J64" s="220">
        <v>1659</v>
      </c>
      <c r="K64" s="220">
        <v>705</v>
      </c>
      <c r="L64" s="220">
        <v>672</v>
      </c>
      <c r="M64" s="280">
        <v>0</v>
      </c>
      <c r="N64" s="279">
        <v>30788</v>
      </c>
      <c r="O64" s="281">
        <v>4445</v>
      </c>
      <c r="P64" s="281">
        <v>0</v>
      </c>
      <c r="Q64" s="281">
        <v>0</v>
      </c>
      <c r="R64" s="281">
        <v>0</v>
      </c>
      <c r="S64" s="281">
        <v>0</v>
      </c>
      <c r="T64" s="279">
        <v>4445</v>
      </c>
      <c r="U64" s="281">
        <v>0</v>
      </c>
      <c r="V64" s="281">
        <v>0</v>
      </c>
      <c r="W64" s="281">
        <v>15</v>
      </c>
      <c r="X64" s="281">
        <v>0</v>
      </c>
      <c r="Y64" s="281">
        <v>0</v>
      </c>
      <c r="Z64" s="279">
        <v>15</v>
      </c>
      <c r="AA64" s="282">
        <v>0</v>
      </c>
      <c r="AB64" s="282">
        <v>130</v>
      </c>
      <c r="AC64" s="282">
        <v>145</v>
      </c>
      <c r="AD64" s="282">
        <v>7331</v>
      </c>
      <c r="AE64" s="279">
        <v>11921</v>
      </c>
      <c r="AF64" s="279">
        <v>18867</v>
      </c>
      <c r="AG64" s="283">
        <f t="shared" si="0"/>
        <v>30788</v>
      </c>
      <c r="AH64" s="71">
        <f t="shared" si="1"/>
        <v>0</v>
      </c>
    </row>
    <row r="65" spans="1:34" hidden="1" outlineLevel="1" x14ac:dyDescent="0.25">
      <c r="B65" s="223" t="s">
        <v>141</v>
      </c>
      <c r="C65" s="277" t="s">
        <v>244</v>
      </c>
      <c r="D65" s="278">
        <v>0</v>
      </c>
      <c r="E65" s="220">
        <v>0</v>
      </c>
      <c r="F65" s="220">
        <v>0</v>
      </c>
      <c r="G65" s="220">
        <v>0</v>
      </c>
      <c r="H65" s="279">
        <v>0</v>
      </c>
      <c r="I65" s="278">
        <v>0</v>
      </c>
      <c r="J65" s="220">
        <v>0</v>
      </c>
      <c r="K65" s="220">
        <v>0</v>
      </c>
      <c r="L65" s="220">
        <v>0</v>
      </c>
      <c r="M65" s="280">
        <v>0</v>
      </c>
      <c r="N65" s="279">
        <v>0</v>
      </c>
      <c r="O65" s="281">
        <v>0</v>
      </c>
      <c r="P65" s="281">
        <v>0</v>
      </c>
      <c r="Q65" s="281">
        <v>0</v>
      </c>
      <c r="R65" s="281">
        <v>0</v>
      </c>
      <c r="S65" s="281">
        <v>0</v>
      </c>
      <c r="T65" s="279">
        <v>0</v>
      </c>
      <c r="U65" s="281">
        <v>0</v>
      </c>
      <c r="V65" s="281">
        <v>0</v>
      </c>
      <c r="W65" s="281">
        <v>0</v>
      </c>
      <c r="X65" s="281">
        <v>0</v>
      </c>
      <c r="Y65" s="281">
        <v>0</v>
      </c>
      <c r="Z65" s="279">
        <v>0</v>
      </c>
      <c r="AA65" s="282">
        <v>0</v>
      </c>
      <c r="AB65" s="282">
        <v>0</v>
      </c>
      <c r="AC65" s="282">
        <v>0</v>
      </c>
      <c r="AD65" s="282">
        <v>0</v>
      </c>
      <c r="AE65" s="279">
        <v>0</v>
      </c>
      <c r="AF65" s="279">
        <v>0</v>
      </c>
      <c r="AG65" s="283">
        <f t="shared" si="0"/>
        <v>0</v>
      </c>
      <c r="AH65" s="71">
        <f t="shared" si="1"/>
        <v>0</v>
      </c>
    </row>
    <row r="66" spans="1:34" hidden="1" outlineLevel="1" x14ac:dyDescent="0.25">
      <c r="B66" s="223" t="s">
        <v>142</v>
      </c>
      <c r="C66" s="277" t="s">
        <v>245</v>
      </c>
      <c r="D66" s="278">
        <v>22509</v>
      </c>
      <c r="E66" s="220">
        <v>11409</v>
      </c>
      <c r="F66" s="220">
        <v>0</v>
      </c>
      <c r="G66" s="220">
        <v>0</v>
      </c>
      <c r="H66" s="279">
        <v>33918</v>
      </c>
      <c r="I66" s="278">
        <v>2023</v>
      </c>
      <c r="J66" s="220">
        <v>535</v>
      </c>
      <c r="K66" s="220">
        <v>898</v>
      </c>
      <c r="L66" s="220">
        <v>845</v>
      </c>
      <c r="M66" s="280">
        <v>0</v>
      </c>
      <c r="N66" s="279">
        <v>37374</v>
      </c>
      <c r="O66" s="281">
        <v>5058</v>
      </c>
      <c r="P66" s="281">
        <v>0</v>
      </c>
      <c r="Q66" s="281">
        <v>0</v>
      </c>
      <c r="R66" s="281">
        <v>0</v>
      </c>
      <c r="S66" s="281">
        <v>0</v>
      </c>
      <c r="T66" s="279">
        <v>5058</v>
      </c>
      <c r="U66" s="281">
        <v>2390</v>
      </c>
      <c r="V66" s="281">
        <v>0</v>
      </c>
      <c r="W66" s="281">
        <v>0</v>
      </c>
      <c r="X66" s="281">
        <v>6</v>
      </c>
      <c r="Y66" s="281">
        <v>0</v>
      </c>
      <c r="Z66" s="279">
        <v>2396</v>
      </c>
      <c r="AA66" s="282">
        <v>0</v>
      </c>
      <c r="AB66" s="282">
        <v>197</v>
      </c>
      <c r="AC66" s="282">
        <v>2593</v>
      </c>
      <c r="AD66" s="282">
        <v>12717</v>
      </c>
      <c r="AE66" s="279">
        <v>20368</v>
      </c>
      <c r="AF66" s="279">
        <v>17006</v>
      </c>
      <c r="AG66" s="283">
        <f t="shared" si="0"/>
        <v>37374</v>
      </c>
      <c r="AH66" s="71">
        <f t="shared" si="1"/>
        <v>0</v>
      </c>
    </row>
    <row r="67" spans="1:34" hidden="1" outlineLevel="1" x14ac:dyDescent="0.25">
      <c r="B67" s="223" t="s">
        <v>143</v>
      </c>
      <c r="C67" s="277" t="s">
        <v>246</v>
      </c>
      <c r="D67" s="278">
        <v>10364</v>
      </c>
      <c r="E67" s="220">
        <v>6170</v>
      </c>
      <c r="F67" s="220">
        <v>0</v>
      </c>
      <c r="G67" s="220">
        <v>0</v>
      </c>
      <c r="H67" s="279">
        <v>16534</v>
      </c>
      <c r="I67" s="278">
        <v>2893</v>
      </c>
      <c r="J67" s="220">
        <v>153</v>
      </c>
      <c r="K67" s="220">
        <v>42</v>
      </c>
      <c r="L67" s="220">
        <v>36</v>
      </c>
      <c r="M67" s="280">
        <v>0</v>
      </c>
      <c r="N67" s="279">
        <v>19622</v>
      </c>
      <c r="O67" s="281">
        <v>21</v>
      </c>
      <c r="P67" s="281">
        <v>0</v>
      </c>
      <c r="Q67" s="281">
        <v>0</v>
      </c>
      <c r="R67" s="281">
        <v>0</v>
      </c>
      <c r="S67" s="281">
        <v>0</v>
      </c>
      <c r="T67" s="279">
        <v>21</v>
      </c>
      <c r="U67" s="281">
        <v>8</v>
      </c>
      <c r="V67" s="281">
        <v>0</v>
      </c>
      <c r="W67" s="281">
        <v>0</v>
      </c>
      <c r="X67" s="281">
        <v>0</v>
      </c>
      <c r="Y67" s="281">
        <v>0</v>
      </c>
      <c r="Z67" s="279">
        <v>8</v>
      </c>
      <c r="AA67" s="282">
        <v>0</v>
      </c>
      <c r="AB67" s="282">
        <v>26</v>
      </c>
      <c r="AC67" s="282">
        <v>34</v>
      </c>
      <c r="AD67" s="282">
        <v>7440</v>
      </c>
      <c r="AE67" s="279">
        <v>7495</v>
      </c>
      <c r="AF67" s="279">
        <v>12127</v>
      </c>
      <c r="AG67" s="283">
        <f t="shared" si="0"/>
        <v>19622</v>
      </c>
      <c r="AH67" s="71">
        <f t="shared" si="1"/>
        <v>0</v>
      </c>
    </row>
    <row r="68" spans="1:34" s="247" customFormat="1" hidden="1" outlineLevel="1" x14ac:dyDescent="0.25">
      <c r="B68" s="260" t="s">
        <v>144</v>
      </c>
      <c r="C68" s="261" t="s">
        <v>247</v>
      </c>
      <c r="D68" s="262">
        <v>131</v>
      </c>
      <c r="E68" s="263">
        <v>1561</v>
      </c>
      <c r="F68" s="263">
        <v>0</v>
      </c>
      <c r="G68" s="263">
        <v>0</v>
      </c>
      <c r="H68" s="258">
        <v>1692</v>
      </c>
      <c r="I68" s="262">
        <v>67</v>
      </c>
      <c r="J68" s="263">
        <v>65</v>
      </c>
      <c r="K68" s="263">
        <v>34</v>
      </c>
      <c r="L68" s="263">
        <v>28</v>
      </c>
      <c r="M68" s="264">
        <v>0</v>
      </c>
      <c r="N68" s="258">
        <v>1858</v>
      </c>
      <c r="O68" s="256">
        <v>65</v>
      </c>
      <c r="P68" s="256">
        <v>0</v>
      </c>
      <c r="Q68" s="256">
        <v>0</v>
      </c>
      <c r="R68" s="256">
        <v>0</v>
      </c>
      <c r="S68" s="256">
        <v>0</v>
      </c>
      <c r="T68" s="258">
        <v>65</v>
      </c>
      <c r="U68" s="256">
        <v>0</v>
      </c>
      <c r="V68" s="256">
        <v>0</v>
      </c>
      <c r="W68" s="256">
        <v>0</v>
      </c>
      <c r="X68" s="256">
        <v>0</v>
      </c>
      <c r="Y68" s="256">
        <v>0</v>
      </c>
      <c r="Z68" s="258">
        <v>0</v>
      </c>
      <c r="AA68" s="265">
        <v>0</v>
      </c>
      <c r="AB68" s="265">
        <v>-26</v>
      </c>
      <c r="AC68" s="265">
        <v>-26</v>
      </c>
      <c r="AD68" s="265">
        <v>12</v>
      </c>
      <c r="AE68" s="258">
        <v>51</v>
      </c>
      <c r="AF68" s="258">
        <v>1807</v>
      </c>
      <c r="AG68" s="247">
        <f t="shared" si="0"/>
        <v>1858</v>
      </c>
      <c r="AH68" s="259">
        <f t="shared" si="1"/>
        <v>0</v>
      </c>
    </row>
    <row r="69" spans="1:34" s="374" customFormat="1" hidden="1" outlineLevel="1" x14ac:dyDescent="0.25">
      <c r="B69" s="375" t="s">
        <v>145</v>
      </c>
      <c r="C69" s="376" t="s">
        <v>248</v>
      </c>
      <c r="D69" s="377">
        <v>562</v>
      </c>
      <c r="E69" s="378">
        <v>43240</v>
      </c>
      <c r="F69" s="378">
        <v>0</v>
      </c>
      <c r="G69" s="378">
        <v>0</v>
      </c>
      <c r="H69" s="379">
        <v>43802</v>
      </c>
      <c r="I69" s="377">
        <v>42</v>
      </c>
      <c r="J69" s="378">
        <v>50</v>
      </c>
      <c r="K69" s="378">
        <v>22</v>
      </c>
      <c r="L69" s="378">
        <v>0</v>
      </c>
      <c r="M69" s="380">
        <v>0</v>
      </c>
      <c r="N69" s="379">
        <v>43916</v>
      </c>
      <c r="O69" s="381">
        <v>0</v>
      </c>
      <c r="P69" s="381">
        <v>0</v>
      </c>
      <c r="Q69" s="381">
        <v>0</v>
      </c>
      <c r="R69" s="381">
        <v>0</v>
      </c>
      <c r="S69" s="381">
        <v>0</v>
      </c>
      <c r="T69" s="379">
        <v>0</v>
      </c>
      <c r="U69" s="381">
        <v>0</v>
      </c>
      <c r="V69" s="381">
        <v>0</v>
      </c>
      <c r="W69" s="381">
        <v>0</v>
      </c>
      <c r="X69" s="381">
        <v>0</v>
      </c>
      <c r="Y69" s="381">
        <v>0</v>
      </c>
      <c r="Z69" s="379">
        <v>0</v>
      </c>
      <c r="AA69" s="382">
        <v>0</v>
      </c>
      <c r="AB69" s="382">
        <v>-9</v>
      </c>
      <c r="AC69" s="382">
        <v>-9</v>
      </c>
      <c r="AD69" s="382">
        <v>1775</v>
      </c>
      <c r="AE69" s="379">
        <v>1766</v>
      </c>
      <c r="AF69" s="379">
        <v>42150</v>
      </c>
      <c r="AG69" s="383">
        <f t="shared" si="0"/>
        <v>43916</v>
      </c>
      <c r="AH69" s="134">
        <f t="shared" si="1"/>
        <v>0</v>
      </c>
    </row>
    <row r="70" spans="1:34" hidden="1" outlineLevel="1" x14ac:dyDescent="0.25">
      <c r="B70" s="223" t="s">
        <v>146</v>
      </c>
      <c r="C70" s="277" t="s">
        <v>249</v>
      </c>
      <c r="D70" s="278">
        <v>0</v>
      </c>
      <c r="E70" s="220">
        <v>2</v>
      </c>
      <c r="F70" s="220">
        <v>0</v>
      </c>
      <c r="G70" s="220">
        <v>0</v>
      </c>
      <c r="H70" s="279">
        <v>2</v>
      </c>
      <c r="I70" s="278">
        <v>0</v>
      </c>
      <c r="J70" s="220">
        <v>0</v>
      </c>
      <c r="K70" s="220">
        <v>0</v>
      </c>
      <c r="L70" s="220">
        <v>0</v>
      </c>
      <c r="M70" s="280">
        <v>0</v>
      </c>
      <c r="N70" s="279">
        <v>2</v>
      </c>
      <c r="O70" s="281">
        <v>0</v>
      </c>
      <c r="P70" s="281">
        <v>0</v>
      </c>
      <c r="Q70" s="281">
        <v>0</v>
      </c>
      <c r="R70" s="281">
        <v>0</v>
      </c>
      <c r="S70" s="281">
        <v>0</v>
      </c>
      <c r="T70" s="279">
        <v>0</v>
      </c>
      <c r="U70" s="281">
        <v>0</v>
      </c>
      <c r="V70" s="281">
        <v>0</v>
      </c>
      <c r="W70" s="281">
        <v>0</v>
      </c>
      <c r="X70" s="281">
        <v>0</v>
      </c>
      <c r="Y70" s="281">
        <v>0</v>
      </c>
      <c r="Z70" s="279">
        <v>0</v>
      </c>
      <c r="AA70" s="282">
        <v>0</v>
      </c>
      <c r="AB70" s="282">
        <v>0</v>
      </c>
      <c r="AC70" s="282">
        <v>0</v>
      </c>
      <c r="AD70" s="282">
        <v>0</v>
      </c>
      <c r="AE70" s="279">
        <v>0</v>
      </c>
      <c r="AF70" s="279">
        <v>2</v>
      </c>
      <c r="AG70" s="283">
        <f t="shared" ref="AG70:AG122" si="2">SUM(AE70:AF70)</f>
        <v>2</v>
      </c>
      <c r="AH70" s="71">
        <f t="shared" ref="AH70:AH124" si="3">AG70-N70</f>
        <v>0</v>
      </c>
    </row>
    <row r="71" spans="1:34" hidden="1" outlineLevel="1" x14ac:dyDescent="0.25">
      <c r="B71" s="223" t="s">
        <v>147</v>
      </c>
      <c r="C71" s="277" t="s">
        <v>250</v>
      </c>
      <c r="D71" s="278">
        <v>4049</v>
      </c>
      <c r="E71" s="220">
        <v>2031</v>
      </c>
      <c r="F71" s="220">
        <v>0</v>
      </c>
      <c r="G71" s="220">
        <v>0</v>
      </c>
      <c r="H71" s="279">
        <v>6080</v>
      </c>
      <c r="I71" s="278">
        <v>0</v>
      </c>
      <c r="J71" s="220">
        <v>14</v>
      </c>
      <c r="K71" s="220">
        <v>42</v>
      </c>
      <c r="L71" s="220">
        <v>42</v>
      </c>
      <c r="M71" s="280">
        <v>0</v>
      </c>
      <c r="N71" s="279">
        <v>6136</v>
      </c>
      <c r="O71" s="281">
        <v>1</v>
      </c>
      <c r="P71" s="281">
        <v>0</v>
      </c>
      <c r="Q71" s="281">
        <v>0</v>
      </c>
      <c r="R71" s="281">
        <v>0</v>
      </c>
      <c r="S71" s="281">
        <v>0</v>
      </c>
      <c r="T71" s="279">
        <v>1</v>
      </c>
      <c r="U71" s="281">
        <v>0</v>
      </c>
      <c r="V71" s="281">
        <v>0</v>
      </c>
      <c r="W71" s="281">
        <v>0</v>
      </c>
      <c r="X71" s="281">
        <v>0</v>
      </c>
      <c r="Y71" s="281">
        <v>0</v>
      </c>
      <c r="Z71" s="279">
        <v>0</v>
      </c>
      <c r="AA71" s="282">
        <v>0</v>
      </c>
      <c r="AB71" s="282">
        <v>0</v>
      </c>
      <c r="AC71" s="282">
        <v>0</v>
      </c>
      <c r="AD71" s="282">
        <v>1584</v>
      </c>
      <c r="AE71" s="279">
        <v>1585</v>
      </c>
      <c r="AF71" s="279">
        <v>4551</v>
      </c>
      <c r="AG71" s="283">
        <f t="shared" si="2"/>
        <v>6136</v>
      </c>
      <c r="AH71" s="71">
        <f t="shared" si="3"/>
        <v>0</v>
      </c>
    </row>
    <row r="72" spans="1:34" s="384" customFormat="1" hidden="1" outlineLevel="1" x14ac:dyDescent="0.25">
      <c r="B72" s="385" t="s">
        <v>148</v>
      </c>
      <c r="C72" s="386" t="s">
        <v>251</v>
      </c>
      <c r="D72" s="387">
        <v>49961</v>
      </c>
      <c r="E72" s="388">
        <v>17560</v>
      </c>
      <c r="F72" s="388">
        <v>0</v>
      </c>
      <c r="G72" s="388">
        <v>0</v>
      </c>
      <c r="H72" s="389">
        <v>67521</v>
      </c>
      <c r="I72" s="387">
        <v>13188</v>
      </c>
      <c r="J72" s="388">
        <v>2468</v>
      </c>
      <c r="K72" s="388">
        <v>34305</v>
      </c>
      <c r="L72" s="388">
        <v>9330</v>
      </c>
      <c r="M72" s="390">
        <v>0</v>
      </c>
      <c r="N72" s="389">
        <v>117482</v>
      </c>
      <c r="O72" s="391">
        <v>43742</v>
      </c>
      <c r="P72" s="391">
        <v>0</v>
      </c>
      <c r="Q72" s="391">
        <v>0</v>
      </c>
      <c r="R72" s="391">
        <v>0</v>
      </c>
      <c r="S72" s="391">
        <v>0</v>
      </c>
      <c r="T72" s="389">
        <v>43742</v>
      </c>
      <c r="U72" s="391">
        <v>0</v>
      </c>
      <c r="V72" s="391">
        <v>0</v>
      </c>
      <c r="W72" s="391">
        <v>0</v>
      </c>
      <c r="X72" s="391">
        <v>0</v>
      </c>
      <c r="Y72" s="391">
        <v>0</v>
      </c>
      <c r="Z72" s="389">
        <v>0</v>
      </c>
      <c r="AA72" s="392">
        <v>0</v>
      </c>
      <c r="AB72" s="392">
        <v>-209</v>
      </c>
      <c r="AC72" s="392">
        <v>-209</v>
      </c>
      <c r="AD72" s="392">
        <v>12886</v>
      </c>
      <c r="AE72" s="389">
        <v>56419</v>
      </c>
      <c r="AF72" s="389">
        <v>61063</v>
      </c>
      <c r="AG72" s="384">
        <f t="shared" si="2"/>
        <v>117482</v>
      </c>
      <c r="AH72" s="393">
        <f t="shared" si="3"/>
        <v>0</v>
      </c>
    </row>
    <row r="73" spans="1:34" s="394" customFormat="1" hidden="1" outlineLevel="1" x14ac:dyDescent="0.25">
      <c r="B73" s="395" t="s">
        <v>149</v>
      </c>
      <c r="C73" s="396" t="s">
        <v>252</v>
      </c>
      <c r="D73" s="397">
        <v>46037</v>
      </c>
      <c r="E73" s="398">
        <v>548</v>
      </c>
      <c r="F73" s="398">
        <v>0</v>
      </c>
      <c r="G73" s="398">
        <v>0</v>
      </c>
      <c r="H73" s="399">
        <v>46585</v>
      </c>
      <c r="I73" s="397">
        <v>0</v>
      </c>
      <c r="J73" s="398">
        <v>0</v>
      </c>
      <c r="K73" s="398">
        <v>6640</v>
      </c>
      <c r="L73" s="398">
        <v>3199</v>
      </c>
      <c r="M73" s="400">
        <v>-1535</v>
      </c>
      <c r="N73" s="399">
        <v>51690</v>
      </c>
      <c r="O73" s="401">
        <v>17844</v>
      </c>
      <c r="P73" s="401">
        <v>0</v>
      </c>
      <c r="Q73" s="401">
        <v>0</v>
      </c>
      <c r="R73" s="401">
        <v>0</v>
      </c>
      <c r="S73" s="401">
        <v>0</v>
      </c>
      <c r="T73" s="399">
        <v>17844</v>
      </c>
      <c r="U73" s="401">
        <v>0</v>
      </c>
      <c r="V73" s="401">
        <v>0</v>
      </c>
      <c r="W73" s="401">
        <v>0</v>
      </c>
      <c r="X73" s="401">
        <v>0</v>
      </c>
      <c r="Y73" s="401">
        <v>0</v>
      </c>
      <c r="Z73" s="399">
        <v>0</v>
      </c>
      <c r="AA73" s="402">
        <v>0</v>
      </c>
      <c r="AB73" s="402">
        <v>0</v>
      </c>
      <c r="AC73" s="402">
        <v>0</v>
      </c>
      <c r="AD73" s="402">
        <v>3122</v>
      </c>
      <c r="AE73" s="399">
        <v>20966</v>
      </c>
      <c r="AF73" s="399">
        <v>30724</v>
      </c>
      <c r="AG73" s="394">
        <f t="shared" si="2"/>
        <v>51690</v>
      </c>
      <c r="AH73" s="403">
        <f t="shared" si="3"/>
        <v>0</v>
      </c>
    </row>
    <row r="74" spans="1:34" s="404" customFormat="1" hidden="1" outlineLevel="1" x14ac:dyDescent="0.25">
      <c r="B74" s="405" t="s">
        <v>746</v>
      </c>
      <c r="C74" s="406" t="s">
        <v>253</v>
      </c>
      <c r="D74" s="407">
        <v>23843</v>
      </c>
      <c r="E74" s="408">
        <v>0</v>
      </c>
      <c r="F74" s="408">
        <v>0</v>
      </c>
      <c r="G74" s="408">
        <v>0</v>
      </c>
      <c r="H74" s="409">
        <v>23843</v>
      </c>
      <c r="I74" s="407">
        <v>0</v>
      </c>
      <c r="J74" s="408">
        <v>1626</v>
      </c>
      <c r="K74" s="408">
        <v>2034</v>
      </c>
      <c r="L74" s="408">
        <v>1827</v>
      </c>
      <c r="M74" s="410">
        <v>0</v>
      </c>
      <c r="N74" s="409">
        <v>27503</v>
      </c>
      <c r="O74" s="411">
        <v>10467</v>
      </c>
      <c r="P74" s="411">
        <v>0</v>
      </c>
      <c r="Q74" s="411">
        <v>5</v>
      </c>
      <c r="R74" s="411">
        <v>5</v>
      </c>
      <c r="S74" s="411">
        <v>0</v>
      </c>
      <c r="T74" s="409">
        <v>10472</v>
      </c>
      <c r="U74" s="411">
        <v>0</v>
      </c>
      <c r="V74" s="411">
        <v>0</v>
      </c>
      <c r="W74" s="411">
        <v>0</v>
      </c>
      <c r="X74" s="411">
        <v>0</v>
      </c>
      <c r="Y74" s="411">
        <v>0</v>
      </c>
      <c r="Z74" s="409">
        <v>0</v>
      </c>
      <c r="AA74" s="412">
        <v>0</v>
      </c>
      <c r="AB74" s="412">
        <v>0</v>
      </c>
      <c r="AC74" s="412">
        <v>0</v>
      </c>
      <c r="AD74" s="412">
        <v>0</v>
      </c>
      <c r="AE74" s="409">
        <v>10472</v>
      </c>
      <c r="AF74" s="409">
        <v>17031</v>
      </c>
      <c r="AG74" s="404">
        <f t="shared" si="2"/>
        <v>27503</v>
      </c>
      <c r="AH74" s="413">
        <f t="shared" si="3"/>
        <v>0</v>
      </c>
    </row>
    <row r="75" spans="1:34" hidden="1" outlineLevel="1" x14ac:dyDescent="0.25">
      <c r="B75" s="223" t="s">
        <v>151</v>
      </c>
      <c r="C75" s="277" t="s">
        <v>254</v>
      </c>
      <c r="D75" s="278">
        <v>8873</v>
      </c>
      <c r="E75" s="220">
        <v>0</v>
      </c>
      <c r="F75" s="220">
        <v>0</v>
      </c>
      <c r="G75" s="220">
        <v>0</v>
      </c>
      <c r="H75" s="279">
        <v>8873</v>
      </c>
      <c r="I75" s="278">
        <v>0</v>
      </c>
      <c r="J75" s="220">
        <v>0</v>
      </c>
      <c r="K75" s="220">
        <v>581</v>
      </c>
      <c r="L75" s="220">
        <v>262</v>
      </c>
      <c r="M75" s="280">
        <v>0</v>
      </c>
      <c r="N75" s="279">
        <v>9454</v>
      </c>
      <c r="O75" s="281">
        <v>3879</v>
      </c>
      <c r="P75" s="281">
        <v>0</v>
      </c>
      <c r="Q75" s="281">
        <v>0</v>
      </c>
      <c r="R75" s="281">
        <v>0</v>
      </c>
      <c r="S75" s="281">
        <v>0</v>
      </c>
      <c r="T75" s="279">
        <v>3879</v>
      </c>
      <c r="U75" s="281">
        <v>0</v>
      </c>
      <c r="V75" s="281">
        <v>0</v>
      </c>
      <c r="W75" s="281">
        <v>0</v>
      </c>
      <c r="X75" s="281">
        <v>0</v>
      </c>
      <c r="Y75" s="281">
        <v>0</v>
      </c>
      <c r="Z75" s="279">
        <v>0</v>
      </c>
      <c r="AA75" s="282">
        <v>0</v>
      </c>
      <c r="AB75" s="282">
        <v>0</v>
      </c>
      <c r="AC75" s="282">
        <v>0</v>
      </c>
      <c r="AD75" s="282">
        <v>0</v>
      </c>
      <c r="AE75" s="279">
        <v>3879</v>
      </c>
      <c r="AF75" s="279">
        <v>5575</v>
      </c>
      <c r="AG75" s="283">
        <f t="shared" si="2"/>
        <v>9454</v>
      </c>
      <c r="AH75" s="71">
        <f t="shared" si="3"/>
        <v>0</v>
      </c>
    </row>
    <row r="76" spans="1:34" s="414" customFormat="1" hidden="1" outlineLevel="1" x14ac:dyDescent="0.25">
      <c r="B76" s="415" t="s">
        <v>69</v>
      </c>
      <c r="C76" s="416" t="s">
        <v>255</v>
      </c>
      <c r="D76" s="417">
        <v>180449</v>
      </c>
      <c r="E76" s="418">
        <v>0</v>
      </c>
      <c r="F76" s="418">
        <v>0</v>
      </c>
      <c r="G76" s="418">
        <v>0</v>
      </c>
      <c r="H76" s="419">
        <v>180449</v>
      </c>
      <c r="I76" s="417">
        <v>0</v>
      </c>
      <c r="J76" s="418">
        <v>0</v>
      </c>
      <c r="K76" s="418">
        <v>16902</v>
      </c>
      <c r="L76" s="418">
        <v>16105</v>
      </c>
      <c r="M76" s="420">
        <v>-69</v>
      </c>
      <c r="N76" s="419">
        <v>197282</v>
      </c>
      <c r="O76" s="421">
        <v>10499</v>
      </c>
      <c r="P76" s="421">
        <v>0</v>
      </c>
      <c r="Q76" s="421">
        <v>0</v>
      </c>
      <c r="R76" s="421">
        <v>0</v>
      </c>
      <c r="S76" s="421">
        <v>0</v>
      </c>
      <c r="T76" s="419">
        <v>10499</v>
      </c>
      <c r="U76" s="421">
        <v>30770</v>
      </c>
      <c r="V76" s="421">
        <v>77701</v>
      </c>
      <c r="W76" s="421">
        <v>8271</v>
      </c>
      <c r="X76" s="421">
        <v>27710</v>
      </c>
      <c r="Y76" s="421">
        <v>1303</v>
      </c>
      <c r="Z76" s="419">
        <v>145755</v>
      </c>
      <c r="AA76" s="422">
        <v>0</v>
      </c>
      <c r="AB76" s="422">
        <v>0</v>
      </c>
      <c r="AC76" s="422">
        <v>145755</v>
      </c>
      <c r="AD76" s="422">
        <v>0</v>
      </c>
      <c r="AE76" s="419">
        <v>156254</v>
      </c>
      <c r="AF76" s="419">
        <v>41028</v>
      </c>
      <c r="AG76" s="414">
        <f t="shared" si="2"/>
        <v>197282</v>
      </c>
      <c r="AH76" s="423">
        <f t="shared" si="3"/>
        <v>0</v>
      </c>
    </row>
    <row r="77" spans="1:34" s="414" customFormat="1" hidden="1" outlineLevel="1" x14ac:dyDescent="0.25">
      <c r="B77" s="415" t="s">
        <v>70</v>
      </c>
      <c r="C77" s="416" t="s">
        <v>256</v>
      </c>
      <c r="D77" s="417">
        <v>49282</v>
      </c>
      <c r="E77" s="418">
        <v>0</v>
      </c>
      <c r="F77" s="418">
        <v>0</v>
      </c>
      <c r="G77" s="418">
        <v>0</v>
      </c>
      <c r="H77" s="419">
        <v>49282</v>
      </c>
      <c r="I77" s="417">
        <v>0</v>
      </c>
      <c r="J77" s="418">
        <v>0</v>
      </c>
      <c r="K77" s="418">
        <v>4840</v>
      </c>
      <c r="L77" s="418">
        <v>4839</v>
      </c>
      <c r="M77" s="420">
        <v>0</v>
      </c>
      <c r="N77" s="419">
        <v>54122</v>
      </c>
      <c r="O77" s="421">
        <v>0</v>
      </c>
      <c r="P77" s="421">
        <v>0</v>
      </c>
      <c r="Q77" s="421">
        <v>0</v>
      </c>
      <c r="R77" s="421">
        <v>0</v>
      </c>
      <c r="S77" s="421">
        <v>0</v>
      </c>
      <c r="T77" s="419">
        <v>0</v>
      </c>
      <c r="U77" s="421">
        <v>21129</v>
      </c>
      <c r="V77" s="421">
        <v>2392</v>
      </c>
      <c r="W77" s="421">
        <v>0</v>
      </c>
      <c r="X77" s="421">
        <v>17118</v>
      </c>
      <c r="Y77" s="421">
        <v>0</v>
      </c>
      <c r="Z77" s="419">
        <v>40639</v>
      </c>
      <c r="AA77" s="422">
        <v>0</v>
      </c>
      <c r="AB77" s="422">
        <v>0</v>
      </c>
      <c r="AC77" s="422">
        <v>40639</v>
      </c>
      <c r="AD77" s="422">
        <v>0</v>
      </c>
      <c r="AE77" s="419">
        <v>40639</v>
      </c>
      <c r="AF77" s="419">
        <v>13483</v>
      </c>
      <c r="AG77" s="414">
        <f t="shared" si="2"/>
        <v>54122</v>
      </c>
      <c r="AH77" s="423">
        <f t="shared" si="3"/>
        <v>0</v>
      </c>
    </row>
    <row r="78" spans="1:34" hidden="1" outlineLevel="1" x14ac:dyDescent="0.25">
      <c r="A78" s="75"/>
      <c r="B78" s="223" t="s">
        <v>71</v>
      </c>
      <c r="C78" s="277" t="s">
        <v>257</v>
      </c>
      <c r="D78" s="278">
        <v>43521</v>
      </c>
      <c r="E78" s="220">
        <v>0</v>
      </c>
      <c r="F78" s="220">
        <v>0</v>
      </c>
      <c r="G78" s="220">
        <v>0</v>
      </c>
      <c r="H78" s="279">
        <v>43521</v>
      </c>
      <c r="I78" s="278">
        <v>-23204</v>
      </c>
      <c r="J78" s="220">
        <v>0</v>
      </c>
      <c r="K78" s="220">
        <v>1258</v>
      </c>
      <c r="L78" s="220">
        <v>1258</v>
      </c>
      <c r="M78" s="280">
        <v>0</v>
      </c>
      <c r="N78" s="279">
        <v>21575</v>
      </c>
      <c r="O78" s="281">
        <v>17922</v>
      </c>
      <c r="P78" s="281">
        <v>0</v>
      </c>
      <c r="Q78" s="281">
        <v>0</v>
      </c>
      <c r="R78" s="281">
        <v>0</v>
      </c>
      <c r="S78" s="281">
        <v>0</v>
      </c>
      <c r="T78" s="279">
        <v>17922</v>
      </c>
      <c r="U78" s="281">
        <v>0</v>
      </c>
      <c r="V78" s="281">
        <v>0</v>
      </c>
      <c r="W78" s="281">
        <v>0</v>
      </c>
      <c r="X78" s="281">
        <v>0</v>
      </c>
      <c r="Y78" s="281">
        <v>0</v>
      </c>
      <c r="Z78" s="279">
        <v>0</v>
      </c>
      <c r="AA78" s="282">
        <v>0</v>
      </c>
      <c r="AB78" s="282">
        <v>0</v>
      </c>
      <c r="AC78" s="282">
        <v>0</v>
      </c>
      <c r="AD78" s="282">
        <v>0</v>
      </c>
      <c r="AE78" s="279">
        <v>17922</v>
      </c>
      <c r="AF78" s="279">
        <v>3653</v>
      </c>
      <c r="AG78" s="283">
        <f t="shared" si="2"/>
        <v>21575</v>
      </c>
      <c r="AH78" s="71">
        <f t="shared" si="3"/>
        <v>0</v>
      </c>
    </row>
    <row r="79" spans="1:34" hidden="1" outlineLevel="1" x14ac:dyDescent="0.25">
      <c r="A79" s="75"/>
      <c r="B79" s="223" t="s">
        <v>72</v>
      </c>
      <c r="C79" s="277" t="s">
        <v>258</v>
      </c>
      <c r="D79" s="278">
        <v>168677</v>
      </c>
      <c r="E79" s="220">
        <v>0</v>
      </c>
      <c r="F79" s="220">
        <v>4559</v>
      </c>
      <c r="G79" s="220">
        <v>0</v>
      </c>
      <c r="H79" s="279">
        <v>173236</v>
      </c>
      <c r="I79" s="278">
        <v>-137221</v>
      </c>
      <c r="J79" s="220">
        <v>0</v>
      </c>
      <c r="K79" s="220">
        <v>482</v>
      </c>
      <c r="L79" s="220">
        <v>482</v>
      </c>
      <c r="M79" s="280">
        <v>0</v>
      </c>
      <c r="N79" s="279">
        <v>36497</v>
      </c>
      <c r="O79" s="281">
        <v>0</v>
      </c>
      <c r="P79" s="281">
        <v>0</v>
      </c>
      <c r="Q79" s="281">
        <v>0</v>
      </c>
      <c r="R79" s="281">
        <v>0</v>
      </c>
      <c r="S79" s="281">
        <v>0</v>
      </c>
      <c r="T79" s="279">
        <v>0</v>
      </c>
      <c r="U79" s="281">
        <v>0</v>
      </c>
      <c r="V79" s="281">
        <v>0</v>
      </c>
      <c r="W79" s="281">
        <v>0</v>
      </c>
      <c r="X79" s="281">
        <v>0</v>
      </c>
      <c r="Y79" s="281">
        <v>0</v>
      </c>
      <c r="Z79" s="279">
        <v>0</v>
      </c>
      <c r="AA79" s="282">
        <v>0</v>
      </c>
      <c r="AB79" s="282">
        <v>0</v>
      </c>
      <c r="AC79" s="282">
        <v>0</v>
      </c>
      <c r="AD79" s="282">
        <v>3670</v>
      </c>
      <c r="AE79" s="279">
        <v>3670</v>
      </c>
      <c r="AF79" s="279">
        <v>32827</v>
      </c>
      <c r="AG79" s="283">
        <f t="shared" si="2"/>
        <v>36497</v>
      </c>
      <c r="AH79" s="71">
        <f t="shared" si="3"/>
        <v>0</v>
      </c>
    </row>
    <row r="80" spans="1:34" hidden="1" outlineLevel="1" x14ac:dyDescent="0.25">
      <c r="A80" s="75"/>
      <c r="B80" s="223" t="s">
        <v>73</v>
      </c>
      <c r="C80" s="277" t="s">
        <v>259</v>
      </c>
      <c r="D80" s="278">
        <v>113992</v>
      </c>
      <c r="E80" s="220">
        <v>0</v>
      </c>
      <c r="F80" s="220">
        <v>0</v>
      </c>
      <c r="G80" s="220">
        <v>0</v>
      </c>
      <c r="H80" s="279">
        <v>113992</v>
      </c>
      <c r="I80" s="278">
        <v>-111411</v>
      </c>
      <c r="J80" s="220">
        <v>0</v>
      </c>
      <c r="K80" s="220">
        <v>355</v>
      </c>
      <c r="L80" s="220">
        <v>355</v>
      </c>
      <c r="M80" s="280">
        <v>0</v>
      </c>
      <c r="N80" s="279">
        <v>2936</v>
      </c>
      <c r="O80" s="281">
        <v>2561</v>
      </c>
      <c r="P80" s="281">
        <v>0</v>
      </c>
      <c r="Q80" s="281">
        <v>0</v>
      </c>
      <c r="R80" s="281">
        <v>0</v>
      </c>
      <c r="S80" s="281">
        <v>0</v>
      </c>
      <c r="T80" s="279">
        <v>2561</v>
      </c>
      <c r="U80" s="281">
        <v>0</v>
      </c>
      <c r="V80" s="281">
        <v>0</v>
      </c>
      <c r="W80" s="281">
        <v>0</v>
      </c>
      <c r="X80" s="281">
        <v>0</v>
      </c>
      <c r="Y80" s="281">
        <v>0</v>
      </c>
      <c r="Z80" s="279">
        <v>0</v>
      </c>
      <c r="AA80" s="282">
        <v>0</v>
      </c>
      <c r="AB80" s="282">
        <v>0</v>
      </c>
      <c r="AC80" s="282">
        <v>0</v>
      </c>
      <c r="AD80" s="282">
        <v>0</v>
      </c>
      <c r="AE80" s="279">
        <v>2561</v>
      </c>
      <c r="AF80" s="279">
        <v>375</v>
      </c>
      <c r="AG80" s="283">
        <f t="shared" si="2"/>
        <v>2936</v>
      </c>
      <c r="AH80" s="71">
        <f t="shared" si="3"/>
        <v>0</v>
      </c>
    </row>
    <row r="81" spans="2:34" s="432" customFormat="1" hidden="1" outlineLevel="1" x14ac:dyDescent="0.25">
      <c r="B81" s="424" t="s">
        <v>152</v>
      </c>
      <c r="C81" s="425" t="s">
        <v>260</v>
      </c>
      <c r="D81" s="426">
        <v>9702</v>
      </c>
      <c r="E81" s="427">
        <v>0</v>
      </c>
      <c r="F81" s="427">
        <v>868</v>
      </c>
      <c r="G81" s="427">
        <v>-119</v>
      </c>
      <c r="H81" s="428">
        <v>10451</v>
      </c>
      <c r="I81" s="426">
        <v>0</v>
      </c>
      <c r="J81" s="427">
        <v>-1535</v>
      </c>
      <c r="K81" s="427">
        <v>290</v>
      </c>
      <c r="L81" s="427">
        <v>290</v>
      </c>
      <c r="M81" s="429">
        <v>-1794</v>
      </c>
      <c r="N81" s="428">
        <v>7412</v>
      </c>
      <c r="O81" s="430">
        <v>4178</v>
      </c>
      <c r="P81" s="430">
        <v>0</v>
      </c>
      <c r="Q81" s="430">
        <v>190</v>
      </c>
      <c r="R81" s="430">
        <v>190</v>
      </c>
      <c r="S81" s="430">
        <v>0</v>
      </c>
      <c r="T81" s="428">
        <v>4368</v>
      </c>
      <c r="U81" s="430">
        <v>0</v>
      </c>
      <c r="V81" s="430">
        <v>0</v>
      </c>
      <c r="W81" s="430">
        <v>0</v>
      </c>
      <c r="X81" s="430">
        <v>0</v>
      </c>
      <c r="Y81" s="430">
        <v>0</v>
      </c>
      <c r="Z81" s="428">
        <v>0</v>
      </c>
      <c r="AA81" s="431">
        <v>0</v>
      </c>
      <c r="AB81" s="431">
        <v>0</v>
      </c>
      <c r="AC81" s="431">
        <v>0</v>
      </c>
      <c r="AD81" s="431">
        <v>1232</v>
      </c>
      <c r="AE81" s="428">
        <v>5600</v>
      </c>
      <c r="AF81" s="428">
        <v>1812</v>
      </c>
      <c r="AG81" s="432">
        <f t="shared" si="2"/>
        <v>7412</v>
      </c>
      <c r="AH81" s="433">
        <f t="shared" si="3"/>
        <v>0</v>
      </c>
    </row>
    <row r="82" spans="2:34" s="442" customFormat="1" hidden="1" outlineLevel="1" x14ac:dyDescent="0.25">
      <c r="B82" s="434" t="s">
        <v>153</v>
      </c>
      <c r="C82" s="435" t="s">
        <v>261</v>
      </c>
      <c r="D82" s="436">
        <v>17708</v>
      </c>
      <c r="E82" s="437">
        <v>0</v>
      </c>
      <c r="F82" s="437">
        <v>0</v>
      </c>
      <c r="G82" s="437">
        <v>0</v>
      </c>
      <c r="H82" s="438">
        <v>17708</v>
      </c>
      <c r="I82" s="436">
        <v>0</v>
      </c>
      <c r="J82" s="437">
        <v>0</v>
      </c>
      <c r="K82" s="437">
        <v>768</v>
      </c>
      <c r="L82" s="437">
        <v>704</v>
      </c>
      <c r="M82" s="439">
        <v>-3393</v>
      </c>
      <c r="N82" s="438">
        <v>15083</v>
      </c>
      <c r="O82" s="440">
        <v>9238</v>
      </c>
      <c r="P82" s="440">
        <v>0</v>
      </c>
      <c r="Q82" s="440">
        <v>1630</v>
      </c>
      <c r="R82" s="440">
        <v>1630</v>
      </c>
      <c r="S82" s="440">
        <v>0</v>
      </c>
      <c r="T82" s="438">
        <v>10868</v>
      </c>
      <c r="U82" s="440">
        <v>0</v>
      </c>
      <c r="V82" s="440">
        <v>0</v>
      </c>
      <c r="W82" s="440">
        <v>0</v>
      </c>
      <c r="X82" s="440">
        <v>0</v>
      </c>
      <c r="Y82" s="440">
        <v>0</v>
      </c>
      <c r="Z82" s="438">
        <v>0</v>
      </c>
      <c r="AA82" s="441">
        <v>0</v>
      </c>
      <c r="AB82" s="441">
        <v>0</v>
      </c>
      <c r="AC82" s="441">
        <v>0</v>
      </c>
      <c r="AD82" s="441">
        <v>0</v>
      </c>
      <c r="AE82" s="438">
        <v>10868</v>
      </c>
      <c r="AF82" s="438">
        <v>4215</v>
      </c>
      <c r="AG82" s="442">
        <f t="shared" si="2"/>
        <v>15083</v>
      </c>
      <c r="AH82" s="443">
        <f t="shared" si="3"/>
        <v>0</v>
      </c>
    </row>
    <row r="83" spans="2:34" s="444" customFormat="1" hidden="1" outlineLevel="1" x14ac:dyDescent="0.25">
      <c r="B83" s="375" t="s">
        <v>749</v>
      </c>
      <c r="C83" s="376" t="s">
        <v>262</v>
      </c>
      <c r="D83" s="377">
        <v>42100</v>
      </c>
      <c r="E83" s="378">
        <v>0</v>
      </c>
      <c r="F83" s="378">
        <v>5165</v>
      </c>
      <c r="G83" s="378">
        <v>-3788</v>
      </c>
      <c r="H83" s="379">
        <v>43477</v>
      </c>
      <c r="I83" s="377">
        <v>0</v>
      </c>
      <c r="J83" s="378">
        <v>-30886</v>
      </c>
      <c r="K83" s="378">
        <v>215</v>
      </c>
      <c r="L83" s="378">
        <v>215</v>
      </c>
      <c r="M83" s="380">
        <v>0</v>
      </c>
      <c r="N83" s="379">
        <v>12806</v>
      </c>
      <c r="O83" s="381">
        <v>640</v>
      </c>
      <c r="P83" s="381">
        <v>0</v>
      </c>
      <c r="Q83" s="381">
        <v>4</v>
      </c>
      <c r="R83" s="381">
        <v>4</v>
      </c>
      <c r="S83" s="381">
        <v>0</v>
      </c>
      <c r="T83" s="379">
        <v>644</v>
      </c>
      <c r="U83" s="381">
        <v>0</v>
      </c>
      <c r="V83" s="381">
        <v>0</v>
      </c>
      <c r="W83" s="381">
        <v>0</v>
      </c>
      <c r="X83" s="381">
        <v>0</v>
      </c>
      <c r="Y83" s="381">
        <v>0</v>
      </c>
      <c r="Z83" s="379">
        <v>0</v>
      </c>
      <c r="AA83" s="382">
        <v>0</v>
      </c>
      <c r="AB83" s="382">
        <v>0</v>
      </c>
      <c r="AC83" s="382">
        <v>0</v>
      </c>
      <c r="AD83" s="382">
        <v>1391</v>
      </c>
      <c r="AE83" s="379">
        <v>2035</v>
      </c>
      <c r="AF83" s="379">
        <v>10771</v>
      </c>
      <c r="AG83" s="444">
        <f t="shared" si="2"/>
        <v>12806</v>
      </c>
      <c r="AH83" s="445">
        <f t="shared" si="3"/>
        <v>0</v>
      </c>
    </row>
    <row r="84" spans="2:34" s="322" customFormat="1" hidden="1" outlineLevel="1" x14ac:dyDescent="0.25">
      <c r="B84" s="314" t="s">
        <v>155</v>
      </c>
      <c r="C84" s="315" t="s">
        <v>263</v>
      </c>
      <c r="D84" s="316">
        <v>9494</v>
      </c>
      <c r="E84" s="317">
        <v>0</v>
      </c>
      <c r="F84" s="317">
        <v>5018</v>
      </c>
      <c r="G84" s="317">
        <v>-6704</v>
      </c>
      <c r="H84" s="318">
        <v>7808</v>
      </c>
      <c r="I84" s="316">
        <v>0</v>
      </c>
      <c r="J84" s="317">
        <v>-1903</v>
      </c>
      <c r="K84" s="317">
        <v>5</v>
      </c>
      <c r="L84" s="317">
        <v>5</v>
      </c>
      <c r="M84" s="319">
        <v>-130</v>
      </c>
      <c r="N84" s="318">
        <v>5780</v>
      </c>
      <c r="O84" s="320">
        <v>348</v>
      </c>
      <c r="P84" s="320">
        <v>0</v>
      </c>
      <c r="Q84" s="320">
        <v>0</v>
      </c>
      <c r="R84" s="320">
        <v>0</v>
      </c>
      <c r="S84" s="320">
        <v>0</v>
      </c>
      <c r="T84" s="318">
        <v>348</v>
      </c>
      <c r="U84" s="320">
        <v>0</v>
      </c>
      <c r="V84" s="320">
        <v>0</v>
      </c>
      <c r="W84" s="320">
        <v>0</v>
      </c>
      <c r="X84" s="320">
        <v>0</v>
      </c>
      <c r="Y84" s="320">
        <v>0</v>
      </c>
      <c r="Z84" s="318">
        <v>0</v>
      </c>
      <c r="AA84" s="321">
        <v>0</v>
      </c>
      <c r="AB84" s="321">
        <v>0</v>
      </c>
      <c r="AC84" s="321">
        <v>0</v>
      </c>
      <c r="AD84" s="321">
        <v>3653</v>
      </c>
      <c r="AE84" s="318">
        <v>4001</v>
      </c>
      <c r="AF84" s="318">
        <v>1779</v>
      </c>
      <c r="AG84" s="322">
        <f t="shared" si="2"/>
        <v>5780</v>
      </c>
      <c r="AH84" s="323">
        <f t="shared" si="3"/>
        <v>0</v>
      </c>
    </row>
    <row r="85" spans="2:34" s="284" customFormat="1" hidden="1" outlineLevel="1" x14ac:dyDescent="0.25">
      <c r="B85" s="285" t="s">
        <v>156</v>
      </c>
      <c r="C85" s="286" t="s">
        <v>264</v>
      </c>
      <c r="D85" s="287">
        <v>17798</v>
      </c>
      <c r="E85" s="288">
        <v>0</v>
      </c>
      <c r="F85" s="288">
        <v>7296</v>
      </c>
      <c r="G85" s="288">
        <v>-2151</v>
      </c>
      <c r="H85" s="289">
        <v>22943</v>
      </c>
      <c r="I85" s="287">
        <v>0</v>
      </c>
      <c r="J85" s="288">
        <v>-403</v>
      </c>
      <c r="K85" s="288">
        <v>540</v>
      </c>
      <c r="L85" s="288">
        <v>155</v>
      </c>
      <c r="M85" s="290">
        <v>-67</v>
      </c>
      <c r="N85" s="289">
        <v>23013</v>
      </c>
      <c r="O85" s="291">
        <v>7332</v>
      </c>
      <c r="P85" s="291">
        <v>0</v>
      </c>
      <c r="Q85" s="291">
        <v>0</v>
      </c>
      <c r="R85" s="291">
        <v>0</v>
      </c>
      <c r="S85" s="291">
        <v>0</v>
      </c>
      <c r="T85" s="289">
        <v>7332</v>
      </c>
      <c r="U85" s="291">
        <v>0</v>
      </c>
      <c r="V85" s="291">
        <v>0</v>
      </c>
      <c r="W85" s="291">
        <v>0</v>
      </c>
      <c r="X85" s="291">
        <v>0</v>
      </c>
      <c r="Y85" s="291">
        <v>0</v>
      </c>
      <c r="Z85" s="289">
        <v>0</v>
      </c>
      <c r="AA85" s="292">
        <v>0</v>
      </c>
      <c r="AB85" s="292">
        <v>0</v>
      </c>
      <c r="AC85" s="292">
        <v>0</v>
      </c>
      <c r="AD85" s="292">
        <v>7343</v>
      </c>
      <c r="AE85" s="289">
        <v>14675</v>
      </c>
      <c r="AF85" s="289">
        <v>8338</v>
      </c>
      <c r="AG85" s="284">
        <f t="shared" si="2"/>
        <v>23013</v>
      </c>
      <c r="AH85" s="293">
        <f t="shared" si="3"/>
        <v>0</v>
      </c>
    </row>
    <row r="86" spans="2:34" hidden="1" outlineLevel="1" x14ac:dyDescent="0.25">
      <c r="B86" s="223" t="s">
        <v>157</v>
      </c>
      <c r="C86" s="277" t="s">
        <v>265</v>
      </c>
      <c r="D86" s="278">
        <v>30807</v>
      </c>
      <c r="E86" s="220">
        <v>0</v>
      </c>
      <c r="F86" s="220">
        <v>2022</v>
      </c>
      <c r="G86" s="220">
        <v>0</v>
      </c>
      <c r="H86" s="279">
        <v>32829</v>
      </c>
      <c r="I86" s="278">
        <v>0</v>
      </c>
      <c r="J86" s="220">
        <v>0</v>
      </c>
      <c r="K86" s="220">
        <v>1416</v>
      </c>
      <c r="L86" s="220">
        <v>903</v>
      </c>
      <c r="M86" s="280">
        <v>-832</v>
      </c>
      <c r="N86" s="279">
        <v>33413</v>
      </c>
      <c r="O86" s="281">
        <v>5767</v>
      </c>
      <c r="P86" s="281">
        <v>0</v>
      </c>
      <c r="Q86" s="281">
        <v>0</v>
      </c>
      <c r="R86" s="281">
        <v>0</v>
      </c>
      <c r="S86" s="281">
        <v>0</v>
      </c>
      <c r="T86" s="279">
        <v>5767</v>
      </c>
      <c r="U86" s="281">
        <v>0</v>
      </c>
      <c r="V86" s="281">
        <v>0</v>
      </c>
      <c r="W86" s="281">
        <v>0</v>
      </c>
      <c r="X86" s="281">
        <v>0</v>
      </c>
      <c r="Y86" s="281">
        <v>0</v>
      </c>
      <c r="Z86" s="279">
        <v>0</v>
      </c>
      <c r="AA86" s="282">
        <v>0</v>
      </c>
      <c r="AB86" s="282">
        <v>0</v>
      </c>
      <c r="AC86" s="282">
        <v>0</v>
      </c>
      <c r="AD86" s="282">
        <v>1233</v>
      </c>
      <c r="AE86" s="279">
        <v>7000</v>
      </c>
      <c r="AF86" s="279">
        <v>26413</v>
      </c>
      <c r="AG86" s="283">
        <f t="shared" si="2"/>
        <v>33413</v>
      </c>
      <c r="AH86" s="71">
        <f t="shared" si="3"/>
        <v>0</v>
      </c>
    </row>
    <row r="87" spans="2:34" hidden="1" outlineLevel="1" x14ac:dyDescent="0.25">
      <c r="B87" s="223" t="s">
        <v>158</v>
      </c>
      <c r="C87" s="277" t="s">
        <v>266</v>
      </c>
      <c r="D87" s="278">
        <v>7728</v>
      </c>
      <c r="E87" s="220">
        <v>0</v>
      </c>
      <c r="F87" s="220">
        <v>0</v>
      </c>
      <c r="G87" s="220">
        <v>0</v>
      </c>
      <c r="H87" s="279">
        <v>7728</v>
      </c>
      <c r="I87" s="278">
        <v>0</v>
      </c>
      <c r="J87" s="220">
        <v>0</v>
      </c>
      <c r="K87" s="220">
        <v>76</v>
      </c>
      <c r="L87" s="220">
        <v>76</v>
      </c>
      <c r="M87" s="280">
        <v>0</v>
      </c>
      <c r="N87" s="279">
        <v>7804</v>
      </c>
      <c r="O87" s="281">
        <v>1156</v>
      </c>
      <c r="P87" s="281">
        <v>0</v>
      </c>
      <c r="Q87" s="281">
        <v>0</v>
      </c>
      <c r="R87" s="281">
        <v>0</v>
      </c>
      <c r="S87" s="281">
        <v>0</v>
      </c>
      <c r="T87" s="279">
        <v>1156</v>
      </c>
      <c r="U87" s="281">
        <v>0</v>
      </c>
      <c r="V87" s="281">
        <v>0</v>
      </c>
      <c r="W87" s="281">
        <v>0</v>
      </c>
      <c r="X87" s="281">
        <v>0</v>
      </c>
      <c r="Y87" s="281">
        <v>0</v>
      </c>
      <c r="Z87" s="279">
        <v>0</v>
      </c>
      <c r="AA87" s="282">
        <v>0</v>
      </c>
      <c r="AB87" s="282">
        <v>0</v>
      </c>
      <c r="AC87" s="282">
        <v>0</v>
      </c>
      <c r="AD87" s="282">
        <v>0</v>
      </c>
      <c r="AE87" s="279">
        <v>1156</v>
      </c>
      <c r="AF87" s="279">
        <v>6648</v>
      </c>
      <c r="AG87" s="283">
        <f t="shared" si="2"/>
        <v>7804</v>
      </c>
      <c r="AH87" s="71">
        <f t="shared" si="3"/>
        <v>0</v>
      </c>
    </row>
    <row r="88" spans="2:34" s="374" customFormat="1" hidden="1" outlineLevel="1" x14ac:dyDescent="0.25">
      <c r="B88" s="375" t="s">
        <v>302</v>
      </c>
      <c r="C88" s="376" t="s">
        <v>267</v>
      </c>
      <c r="D88" s="377">
        <v>14279</v>
      </c>
      <c r="E88" s="378">
        <v>0</v>
      </c>
      <c r="F88" s="378">
        <v>5506</v>
      </c>
      <c r="G88" s="378">
        <v>0</v>
      </c>
      <c r="H88" s="379">
        <v>19785</v>
      </c>
      <c r="I88" s="377">
        <v>0</v>
      </c>
      <c r="J88" s="378">
        <v>-3146</v>
      </c>
      <c r="K88" s="378">
        <v>41</v>
      </c>
      <c r="L88" s="378">
        <v>41</v>
      </c>
      <c r="M88" s="380">
        <v>0</v>
      </c>
      <c r="N88" s="379">
        <v>16680</v>
      </c>
      <c r="O88" s="381">
        <v>55</v>
      </c>
      <c r="P88" s="381">
        <v>0</v>
      </c>
      <c r="Q88" s="381">
        <v>0</v>
      </c>
      <c r="R88" s="381">
        <v>0</v>
      </c>
      <c r="S88" s="381">
        <v>0</v>
      </c>
      <c r="T88" s="379">
        <v>55</v>
      </c>
      <c r="U88" s="381">
        <v>0</v>
      </c>
      <c r="V88" s="381">
        <v>0</v>
      </c>
      <c r="W88" s="381">
        <v>0</v>
      </c>
      <c r="X88" s="381">
        <v>0</v>
      </c>
      <c r="Y88" s="381">
        <v>0</v>
      </c>
      <c r="Z88" s="379">
        <v>0</v>
      </c>
      <c r="AA88" s="382">
        <v>0</v>
      </c>
      <c r="AB88" s="382">
        <v>-145</v>
      </c>
      <c r="AC88" s="382">
        <v>-145</v>
      </c>
      <c r="AD88" s="382">
        <v>3851</v>
      </c>
      <c r="AE88" s="379">
        <v>3761</v>
      </c>
      <c r="AF88" s="379">
        <v>12919</v>
      </c>
      <c r="AG88" s="446">
        <f t="shared" si="2"/>
        <v>16680</v>
      </c>
      <c r="AH88" s="134">
        <f t="shared" si="3"/>
        <v>0</v>
      </c>
    </row>
    <row r="89" spans="2:34" hidden="1" outlineLevel="1" x14ac:dyDescent="0.25">
      <c r="B89" s="223" t="s">
        <v>74</v>
      </c>
      <c r="C89" s="277" t="s">
        <v>268</v>
      </c>
      <c r="D89" s="278">
        <v>94080</v>
      </c>
      <c r="E89" s="220">
        <v>0</v>
      </c>
      <c r="F89" s="220">
        <v>3369</v>
      </c>
      <c r="G89" s="220">
        <v>0</v>
      </c>
      <c r="H89" s="279">
        <v>97449</v>
      </c>
      <c r="I89" s="278">
        <v>0</v>
      </c>
      <c r="J89" s="220">
        <v>0</v>
      </c>
      <c r="K89" s="220">
        <v>934</v>
      </c>
      <c r="L89" s="220">
        <v>690</v>
      </c>
      <c r="M89" s="280">
        <v>0</v>
      </c>
      <c r="N89" s="279">
        <v>98383</v>
      </c>
      <c r="O89" s="281">
        <v>17400</v>
      </c>
      <c r="P89" s="281">
        <v>0</v>
      </c>
      <c r="Q89" s="281">
        <v>0</v>
      </c>
      <c r="R89" s="281">
        <v>0</v>
      </c>
      <c r="S89" s="281">
        <v>0</v>
      </c>
      <c r="T89" s="279">
        <v>17400</v>
      </c>
      <c r="U89" s="281">
        <v>0</v>
      </c>
      <c r="V89" s="281">
        <v>0</v>
      </c>
      <c r="W89" s="281">
        <v>0</v>
      </c>
      <c r="X89" s="281">
        <v>0</v>
      </c>
      <c r="Y89" s="281">
        <v>0</v>
      </c>
      <c r="Z89" s="279">
        <v>0</v>
      </c>
      <c r="AA89" s="282">
        <v>0</v>
      </c>
      <c r="AB89" s="282">
        <v>0</v>
      </c>
      <c r="AC89" s="282">
        <v>0</v>
      </c>
      <c r="AD89" s="282">
        <v>5978</v>
      </c>
      <c r="AE89" s="279">
        <v>23378</v>
      </c>
      <c r="AF89" s="279">
        <v>75005</v>
      </c>
      <c r="AG89" s="283">
        <f t="shared" si="2"/>
        <v>98383</v>
      </c>
      <c r="AH89" s="71">
        <f t="shared" si="3"/>
        <v>0</v>
      </c>
    </row>
    <row r="90" spans="2:34" hidden="1" outlineLevel="1" x14ac:dyDescent="0.25">
      <c r="B90" s="223" t="s">
        <v>159</v>
      </c>
      <c r="C90" s="277" t="s">
        <v>269</v>
      </c>
      <c r="D90" s="278">
        <v>45545</v>
      </c>
      <c r="E90" s="220">
        <v>0</v>
      </c>
      <c r="F90" s="220">
        <v>2111</v>
      </c>
      <c r="G90" s="220">
        <v>-109</v>
      </c>
      <c r="H90" s="279">
        <v>47547</v>
      </c>
      <c r="I90" s="278">
        <v>0</v>
      </c>
      <c r="J90" s="220">
        <v>0</v>
      </c>
      <c r="K90" s="220">
        <v>8036</v>
      </c>
      <c r="L90" s="220">
        <v>0</v>
      </c>
      <c r="M90" s="280">
        <v>-81</v>
      </c>
      <c r="N90" s="279">
        <v>55502</v>
      </c>
      <c r="O90" s="281">
        <v>35701</v>
      </c>
      <c r="P90" s="281">
        <v>0</v>
      </c>
      <c r="Q90" s="281">
        <v>0</v>
      </c>
      <c r="R90" s="281">
        <v>0</v>
      </c>
      <c r="S90" s="281">
        <v>0</v>
      </c>
      <c r="T90" s="279">
        <v>35701</v>
      </c>
      <c r="U90" s="281">
        <v>0</v>
      </c>
      <c r="V90" s="281">
        <v>0</v>
      </c>
      <c r="W90" s="281">
        <v>0</v>
      </c>
      <c r="X90" s="281">
        <v>0</v>
      </c>
      <c r="Y90" s="281">
        <v>0</v>
      </c>
      <c r="Z90" s="279">
        <v>0</v>
      </c>
      <c r="AA90" s="282">
        <v>0</v>
      </c>
      <c r="AB90" s="282">
        <v>0</v>
      </c>
      <c r="AC90" s="282">
        <v>0</v>
      </c>
      <c r="AD90" s="282">
        <v>849</v>
      </c>
      <c r="AE90" s="279">
        <v>36550</v>
      </c>
      <c r="AF90" s="279">
        <v>18952</v>
      </c>
      <c r="AG90" s="283">
        <f t="shared" si="2"/>
        <v>55502</v>
      </c>
      <c r="AH90" s="71">
        <f t="shared" si="3"/>
        <v>0</v>
      </c>
    </row>
    <row r="91" spans="2:34" hidden="1" outlineLevel="1" x14ac:dyDescent="0.25">
      <c r="B91" s="223" t="s">
        <v>160</v>
      </c>
      <c r="C91" s="277" t="s">
        <v>270</v>
      </c>
      <c r="D91" s="278">
        <v>31290</v>
      </c>
      <c r="E91" s="220">
        <v>0</v>
      </c>
      <c r="F91" s="220">
        <v>0</v>
      </c>
      <c r="G91" s="220">
        <v>0</v>
      </c>
      <c r="H91" s="279">
        <v>31290</v>
      </c>
      <c r="I91" s="278">
        <v>0</v>
      </c>
      <c r="J91" s="220">
        <v>0</v>
      </c>
      <c r="K91" s="220">
        <v>1510</v>
      </c>
      <c r="L91" s="220">
        <v>1510</v>
      </c>
      <c r="M91" s="280">
        <v>0</v>
      </c>
      <c r="N91" s="279">
        <v>32800</v>
      </c>
      <c r="O91" s="281">
        <v>642</v>
      </c>
      <c r="P91" s="281">
        <v>0</v>
      </c>
      <c r="Q91" s="281">
        <v>0</v>
      </c>
      <c r="R91" s="281">
        <v>0</v>
      </c>
      <c r="S91" s="281">
        <v>0</v>
      </c>
      <c r="T91" s="279">
        <v>642</v>
      </c>
      <c r="U91" s="281">
        <v>0</v>
      </c>
      <c r="V91" s="281">
        <v>0</v>
      </c>
      <c r="W91" s="281">
        <v>0</v>
      </c>
      <c r="X91" s="281">
        <v>0</v>
      </c>
      <c r="Y91" s="281">
        <v>0</v>
      </c>
      <c r="Z91" s="279">
        <v>0</v>
      </c>
      <c r="AA91" s="282">
        <v>0</v>
      </c>
      <c r="AB91" s="282">
        <v>0</v>
      </c>
      <c r="AC91" s="282">
        <v>0</v>
      </c>
      <c r="AD91" s="282">
        <v>0</v>
      </c>
      <c r="AE91" s="279">
        <v>642</v>
      </c>
      <c r="AF91" s="279">
        <v>32158</v>
      </c>
      <c r="AG91" s="283">
        <f t="shared" si="2"/>
        <v>32800</v>
      </c>
      <c r="AH91" s="71">
        <f t="shared" si="3"/>
        <v>0</v>
      </c>
    </row>
    <row r="92" spans="2:34" hidden="1" outlineLevel="1" x14ac:dyDescent="0.25">
      <c r="B92" s="223" t="s">
        <v>75</v>
      </c>
      <c r="C92" s="277" t="s">
        <v>271</v>
      </c>
      <c r="D92" s="278">
        <v>34981</v>
      </c>
      <c r="E92" s="220">
        <v>0</v>
      </c>
      <c r="F92" s="220">
        <v>0</v>
      </c>
      <c r="G92" s="220">
        <v>0</v>
      </c>
      <c r="H92" s="279">
        <v>34981</v>
      </c>
      <c r="I92" s="278">
        <v>0</v>
      </c>
      <c r="J92" s="220">
        <v>0</v>
      </c>
      <c r="K92" s="220">
        <v>3434</v>
      </c>
      <c r="L92" s="220">
        <v>3402</v>
      </c>
      <c r="M92" s="280">
        <v>0</v>
      </c>
      <c r="N92" s="279">
        <v>38415</v>
      </c>
      <c r="O92" s="281">
        <v>1153</v>
      </c>
      <c r="P92" s="281">
        <v>0</v>
      </c>
      <c r="Q92" s="281">
        <v>0</v>
      </c>
      <c r="R92" s="281">
        <v>0</v>
      </c>
      <c r="S92" s="281">
        <v>0</v>
      </c>
      <c r="T92" s="279">
        <v>1153</v>
      </c>
      <c r="U92" s="281">
        <v>10801</v>
      </c>
      <c r="V92" s="281">
        <v>13303</v>
      </c>
      <c r="W92" s="281">
        <v>297</v>
      </c>
      <c r="X92" s="281">
        <v>0</v>
      </c>
      <c r="Y92" s="281">
        <v>0</v>
      </c>
      <c r="Z92" s="279">
        <v>24401</v>
      </c>
      <c r="AA92" s="282">
        <v>0</v>
      </c>
      <c r="AB92" s="282">
        <v>0</v>
      </c>
      <c r="AC92" s="282">
        <v>24401</v>
      </c>
      <c r="AD92" s="282">
        <v>0</v>
      </c>
      <c r="AE92" s="279">
        <v>25554</v>
      </c>
      <c r="AF92" s="279">
        <v>12861</v>
      </c>
      <c r="AG92" s="283">
        <f t="shared" si="2"/>
        <v>38415</v>
      </c>
      <c r="AH92" s="71">
        <f t="shared" si="3"/>
        <v>0</v>
      </c>
    </row>
    <row r="93" spans="2:34" hidden="1" outlineLevel="1" x14ac:dyDescent="0.25">
      <c r="B93" s="223" t="s">
        <v>76</v>
      </c>
      <c r="C93" s="277" t="s">
        <v>272</v>
      </c>
      <c r="D93" s="278">
        <v>249025</v>
      </c>
      <c r="E93" s="220">
        <v>0</v>
      </c>
      <c r="F93" s="220">
        <v>0</v>
      </c>
      <c r="G93" s="220">
        <v>0</v>
      </c>
      <c r="H93" s="279">
        <v>249025</v>
      </c>
      <c r="I93" s="278">
        <v>0</v>
      </c>
      <c r="J93" s="220">
        <v>0</v>
      </c>
      <c r="K93" s="220">
        <v>1338</v>
      </c>
      <c r="L93" s="220">
        <v>661</v>
      </c>
      <c r="M93" s="280">
        <v>0</v>
      </c>
      <c r="N93" s="279">
        <v>250363</v>
      </c>
      <c r="O93" s="281">
        <v>186287</v>
      </c>
      <c r="P93" s="281">
        <v>0</v>
      </c>
      <c r="Q93" s="281">
        <v>12422</v>
      </c>
      <c r="R93" s="281">
        <v>12422</v>
      </c>
      <c r="S93" s="281">
        <v>0</v>
      </c>
      <c r="T93" s="279">
        <v>198709</v>
      </c>
      <c r="U93" s="281">
        <v>0</v>
      </c>
      <c r="V93" s="281">
        <v>0</v>
      </c>
      <c r="W93" s="281">
        <v>0</v>
      </c>
      <c r="X93" s="281">
        <v>0</v>
      </c>
      <c r="Y93" s="281">
        <v>0</v>
      </c>
      <c r="Z93" s="279">
        <v>0</v>
      </c>
      <c r="AA93" s="282">
        <v>0</v>
      </c>
      <c r="AB93" s="282">
        <v>0</v>
      </c>
      <c r="AC93" s="282">
        <v>0</v>
      </c>
      <c r="AD93" s="282">
        <v>0</v>
      </c>
      <c r="AE93" s="279">
        <v>198709</v>
      </c>
      <c r="AF93" s="279">
        <v>51654</v>
      </c>
      <c r="AG93" s="283">
        <f t="shared" si="2"/>
        <v>250363</v>
      </c>
      <c r="AH93" s="71">
        <f t="shared" si="3"/>
        <v>0</v>
      </c>
    </row>
    <row r="94" spans="2:34" hidden="1" outlineLevel="1" x14ac:dyDescent="0.25">
      <c r="B94" s="223" t="s">
        <v>303</v>
      </c>
      <c r="C94" s="277" t="s">
        <v>273</v>
      </c>
      <c r="D94" s="278">
        <v>65501</v>
      </c>
      <c r="E94" s="220">
        <v>0</v>
      </c>
      <c r="F94" s="220">
        <v>1665</v>
      </c>
      <c r="G94" s="220">
        <v>0</v>
      </c>
      <c r="H94" s="279">
        <v>67166</v>
      </c>
      <c r="I94" s="278">
        <v>0</v>
      </c>
      <c r="J94" s="220">
        <v>0</v>
      </c>
      <c r="K94" s="220">
        <v>5010</v>
      </c>
      <c r="L94" s="220">
        <v>5010</v>
      </c>
      <c r="M94" s="280">
        <v>-172</v>
      </c>
      <c r="N94" s="279">
        <v>72004</v>
      </c>
      <c r="O94" s="281">
        <v>25617</v>
      </c>
      <c r="P94" s="281">
        <v>0</v>
      </c>
      <c r="Q94" s="281">
        <v>0</v>
      </c>
      <c r="R94" s="281">
        <v>0</v>
      </c>
      <c r="S94" s="281">
        <v>0</v>
      </c>
      <c r="T94" s="279">
        <v>25617</v>
      </c>
      <c r="U94" s="281">
        <v>0</v>
      </c>
      <c r="V94" s="281">
        <v>0</v>
      </c>
      <c r="W94" s="281">
        <v>0</v>
      </c>
      <c r="X94" s="281">
        <v>0</v>
      </c>
      <c r="Y94" s="281">
        <v>0</v>
      </c>
      <c r="Z94" s="279">
        <v>0</v>
      </c>
      <c r="AA94" s="282">
        <v>0</v>
      </c>
      <c r="AB94" s="282">
        <v>0</v>
      </c>
      <c r="AC94" s="282">
        <v>0</v>
      </c>
      <c r="AD94" s="282">
        <v>2966</v>
      </c>
      <c r="AE94" s="279">
        <v>28583</v>
      </c>
      <c r="AF94" s="279">
        <v>43421</v>
      </c>
      <c r="AG94" s="283">
        <f t="shared" si="2"/>
        <v>72004</v>
      </c>
      <c r="AH94" s="71">
        <f t="shared" si="3"/>
        <v>0</v>
      </c>
    </row>
    <row r="95" spans="2:34" hidden="1" outlineLevel="1" x14ac:dyDescent="0.25">
      <c r="B95" s="223" t="s">
        <v>161</v>
      </c>
      <c r="C95" s="277" t="s">
        <v>274</v>
      </c>
      <c r="D95" s="278">
        <v>65201</v>
      </c>
      <c r="E95" s="220">
        <v>0</v>
      </c>
      <c r="F95" s="220">
        <v>1901</v>
      </c>
      <c r="G95" s="220">
        <v>0</v>
      </c>
      <c r="H95" s="279">
        <v>67102</v>
      </c>
      <c r="I95" s="278">
        <v>0</v>
      </c>
      <c r="J95" s="220">
        <v>0</v>
      </c>
      <c r="K95" s="220">
        <v>1745</v>
      </c>
      <c r="L95" s="220">
        <v>1745</v>
      </c>
      <c r="M95" s="280">
        <v>0</v>
      </c>
      <c r="N95" s="279">
        <v>68847</v>
      </c>
      <c r="O95" s="281">
        <v>1444</v>
      </c>
      <c r="P95" s="281">
        <v>0</v>
      </c>
      <c r="Q95" s="281">
        <v>0</v>
      </c>
      <c r="R95" s="281">
        <v>0</v>
      </c>
      <c r="S95" s="281">
        <v>0</v>
      </c>
      <c r="T95" s="279">
        <v>1444</v>
      </c>
      <c r="U95" s="281">
        <v>22654</v>
      </c>
      <c r="V95" s="281">
        <v>0</v>
      </c>
      <c r="W95" s="281">
        <v>2987</v>
      </c>
      <c r="X95" s="281">
        <v>3546</v>
      </c>
      <c r="Y95" s="281">
        <v>0</v>
      </c>
      <c r="Z95" s="279">
        <v>29187</v>
      </c>
      <c r="AA95" s="282">
        <v>0</v>
      </c>
      <c r="AB95" s="282">
        <v>36</v>
      </c>
      <c r="AC95" s="282">
        <v>29223</v>
      </c>
      <c r="AD95" s="282">
        <v>1772</v>
      </c>
      <c r="AE95" s="279">
        <v>32439</v>
      </c>
      <c r="AF95" s="279">
        <v>36408</v>
      </c>
      <c r="AG95" s="283">
        <f t="shared" si="2"/>
        <v>68847</v>
      </c>
      <c r="AH95" s="71">
        <f t="shared" si="3"/>
        <v>0</v>
      </c>
    </row>
    <row r="96" spans="2:34" hidden="1" outlineLevel="1" x14ac:dyDescent="0.25">
      <c r="B96" s="223" t="s">
        <v>162</v>
      </c>
      <c r="C96" s="277" t="s">
        <v>275</v>
      </c>
      <c r="D96" s="278">
        <v>58797</v>
      </c>
      <c r="E96" s="220">
        <v>0</v>
      </c>
      <c r="F96" s="220">
        <v>2532</v>
      </c>
      <c r="G96" s="220">
        <v>0</v>
      </c>
      <c r="H96" s="279">
        <v>61329</v>
      </c>
      <c r="I96" s="278">
        <v>0</v>
      </c>
      <c r="J96" s="220">
        <v>0</v>
      </c>
      <c r="K96" s="220">
        <v>14414</v>
      </c>
      <c r="L96" s="220">
        <v>2858</v>
      </c>
      <c r="M96" s="280">
        <v>0</v>
      </c>
      <c r="N96" s="279">
        <v>75743</v>
      </c>
      <c r="O96" s="281">
        <v>7817</v>
      </c>
      <c r="P96" s="281">
        <v>0</v>
      </c>
      <c r="Q96" s="281">
        <v>0</v>
      </c>
      <c r="R96" s="281">
        <v>0</v>
      </c>
      <c r="S96" s="281">
        <v>0</v>
      </c>
      <c r="T96" s="279">
        <v>7817</v>
      </c>
      <c r="U96" s="281">
        <v>2815</v>
      </c>
      <c r="V96" s="281">
        <v>10942</v>
      </c>
      <c r="W96" s="281">
        <v>0</v>
      </c>
      <c r="X96" s="281">
        <v>326</v>
      </c>
      <c r="Y96" s="281">
        <v>148</v>
      </c>
      <c r="Z96" s="279">
        <v>14231</v>
      </c>
      <c r="AA96" s="282">
        <v>0</v>
      </c>
      <c r="AB96" s="282">
        <v>100</v>
      </c>
      <c r="AC96" s="282">
        <v>14331</v>
      </c>
      <c r="AD96" s="282">
        <v>3260</v>
      </c>
      <c r="AE96" s="279">
        <v>25408</v>
      </c>
      <c r="AF96" s="279">
        <v>50335</v>
      </c>
      <c r="AG96" s="283">
        <f t="shared" si="2"/>
        <v>75743</v>
      </c>
      <c r="AH96" s="71">
        <f t="shared" si="3"/>
        <v>0</v>
      </c>
    </row>
    <row r="97" spans="2:34" hidden="1" outlineLevel="1" x14ac:dyDescent="0.25">
      <c r="B97" s="223" t="s">
        <v>163</v>
      </c>
      <c r="C97" s="277" t="s">
        <v>276</v>
      </c>
      <c r="D97" s="278">
        <v>40168</v>
      </c>
      <c r="E97" s="220">
        <v>0</v>
      </c>
      <c r="F97" s="220">
        <v>0</v>
      </c>
      <c r="G97" s="220">
        <v>0</v>
      </c>
      <c r="H97" s="279">
        <v>40168</v>
      </c>
      <c r="I97" s="278">
        <v>0</v>
      </c>
      <c r="J97" s="220">
        <v>0</v>
      </c>
      <c r="K97" s="220">
        <v>333</v>
      </c>
      <c r="L97" s="220">
        <v>333</v>
      </c>
      <c r="M97" s="280">
        <v>0</v>
      </c>
      <c r="N97" s="279">
        <v>40501</v>
      </c>
      <c r="O97" s="281">
        <v>0</v>
      </c>
      <c r="P97" s="281">
        <v>0</v>
      </c>
      <c r="Q97" s="281">
        <v>0</v>
      </c>
      <c r="R97" s="281">
        <v>0</v>
      </c>
      <c r="S97" s="281">
        <v>0</v>
      </c>
      <c r="T97" s="279">
        <v>0</v>
      </c>
      <c r="U97" s="281">
        <v>0</v>
      </c>
      <c r="V97" s="281">
        <v>0</v>
      </c>
      <c r="W97" s="281">
        <v>0</v>
      </c>
      <c r="X97" s="281">
        <v>0</v>
      </c>
      <c r="Y97" s="281">
        <v>0</v>
      </c>
      <c r="Z97" s="279">
        <v>0</v>
      </c>
      <c r="AA97" s="282">
        <v>0</v>
      </c>
      <c r="AB97" s="282">
        <v>0</v>
      </c>
      <c r="AC97" s="282">
        <v>0</v>
      </c>
      <c r="AD97" s="282">
        <v>0</v>
      </c>
      <c r="AE97" s="279">
        <v>0</v>
      </c>
      <c r="AF97" s="279">
        <v>40501</v>
      </c>
      <c r="AG97" s="283">
        <f t="shared" si="2"/>
        <v>40501</v>
      </c>
      <c r="AH97" s="71">
        <f t="shared" si="3"/>
        <v>0</v>
      </c>
    </row>
    <row r="98" spans="2:34" hidden="1" outlineLevel="1" x14ac:dyDescent="0.25">
      <c r="B98" s="223" t="s">
        <v>164</v>
      </c>
      <c r="C98" s="277" t="s">
        <v>277</v>
      </c>
      <c r="D98" s="278">
        <v>29397</v>
      </c>
      <c r="E98" s="220">
        <v>0</v>
      </c>
      <c r="F98" s="220">
        <v>0</v>
      </c>
      <c r="G98" s="220">
        <v>0</v>
      </c>
      <c r="H98" s="279">
        <v>29397</v>
      </c>
      <c r="I98" s="278">
        <v>0</v>
      </c>
      <c r="J98" s="220">
        <v>0</v>
      </c>
      <c r="K98" s="220">
        <v>328</v>
      </c>
      <c r="L98" s="220">
        <v>262</v>
      </c>
      <c r="M98" s="280">
        <v>-4</v>
      </c>
      <c r="N98" s="279">
        <v>29721</v>
      </c>
      <c r="O98" s="281">
        <v>369</v>
      </c>
      <c r="P98" s="281">
        <v>0</v>
      </c>
      <c r="Q98" s="281">
        <v>0</v>
      </c>
      <c r="R98" s="281">
        <v>0</v>
      </c>
      <c r="S98" s="281">
        <v>0</v>
      </c>
      <c r="T98" s="279">
        <v>369</v>
      </c>
      <c r="U98" s="281">
        <v>0</v>
      </c>
      <c r="V98" s="281">
        <v>0</v>
      </c>
      <c r="W98" s="281">
        <v>0</v>
      </c>
      <c r="X98" s="281">
        <v>0</v>
      </c>
      <c r="Y98" s="281">
        <v>0</v>
      </c>
      <c r="Z98" s="279">
        <v>0</v>
      </c>
      <c r="AA98" s="282">
        <v>0</v>
      </c>
      <c r="AB98" s="282">
        <v>0</v>
      </c>
      <c r="AC98" s="282">
        <v>0</v>
      </c>
      <c r="AD98" s="282">
        <v>0</v>
      </c>
      <c r="AE98" s="279">
        <v>369</v>
      </c>
      <c r="AF98" s="279">
        <v>29352</v>
      </c>
      <c r="AG98" s="283">
        <f t="shared" si="2"/>
        <v>29721</v>
      </c>
      <c r="AH98" s="71">
        <f t="shared" si="3"/>
        <v>0</v>
      </c>
    </row>
    <row r="99" spans="2:34" hidden="1" outlineLevel="1" x14ac:dyDescent="0.25">
      <c r="B99" s="223" t="s">
        <v>165</v>
      </c>
      <c r="C99" s="277" t="s">
        <v>278</v>
      </c>
      <c r="D99" s="278">
        <v>49737</v>
      </c>
      <c r="E99" s="220">
        <v>0</v>
      </c>
      <c r="F99" s="220">
        <v>9581</v>
      </c>
      <c r="G99" s="220">
        <v>0</v>
      </c>
      <c r="H99" s="279">
        <v>59318</v>
      </c>
      <c r="I99" s="278">
        <v>0</v>
      </c>
      <c r="J99" s="220">
        <v>0</v>
      </c>
      <c r="K99" s="220">
        <v>1213</v>
      </c>
      <c r="L99" s="220">
        <v>1213</v>
      </c>
      <c r="M99" s="280">
        <v>0</v>
      </c>
      <c r="N99" s="279">
        <v>60531</v>
      </c>
      <c r="O99" s="281">
        <v>687</v>
      </c>
      <c r="P99" s="281">
        <v>0</v>
      </c>
      <c r="Q99" s="281">
        <v>0</v>
      </c>
      <c r="R99" s="281">
        <v>0</v>
      </c>
      <c r="S99" s="281">
        <v>0</v>
      </c>
      <c r="T99" s="279">
        <v>687</v>
      </c>
      <c r="U99" s="281">
        <v>15326</v>
      </c>
      <c r="V99" s="281">
        <v>2797</v>
      </c>
      <c r="W99" s="281">
        <v>76</v>
      </c>
      <c r="X99" s="281">
        <v>1306</v>
      </c>
      <c r="Y99" s="281">
        <v>0</v>
      </c>
      <c r="Z99" s="279">
        <v>19505</v>
      </c>
      <c r="AA99" s="282">
        <v>0</v>
      </c>
      <c r="AB99" s="282">
        <v>353</v>
      </c>
      <c r="AC99" s="282">
        <v>19858</v>
      </c>
      <c r="AD99" s="282">
        <v>8357</v>
      </c>
      <c r="AE99" s="279">
        <v>28902</v>
      </c>
      <c r="AF99" s="279">
        <v>31629</v>
      </c>
      <c r="AG99" s="283">
        <f t="shared" si="2"/>
        <v>60531</v>
      </c>
      <c r="AH99" s="71">
        <f t="shared" si="3"/>
        <v>0</v>
      </c>
    </row>
    <row r="100" spans="2:34" hidden="1" outlineLevel="1" x14ac:dyDescent="0.25">
      <c r="B100" s="223" t="s">
        <v>166</v>
      </c>
      <c r="C100" s="277" t="s">
        <v>279</v>
      </c>
      <c r="D100" s="278">
        <v>25425</v>
      </c>
      <c r="E100" s="220">
        <v>0</v>
      </c>
      <c r="F100" s="220">
        <v>0</v>
      </c>
      <c r="G100" s="220">
        <v>0</v>
      </c>
      <c r="H100" s="279">
        <v>25425</v>
      </c>
      <c r="I100" s="278">
        <v>0</v>
      </c>
      <c r="J100" s="220">
        <v>0</v>
      </c>
      <c r="K100" s="220">
        <v>1696</v>
      </c>
      <c r="L100" s="220">
        <v>1696</v>
      </c>
      <c r="M100" s="280">
        <v>0</v>
      </c>
      <c r="N100" s="279">
        <v>27121</v>
      </c>
      <c r="O100" s="281">
        <v>3159</v>
      </c>
      <c r="P100" s="281">
        <v>0</v>
      </c>
      <c r="Q100" s="281">
        <v>0</v>
      </c>
      <c r="R100" s="281">
        <v>0</v>
      </c>
      <c r="S100" s="281">
        <v>0</v>
      </c>
      <c r="T100" s="279">
        <v>3159</v>
      </c>
      <c r="U100" s="281">
        <v>0</v>
      </c>
      <c r="V100" s="281">
        <v>0</v>
      </c>
      <c r="W100" s="281">
        <v>0</v>
      </c>
      <c r="X100" s="281">
        <v>0</v>
      </c>
      <c r="Y100" s="281">
        <v>0</v>
      </c>
      <c r="Z100" s="279">
        <v>0</v>
      </c>
      <c r="AA100" s="282">
        <v>0</v>
      </c>
      <c r="AB100" s="282">
        <v>0</v>
      </c>
      <c r="AC100" s="282">
        <v>0</v>
      </c>
      <c r="AD100" s="282">
        <v>0</v>
      </c>
      <c r="AE100" s="279">
        <v>3159</v>
      </c>
      <c r="AF100" s="279">
        <v>23962</v>
      </c>
      <c r="AG100" s="283">
        <f t="shared" si="2"/>
        <v>27121</v>
      </c>
      <c r="AH100" s="71">
        <f t="shared" si="3"/>
        <v>0</v>
      </c>
    </row>
    <row r="101" spans="2:34" hidden="1" outlineLevel="1" x14ac:dyDescent="0.25">
      <c r="B101" s="223" t="s">
        <v>167</v>
      </c>
      <c r="C101" s="277" t="s">
        <v>280</v>
      </c>
      <c r="D101" s="278">
        <v>28483</v>
      </c>
      <c r="E101" s="220">
        <v>0</v>
      </c>
      <c r="F101" s="220">
        <v>0</v>
      </c>
      <c r="G101" s="220">
        <v>0</v>
      </c>
      <c r="H101" s="279">
        <v>28483</v>
      </c>
      <c r="I101" s="278">
        <v>0</v>
      </c>
      <c r="J101" s="220">
        <v>0</v>
      </c>
      <c r="K101" s="220">
        <v>411</v>
      </c>
      <c r="L101" s="220">
        <v>411</v>
      </c>
      <c r="M101" s="280">
        <v>0</v>
      </c>
      <c r="N101" s="279">
        <v>28894</v>
      </c>
      <c r="O101" s="281">
        <v>0</v>
      </c>
      <c r="P101" s="281">
        <v>0</v>
      </c>
      <c r="Q101" s="281">
        <v>0</v>
      </c>
      <c r="R101" s="281">
        <v>0</v>
      </c>
      <c r="S101" s="281">
        <v>0</v>
      </c>
      <c r="T101" s="279">
        <v>0</v>
      </c>
      <c r="U101" s="281">
        <v>0</v>
      </c>
      <c r="V101" s="281">
        <v>0</v>
      </c>
      <c r="W101" s="281">
        <v>0</v>
      </c>
      <c r="X101" s="281">
        <v>0</v>
      </c>
      <c r="Y101" s="281">
        <v>0</v>
      </c>
      <c r="Z101" s="279">
        <v>0</v>
      </c>
      <c r="AA101" s="282">
        <v>0</v>
      </c>
      <c r="AB101" s="282">
        <v>0</v>
      </c>
      <c r="AC101" s="282">
        <v>0</v>
      </c>
      <c r="AD101" s="282">
        <v>0</v>
      </c>
      <c r="AE101" s="279">
        <v>0</v>
      </c>
      <c r="AF101" s="279">
        <v>28894</v>
      </c>
      <c r="AG101" s="283">
        <f t="shared" si="2"/>
        <v>28894</v>
      </c>
      <c r="AH101" s="71">
        <f t="shared" si="3"/>
        <v>0</v>
      </c>
    </row>
    <row r="102" spans="2:34" hidden="1" outlineLevel="1" x14ac:dyDescent="0.25">
      <c r="B102" s="223" t="s">
        <v>168</v>
      </c>
      <c r="C102" s="277" t="s">
        <v>281</v>
      </c>
      <c r="D102" s="278">
        <v>101980</v>
      </c>
      <c r="E102" s="220">
        <v>0</v>
      </c>
      <c r="F102" s="220">
        <v>10403</v>
      </c>
      <c r="G102" s="220">
        <v>0</v>
      </c>
      <c r="H102" s="279">
        <v>112383</v>
      </c>
      <c r="I102" s="278">
        <v>0</v>
      </c>
      <c r="J102" s="220">
        <v>0</v>
      </c>
      <c r="K102" s="220">
        <v>3762</v>
      </c>
      <c r="L102" s="220">
        <v>3762</v>
      </c>
      <c r="M102" s="280">
        <v>0</v>
      </c>
      <c r="N102" s="279">
        <v>116145</v>
      </c>
      <c r="O102" s="281">
        <v>2726</v>
      </c>
      <c r="P102" s="281">
        <v>0</v>
      </c>
      <c r="Q102" s="281">
        <v>0</v>
      </c>
      <c r="R102" s="281">
        <v>0</v>
      </c>
      <c r="S102" s="281">
        <v>0</v>
      </c>
      <c r="T102" s="279">
        <v>2726</v>
      </c>
      <c r="U102" s="281">
        <v>0</v>
      </c>
      <c r="V102" s="281">
        <v>0</v>
      </c>
      <c r="W102" s="281">
        <v>0</v>
      </c>
      <c r="X102" s="281">
        <v>0</v>
      </c>
      <c r="Y102" s="281">
        <v>0</v>
      </c>
      <c r="Z102" s="279">
        <v>0</v>
      </c>
      <c r="AA102" s="282">
        <v>0</v>
      </c>
      <c r="AB102" s="282">
        <v>0</v>
      </c>
      <c r="AC102" s="282">
        <v>0</v>
      </c>
      <c r="AD102" s="282">
        <v>8476</v>
      </c>
      <c r="AE102" s="279">
        <v>11202</v>
      </c>
      <c r="AF102" s="279">
        <v>104943</v>
      </c>
      <c r="AG102" s="283">
        <f t="shared" si="2"/>
        <v>116145</v>
      </c>
      <c r="AH102" s="71">
        <f t="shared" si="3"/>
        <v>0</v>
      </c>
    </row>
    <row r="103" spans="2:34" hidden="1" outlineLevel="1" x14ac:dyDescent="0.25">
      <c r="B103" s="223" t="s">
        <v>169</v>
      </c>
      <c r="C103" s="277" t="s">
        <v>282</v>
      </c>
      <c r="D103" s="278">
        <v>22666</v>
      </c>
      <c r="E103" s="220">
        <v>0</v>
      </c>
      <c r="F103" s="220">
        <v>0</v>
      </c>
      <c r="G103" s="220">
        <v>0</v>
      </c>
      <c r="H103" s="279">
        <v>22666</v>
      </c>
      <c r="I103" s="278">
        <v>0</v>
      </c>
      <c r="J103" s="220">
        <v>0</v>
      </c>
      <c r="K103" s="220">
        <v>2307</v>
      </c>
      <c r="L103" s="220">
        <v>985</v>
      </c>
      <c r="M103" s="280">
        <v>0</v>
      </c>
      <c r="N103" s="279">
        <v>24973</v>
      </c>
      <c r="O103" s="281">
        <v>7109</v>
      </c>
      <c r="P103" s="281">
        <v>0</v>
      </c>
      <c r="Q103" s="281">
        <v>0</v>
      </c>
      <c r="R103" s="281">
        <v>0</v>
      </c>
      <c r="S103" s="281">
        <v>0</v>
      </c>
      <c r="T103" s="279">
        <v>7109</v>
      </c>
      <c r="U103" s="281">
        <v>0</v>
      </c>
      <c r="V103" s="281">
        <v>0</v>
      </c>
      <c r="W103" s="281">
        <v>0</v>
      </c>
      <c r="X103" s="281">
        <v>0</v>
      </c>
      <c r="Y103" s="281">
        <v>0</v>
      </c>
      <c r="Z103" s="279">
        <v>0</v>
      </c>
      <c r="AA103" s="282">
        <v>0</v>
      </c>
      <c r="AB103" s="282">
        <v>0</v>
      </c>
      <c r="AC103" s="282">
        <v>0</v>
      </c>
      <c r="AD103" s="282">
        <v>0</v>
      </c>
      <c r="AE103" s="279">
        <v>7109</v>
      </c>
      <c r="AF103" s="279">
        <v>17864</v>
      </c>
      <c r="AG103" s="283">
        <f t="shared" si="2"/>
        <v>24973</v>
      </c>
      <c r="AH103" s="71">
        <f t="shared" si="3"/>
        <v>0</v>
      </c>
    </row>
    <row r="104" spans="2:34" hidden="1" outlineLevel="1" x14ac:dyDescent="0.25">
      <c r="B104" s="223" t="s">
        <v>170</v>
      </c>
      <c r="C104" s="277" t="s">
        <v>283</v>
      </c>
      <c r="D104" s="278">
        <v>26183</v>
      </c>
      <c r="E104" s="220">
        <v>0</v>
      </c>
      <c r="F104" s="220">
        <v>1874</v>
      </c>
      <c r="G104" s="220">
        <v>0</v>
      </c>
      <c r="H104" s="279">
        <v>28057</v>
      </c>
      <c r="I104" s="278">
        <v>0</v>
      </c>
      <c r="J104" s="220">
        <v>0</v>
      </c>
      <c r="K104" s="220">
        <v>356</v>
      </c>
      <c r="L104" s="220">
        <v>356</v>
      </c>
      <c r="M104" s="280">
        <v>-15</v>
      </c>
      <c r="N104" s="279">
        <v>28398</v>
      </c>
      <c r="O104" s="281">
        <v>0</v>
      </c>
      <c r="P104" s="281">
        <v>0</v>
      </c>
      <c r="Q104" s="281">
        <v>0</v>
      </c>
      <c r="R104" s="281">
        <v>0</v>
      </c>
      <c r="S104" s="281">
        <v>0</v>
      </c>
      <c r="T104" s="279">
        <v>0</v>
      </c>
      <c r="U104" s="281">
        <v>0</v>
      </c>
      <c r="V104" s="281">
        <v>0</v>
      </c>
      <c r="W104" s="281">
        <v>0</v>
      </c>
      <c r="X104" s="281">
        <v>0</v>
      </c>
      <c r="Y104" s="281">
        <v>0</v>
      </c>
      <c r="Z104" s="279">
        <v>0</v>
      </c>
      <c r="AA104" s="282">
        <v>0</v>
      </c>
      <c r="AB104" s="282">
        <v>0</v>
      </c>
      <c r="AC104" s="282">
        <v>0</v>
      </c>
      <c r="AD104" s="282">
        <v>3378</v>
      </c>
      <c r="AE104" s="279">
        <v>3378</v>
      </c>
      <c r="AF104" s="279">
        <v>25020</v>
      </c>
      <c r="AG104" s="283">
        <f t="shared" si="2"/>
        <v>28398</v>
      </c>
      <c r="AH104" s="71">
        <f t="shared" si="3"/>
        <v>0</v>
      </c>
    </row>
    <row r="105" spans="2:34" hidden="1" outlineLevel="1" x14ac:dyDescent="0.25">
      <c r="B105" s="223" t="s">
        <v>171</v>
      </c>
      <c r="C105" s="277" t="s">
        <v>284</v>
      </c>
      <c r="D105" s="278">
        <v>8570</v>
      </c>
      <c r="E105" s="220">
        <v>0</v>
      </c>
      <c r="F105" s="220">
        <v>0</v>
      </c>
      <c r="G105" s="220">
        <v>0</v>
      </c>
      <c r="H105" s="279">
        <v>8570</v>
      </c>
      <c r="I105" s="278">
        <v>0</v>
      </c>
      <c r="J105" s="220">
        <v>0</v>
      </c>
      <c r="K105" s="220">
        <v>0</v>
      </c>
      <c r="L105" s="220">
        <v>0</v>
      </c>
      <c r="M105" s="280">
        <v>0</v>
      </c>
      <c r="N105" s="279">
        <v>8570</v>
      </c>
      <c r="O105" s="281">
        <v>19</v>
      </c>
      <c r="P105" s="281">
        <v>8551</v>
      </c>
      <c r="Q105" s="281">
        <v>0</v>
      </c>
      <c r="R105" s="281">
        <v>8551</v>
      </c>
      <c r="S105" s="281">
        <v>0</v>
      </c>
      <c r="T105" s="279">
        <v>8570</v>
      </c>
      <c r="U105" s="281">
        <v>0</v>
      </c>
      <c r="V105" s="281">
        <v>0</v>
      </c>
      <c r="W105" s="281">
        <v>0</v>
      </c>
      <c r="X105" s="281">
        <v>0</v>
      </c>
      <c r="Y105" s="281">
        <v>0</v>
      </c>
      <c r="Z105" s="279">
        <v>0</v>
      </c>
      <c r="AA105" s="282">
        <v>0</v>
      </c>
      <c r="AB105" s="282">
        <v>0</v>
      </c>
      <c r="AC105" s="282">
        <v>0</v>
      </c>
      <c r="AD105" s="282">
        <v>0</v>
      </c>
      <c r="AE105" s="279">
        <v>8570</v>
      </c>
      <c r="AF105" s="279">
        <v>0</v>
      </c>
      <c r="AG105" s="283">
        <f t="shared" si="2"/>
        <v>8570</v>
      </c>
      <c r="AH105" s="71">
        <f t="shared" si="3"/>
        <v>0</v>
      </c>
    </row>
    <row r="106" spans="2:34" hidden="1" outlineLevel="1" x14ac:dyDescent="0.25">
      <c r="B106" s="223" t="s">
        <v>77</v>
      </c>
      <c r="C106" s="277" t="s">
        <v>285</v>
      </c>
      <c r="D106" s="278">
        <v>78516</v>
      </c>
      <c r="E106" s="220">
        <v>0</v>
      </c>
      <c r="F106" s="220">
        <v>0</v>
      </c>
      <c r="G106" s="220">
        <v>0</v>
      </c>
      <c r="H106" s="279">
        <v>78516</v>
      </c>
      <c r="I106" s="278">
        <v>0</v>
      </c>
      <c r="J106" s="220">
        <v>0</v>
      </c>
      <c r="K106" s="220">
        <v>6298</v>
      </c>
      <c r="L106" s="220">
        <v>6126</v>
      </c>
      <c r="M106" s="280">
        <v>-262</v>
      </c>
      <c r="N106" s="279">
        <v>84552</v>
      </c>
      <c r="O106" s="281">
        <v>62254</v>
      </c>
      <c r="P106" s="281">
        <v>0</v>
      </c>
      <c r="Q106" s="281">
        <v>429</v>
      </c>
      <c r="R106" s="281">
        <v>429</v>
      </c>
      <c r="S106" s="281">
        <v>0</v>
      </c>
      <c r="T106" s="279">
        <v>62683</v>
      </c>
      <c r="U106" s="281">
        <v>0</v>
      </c>
      <c r="V106" s="281">
        <v>0</v>
      </c>
      <c r="W106" s="281">
        <v>0</v>
      </c>
      <c r="X106" s="281">
        <v>0</v>
      </c>
      <c r="Y106" s="281">
        <v>0</v>
      </c>
      <c r="Z106" s="279">
        <v>0</v>
      </c>
      <c r="AA106" s="282">
        <v>0</v>
      </c>
      <c r="AB106" s="282">
        <v>0</v>
      </c>
      <c r="AC106" s="282">
        <v>0</v>
      </c>
      <c r="AD106" s="282">
        <v>0</v>
      </c>
      <c r="AE106" s="279">
        <v>62683</v>
      </c>
      <c r="AF106" s="279">
        <v>21869</v>
      </c>
      <c r="AG106" s="283">
        <f t="shared" si="2"/>
        <v>84552</v>
      </c>
      <c r="AH106" s="71">
        <f t="shared" si="3"/>
        <v>0</v>
      </c>
    </row>
    <row r="107" spans="2:34" hidden="1" outlineLevel="1" x14ac:dyDescent="0.25">
      <c r="B107" s="223" t="s">
        <v>172</v>
      </c>
      <c r="C107" s="277" t="s">
        <v>286</v>
      </c>
      <c r="D107" s="278">
        <v>20008</v>
      </c>
      <c r="E107" s="220">
        <v>0</v>
      </c>
      <c r="F107" s="220">
        <v>1475</v>
      </c>
      <c r="G107" s="220">
        <v>0</v>
      </c>
      <c r="H107" s="279">
        <v>21483</v>
      </c>
      <c r="I107" s="278">
        <v>0</v>
      </c>
      <c r="J107" s="220">
        <v>0</v>
      </c>
      <c r="K107" s="220">
        <v>1158</v>
      </c>
      <c r="L107" s="220">
        <v>681</v>
      </c>
      <c r="M107" s="280">
        <v>0</v>
      </c>
      <c r="N107" s="279">
        <v>22641</v>
      </c>
      <c r="O107" s="281">
        <v>8884</v>
      </c>
      <c r="P107" s="281">
        <v>0</v>
      </c>
      <c r="Q107" s="281">
        <v>512</v>
      </c>
      <c r="R107" s="281">
        <v>512</v>
      </c>
      <c r="S107" s="281">
        <v>0</v>
      </c>
      <c r="T107" s="279">
        <v>9396</v>
      </c>
      <c r="U107" s="281">
        <v>2355</v>
      </c>
      <c r="V107" s="281">
        <v>0</v>
      </c>
      <c r="W107" s="281">
        <v>0</v>
      </c>
      <c r="X107" s="281">
        <v>0</v>
      </c>
      <c r="Y107" s="281">
        <v>0</v>
      </c>
      <c r="Z107" s="279">
        <v>2355</v>
      </c>
      <c r="AA107" s="282">
        <v>0</v>
      </c>
      <c r="AB107" s="282">
        <v>2</v>
      </c>
      <c r="AC107" s="282">
        <v>2357</v>
      </c>
      <c r="AD107" s="282">
        <v>867</v>
      </c>
      <c r="AE107" s="279">
        <v>12620</v>
      </c>
      <c r="AF107" s="279">
        <v>10021</v>
      </c>
      <c r="AG107" s="283">
        <f t="shared" si="2"/>
        <v>22641</v>
      </c>
      <c r="AH107" s="71">
        <f t="shared" si="3"/>
        <v>0</v>
      </c>
    </row>
    <row r="108" spans="2:34" hidden="1" outlineLevel="1" x14ac:dyDescent="0.25">
      <c r="B108" s="223" t="s">
        <v>173</v>
      </c>
      <c r="C108" s="277" t="s">
        <v>287</v>
      </c>
      <c r="D108" s="278">
        <v>20154</v>
      </c>
      <c r="E108" s="220">
        <v>0</v>
      </c>
      <c r="F108" s="220">
        <v>594</v>
      </c>
      <c r="G108" s="220">
        <v>0</v>
      </c>
      <c r="H108" s="279">
        <v>20748</v>
      </c>
      <c r="I108" s="278">
        <v>0</v>
      </c>
      <c r="J108" s="220">
        <v>0</v>
      </c>
      <c r="K108" s="220">
        <v>5149</v>
      </c>
      <c r="L108" s="220">
        <v>991</v>
      </c>
      <c r="M108" s="280">
        <v>-22</v>
      </c>
      <c r="N108" s="279">
        <v>25875</v>
      </c>
      <c r="O108" s="281">
        <v>19915</v>
      </c>
      <c r="P108" s="281">
        <v>0</v>
      </c>
      <c r="Q108" s="281">
        <v>14</v>
      </c>
      <c r="R108" s="281">
        <v>14</v>
      </c>
      <c r="S108" s="281">
        <v>0</v>
      </c>
      <c r="T108" s="279">
        <v>19929</v>
      </c>
      <c r="U108" s="281">
        <v>131</v>
      </c>
      <c r="V108" s="281">
        <v>0</v>
      </c>
      <c r="W108" s="281">
        <v>0</v>
      </c>
      <c r="X108" s="281">
        <v>156</v>
      </c>
      <c r="Y108" s="281">
        <v>0</v>
      </c>
      <c r="Z108" s="279">
        <v>287</v>
      </c>
      <c r="AA108" s="282">
        <v>0</v>
      </c>
      <c r="AB108" s="282">
        <v>0</v>
      </c>
      <c r="AC108" s="282">
        <v>287</v>
      </c>
      <c r="AD108" s="282">
        <v>1098</v>
      </c>
      <c r="AE108" s="279">
        <v>21314</v>
      </c>
      <c r="AF108" s="279">
        <v>4561</v>
      </c>
      <c r="AG108" s="283">
        <f t="shared" si="2"/>
        <v>25875</v>
      </c>
      <c r="AH108" s="71">
        <f t="shared" si="3"/>
        <v>0</v>
      </c>
    </row>
    <row r="109" spans="2:34" hidden="1" outlineLevel="1" x14ac:dyDescent="0.25">
      <c r="B109" s="223" t="s">
        <v>173</v>
      </c>
      <c r="C109" s="277" t="s">
        <v>288</v>
      </c>
      <c r="D109" s="278">
        <v>23381</v>
      </c>
      <c r="E109" s="220">
        <v>0</v>
      </c>
      <c r="F109" s="220">
        <v>0</v>
      </c>
      <c r="G109" s="220">
        <v>0</v>
      </c>
      <c r="H109" s="279">
        <v>23381</v>
      </c>
      <c r="I109" s="278">
        <v>0</v>
      </c>
      <c r="J109" s="220">
        <v>0</v>
      </c>
      <c r="K109" s="220">
        <v>0</v>
      </c>
      <c r="L109" s="220">
        <v>0</v>
      </c>
      <c r="M109" s="280">
        <v>0</v>
      </c>
      <c r="N109" s="279">
        <v>23381</v>
      </c>
      <c r="O109" s="281">
        <v>3770</v>
      </c>
      <c r="P109" s="281">
        <v>0</v>
      </c>
      <c r="Q109" s="281">
        <v>15502</v>
      </c>
      <c r="R109" s="281">
        <v>15502</v>
      </c>
      <c r="S109" s="281">
        <v>4109</v>
      </c>
      <c r="T109" s="279">
        <v>23381</v>
      </c>
      <c r="U109" s="281">
        <v>0</v>
      </c>
      <c r="V109" s="281">
        <v>0</v>
      </c>
      <c r="W109" s="281">
        <v>0</v>
      </c>
      <c r="X109" s="281">
        <v>0</v>
      </c>
      <c r="Y109" s="281">
        <v>0</v>
      </c>
      <c r="Z109" s="279">
        <v>0</v>
      </c>
      <c r="AA109" s="282">
        <v>0</v>
      </c>
      <c r="AB109" s="282">
        <v>0</v>
      </c>
      <c r="AC109" s="282">
        <v>0</v>
      </c>
      <c r="AD109" s="282">
        <v>0</v>
      </c>
      <c r="AE109" s="279">
        <v>23381</v>
      </c>
      <c r="AF109" s="279">
        <v>0</v>
      </c>
      <c r="AG109" s="283">
        <f t="shared" si="2"/>
        <v>23381</v>
      </c>
      <c r="AH109" s="71">
        <f t="shared" si="3"/>
        <v>0</v>
      </c>
    </row>
    <row r="110" spans="2:34" hidden="1" outlineLevel="1" x14ac:dyDescent="0.25">
      <c r="B110" s="223" t="s">
        <v>174</v>
      </c>
      <c r="C110" s="277" t="s">
        <v>289</v>
      </c>
      <c r="D110" s="278">
        <v>13722</v>
      </c>
      <c r="E110" s="220">
        <v>0</v>
      </c>
      <c r="F110" s="220">
        <v>0</v>
      </c>
      <c r="G110" s="220">
        <v>0</v>
      </c>
      <c r="H110" s="279">
        <v>13722</v>
      </c>
      <c r="I110" s="278">
        <v>0</v>
      </c>
      <c r="J110" s="220">
        <v>0</v>
      </c>
      <c r="K110" s="220">
        <v>1527</v>
      </c>
      <c r="L110" s="220">
        <v>1516</v>
      </c>
      <c r="M110" s="280">
        <v>0</v>
      </c>
      <c r="N110" s="279">
        <v>15249</v>
      </c>
      <c r="O110" s="281">
        <v>12383</v>
      </c>
      <c r="P110" s="281">
        <v>0</v>
      </c>
      <c r="Q110" s="281">
        <v>236</v>
      </c>
      <c r="R110" s="281">
        <v>236</v>
      </c>
      <c r="S110" s="281">
        <v>0</v>
      </c>
      <c r="T110" s="279">
        <v>12619</v>
      </c>
      <c r="U110" s="281">
        <v>0</v>
      </c>
      <c r="V110" s="281">
        <v>0</v>
      </c>
      <c r="W110" s="281">
        <v>0</v>
      </c>
      <c r="X110" s="281">
        <v>0</v>
      </c>
      <c r="Y110" s="281">
        <v>0</v>
      </c>
      <c r="Z110" s="279">
        <v>0</v>
      </c>
      <c r="AA110" s="282">
        <v>0</v>
      </c>
      <c r="AB110" s="282">
        <v>0</v>
      </c>
      <c r="AC110" s="282">
        <v>0</v>
      </c>
      <c r="AD110" s="282">
        <v>0</v>
      </c>
      <c r="AE110" s="279">
        <v>12619</v>
      </c>
      <c r="AF110" s="279">
        <v>2630</v>
      </c>
      <c r="AG110" s="283">
        <f t="shared" si="2"/>
        <v>15249</v>
      </c>
      <c r="AH110" s="71">
        <f t="shared" si="3"/>
        <v>0</v>
      </c>
    </row>
    <row r="111" spans="2:34" hidden="1" outlineLevel="1" x14ac:dyDescent="0.25">
      <c r="B111" s="223" t="s">
        <v>175</v>
      </c>
      <c r="C111" s="277" t="s">
        <v>290</v>
      </c>
      <c r="D111" s="278">
        <v>9109</v>
      </c>
      <c r="E111" s="220">
        <v>0</v>
      </c>
      <c r="F111" s="220">
        <v>0</v>
      </c>
      <c r="G111" s="220">
        <v>0</v>
      </c>
      <c r="H111" s="279">
        <v>9109</v>
      </c>
      <c r="I111" s="278">
        <v>0</v>
      </c>
      <c r="J111" s="220">
        <v>0</v>
      </c>
      <c r="K111" s="220">
        <v>0</v>
      </c>
      <c r="L111" s="220">
        <v>0</v>
      </c>
      <c r="M111" s="280">
        <v>0</v>
      </c>
      <c r="N111" s="279">
        <v>9109</v>
      </c>
      <c r="O111" s="281">
        <v>8320</v>
      </c>
      <c r="P111" s="281">
        <v>0</v>
      </c>
      <c r="Q111" s="281">
        <v>0</v>
      </c>
      <c r="R111" s="281">
        <v>0</v>
      </c>
      <c r="S111" s="281">
        <v>0</v>
      </c>
      <c r="T111" s="279">
        <v>8320</v>
      </c>
      <c r="U111" s="281">
        <v>0</v>
      </c>
      <c r="V111" s="281">
        <v>0</v>
      </c>
      <c r="W111" s="281">
        <v>0</v>
      </c>
      <c r="X111" s="281">
        <v>0</v>
      </c>
      <c r="Y111" s="281">
        <v>0</v>
      </c>
      <c r="Z111" s="279">
        <v>0</v>
      </c>
      <c r="AA111" s="282">
        <v>0</v>
      </c>
      <c r="AB111" s="282">
        <v>0</v>
      </c>
      <c r="AC111" s="282">
        <v>0</v>
      </c>
      <c r="AD111" s="282">
        <v>0</v>
      </c>
      <c r="AE111" s="279">
        <v>8320</v>
      </c>
      <c r="AF111" s="279">
        <v>789</v>
      </c>
      <c r="AG111" s="283">
        <f t="shared" si="2"/>
        <v>9109</v>
      </c>
      <c r="AH111" s="71">
        <f t="shared" si="3"/>
        <v>0</v>
      </c>
    </row>
    <row r="112" spans="2:34" hidden="1" outlineLevel="1" x14ac:dyDescent="0.25">
      <c r="B112" s="223" t="s">
        <v>176</v>
      </c>
      <c r="C112" s="277" t="s">
        <v>291</v>
      </c>
      <c r="D112" s="278">
        <v>17471</v>
      </c>
      <c r="E112" s="220">
        <v>0</v>
      </c>
      <c r="F112" s="220">
        <v>0</v>
      </c>
      <c r="G112" s="220">
        <v>0</v>
      </c>
      <c r="H112" s="279">
        <v>17471</v>
      </c>
      <c r="I112" s="278">
        <v>0</v>
      </c>
      <c r="J112" s="220">
        <v>0</v>
      </c>
      <c r="K112" s="220">
        <v>345</v>
      </c>
      <c r="L112" s="220">
        <v>345</v>
      </c>
      <c r="M112" s="280">
        <v>0</v>
      </c>
      <c r="N112" s="279">
        <v>17816</v>
      </c>
      <c r="O112" s="281">
        <v>6884</v>
      </c>
      <c r="P112" s="281">
        <v>0</v>
      </c>
      <c r="Q112" s="281">
        <v>48</v>
      </c>
      <c r="R112" s="281">
        <v>48</v>
      </c>
      <c r="S112" s="281">
        <v>0</v>
      </c>
      <c r="T112" s="279">
        <v>6932</v>
      </c>
      <c r="U112" s="281">
        <v>0</v>
      </c>
      <c r="V112" s="281">
        <v>0</v>
      </c>
      <c r="W112" s="281">
        <v>0</v>
      </c>
      <c r="X112" s="281">
        <v>0</v>
      </c>
      <c r="Y112" s="281">
        <v>0</v>
      </c>
      <c r="Z112" s="279">
        <v>0</v>
      </c>
      <c r="AA112" s="282">
        <v>0</v>
      </c>
      <c r="AB112" s="282">
        <v>0</v>
      </c>
      <c r="AC112" s="282">
        <v>0</v>
      </c>
      <c r="AD112" s="282">
        <v>0</v>
      </c>
      <c r="AE112" s="279">
        <v>6932</v>
      </c>
      <c r="AF112" s="279">
        <v>10884</v>
      </c>
      <c r="AG112" s="283">
        <f t="shared" si="2"/>
        <v>17816</v>
      </c>
      <c r="AH112" s="71">
        <f t="shared" si="3"/>
        <v>0</v>
      </c>
    </row>
    <row r="113" spans="1:34" hidden="1" outlineLevel="1" x14ac:dyDescent="0.25">
      <c r="B113" s="223" t="s">
        <v>177</v>
      </c>
      <c r="C113" s="277" t="s">
        <v>292</v>
      </c>
      <c r="D113" s="278">
        <v>86310</v>
      </c>
      <c r="E113" s="220">
        <v>0</v>
      </c>
      <c r="F113" s="220">
        <v>0</v>
      </c>
      <c r="G113" s="220">
        <v>0</v>
      </c>
      <c r="H113" s="279">
        <v>86310</v>
      </c>
      <c r="I113" s="278">
        <v>0</v>
      </c>
      <c r="J113" s="220">
        <v>0</v>
      </c>
      <c r="K113" s="220">
        <v>0</v>
      </c>
      <c r="L113" s="220">
        <v>0</v>
      </c>
      <c r="M113" s="280">
        <v>0</v>
      </c>
      <c r="N113" s="279">
        <v>86310</v>
      </c>
      <c r="O113" s="281">
        <v>1929</v>
      </c>
      <c r="P113" s="281">
        <v>0</v>
      </c>
      <c r="Q113" s="281">
        <v>82940</v>
      </c>
      <c r="R113" s="281">
        <v>82940</v>
      </c>
      <c r="S113" s="281">
        <v>1441</v>
      </c>
      <c r="T113" s="279">
        <v>86310</v>
      </c>
      <c r="U113" s="281">
        <v>0</v>
      </c>
      <c r="V113" s="281">
        <v>0</v>
      </c>
      <c r="W113" s="281">
        <v>0</v>
      </c>
      <c r="X113" s="281">
        <v>0</v>
      </c>
      <c r="Y113" s="281">
        <v>0</v>
      </c>
      <c r="Z113" s="279">
        <v>0</v>
      </c>
      <c r="AA113" s="282">
        <v>0</v>
      </c>
      <c r="AB113" s="282">
        <v>0</v>
      </c>
      <c r="AC113" s="282">
        <v>0</v>
      </c>
      <c r="AD113" s="282">
        <v>0</v>
      </c>
      <c r="AE113" s="279">
        <v>86310</v>
      </c>
      <c r="AF113" s="279">
        <v>0</v>
      </c>
      <c r="AG113" s="283">
        <f t="shared" si="2"/>
        <v>86310</v>
      </c>
      <c r="AH113" s="71">
        <f t="shared" si="3"/>
        <v>0</v>
      </c>
    </row>
    <row r="114" spans="1:34" hidden="1" outlineLevel="1" x14ac:dyDescent="0.25">
      <c r="B114" s="223" t="s">
        <v>178</v>
      </c>
      <c r="C114" s="277" t="s">
        <v>293</v>
      </c>
      <c r="D114" s="278">
        <v>64364</v>
      </c>
      <c r="E114" s="220">
        <v>0</v>
      </c>
      <c r="F114" s="220">
        <v>261</v>
      </c>
      <c r="G114" s="220">
        <v>0</v>
      </c>
      <c r="H114" s="279">
        <v>64625</v>
      </c>
      <c r="I114" s="278">
        <v>0</v>
      </c>
      <c r="J114" s="220">
        <v>0</v>
      </c>
      <c r="K114" s="220">
        <v>5</v>
      </c>
      <c r="L114" s="220">
        <v>0</v>
      </c>
      <c r="M114" s="280">
        <v>0</v>
      </c>
      <c r="N114" s="279">
        <v>64630</v>
      </c>
      <c r="O114" s="281">
        <v>15570</v>
      </c>
      <c r="P114" s="281">
        <v>0</v>
      </c>
      <c r="Q114" s="281">
        <v>42202</v>
      </c>
      <c r="R114" s="281">
        <v>42202</v>
      </c>
      <c r="S114" s="281">
        <v>0</v>
      </c>
      <c r="T114" s="279">
        <v>57772</v>
      </c>
      <c r="U114" s="281">
        <v>0</v>
      </c>
      <c r="V114" s="281">
        <v>0</v>
      </c>
      <c r="W114" s="281">
        <v>0</v>
      </c>
      <c r="X114" s="281">
        <v>0</v>
      </c>
      <c r="Y114" s="281">
        <v>0</v>
      </c>
      <c r="Z114" s="279">
        <v>0</v>
      </c>
      <c r="AA114" s="282">
        <v>0</v>
      </c>
      <c r="AB114" s="282">
        <v>0</v>
      </c>
      <c r="AC114" s="282">
        <v>0</v>
      </c>
      <c r="AD114" s="282">
        <v>516</v>
      </c>
      <c r="AE114" s="279">
        <v>58288</v>
      </c>
      <c r="AF114" s="279">
        <v>6342</v>
      </c>
      <c r="AG114" s="283">
        <f t="shared" si="2"/>
        <v>64630</v>
      </c>
      <c r="AH114" s="71">
        <f t="shared" si="3"/>
        <v>0</v>
      </c>
    </row>
    <row r="115" spans="1:34" hidden="1" outlineLevel="1" x14ac:dyDescent="0.25">
      <c r="B115" s="223" t="s">
        <v>179</v>
      </c>
      <c r="C115" s="277" t="s">
        <v>294</v>
      </c>
      <c r="D115" s="278">
        <v>55246</v>
      </c>
      <c r="E115" s="220">
        <v>0</v>
      </c>
      <c r="F115" s="220">
        <v>0</v>
      </c>
      <c r="G115" s="220">
        <v>0</v>
      </c>
      <c r="H115" s="279">
        <v>55246</v>
      </c>
      <c r="I115" s="278">
        <v>0</v>
      </c>
      <c r="J115" s="220">
        <v>0</v>
      </c>
      <c r="K115" s="220">
        <v>0</v>
      </c>
      <c r="L115" s="220">
        <v>0</v>
      </c>
      <c r="M115" s="280">
        <v>0</v>
      </c>
      <c r="N115" s="279">
        <v>55246</v>
      </c>
      <c r="O115" s="281">
        <v>3624</v>
      </c>
      <c r="P115" s="281">
        <v>0</v>
      </c>
      <c r="Q115" s="281">
        <v>51622</v>
      </c>
      <c r="R115" s="281">
        <v>51622</v>
      </c>
      <c r="S115" s="281">
        <v>0</v>
      </c>
      <c r="T115" s="279">
        <v>55246</v>
      </c>
      <c r="U115" s="281">
        <v>0</v>
      </c>
      <c r="V115" s="281">
        <v>0</v>
      </c>
      <c r="W115" s="281">
        <v>0</v>
      </c>
      <c r="X115" s="281">
        <v>0</v>
      </c>
      <c r="Y115" s="281">
        <v>0</v>
      </c>
      <c r="Z115" s="279">
        <v>0</v>
      </c>
      <c r="AA115" s="282">
        <v>0</v>
      </c>
      <c r="AB115" s="282">
        <v>0</v>
      </c>
      <c r="AC115" s="282">
        <v>0</v>
      </c>
      <c r="AD115" s="282">
        <v>0</v>
      </c>
      <c r="AE115" s="279">
        <v>55246</v>
      </c>
      <c r="AF115" s="279">
        <v>0</v>
      </c>
      <c r="AG115" s="283">
        <f t="shared" si="2"/>
        <v>55246</v>
      </c>
      <c r="AH115" s="71">
        <f t="shared" si="3"/>
        <v>0</v>
      </c>
    </row>
    <row r="116" spans="1:34" hidden="1" outlineLevel="1" x14ac:dyDescent="0.25">
      <c r="B116" s="223" t="s">
        <v>180</v>
      </c>
      <c r="C116" s="277" t="s">
        <v>295</v>
      </c>
      <c r="D116" s="278">
        <v>2255</v>
      </c>
      <c r="E116" s="220">
        <v>0</v>
      </c>
      <c r="F116" s="220">
        <v>0</v>
      </c>
      <c r="G116" s="220">
        <v>0</v>
      </c>
      <c r="H116" s="279">
        <v>2255</v>
      </c>
      <c r="I116" s="278">
        <v>0</v>
      </c>
      <c r="J116" s="220">
        <v>0</v>
      </c>
      <c r="K116" s="220">
        <v>275</v>
      </c>
      <c r="L116" s="220">
        <v>275</v>
      </c>
      <c r="M116" s="280">
        <v>0</v>
      </c>
      <c r="N116" s="279">
        <v>2530</v>
      </c>
      <c r="O116" s="281">
        <v>1872</v>
      </c>
      <c r="P116" s="281">
        <v>0</v>
      </c>
      <c r="Q116" s="281">
        <v>0</v>
      </c>
      <c r="R116" s="281">
        <v>0</v>
      </c>
      <c r="S116" s="281">
        <v>0</v>
      </c>
      <c r="T116" s="279">
        <v>1872</v>
      </c>
      <c r="U116" s="281">
        <v>0</v>
      </c>
      <c r="V116" s="281">
        <v>0</v>
      </c>
      <c r="W116" s="281">
        <v>0</v>
      </c>
      <c r="X116" s="281">
        <v>0</v>
      </c>
      <c r="Y116" s="281">
        <v>0</v>
      </c>
      <c r="Z116" s="279">
        <v>0</v>
      </c>
      <c r="AA116" s="282">
        <v>0</v>
      </c>
      <c r="AB116" s="282">
        <v>0</v>
      </c>
      <c r="AC116" s="282">
        <v>0</v>
      </c>
      <c r="AD116" s="282">
        <v>0</v>
      </c>
      <c r="AE116" s="279">
        <v>1872</v>
      </c>
      <c r="AF116" s="279">
        <v>658</v>
      </c>
      <c r="AG116" s="283">
        <f t="shared" si="2"/>
        <v>2530</v>
      </c>
      <c r="AH116" s="71">
        <f t="shared" si="3"/>
        <v>0</v>
      </c>
    </row>
    <row r="117" spans="1:34" hidden="1" outlineLevel="1" x14ac:dyDescent="0.25">
      <c r="B117" s="223" t="s">
        <v>181</v>
      </c>
      <c r="C117" s="277" t="s">
        <v>296</v>
      </c>
      <c r="D117" s="278">
        <v>24045</v>
      </c>
      <c r="E117" s="220">
        <v>0</v>
      </c>
      <c r="F117" s="220">
        <v>0</v>
      </c>
      <c r="G117" s="220">
        <v>0</v>
      </c>
      <c r="H117" s="279">
        <v>24045</v>
      </c>
      <c r="I117" s="278">
        <v>0</v>
      </c>
      <c r="J117" s="220">
        <v>0</v>
      </c>
      <c r="K117" s="220">
        <v>0</v>
      </c>
      <c r="L117" s="220">
        <v>0</v>
      </c>
      <c r="M117" s="280">
        <v>0</v>
      </c>
      <c r="N117" s="279">
        <v>24045</v>
      </c>
      <c r="O117" s="281">
        <v>13498</v>
      </c>
      <c r="P117" s="281">
        <v>0</v>
      </c>
      <c r="Q117" s="281">
        <v>10547</v>
      </c>
      <c r="R117" s="281">
        <v>10547</v>
      </c>
      <c r="S117" s="281">
        <v>0</v>
      </c>
      <c r="T117" s="279">
        <v>24045</v>
      </c>
      <c r="U117" s="281">
        <v>0</v>
      </c>
      <c r="V117" s="281">
        <v>0</v>
      </c>
      <c r="W117" s="281">
        <v>0</v>
      </c>
      <c r="X117" s="281">
        <v>0</v>
      </c>
      <c r="Y117" s="281">
        <v>0</v>
      </c>
      <c r="Z117" s="279">
        <v>0</v>
      </c>
      <c r="AA117" s="282">
        <v>0</v>
      </c>
      <c r="AB117" s="282">
        <v>0</v>
      </c>
      <c r="AC117" s="282">
        <v>0</v>
      </c>
      <c r="AD117" s="282">
        <v>0</v>
      </c>
      <c r="AE117" s="279">
        <v>24045</v>
      </c>
      <c r="AF117" s="279">
        <v>0</v>
      </c>
      <c r="AG117" s="283">
        <f t="shared" si="2"/>
        <v>24045</v>
      </c>
      <c r="AH117" s="71">
        <f t="shared" si="3"/>
        <v>0</v>
      </c>
    </row>
    <row r="118" spans="1:34" hidden="1" outlineLevel="1" x14ac:dyDescent="0.25">
      <c r="B118" s="223" t="s">
        <v>182</v>
      </c>
      <c r="C118" s="277" t="s">
        <v>297</v>
      </c>
      <c r="D118" s="278">
        <v>33103</v>
      </c>
      <c r="E118" s="220">
        <v>0</v>
      </c>
      <c r="F118" s="220">
        <v>0</v>
      </c>
      <c r="G118" s="220">
        <v>0</v>
      </c>
      <c r="H118" s="279">
        <v>33103</v>
      </c>
      <c r="I118" s="278">
        <v>0</v>
      </c>
      <c r="J118" s="220">
        <v>0</v>
      </c>
      <c r="K118" s="220">
        <v>0</v>
      </c>
      <c r="L118" s="220">
        <v>0</v>
      </c>
      <c r="M118" s="280">
        <v>0</v>
      </c>
      <c r="N118" s="279">
        <v>33103</v>
      </c>
      <c r="O118" s="281">
        <v>4296</v>
      </c>
      <c r="P118" s="281">
        <v>0</v>
      </c>
      <c r="Q118" s="281">
        <v>14199</v>
      </c>
      <c r="R118" s="281">
        <v>14199</v>
      </c>
      <c r="S118" s="281">
        <v>14608</v>
      </c>
      <c r="T118" s="279">
        <v>33103</v>
      </c>
      <c r="U118" s="281">
        <v>0</v>
      </c>
      <c r="V118" s="281">
        <v>0</v>
      </c>
      <c r="W118" s="281">
        <v>0</v>
      </c>
      <c r="X118" s="281">
        <v>0</v>
      </c>
      <c r="Y118" s="281">
        <v>0</v>
      </c>
      <c r="Z118" s="279">
        <v>0</v>
      </c>
      <c r="AA118" s="282">
        <v>0</v>
      </c>
      <c r="AB118" s="282">
        <v>0</v>
      </c>
      <c r="AC118" s="282">
        <v>0</v>
      </c>
      <c r="AD118" s="282">
        <v>0</v>
      </c>
      <c r="AE118" s="279">
        <v>33103</v>
      </c>
      <c r="AF118" s="279">
        <v>0</v>
      </c>
      <c r="AG118" s="283">
        <f t="shared" si="2"/>
        <v>33103</v>
      </c>
      <c r="AH118" s="71">
        <f t="shared" si="3"/>
        <v>0</v>
      </c>
    </row>
    <row r="119" spans="1:34" hidden="1" outlineLevel="1" x14ac:dyDescent="0.25">
      <c r="B119" s="223" t="s">
        <v>78</v>
      </c>
      <c r="C119" s="277" t="s">
        <v>298</v>
      </c>
      <c r="D119" s="278">
        <v>153084</v>
      </c>
      <c r="E119" s="220">
        <v>0</v>
      </c>
      <c r="F119" s="220">
        <v>0</v>
      </c>
      <c r="G119" s="220">
        <v>0</v>
      </c>
      <c r="H119" s="279">
        <v>153084</v>
      </c>
      <c r="I119" s="278">
        <v>0</v>
      </c>
      <c r="J119" s="220">
        <v>0</v>
      </c>
      <c r="K119" s="220">
        <v>0</v>
      </c>
      <c r="L119" s="220">
        <v>0</v>
      </c>
      <c r="M119" s="280">
        <v>0</v>
      </c>
      <c r="N119" s="279">
        <v>153084</v>
      </c>
      <c r="O119" s="281">
        <v>406</v>
      </c>
      <c r="P119" s="281">
        <v>137212</v>
      </c>
      <c r="Q119" s="281">
        <v>15466</v>
      </c>
      <c r="R119" s="281">
        <v>152678</v>
      </c>
      <c r="S119" s="281">
        <v>0</v>
      </c>
      <c r="T119" s="279">
        <v>153084</v>
      </c>
      <c r="U119" s="281">
        <v>0</v>
      </c>
      <c r="V119" s="281">
        <v>0</v>
      </c>
      <c r="W119" s="281">
        <v>0</v>
      </c>
      <c r="X119" s="281">
        <v>0</v>
      </c>
      <c r="Y119" s="281">
        <v>0</v>
      </c>
      <c r="Z119" s="279">
        <v>0</v>
      </c>
      <c r="AA119" s="282">
        <v>0</v>
      </c>
      <c r="AB119" s="282">
        <v>0</v>
      </c>
      <c r="AC119" s="282">
        <v>0</v>
      </c>
      <c r="AD119" s="282">
        <v>0</v>
      </c>
      <c r="AE119" s="279">
        <v>153084</v>
      </c>
      <c r="AF119" s="279">
        <v>0</v>
      </c>
      <c r="AG119" s="283">
        <f t="shared" si="2"/>
        <v>153084</v>
      </c>
      <c r="AH119" s="71">
        <f t="shared" si="3"/>
        <v>0</v>
      </c>
    </row>
    <row r="120" spans="1:34" hidden="1" outlineLevel="1" x14ac:dyDescent="0.25">
      <c r="B120" s="223" t="s">
        <v>79</v>
      </c>
      <c r="C120" s="277" t="s">
        <v>299</v>
      </c>
      <c r="D120" s="278">
        <v>7359</v>
      </c>
      <c r="E120" s="220">
        <v>0</v>
      </c>
      <c r="F120" s="220">
        <v>0</v>
      </c>
      <c r="G120" s="220">
        <v>0</v>
      </c>
      <c r="H120" s="279">
        <v>7359</v>
      </c>
      <c r="I120" s="278">
        <v>0</v>
      </c>
      <c r="J120" s="220">
        <v>0</v>
      </c>
      <c r="K120" s="220">
        <v>0</v>
      </c>
      <c r="L120" s="220">
        <v>0</v>
      </c>
      <c r="M120" s="280">
        <v>0</v>
      </c>
      <c r="N120" s="279">
        <v>7359</v>
      </c>
      <c r="O120" s="281">
        <v>0</v>
      </c>
      <c r="P120" s="281">
        <v>1105</v>
      </c>
      <c r="Q120" s="281">
        <v>0</v>
      </c>
      <c r="R120" s="281">
        <v>1105</v>
      </c>
      <c r="S120" s="281">
        <v>3568</v>
      </c>
      <c r="T120" s="279">
        <v>4673</v>
      </c>
      <c r="U120" s="281">
        <v>0</v>
      </c>
      <c r="V120" s="281">
        <v>0</v>
      </c>
      <c r="W120" s="281">
        <v>0</v>
      </c>
      <c r="X120" s="281">
        <v>0</v>
      </c>
      <c r="Y120" s="281">
        <v>0</v>
      </c>
      <c r="Z120" s="279">
        <v>0</v>
      </c>
      <c r="AA120" s="282">
        <v>0</v>
      </c>
      <c r="AB120" s="282">
        <v>0</v>
      </c>
      <c r="AC120" s="282">
        <v>0</v>
      </c>
      <c r="AD120" s="282">
        <v>0</v>
      </c>
      <c r="AE120" s="279">
        <v>4673</v>
      </c>
      <c r="AF120" s="279">
        <v>2686</v>
      </c>
      <c r="AG120" s="283">
        <f t="shared" si="2"/>
        <v>7359</v>
      </c>
      <c r="AH120" s="71">
        <f t="shared" si="3"/>
        <v>0</v>
      </c>
    </row>
    <row r="121" spans="1:34" hidden="1" outlineLevel="1" x14ac:dyDescent="0.25">
      <c r="B121" s="223" t="s">
        <v>80</v>
      </c>
      <c r="C121" s="277" t="s">
        <v>67</v>
      </c>
      <c r="D121" s="278">
        <v>0</v>
      </c>
      <c r="E121" s="220">
        <v>0</v>
      </c>
      <c r="F121" s="220">
        <v>25365</v>
      </c>
      <c r="G121" s="220">
        <v>0</v>
      </c>
      <c r="H121" s="279">
        <v>25365</v>
      </c>
      <c r="I121" s="278">
        <v>0</v>
      </c>
      <c r="J121" s="220">
        <v>0</v>
      </c>
      <c r="K121" s="220">
        <v>0</v>
      </c>
      <c r="L121" s="220">
        <v>0</v>
      </c>
      <c r="M121" s="280">
        <v>0</v>
      </c>
      <c r="N121" s="279">
        <v>25365</v>
      </c>
      <c r="O121" s="281">
        <v>-10141</v>
      </c>
      <c r="P121" s="281">
        <v>0</v>
      </c>
      <c r="Q121" s="281">
        <v>0</v>
      </c>
      <c r="R121" s="281">
        <v>0</v>
      </c>
      <c r="S121" s="281">
        <v>0</v>
      </c>
      <c r="T121" s="279">
        <v>-10141</v>
      </c>
      <c r="U121" s="281">
        <v>0</v>
      </c>
      <c r="V121" s="281">
        <v>0</v>
      </c>
      <c r="W121" s="281">
        <v>0</v>
      </c>
      <c r="X121" s="281">
        <v>0</v>
      </c>
      <c r="Y121" s="281">
        <v>0</v>
      </c>
      <c r="Z121" s="279">
        <v>0</v>
      </c>
      <c r="AA121" s="282">
        <v>0</v>
      </c>
      <c r="AB121" s="282">
        <v>0</v>
      </c>
      <c r="AC121" s="282">
        <v>0</v>
      </c>
      <c r="AD121" s="282">
        <v>35506</v>
      </c>
      <c r="AE121" s="279">
        <v>25365</v>
      </c>
      <c r="AF121" s="279">
        <v>0</v>
      </c>
      <c r="AG121" s="283">
        <f t="shared" si="2"/>
        <v>25365</v>
      </c>
      <c r="AH121" s="71">
        <f t="shared" si="3"/>
        <v>0</v>
      </c>
    </row>
    <row r="122" spans="1:34" hidden="1" outlineLevel="1" x14ac:dyDescent="0.25">
      <c r="B122" s="447" t="s">
        <v>183</v>
      </c>
      <c r="C122" s="277" t="s">
        <v>66</v>
      </c>
      <c r="D122" s="448"/>
      <c r="E122" s="449">
        <v>-12871</v>
      </c>
      <c r="F122" s="449">
        <v>0</v>
      </c>
      <c r="G122" s="449">
        <v>12871</v>
      </c>
      <c r="H122" s="450">
        <v>0</v>
      </c>
      <c r="I122" s="448">
        <v>0</v>
      </c>
      <c r="J122" s="449">
        <v>0</v>
      </c>
      <c r="K122" s="449">
        <v>0</v>
      </c>
      <c r="L122" s="449">
        <v>0</v>
      </c>
      <c r="M122" s="451">
        <v>0</v>
      </c>
      <c r="N122" s="450">
        <v>0</v>
      </c>
      <c r="O122" s="449">
        <v>0</v>
      </c>
      <c r="P122" s="449">
        <v>0</v>
      </c>
      <c r="Q122" s="449">
        <v>0</v>
      </c>
      <c r="R122" s="449">
        <v>0</v>
      </c>
      <c r="S122" s="449">
        <v>0</v>
      </c>
      <c r="T122" s="450">
        <v>0</v>
      </c>
      <c r="U122" s="449">
        <v>0</v>
      </c>
      <c r="V122" s="449">
        <v>0</v>
      </c>
      <c r="W122" s="449">
        <v>0</v>
      </c>
      <c r="X122" s="449">
        <v>0</v>
      </c>
      <c r="Y122" s="449">
        <v>0</v>
      </c>
      <c r="Z122" s="450">
        <v>0</v>
      </c>
      <c r="AA122" s="452">
        <v>0</v>
      </c>
      <c r="AB122" s="452">
        <v>0</v>
      </c>
      <c r="AC122" s="452">
        <v>0</v>
      </c>
      <c r="AD122" s="452">
        <v>0</v>
      </c>
      <c r="AE122" s="450">
        <v>0</v>
      </c>
      <c r="AF122" s="279">
        <v>0</v>
      </c>
      <c r="AG122" s="283">
        <f t="shared" si="2"/>
        <v>0</v>
      </c>
      <c r="AH122" s="71">
        <f t="shared" si="3"/>
        <v>0</v>
      </c>
    </row>
    <row r="123" spans="1:34" hidden="1" outlineLevel="1" x14ac:dyDescent="0.25">
      <c r="B123" s="447" t="s">
        <v>81</v>
      </c>
      <c r="C123" s="453" t="s">
        <v>65</v>
      </c>
      <c r="D123" s="454">
        <v>3276084</v>
      </c>
      <c r="E123" s="226">
        <v>415740</v>
      </c>
      <c r="F123" s="226">
        <v>91565</v>
      </c>
      <c r="G123" s="226">
        <v>0</v>
      </c>
      <c r="H123" s="455">
        <v>3783389</v>
      </c>
      <c r="I123" s="454">
        <v>0</v>
      </c>
      <c r="J123" s="226">
        <v>0</v>
      </c>
      <c r="K123" s="226">
        <v>204741</v>
      </c>
      <c r="L123" s="226">
        <v>131017</v>
      </c>
      <c r="M123" s="456">
        <v>-11982</v>
      </c>
      <c r="N123" s="455">
        <v>3976148</v>
      </c>
      <c r="O123" s="457">
        <v>1002014</v>
      </c>
      <c r="P123" s="457">
        <v>146868</v>
      </c>
      <c r="Q123" s="457">
        <v>275709</v>
      </c>
      <c r="R123" s="457">
        <v>422577</v>
      </c>
      <c r="S123" s="457">
        <v>23726</v>
      </c>
      <c r="T123" s="450">
        <v>1448317</v>
      </c>
      <c r="U123" s="457">
        <v>192772</v>
      </c>
      <c r="V123" s="457">
        <v>107135</v>
      </c>
      <c r="W123" s="457">
        <v>15529</v>
      </c>
      <c r="X123" s="457">
        <v>58205</v>
      </c>
      <c r="Y123" s="457">
        <v>2396</v>
      </c>
      <c r="Z123" s="450">
        <v>376037</v>
      </c>
      <c r="AA123" s="450">
        <v>806</v>
      </c>
      <c r="AB123" s="450">
        <v>5062</v>
      </c>
      <c r="AC123" s="450">
        <v>381905</v>
      </c>
      <c r="AD123" s="450">
        <v>484545</v>
      </c>
      <c r="AE123" s="450">
        <v>2314767</v>
      </c>
      <c r="AF123" s="228">
        <f>SUM(AF5:AF122)</f>
        <v>1661381</v>
      </c>
      <c r="AG123" s="228">
        <f>SUM(AG5:AG122)</f>
        <v>3976148</v>
      </c>
      <c r="AH123" s="71">
        <f t="shared" si="3"/>
        <v>0</v>
      </c>
    </row>
    <row r="124" spans="1:34" s="71" customFormat="1" hidden="1" outlineLevel="1" x14ac:dyDescent="0.25">
      <c r="B124" s="458"/>
      <c r="C124" s="459" t="s">
        <v>580</v>
      </c>
      <c r="D124" s="460">
        <f>SUM(D5:D122)</f>
        <v>3276084</v>
      </c>
      <c r="E124" s="460">
        <f t="shared" ref="E124:AG124" si="4">SUM(E5:E122)</f>
        <v>415740</v>
      </c>
      <c r="F124" s="460">
        <f t="shared" si="4"/>
        <v>91565</v>
      </c>
      <c r="G124" s="460">
        <f t="shared" si="4"/>
        <v>0</v>
      </c>
      <c r="H124" s="460">
        <f t="shared" si="4"/>
        <v>3783389</v>
      </c>
      <c r="I124" s="460">
        <f t="shared" si="4"/>
        <v>0</v>
      </c>
      <c r="J124" s="460">
        <f t="shared" si="4"/>
        <v>0</v>
      </c>
      <c r="K124" s="460">
        <f t="shared" si="4"/>
        <v>204741</v>
      </c>
      <c r="L124" s="460">
        <f t="shared" si="4"/>
        <v>131017</v>
      </c>
      <c r="M124" s="460">
        <f t="shared" si="4"/>
        <v>-11982</v>
      </c>
      <c r="N124" s="460">
        <f t="shared" si="4"/>
        <v>3976148</v>
      </c>
      <c r="O124" s="230">
        <f t="shared" si="4"/>
        <v>1002014</v>
      </c>
      <c r="P124" s="230">
        <f t="shared" si="4"/>
        <v>146868</v>
      </c>
      <c r="Q124" s="230">
        <f t="shared" si="4"/>
        <v>275709</v>
      </c>
      <c r="R124" s="230">
        <f t="shared" si="4"/>
        <v>422577</v>
      </c>
      <c r="S124" s="230">
        <f t="shared" si="4"/>
        <v>23726</v>
      </c>
      <c r="T124" s="230">
        <f t="shared" si="4"/>
        <v>1448317</v>
      </c>
      <c r="U124" s="230">
        <f t="shared" si="4"/>
        <v>192772</v>
      </c>
      <c r="V124" s="461">
        <f t="shared" si="4"/>
        <v>107135</v>
      </c>
      <c r="W124" s="230">
        <f t="shared" si="4"/>
        <v>15529</v>
      </c>
      <c r="X124" s="230">
        <f t="shared" si="4"/>
        <v>58205</v>
      </c>
      <c r="Y124" s="230">
        <f t="shared" si="4"/>
        <v>2396</v>
      </c>
      <c r="Z124" s="461">
        <f t="shared" si="4"/>
        <v>376037</v>
      </c>
      <c r="AA124" s="230">
        <f t="shared" si="4"/>
        <v>806</v>
      </c>
      <c r="AB124" s="230">
        <f t="shared" si="4"/>
        <v>5062</v>
      </c>
      <c r="AC124" s="230">
        <f t="shared" si="4"/>
        <v>381905</v>
      </c>
      <c r="AD124" s="230">
        <f t="shared" si="4"/>
        <v>484545</v>
      </c>
      <c r="AE124" s="230">
        <f t="shared" si="4"/>
        <v>2314767</v>
      </c>
      <c r="AF124" s="230">
        <f t="shared" si="4"/>
        <v>1661381</v>
      </c>
      <c r="AG124" s="230">
        <f t="shared" si="4"/>
        <v>3976148</v>
      </c>
      <c r="AH124" s="71">
        <f t="shared" si="3"/>
        <v>0</v>
      </c>
    </row>
    <row r="125" spans="1:34" hidden="1" outlineLevel="1" x14ac:dyDescent="0.25">
      <c r="C125" s="462" t="s">
        <v>580</v>
      </c>
      <c r="D125" s="230">
        <f>D123-D124</f>
        <v>0</v>
      </c>
      <c r="E125" s="228">
        <f t="shared" ref="E125:AG125" si="5">E123-E124</f>
        <v>0</v>
      </c>
      <c r="F125" s="228">
        <f t="shared" si="5"/>
        <v>0</v>
      </c>
      <c r="G125" s="228">
        <f t="shared" si="5"/>
        <v>0</v>
      </c>
      <c r="H125" s="228">
        <f t="shared" si="5"/>
        <v>0</v>
      </c>
      <c r="I125" s="228">
        <f t="shared" si="5"/>
        <v>0</v>
      </c>
      <c r="J125" s="228">
        <f t="shared" si="5"/>
        <v>0</v>
      </c>
      <c r="K125" s="228">
        <f t="shared" si="5"/>
        <v>0</v>
      </c>
      <c r="L125" s="228">
        <f t="shared" si="5"/>
        <v>0</v>
      </c>
      <c r="M125" s="228">
        <f t="shared" si="5"/>
        <v>0</v>
      </c>
      <c r="N125" s="228">
        <f t="shared" si="5"/>
        <v>0</v>
      </c>
      <c r="O125" s="228">
        <f t="shared" si="5"/>
        <v>0</v>
      </c>
      <c r="P125" s="228">
        <f t="shared" si="5"/>
        <v>0</v>
      </c>
      <c r="Q125" s="228">
        <f t="shared" si="5"/>
        <v>0</v>
      </c>
      <c r="R125" s="228">
        <f t="shared" si="5"/>
        <v>0</v>
      </c>
      <c r="S125" s="228">
        <f t="shared" si="5"/>
        <v>0</v>
      </c>
      <c r="T125" s="228">
        <f t="shared" si="5"/>
        <v>0</v>
      </c>
      <c r="U125" s="228">
        <f t="shared" si="5"/>
        <v>0</v>
      </c>
      <c r="V125" s="228">
        <f t="shared" si="5"/>
        <v>0</v>
      </c>
      <c r="W125" s="228">
        <f t="shared" si="5"/>
        <v>0</v>
      </c>
      <c r="X125" s="228">
        <f t="shared" si="5"/>
        <v>0</v>
      </c>
      <c r="Y125" s="228">
        <f t="shared" si="5"/>
        <v>0</v>
      </c>
      <c r="Z125" s="228">
        <f t="shared" si="5"/>
        <v>0</v>
      </c>
      <c r="AA125" s="228">
        <f t="shared" si="5"/>
        <v>0</v>
      </c>
      <c r="AB125" s="228">
        <f t="shared" si="5"/>
        <v>0</v>
      </c>
      <c r="AC125" s="228">
        <f t="shared" si="5"/>
        <v>0</v>
      </c>
      <c r="AD125" s="228">
        <f t="shared" si="5"/>
        <v>0</v>
      </c>
      <c r="AE125" s="228">
        <f t="shared" si="5"/>
        <v>0</v>
      </c>
      <c r="AF125" s="228">
        <f t="shared" si="5"/>
        <v>0</v>
      </c>
      <c r="AG125" s="228">
        <f t="shared" si="5"/>
        <v>0</v>
      </c>
    </row>
    <row r="126" spans="1:34" s="475" customFormat="1" ht="85.5" customHeight="1" collapsed="1" x14ac:dyDescent="0.25">
      <c r="A126" s="463" t="s">
        <v>325</v>
      </c>
      <c r="B126" s="464" t="s">
        <v>1</v>
      </c>
      <c r="C126" s="465" t="s">
        <v>679</v>
      </c>
      <c r="D126" s="464" t="s">
        <v>680</v>
      </c>
      <c r="E126" s="466" t="s">
        <v>681</v>
      </c>
      <c r="F126" s="466" t="s">
        <v>682</v>
      </c>
      <c r="G126" s="466" t="s">
        <v>683</v>
      </c>
      <c r="H126" s="467" t="s">
        <v>684</v>
      </c>
      <c r="I126" s="466" t="s">
        <v>316</v>
      </c>
      <c r="J126" s="466" t="s">
        <v>317</v>
      </c>
      <c r="K126" s="466" t="s">
        <v>685</v>
      </c>
      <c r="L126" s="468" t="s">
        <v>686</v>
      </c>
      <c r="M126" s="469" t="s">
        <v>687</v>
      </c>
      <c r="N126" s="467" t="s">
        <v>688</v>
      </c>
      <c r="O126" s="466" t="s">
        <v>689</v>
      </c>
      <c r="P126" s="470" t="s">
        <v>691</v>
      </c>
      <c r="Q126" s="470" t="s">
        <v>692</v>
      </c>
      <c r="R126" s="470" t="s">
        <v>690</v>
      </c>
      <c r="S126" s="470" t="s">
        <v>693</v>
      </c>
      <c r="T126" s="471" t="s">
        <v>21</v>
      </c>
      <c r="U126" s="464" t="s">
        <v>694</v>
      </c>
      <c r="V126" s="466" t="s">
        <v>695</v>
      </c>
      <c r="W126" s="466" t="s">
        <v>696</v>
      </c>
      <c r="X126" s="470" t="s">
        <v>697</v>
      </c>
      <c r="Y126" s="470" t="s">
        <v>698</v>
      </c>
      <c r="Z126" s="471" t="s">
        <v>699</v>
      </c>
      <c r="AA126" s="472" t="s">
        <v>700</v>
      </c>
      <c r="AB126" s="472" t="s">
        <v>701</v>
      </c>
      <c r="AC126" s="472" t="s">
        <v>702</v>
      </c>
      <c r="AD126" s="472" t="s">
        <v>703</v>
      </c>
      <c r="AE126" s="472" t="s">
        <v>704</v>
      </c>
      <c r="AF126" s="473" t="s">
        <v>705</v>
      </c>
      <c r="AG126" s="470" t="s">
        <v>706</v>
      </c>
      <c r="AH126" s="474"/>
    </row>
    <row r="127" spans="1:34" s="247" customFormat="1" x14ac:dyDescent="0.25">
      <c r="A127" s="259">
        <v>1</v>
      </c>
      <c r="B127" s="248" t="str">
        <f t="shared" ref="B127:AG127" si="6">B5</f>
        <v>AGRICULTURE  CHASSE  SERVICES ANNEXES</v>
      </c>
      <c r="C127" s="249" t="str">
        <f t="shared" si="6"/>
        <v xml:space="preserve">GA01 </v>
      </c>
      <c r="D127" s="250">
        <f t="shared" si="6"/>
        <v>60993</v>
      </c>
      <c r="E127" s="251">
        <f t="shared" si="6"/>
        <v>7546</v>
      </c>
      <c r="F127" s="252">
        <f t="shared" si="6"/>
        <v>0</v>
      </c>
      <c r="G127" s="252">
        <f t="shared" si="6"/>
        <v>0</v>
      </c>
      <c r="H127" s="253">
        <f t="shared" si="6"/>
        <v>68539</v>
      </c>
      <c r="I127" s="250">
        <f t="shared" si="6"/>
        <v>16031</v>
      </c>
      <c r="J127" s="252">
        <f t="shared" si="6"/>
        <v>1149</v>
      </c>
      <c r="K127" s="252">
        <f t="shared" si="6"/>
        <v>1648</v>
      </c>
      <c r="L127" s="252">
        <f t="shared" si="6"/>
        <v>1562</v>
      </c>
      <c r="M127" s="254">
        <f t="shared" si="6"/>
        <v>-2779</v>
      </c>
      <c r="N127" s="253">
        <f t="shared" si="6"/>
        <v>84588</v>
      </c>
      <c r="O127" s="255">
        <f t="shared" si="6"/>
        <v>26191</v>
      </c>
      <c r="P127" s="256">
        <f t="shared" si="6"/>
        <v>0</v>
      </c>
      <c r="Q127" s="256">
        <f t="shared" si="6"/>
        <v>0</v>
      </c>
      <c r="R127" s="256">
        <f t="shared" si="6"/>
        <v>0</v>
      </c>
      <c r="S127" s="256">
        <f t="shared" si="6"/>
        <v>0</v>
      </c>
      <c r="T127" s="253">
        <f t="shared" si="6"/>
        <v>26191</v>
      </c>
      <c r="U127" s="250">
        <f t="shared" si="6"/>
        <v>1057</v>
      </c>
      <c r="V127" s="252">
        <f t="shared" si="6"/>
        <v>0</v>
      </c>
      <c r="W127" s="252">
        <f t="shared" si="6"/>
        <v>0</v>
      </c>
      <c r="X127" s="252">
        <f t="shared" si="6"/>
        <v>10</v>
      </c>
      <c r="Y127" s="254">
        <f t="shared" si="6"/>
        <v>0</v>
      </c>
      <c r="Z127" s="253">
        <f t="shared" si="6"/>
        <v>1067</v>
      </c>
      <c r="AA127" s="257">
        <f t="shared" si="6"/>
        <v>0</v>
      </c>
      <c r="AB127" s="257">
        <f t="shared" si="6"/>
        <v>839</v>
      </c>
      <c r="AC127" s="257">
        <f t="shared" si="6"/>
        <v>1906</v>
      </c>
      <c r="AD127" s="257">
        <f t="shared" si="6"/>
        <v>9916</v>
      </c>
      <c r="AE127" s="253">
        <f t="shared" si="6"/>
        <v>38013</v>
      </c>
      <c r="AF127" s="258">
        <f t="shared" si="6"/>
        <v>46575</v>
      </c>
      <c r="AG127" s="247">
        <f t="shared" si="6"/>
        <v>84588</v>
      </c>
      <c r="AH127" s="259">
        <f>AG127-N127</f>
        <v>0</v>
      </c>
    </row>
    <row r="128" spans="1:34" s="247" customFormat="1" x14ac:dyDescent="0.25">
      <c r="A128" s="259">
        <v>1</v>
      </c>
      <c r="B128" s="260" t="str">
        <f t="shared" ref="B128:AG128" si="7">B6</f>
        <v>PRODUITS SYLVICOLES</v>
      </c>
      <c r="C128" s="261" t="str">
        <f t="shared" si="7"/>
        <v xml:space="preserve">GA02 </v>
      </c>
      <c r="D128" s="262">
        <f t="shared" si="7"/>
        <v>6467</v>
      </c>
      <c r="E128" s="263">
        <f t="shared" si="7"/>
        <v>388</v>
      </c>
      <c r="F128" s="263">
        <f t="shared" si="7"/>
        <v>0</v>
      </c>
      <c r="G128" s="263">
        <f t="shared" si="7"/>
        <v>0</v>
      </c>
      <c r="H128" s="258">
        <f t="shared" si="7"/>
        <v>6855</v>
      </c>
      <c r="I128" s="262">
        <f t="shared" si="7"/>
        <v>704</v>
      </c>
      <c r="J128" s="263">
        <f t="shared" si="7"/>
        <v>248</v>
      </c>
      <c r="K128" s="263">
        <f t="shared" si="7"/>
        <v>60</v>
      </c>
      <c r="L128" s="263">
        <f t="shared" si="7"/>
        <v>60</v>
      </c>
      <c r="M128" s="264">
        <f t="shared" si="7"/>
        <v>-143</v>
      </c>
      <c r="N128" s="258">
        <f t="shared" si="7"/>
        <v>7724</v>
      </c>
      <c r="O128" s="256">
        <f t="shared" si="7"/>
        <v>733</v>
      </c>
      <c r="P128" s="256">
        <f t="shared" si="7"/>
        <v>0</v>
      </c>
      <c r="Q128" s="256">
        <f t="shared" si="7"/>
        <v>0</v>
      </c>
      <c r="R128" s="256">
        <f t="shared" si="7"/>
        <v>0</v>
      </c>
      <c r="S128" s="256">
        <f t="shared" si="7"/>
        <v>0</v>
      </c>
      <c r="T128" s="258">
        <f t="shared" si="7"/>
        <v>733</v>
      </c>
      <c r="U128" s="262">
        <f t="shared" si="7"/>
        <v>300</v>
      </c>
      <c r="V128" s="263">
        <f t="shared" si="7"/>
        <v>0</v>
      </c>
      <c r="W128" s="263">
        <f t="shared" si="7"/>
        <v>0</v>
      </c>
      <c r="X128" s="263">
        <f t="shared" si="7"/>
        <v>119</v>
      </c>
      <c r="Y128" s="264">
        <f t="shared" si="7"/>
        <v>0</v>
      </c>
      <c r="Z128" s="258">
        <f t="shared" si="7"/>
        <v>419</v>
      </c>
      <c r="AA128" s="265">
        <f t="shared" si="7"/>
        <v>0</v>
      </c>
      <c r="AB128" s="265">
        <f t="shared" si="7"/>
        <v>2110</v>
      </c>
      <c r="AC128" s="265">
        <f t="shared" si="7"/>
        <v>2529</v>
      </c>
      <c r="AD128" s="265">
        <f t="shared" si="7"/>
        <v>356</v>
      </c>
      <c r="AE128" s="258">
        <f t="shared" si="7"/>
        <v>3618</v>
      </c>
      <c r="AF128" s="258">
        <f t="shared" si="7"/>
        <v>4106</v>
      </c>
      <c r="AG128" s="247">
        <f t="shared" si="7"/>
        <v>7724</v>
      </c>
      <c r="AH128" s="259">
        <f t="shared" ref="AH128:AH191" si="8">AG128-N128</f>
        <v>0</v>
      </c>
    </row>
    <row r="129" spans="1:34" s="247" customFormat="1" x14ac:dyDescent="0.25">
      <c r="A129" s="259">
        <v>1</v>
      </c>
      <c r="B129" s="260" t="str">
        <f t="shared" ref="B129:AG129" si="9">B7</f>
        <v>PRODUITS DE LA PECHE ET DE L AQUACULTURE</v>
      </c>
      <c r="C129" s="261" t="str">
        <f t="shared" si="9"/>
        <v xml:space="preserve">GA03 </v>
      </c>
      <c r="D129" s="262">
        <f t="shared" si="9"/>
        <v>2071</v>
      </c>
      <c r="E129" s="263">
        <f t="shared" si="9"/>
        <v>1138</v>
      </c>
      <c r="F129" s="263">
        <f t="shared" si="9"/>
        <v>0</v>
      </c>
      <c r="G129" s="263">
        <f t="shared" si="9"/>
        <v>0</v>
      </c>
      <c r="H129" s="258">
        <f t="shared" si="9"/>
        <v>3209</v>
      </c>
      <c r="I129" s="262">
        <f t="shared" si="9"/>
        <v>2656</v>
      </c>
      <c r="J129" s="263">
        <f t="shared" si="9"/>
        <v>118</v>
      </c>
      <c r="K129" s="263">
        <f t="shared" si="9"/>
        <v>178</v>
      </c>
      <c r="L129" s="263">
        <f t="shared" si="9"/>
        <v>163</v>
      </c>
      <c r="M129" s="264">
        <f t="shared" si="9"/>
        <v>0</v>
      </c>
      <c r="N129" s="258">
        <f t="shared" si="9"/>
        <v>6161</v>
      </c>
      <c r="O129" s="256">
        <f t="shared" si="9"/>
        <v>3510</v>
      </c>
      <c r="P129" s="256">
        <f t="shared" si="9"/>
        <v>0</v>
      </c>
      <c r="Q129" s="256">
        <f t="shared" si="9"/>
        <v>0</v>
      </c>
      <c r="R129" s="256">
        <f t="shared" si="9"/>
        <v>0</v>
      </c>
      <c r="S129" s="256">
        <f t="shared" si="9"/>
        <v>0</v>
      </c>
      <c r="T129" s="258">
        <f t="shared" si="9"/>
        <v>3510</v>
      </c>
      <c r="U129" s="262">
        <f t="shared" si="9"/>
        <v>0</v>
      </c>
      <c r="V129" s="263">
        <f t="shared" si="9"/>
        <v>0</v>
      </c>
      <c r="W129" s="263">
        <f t="shared" si="9"/>
        <v>0</v>
      </c>
      <c r="X129" s="263">
        <f t="shared" si="9"/>
        <v>0</v>
      </c>
      <c r="Y129" s="264">
        <f t="shared" si="9"/>
        <v>0</v>
      </c>
      <c r="Z129" s="258">
        <f t="shared" si="9"/>
        <v>0</v>
      </c>
      <c r="AA129" s="265">
        <f t="shared" si="9"/>
        <v>0</v>
      </c>
      <c r="AB129" s="265">
        <f t="shared" si="9"/>
        <v>-20</v>
      </c>
      <c r="AC129" s="265">
        <f t="shared" si="9"/>
        <v>-20</v>
      </c>
      <c r="AD129" s="265">
        <f t="shared" si="9"/>
        <v>525</v>
      </c>
      <c r="AE129" s="258">
        <f t="shared" si="9"/>
        <v>4015</v>
      </c>
      <c r="AF129" s="258">
        <f t="shared" si="9"/>
        <v>2146</v>
      </c>
      <c r="AG129" s="247">
        <f t="shared" si="9"/>
        <v>6161</v>
      </c>
      <c r="AH129" s="259">
        <f t="shared" si="8"/>
        <v>0</v>
      </c>
    </row>
    <row r="130" spans="1:34" s="266" customFormat="1" x14ac:dyDescent="0.25">
      <c r="A130" s="275">
        <v>2</v>
      </c>
      <c r="B130" s="267" t="str">
        <f t="shared" ref="B130:AG130" si="10">B8</f>
        <v>INDUSTRIE DES VIANDES</v>
      </c>
      <c r="C130" s="268" t="str">
        <f t="shared" si="10"/>
        <v xml:space="preserve">GB01 </v>
      </c>
      <c r="D130" s="269">
        <f t="shared" si="10"/>
        <v>29328</v>
      </c>
      <c r="E130" s="270">
        <f t="shared" si="10"/>
        <v>4133</v>
      </c>
      <c r="F130" s="270">
        <f t="shared" si="10"/>
        <v>0</v>
      </c>
      <c r="G130" s="270">
        <f t="shared" si="10"/>
        <v>0</v>
      </c>
      <c r="H130" s="271">
        <f t="shared" si="10"/>
        <v>33461</v>
      </c>
      <c r="I130" s="269">
        <f t="shared" si="10"/>
        <v>12931</v>
      </c>
      <c r="J130" s="270">
        <f t="shared" si="10"/>
        <v>1541</v>
      </c>
      <c r="K130" s="270">
        <f t="shared" si="10"/>
        <v>1883</v>
      </c>
      <c r="L130" s="270">
        <f t="shared" si="10"/>
        <v>1742</v>
      </c>
      <c r="M130" s="272">
        <f t="shared" si="10"/>
        <v>-205</v>
      </c>
      <c r="N130" s="271">
        <f t="shared" si="10"/>
        <v>49611</v>
      </c>
      <c r="O130" s="273">
        <f t="shared" si="10"/>
        <v>35962</v>
      </c>
      <c r="P130" s="273">
        <f t="shared" si="10"/>
        <v>0</v>
      </c>
      <c r="Q130" s="273">
        <f t="shared" si="10"/>
        <v>0</v>
      </c>
      <c r="R130" s="273">
        <f t="shared" si="10"/>
        <v>0</v>
      </c>
      <c r="S130" s="273">
        <f t="shared" si="10"/>
        <v>0</v>
      </c>
      <c r="T130" s="271">
        <f t="shared" si="10"/>
        <v>35962</v>
      </c>
      <c r="U130" s="269">
        <f t="shared" si="10"/>
        <v>0</v>
      </c>
      <c r="V130" s="270">
        <f t="shared" si="10"/>
        <v>0</v>
      </c>
      <c r="W130" s="270">
        <f t="shared" si="10"/>
        <v>0</v>
      </c>
      <c r="X130" s="270">
        <f t="shared" si="10"/>
        <v>0</v>
      </c>
      <c r="Y130" s="272">
        <f t="shared" si="10"/>
        <v>0</v>
      </c>
      <c r="Z130" s="271">
        <f t="shared" si="10"/>
        <v>0</v>
      </c>
      <c r="AA130" s="274">
        <f t="shared" si="10"/>
        <v>0</v>
      </c>
      <c r="AB130" s="274">
        <f t="shared" si="10"/>
        <v>0</v>
      </c>
      <c r="AC130" s="274">
        <f t="shared" si="10"/>
        <v>0</v>
      </c>
      <c r="AD130" s="274">
        <f t="shared" si="10"/>
        <v>3890</v>
      </c>
      <c r="AE130" s="271">
        <f t="shared" si="10"/>
        <v>39852</v>
      </c>
      <c r="AF130" s="271">
        <f t="shared" si="10"/>
        <v>9759</v>
      </c>
      <c r="AG130" s="266">
        <f t="shared" si="10"/>
        <v>49611</v>
      </c>
      <c r="AH130" s="275">
        <f t="shared" si="8"/>
        <v>0</v>
      </c>
    </row>
    <row r="131" spans="1:34" s="266" customFormat="1" x14ac:dyDescent="0.25">
      <c r="A131" s="275">
        <v>2</v>
      </c>
      <c r="B131" s="267" t="str">
        <f t="shared" ref="B131:AG131" si="11">B9</f>
        <v>INDUSTRIE DU LAIT</v>
      </c>
      <c r="C131" s="268" t="str">
        <f t="shared" si="11"/>
        <v xml:space="preserve">GB02 </v>
      </c>
      <c r="D131" s="269">
        <f t="shared" si="11"/>
        <v>21557</v>
      </c>
      <c r="E131" s="270">
        <f t="shared" si="11"/>
        <v>2224</v>
      </c>
      <c r="F131" s="270">
        <f t="shared" si="11"/>
        <v>0</v>
      </c>
      <c r="G131" s="270">
        <f t="shared" si="11"/>
        <v>0</v>
      </c>
      <c r="H131" s="271">
        <f t="shared" si="11"/>
        <v>23781</v>
      </c>
      <c r="I131" s="269">
        <f t="shared" si="11"/>
        <v>8428</v>
      </c>
      <c r="J131" s="270">
        <f t="shared" si="11"/>
        <v>703</v>
      </c>
      <c r="K131" s="270">
        <f t="shared" si="11"/>
        <v>1040</v>
      </c>
      <c r="L131" s="270">
        <f t="shared" si="11"/>
        <v>1020</v>
      </c>
      <c r="M131" s="272">
        <f t="shared" si="11"/>
        <v>-159</v>
      </c>
      <c r="N131" s="271">
        <f t="shared" si="11"/>
        <v>33793</v>
      </c>
      <c r="O131" s="273">
        <f t="shared" si="11"/>
        <v>20631</v>
      </c>
      <c r="P131" s="273">
        <f t="shared" si="11"/>
        <v>0</v>
      </c>
      <c r="Q131" s="273">
        <f t="shared" si="11"/>
        <v>0</v>
      </c>
      <c r="R131" s="273">
        <f t="shared" si="11"/>
        <v>0</v>
      </c>
      <c r="S131" s="273">
        <f t="shared" si="11"/>
        <v>0</v>
      </c>
      <c r="T131" s="271">
        <f t="shared" si="11"/>
        <v>20631</v>
      </c>
      <c r="U131" s="269">
        <f t="shared" si="11"/>
        <v>0</v>
      </c>
      <c r="V131" s="270">
        <f t="shared" si="11"/>
        <v>0</v>
      </c>
      <c r="W131" s="270">
        <f t="shared" si="11"/>
        <v>0</v>
      </c>
      <c r="X131" s="270">
        <f t="shared" si="11"/>
        <v>0</v>
      </c>
      <c r="Y131" s="272">
        <f t="shared" si="11"/>
        <v>0</v>
      </c>
      <c r="Z131" s="271">
        <f t="shared" si="11"/>
        <v>0</v>
      </c>
      <c r="AA131" s="274">
        <f t="shared" si="11"/>
        <v>0</v>
      </c>
      <c r="AB131" s="274">
        <f t="shared" si="11"/>
        <v>0</v>
      </c>
      <c r="AC131" s="274">
        <f t="shared" si="11"/>
        <v>0</v>
      </c>
      <c r="AD131" s="274">
        <f t="shared" si="11"/>
        <v>4647</v>
      </c>
      <c r="AE131" s="271">
        <f t="shared" si="11"/>
        <v>25278</v>
      </c>
      <c r="AF131" s="271">
        <f t="shared" si="11"/>
        <v>8515</v>
      </c>
      <c r="AG131" s="266">
        <f t="shared" si="11"/>
        <v>33793</v>
      </c>
      <c r="AH131" s="275">
        <f t="shared" si="8"/>
        <v>0</v>
      </c>
    </row>
    <row r="132" spans="1:34" s="266" customFormat="1" x14ac:dyDescent="0.25">
      <c r="A132" s="275">
        <v>2</v>
      </c>
      <c r="B132" s="267" t="str">
        <f t="shared" ref="B132:AG132" si="12">B10</f>
        <v>INDUSTRIE DES BOISSONS</v>
      </c>
      <c r="C132" s="268" t="str">
        <f t="shared" si="12"/>
        <v xml:space="preserve">GB03 </v>
      </c>
      <c r="D132" s="269">
        <f t="shared" si="12"/>
        <v>23994</v>
      </c>
      <c r="E132" s="270">
        <f t="shared" si="12"/>
        <v>2305</v>
      </c>
      <c r="F132" s="270">
        <f t="shared" si="12"/>
        <v>0</v>
      </c>
      <c r="G132" s="270">
        <f t="shared" si="12"/>
        <v>0</v>
      </c>
      <c r="H132" s="271">
        <f t="shared" si="12"/>
        <v>26299</v>
      </c>
      <c r="I132" s="269">
        <f t="shared" si="12"/>
        <v>10639</v>
      </c>
      <c r="J132" s="270">
        <f t="shared" si="12"/>
        <v>842</v>
      </c>
      <c r="K132" s="270">
        <f t="shared" si="12"/>
        <v>5777</v>
      </c>
      <c r="L132" s="270">
        <f t="shared" si="12"/>
        <v>2508</v>
      </c>
      <c r="M132" s="272">
        <f t="shared" si="12"/>
        <v>-100</v>
      </c>
      <c r="N132" s="271">
        <f t="shared" si="12"/>
        <v>43457</v>
      </c>
      <c r="O132" s="273">
        <f t="shared" si="12"/>
        <v>20107</v>
      </c>
      <c r="P132" s="273">
        <f t="shared" si="12"/>
        <v>0</v>
      </c>
      <c r="Q132" s="273">
        <f t="shared" si="12"/>
        <v>0</v>
      </c>
      <c r="R132" s="273">
        <f t="shared" si="12"/>
        <v>0</v>
      </c>
      <c r="S132" s="273">
        <f t="shared" si="12"/>
        <v>0</v>
      </c>
      <c r="T132" s="271">
        <f t="shared" si="12"/>
        <v>20107</v>
      </c>
      <c r="U132" s="269">
        <f t="shared" si="12"/>
        <v>0</v>
      </c>
      <c r="V132" s="270">
        <f t="shared" si="12"/>
        <v>0</v>
      </c>
      <c r="W132" s="270">
        <f t="shared" si="12"/>
        <v>0</v>
      </c>
      <c r="X132" s="270">
        <f t="shared" si="12"/>
        <v>0</v>
      </c>
      <c r="Y132" s="272">
        <f t="shared" si="12"/>
        <v>0</v>
      </c>
      <c r="Z132" s="271">
        <f t="shared" si="12"/>
        <v>0</v>
      </c>
      <c r="AA132" s="274">
        <f t="shared" si="12"/>
        <v>0</v>
      </c>
      <c r="AB132" s="274">
        <f t="shared" si="12"/>
        <v>-259</v>
      </c>
      <c r="AC132" s="274">
        <f t="shared" si="12"/>
        <v>-259</v>
      </c>
      <c r="AD132" s="274">
        <f t="shared" si="12"/>
        <v>11029</v>
      </c>
      <c r="AE132" s="271">
        <f t="shared" si="12"/>
        <v>30877</v>
      </c>
      <c r="AF132" s="271">
        <f t="shared" si="12"/>
        <v>12580</v>
      </c>
      <c r="AG132" s="266">
        <f t="shared" si="12"/>
        <v>43457</v>
      </c>
      <c r="AH132" s="275">
        <f t="shared" si="8"/>
        <v>0</v>
      </c>
    </row>
    <row r="133" spans="1:34" s="266" customFormat="1" x14ac:dyDescent="0.25">
      <c r="A133" s="275">
        <v>2</v>
      </c>
      <c r="B133" s="267" t="str">
        <f t="shared" ref="B133:AG133" si="13">B11</f>
        <v>TRAVAIL DU GRAIN: FABRICATION D ALIMENTS</v>
      </c>
      <c r="C133" s="268" t="str">
        <f t="shared" si="13"/>
        <v xml:space="preserve">GB04 </v>
      </c>
      <c r="D133" s="269">
        <f t="shared" si="13"/>
        <v>13243</v>
      </c>
      <c r="E133" s="270">
        <f t="shared" si="13"/>
        <v>1531</v>
      </c>
      <c r="F133" s="270">
        <f t="shared" si="13"/>
        <v>0</v>
      </c>
      <c r="G133" s="270">
        <f t="shared" si="13"/>
        <v>0</v>
      </c>
      <c r="H133" s="271">
        <f t="shared" si="13"/>
        <v>14774</v>
      </c>
      <c r="I133" s="269">
        <f t="shared" si="13"/>
        <v>3692</v>
      </c>
      <c r="J133" s="270">
        <f t="shared" si="13"/>
        <v>793</v>
      </c>
      <c r="K133" s="270">
        <f t="shared" si="13"/>
        <v>543</v>
      </c>
      <c r="L133" s="270">
        <f t="shared" si="13"/>
        <v>455</v>
      </c>
      <c r="M133" s="272">
        <f t="shared" si="13"/>
        <v>0</v>
      </c>
      <c r="N133" s="271">
        <f t="shared" si="13"/>
        <v>19802</v>
      </c>
      <c r="O133" s="273">
        <f t="shared" si="13"/>
        <v>3801</v>
      </c>
      <c r="P133" s="273">
        <f t="shared" si="13"/>
        <v>0</v>
      </c>
      <c r="Q133" s="273">
        <f t="shared" si="13"/>
        <v>0</v>
      </c>
      <c r="R133" s="273">
        <f t="shared" si="13"/>
        <v>0</v>
      </c>
      <c r="S133" s="273">
        <f t="shared" si="13"/>
        <v>0</v>
      </c>
      <c r="T133" s="271">
        <f t="shared" si="13"/>
        <v>3801</v>
      </c>
      <c r="U133" s="269">
        <f t="shared" si="13"/>
        <v>0</v>
      </c>
      <c r="V133" s="270">
        <f t="shared" si="13"/>
        <v>0</v>
      </c>
      <c r="W133" s="270">
        <f t="shared" si="13"/>
        <v>0</v>
      </c>
      <c r="X133" s="270">
        <f t="shared" si="13"/>
        <v>0</v>
      </c>
      <c r="Y133" s="272">
        <f t="shared" si="13"/>
        <v>0</v>
      </c>
      <c r="Z133" s="271">
        <f t="shared" si="13"/>
        <v>0</v>
      </c>
      <c r="AA133" s="274">
        <f t="shared" si="13"/>
        <v>0</v>
      </c>
      <c r="AB133" s="274">
        <f t="shared" si="13"/>
        <v>0</v>
      </c>
      <c r="AC133" s="274">
        <f t="shared" si="13"/>
        <v>0</v>
      </c>
      <c r="AD133" s="274">
        <f t="shared" si="13"/>
        <v>3398</v>
      </c>
      <c r="AE133" s="271">
        <f t="shared" si="13"/>
        <v>7199</v>
      </c>
      <c r="AF133" s="271">
        <f t="shared" si="13"/>
        <v>12603</v>
      </c>
      <c r="AG133" s="266">
        <f t="shared" si="13"/>
        <v>19802</v>
      </c>
      <c r="AH133" s="275">
        <f t="shared" si="8"/>
        <v>0</v>
      </c>
    </row>
    <row r="134" spans="1:34" s="266" customFormat="1" x14ac:dyDescent="0.25">
      <c r="A134" s="275">
        <v>2</v>
      </c>
      <c r="B134" s="267" t="str">
        <f t="shared" ref="B134:AG134" si="14">B12</f>
        <v>INDUSTRIES ALIMENTAIRES DIVERSES</v>
      </c>
      <c r="C134" s="268" t="str">
        <f t="shared" si="14"/>
        <v xml:space="preserve">GB05 </v>
      </c>
      <c r="D134" s="269">
        <f t="shared" si="14"/>
        <v>40729</v>
      </c>
      <c r="E134" s="270">
        <f t="shared" si="14"/>
        <v>13730</v>
      </c>
      <c r="F134" s="270">
        <f t="shared" si="14"/>
        <v>0</v>
      </c>
      <c r="G134" s="270">
        <f t="shared" si="14"/>
        <v>0</v>
      </c>
      <c r="H134" s="271">
        <f t="shared" si="14"/>
        <v>54459</v>
      </c>
      <c r="I134" s="269">
        <f t="shared" si="14"/>
        <v>23127</v>
      </c>
      <c r="J134" s="270">
        <f t="shared" si="14"/>
        <v>3104</v>
      </c>
      <c r="K134" s="270">
        <f t="shared" si="14"/>
        <v>3039</v>
      </c>
      <c r="L134" s="270">
        <f t="shared" si="14"/>
        <v>2715</v>
      </c>
      <c r="M134" s="272">
        <f t="shared" si="14"/>
        <v>-177</v>
      </c>
      <c r="N134" s="271">
        <f t="shared" si="14"/>
        <v>83552</v>
      </c>
      <c r="O134" s="273">
        <f t="shared" si="14"/>
        <v>49008</v>
      </c>
      <c r="P134" s="273">
        <f t="shared" si="14"/>
        <v>0</v>
      </c>
      <c r="Q134" s="273">
        <f t="shared" si="14"/>
        <v>0</v>
      </c>
      <c r="R134" s="273">
        <f t="shared" si="14"/>
        <v>0</v>
      </c>
      <c r="S134" s="273">
        <f t="shared" si="14"/>
        <v>0</v>
      </c>
      <c r="T134" s="271">
        <f t="shared" si="14"/>
        <v>49008</v>
      </c>
      <c r="U134" s="269">
        <f t="shared" si="14"/>
        <v>0</v>
      </c>
      <c r="V134" s="270">
        <f t="shared" si="14"/>
        <v>0</v>
      </c>
      <c r="W134" s="270">
        <f t="shared" si="14"/>
        <v>0</v>
      </c>
      <c r="X134" s="270">
        <f t="shared" si="14"/>
        <v>0</v>
      </c>
      <c r="Y134" s="272">
        <f t="shared" si="14"/>
        <v>0</v>
      </c>
      <c r="Z134" s="271">
        <f t="shared" si="14"/>
        <v>0</v>
      </c>
      <c r="AA134" s="274">
        <f t="shared" si="14"/>
        <v>0</v>
      </c>
      <c r="AB134" s="274">
        <f t="shared" si="14"/>
        <v>0</v>
      </c>
      <c r="AC134" s="274">
        <f t="shared" si="14"/>
        <v>0</v>
      </c>
      <c r="AD134" s="274">
        <f t="shared" si="14"/>
        <v>9487</v>
      </c>
      <c r="AE134" s="271">
        <f t="shared" si="14"/>
        <v>58495</v>
      </c>
      <c r="AF134" s="271">
        <f t="shared" si="14"/>
        <v>25057</v>
      </c>
      <c r="AG134" s="266">
        <f t="shared" si="14"/>
        <v>83552</v>
      </c>
      <c r="AH134" s="275">
        <f t="shared" si="8"/>
        <v>0</v>
      </c>
    </row>
    <row r="135" spans="1:34" s="266" customFormat="1" x14ac:dyDescent="0.25">
      <c r="A135" s="275">
        <v>2</v>
      </c>
      <c r="B135" s="267" t="str">
        <f t="shared" ref="B135:AG135" si="15">B13</f>
        <v>INDUSTRIE DU TABAC</v>
      </c>
      <c r="C135" s="268" t="str">
        <f t="shared" si="15"/>
        <v xml:space="preserve">GB06 </v>
      </c>
      <c r="D135" s="269">
        <f t="shared" si="15"/>
        <v>765</v>
      </c>
      <c r="E135" s="270">
        <f t="shared" si="15"/>
        <v>1806</v>
      </c>
      <c r="F135" s="270">
        <f t="shared" si="15"/>
        <v>0</v>
      </c>
      <c r="G135" s="270">
        <f t="shared" si="15"/>
        <v>0</v>
      </c>
      <c r="H135" s="271">
        <f t="shared" si="15"/>
        <v>2571</v>
      </c>
      <c r="I135" s="269">
        <f t="shared" si="15"/>
        <v>1559</v>
      </c>
      <c r="J135" s="270">
        <f t="shared" si="15"/>
        <v>7</v>
      </c>
      <c r="K135" s="270">
        <f t="shared" si="15"/>
        <v>12219</v>
      </c>
      <c r="L135" s="270">
        <f t="shared" si="15"/>
        <v>2573</v>
      </c>
      <c r="M135" s="272">
        <f t="shared" si="15"/>
        <v>0</v>
      </c>
      <c r="N135" s="271">
        <f t="shared" si="15"/>
        <v>16356</v>
      </c>
      <c r="O135" s="273">
        <f t="shared" si="15"/>
        <v>15838</v>
      </c>
      <c r="P135" s="273">
        <f t="shared" si="15"/>
        <v>0</v>
      </c>
      <c r="Q135" s="273">
        <f t="shared" si="15"/>
        <v>0</v>
      </c>
      <c r="R135" s="273">
        <f t="shared" si="15"/>
        <v>0</v>
      </c>
      <c r="S135" s="273">
        <f t="shared" si="15"/>
        <v>0</v>
      </c>
      <c r="T135" s="271">
        <f t="shared" si="15"/>
        <v>15838</v>
      </c>
      <c r="U135" s="269">
        <f t="shared" si="15"/>
        <v>0</v>
      </c>
      <c r="V135" s="270">
        <f t="shared" si="15"/>
        <v>0</v>
      </c>
      <c r="W135" s="270">
        <f t="shared" si="15"/>
        <v>0</v>
      </c>
      <c r="X135" s="270">
        <f t="shared" si="15"/>
        <v>0</v>
      </c>
      <c r="Y135" s="272">
        <f t="shared" si="15"/>
        <v>0</v>
      </c>
      <c r="Z135" s="271">
        <f t="shared" si="15"/>
        <v>0</v>
      </c>
      <c r="AA135" s="274">
        <f t="shared" si="15"/>
        <v>0</v>
      </c>
      <c r="AB135" s="274">
        <f t="shared" si="15"/>
        <v>0</v>
      </c>
      <c r="AC135" s="274">
        <f t="shared" si="15"/>
        <v>0</v>
      </c>
      <c r="AD135" s="274">
        <f t="shared" si="15"/>
        <v>405</v>
      </c>
      <c r="AE135" s="271">
        <f t="shared" si="15"/>
        <v>16243</v>
      </c>
      <c r="AF135" s="271">
        <f t="shared" si="15"/>
        <v>113</v>
      </c>
      <c r="AG135" s="266">
        <f t="shared" si="15"/>
        <v>16356</v>
      </c>
      <c r="AH135" s="275">
        <f t="shared" si="8"/>
        <v>0</v>
      </c>
    </row>
    <row r="136" spans="1:34" x14ac:dyDescent="0.25">
      <c r="A136" s="476">
        <v>12</v>
      </c>
      <c r="B136" s="223" t="str">
        <f t="shared" ref="B136:AG136" si="16">B14</f>
        <v>INDUSTRIE DE L HABILLEMENT ET DES FOURRU</v>
      </c>
      <c r="C136" s="277" t="str">
        <f t="shared" si="16"/>
        <v xml:space="preserve">GC11 </v>
      </c>
      <c r="D136" s="278">
        <f t="shared" si="16"/>
        <v>9847</v>
      </c>
      <c r="E136" s="220">
        <f t="shared" si="16"/>
        <v>12486</v>
      </c>
      <c r="F136" s="220">
        <f t="shared" si="16"/>
        <v>0</v>
      </c>
      <c r="G136" s="220">
        <f t="shared" si="16"/>
        <v>0</v>
      </c>
      <c r="H136" s="279">
        <f t="shared" si="16"/>
        <v>22333</v>
      </c>
      <c r="I136" s="278">
        <f t="shared" si="16"/>
        <v>12780</v>
      </c>
      <c r="J136" s="220">
        <f t="shared" si="16"/>
        <v>468</v>
      </c>
      <c r="K136" s="220">
        <f t="shared" si="16"/>
        <v>5094</v>
      </c>
      <c r="L136" s="220">
        <f t="shared" si="16"/>
        <v>4790</v>
      </c>
      <c r="M136" s="280">
        <f t="shared" si="16"/>
        <v>0</v>
      </c>
      <c r="N136" s="279">
        <f t="shared" si="16"/>
        <v>40675</v>
      </c>
      <c r="O136" s="281">
        <f t="shared" si="16"/>
        <v>30390</v>
      </c>
      <c r="P136" s="281">
        <f t="shared" si="16"/>
        <v>0</v>
      </c>
      <c r="Q136" s="281">
        <f t="shared" si="16"/>
        <v>0</v>
      </c>
      <c r="R136" s="281">
        <f t="shared" si="16"/>
        <v>0</v>
      </c>
      <c r="S136" s="281">
        <f t="shared" si="16"/>
        <v>0</v>
      </c>
      <c r="T136" s="279">
        <f t="shared" si="16"/>
        <v>30390</v>
      </c>
      <c r="U136" s="278">
        <f t="shared" si="16"/>
        <v>0</v>
      </c>
      <c r="V136" s="220">
        <f t="shared" si="16"/>
        <v>0</v>
      </c>
      <c r="W136" s="220">
        <f t="shared" si="16"/>
        <v>0</v>
      </c>
      <c r="X136" s="220">
        <f t="shared" si="16"/>
        <v>0</v>
      </c>
      <c r="Y136" s="280">
        <f t="shared" si="16"/>
        <v>0</v>
      </c>
      <c r="Z136" s="279">
        <f t="shared" si="16"/>
        <v>0</v>
      </c>
      <c r="AA136" s="282">
        <f t="shared" si="16"/>
        <v>0</v>
      </c>
      <c r="AB136" s="282">
        <f t="shared" si="16"/>
        <v>281</v>
      </c>
      <c r="AC136" s="282">
        <f t="shared" si="16"/>
        <v>281</v>
      </c>
      <c r="AD136" s="282">
        <f t="shared" si="16"/>
        <v>6549</v>
      </c>
      <c r="AE136" s="279">
        <f t="shared" si="16"/>
        <v>37220</v>
      </c>
      <c r="AF136" s="279">
        <f t="shared" si="16"/>
        <v>3455</v>
      </c>
      <c r="AG136" s="283">
        <f t="shared" si="16"/>
        <v>40675</v>
      </c>
      <c r="AH136" s="71">
        <f t="shared" si="8"/>
        <v>0</v>
      </c>
    </row>
    <row r="137" spans="1:34" x14ac:dyDescent="0.25">
      <c r="A137" s="476">
        <v>12</v>
      </c>
      <c r="B137" s="223" t="str">
        <f t="shared" ref="B137:AG137" si="17">B15</f>
        <v>INDUSTRIE DU CUIR ET DE LA CHAUSSURE</v>
      </c>
      <c r="C137" s="277" t="str">
        <f t="shared" si="17"/>
        <v xml:space="preserve">GC12 </v>
      </c>
      <c r="D137" s="278">
        <f t="shared" si="17"/>
        <v>3294</v>
      </c>
      <c r="E137" s="220">
        <f t="shared" si="17"/>
        <v>5937</v>
      </c>
      <c r="F137" s="220">
        <f t="shared" si="17"/>
        <v>0</v>
      </c>
      <c r="G137" s="220">
        <f t="shared" si="17"/>
        <v>0</v>
      </c>
      <c r="H137" s="279">
        <f t="shared" si="17"/>
        <v>9231</v>
      </c>
      <c r="I137" s="278">
        <f t="shared" si="17"/>
        <v>4386</v>
      </c>
      <c r="J137" s="220">
        <f t="shared" si="17"/>
        <v>267</v>
      </c>
      <c r="K137" s="220">
        <f t="shared" si="17"/>
        <v>1714</v>
      </c>
      <c r="L137" s="220">
        <f t="shared" si="17"/>
        <v>1616</v>
      </c>
      <c r="M137" s="280">
        <f t="shared" si="17"/>
        <v>0</v>
      </c>
      <c r="N137" s="279">
        <f t="shared" si="17"/>
        <v>15598</v>
      </c>
      <c r="O137" s="281">
        <f t="shared" si="17"/>
        <v>10376</v>
      </c>
      <c r="P137" s="281">
        <f t="shared" si="17"/>
        <v>0</v>
      </c>
      <c r="Q137" s="281">
        <f t="shared" si="17"/>
        <v>0</v>
      </c>
      <c r="R137" s="281">
        <f t="shared" si="17"/>
        <v>0</v>
      </c>
      <c r="S137" s="281">
        <f t="shared" si="17"/>
        <v>0</v>
      </c>
      <c r="T137" s="279">
        <f t="shared" si="17"/>
        <v>10376</v>
      </c>
      <c r="U137" s="278">
        <f t="shared" si="17"/>
        <v>0</v>
      </c>
      <c r="V137" s="220">
        <f t="shared" si="17"/>
        <v>0</v>
      </c>
      <c r="W137" s="220">
        <f t="shared" si="17"/>
        <v>0</v>
      </c>
      <c r="X137" s="220">
        <f t="shared" si="17"/>
        <v>0</v>
      </c>
      <c r="Y137" s="280">
        <f t="shared" si="17"/>
        <v>0</v>
      </c>
      <c r="Z137" s="279">
        <f t="shared" si="17"/>
        <v>0</v>
      </c>
      <c r="AA137" s="282">
        <f t="shared" si="17"/>
        <v>0</v>
      </c>
      <c r="AB137" s="282">
        <f t="shared" si="17"/>
        <v>-221</v>
      </c>
      <c r="AC137" s="282">
        <f t="shared" si="17"/>
        <v>-221</v>
      </c>
      <c r="AD137" s="282">
        <f t="shared" si="17"/>
        <v>4330</v>
      </c>
      <c r="AE137" s="279">
        <f t="shared" si="17"/>
        <v>14485</v>
      </c>
      <c r="AF137" s="279">
        <f t="shared" si="17"/>
        <v>1113</v>
      </c>
      <c r="AG137" s="283">
        <f t="shared" si="17"/>
        <v>15598</v>
      </c>
      <c r="AH137" s="71">
        <f t="shared" si="8"/>
        <v>0</v>
      </c>
    </row>
    <row r="138" spans="1:34" x14ac:dyDescent="0.25">
      <c r="A138" s="476">
        <v>12</v>
      </c>
      <c r="B138" s="223" t="str">
        <f t="shared" ref="B138:AG138" si="18">B16</f>
        <v>EDITION  IMPRIMERIE  REPRODUCTION</v>
      </c>
      <c r="C138" s="277" t="str">
        <f t="shared" si="18"/>
        <v xml:space="preserve">GC20 </v>
      </c>
      <c r="D138" s="278">
        <f t="shared" si="18"/>
        <v>28695</v>
      </c>
      <c r="E138" s="220">
        <f t="shared" si="18"/>
        <v>2841</v>
      </c>
      <c r="F138" s="220">
        <f t="shared" si="18"/>
        <v>0</v>
      </c>
      <c r="G138" s="220">
        <f t="shared" si="18"/>
        <v>0</v>
      </c>
      <c r="H138" s="279">
        <f t="shared" si="18"/>
        <v>31536</v>
      </c>
      <c r="I138" s="278">
        <f t="shared" si="18"/>
        <v>6804</v>
      </c>
      <c r="J138" s="220">
        <f t="shared" si="18"/>
        <v>1919</v>
      </c>
      <c r="K138" s="220">
        <f t="shared" si="18"/>
        <v>1429</v>
      </c>
      <c r="L138" s="220">
        <f t="shared" si="18"/>
        <v>1388</v>
      </c>
      <c r="M138" s="280">
        <f t="shared" si="18"/>
        <v>-36</v>
      </c>
      <c r="N138" s="279">
        <f t="shared" si="18"/>
        <v>41652</v>
      </c>
      <c r="O138" s="281">
        <f t="shared" si="18"/>
        <v>12882</v>
      </c>
      <c r="P138" s="281">
        <f t="shared" si="18"/>
        <v>0</v>
      </c>
      <c r="Q138" s="281">
        <f t="shared" si="18"/>
        <v>6</v>
      </c>
      <c r="R138" s="281">
        <f t="shared" si="18"/>
        <v>6</v>
      </c>
      <c r="S138" s="281">
        <f t="shared" si="18"/>
        <v>0</v>
      </c>
      <c r="T138" s="279">
        <f t="shared" si="18"/>
        <v>12888</v>
      </c>
      <c r="U138" s="278">
        <f t="shared" si="18"/>
        <v>0</v>
      </c>
      <c r="V138" s="220">
        <f t="shared" si="18"/>
        <v>0</v>
      </c>
      <c r="W138" s="220">
        <f t="shared" si="18"/>
        <v>0</v>
      </c>
      <c r="X138" s="220">
        <f t="shared" si="18"/>
        <v>0</v>
      </c>
      <c r="Y138" s="280">
        <f t="shared" si="18"/>
        <v>0</v>
      </c>
      <c r="Z138" s="279">
        <f t="shared" si="18"/>
        <v>0</v>
      </c>
      <c r="AA138" s="282">
        <f t="shared" si="18"/>
        <v>0</v>
      </c>
      <c r="AB138" s="282">
        <f t="shared" si="18"/>
        <v>0</v>
      </c>
      <c r="AC138" s="282">
        <f t="shared" si="18"/>
        <v>0</v>
      </c>
      <c r="AD138" s="282">
        <f t="shared" si="18"/>
        <v>2301</v>
      </c>
      <c r="AE138" s="279">
        <f t="shared" si="18"/>
        <v>15189</v>
      </c>
      <c r="AF138" s="279">
        <f t="shared" si="18"/>
        <v>26463</v>
      </c>
      <c r="AG138" s="283">
        <f t="shared" si="18"/>
        <v>41652</v>
      </c>
      <c r="AH138" s="71">
        <f t="shared" si="8"/>
        <v>0</v>
      </c>
    </row>
    <row r="139" spans="1:34" x14ac:dyDescent="0.25">
      <c r="A139" s="476">
        <v>12</v>
      </c>
      <c r="B139" s="223" t="str">
        <f t="shared" ref="B139:AG139" si="19">B17</f>
        <v>INDUSTRIE PHARMACEUTIQUE</v>
      </c>
      <c r="C139" s="277" t="str">
        <f t="shared" si="19"/>
        <v xml:space="preserve">GC31 </v>
      </c>
      <c r="D139" s="278">
        <f t="shared" si="19"/>
        <v>36417</v>
      </c>
      <c r="E139" s="220">
        <f t="shared" si="19"/>
        <v>16410</v>
      </c>
      <c r="F139" s="220">
        <f t="shared" si="19"/>
        <v>0</v>
      </c>
      <c r="G139" s="220">
        <f t="shared" si="19"/>
        <v>0</v>
      </c>
      <c r="H139" s="279">
        <f t="shared" si="19"/>
        <v>52827</v>
      </c>
      <c r="I139" s="278">
        <f t="shared" si="19"/>
        <v>18980</v>
      </c>
      <c r="J139" s="220">
        <f t="shared" si="19"/>
        <v>678</v>
      </c>
      <c r="K139" s="220">
        <f t="shared" si="19"/>
        <v>1415</v>
      </c>
      <c r="L139" s="220">
        <f t="shared" si="19"/>
        <v>807</v>
      </c>
      <c r="M139" s="280">
        <f t="shared" si="19"/>
        <v>0</v>
      </c>
      <c r="N139" s="279">
        <f t="shared" si="19"/>
        <v>73900</v>
      </c>
      <c r="O139" s="281">
        <f t="shared" si="19"/>
        <v>10281</v>
      </c>
      <c r="P139" s="281">
        <f t="shared" si="19"/>
        <v>0</v>
      </c>
      <c r="Q139" s="281">
        <f t="shared" si="19"/>
        <v>23449</v>
      </c>
      <c r="R139" s="281">
        <f t="shared" si="19"/>
        <v>23449</v>
      </c>
      <c r="S139" s="281">
        <f t="shared" si="19"/>
        <v>0</v>
      </c>
      <c r="T139" s="279">
        <f t="shared" si="19"/>
        <v>33730</v>
      </c>
      <c r="U139" s="278">
        <f t="shared" si="19"/>
        <v>0</v>
      </c>
      <c r="V139" s="220">
        <f t="shared" si="19"/>
        <v>0</v>
      </c>
      <c r="W139" s="220">
        <f t="shared" si="19"/>
        <v>0</v>
      </c>
      <c r="X139" s="220">
        <f t="shared" si="19"/>
        <v>0</v>
      </c>
      <c r="Y139" s="280">
        <f t="shared" si="19"/>
        <v>0</v>
      </c>
      <c r="Z139" s="279">
        <f t="shared" si="19"/>
        <v>0</v>
      </c>
      <c r="AA139" s="282">
        <f t="shared" si="19"/>
        <v>0</v>
      </c>
      <c r="AB139" s="282">
        <f t="shared" si="19"/>
        <v>0</v>
      </c>
      <c r="AC139" s="282">
        <f t="shared" si="19"/>
        <v>0</v>
      </c>
      <c r="AD139" s="282">
        <f t="shared" si="19"/>
        <v>21123</v>
      </c>
      <c r="AE139" s="279">
        <f t="shared" si="19"/>
        <v>54853</v>
      </c>
      <c r="AF139" s="279">
        <f t="shared" si="19"/>
        <v>19047</v>
      </c>
      <c r="AG139" s="283">
        <f t="shared" si="19"/>
        <v>73900</v>
      </c>
      <c r="AH139" s="71">
        <f t="shared" si="8"/>
        <v>0</v>
      </c>
    </row>
    <row r="140" spans="1:34" x14ac:dyDescent="0.25">
      <c r="A140" s="476">
        <v>12</v>
      </c>
      <c r="B140" s="223" t="str">
        <f t="shared" ref="B140:AG140" si="20">B18</f>
        <v>FABRICATION DE SAVONS  DE PARFUM ET DE P</v>
      </c>
      <c r="C140" s="277" t="str">
        <f t="shared" si="20"/>
        <v xml:space="preserve">GC32 </v>
      </c>
      <c r="D140" s="278">
        <f t="shared" si="20"/>
        <v>16171</v>
      </c>
      <c r="E140" s="220">
        <f t="shared" si="20"/>
        <v>3263</v>
      </c>
      <c r="F140" s="220">
        <f t="shared" si="20"/>
        <v>0</v>
      </c>
      <c r="G140" s="220">
        <f t="shared" si="20"/>
        <v>0</v>
      </c>
      <c r="H140" s="279">
        <f t="shared" si="20"/>
        <v>19434</v>
      </c>
      <c r="I140" s="278">
        <f t="shared" si="20"/>
        <v>8581</v>
      </c>
      <c r="J140" s="220">
        <f t="shared" si="20"/>
        <v>816</v>
      </c>
      <c r="K140" s="220">
        <f t="shared" si="20"/>
        <v>2928</v>
      </c>
      <c r="L140" s="220">
        <f t="shared" si="20"/>
        <v>2839</v>
      </c>
      <c r="M140" s="280">
        <f t="shared" si="20"/>
        <v>0</v>
      </c>
      <c r="N140" s="279">
        <f t="shared" si="20"/>
        <v>31759</v>
      </c>
      <c r="O140" s="281">
        <f t="shared" si="20"/>
        <v>17647</v>
      </c>
      <c r="P140" s="281">
        <f t="shared" si="20"/>
        <v>0</v>
      </c>
      <c r="Q140" s="281">
        <f t="shared" si="20"/>
        <v>0</v>
      </c>
      <c r="R140" s="281">
        <f t="shared" si="20"/>
        <v>0</v>
      </c>
      <c r="S140" s="281">
        <f t="shared" si="20"/>
        <v>0</v>
      </c>
      <c r="T140" s="279">
        <f t="shared" si="20"/>
        <v>17647</v>
      </c>
      <c r="U140" s="278">
        <f t="shared" si="20"/>
        <v>0</v>
      </c>
      <c r="V140" s="220">
        <f t="shared" si="20"/>
        <v>0</v>
      </c>
      <c r="W140" s="220">
        <f t="shared" si="20"/>
        <v>0</v>
      </c>
      <c r="X140" s="220">
        <f t="shared" si="20"/>
        <v>0</v>
      </c>
      <c r="Y140" s="280">
        <f t="shared" si="20"/>
        <v>0</v>
      </c>
      <c r="Z140" s="279">
        <f t="shared" si="20"/>
        <v>0</v>
      </c>
      <c r="AA140" s="282">
        <f t="shared" si="20"/>
        <v>0</v>
      </c>
      <c r="AB140" s="282">
        <f t="shared" si="20"/>
        <v>0</v>
      </c>
      <c r="AC140" s="282">
        <f t="shared" si="20"/>
        <v>0</v>
      </c>
      <c r="AD140" s="282">
        <f t="shared" si="20"/>
        <v>9972</v>
      </c>
      <c r="AE140" s="279">
        <f t="shared" si="20"/>
        <v>27619</v>
      </c>
      <c r="AF140" s="279">
        <f t="shared" si="20"/>
        <v>4140</v>
      </c>
      <c r="AG140" s="283">
        <f t="shared" si="20"/>
        <v>31759</v>
      </c>
      <c r="AH140" s="71">
        <f t="shared" si="8"/>
        <v>0</v>
      </c>
    </row>
    <row r="141" spans="1:34" x14ac:dyDescent="0.25">
      <c r="A141" s="476">
        <v>12</v>
      </c>
      <c r="B141" s="223" t="str">
        <f t="shared" ref="B141:AG141" si="21">B19</f>
        <v>FABRICATION DE MEUBLES</v>
      </c>
      <c r="C141" s="277" t="str">
        <f t="shared" si="21"/>
        <v xml:space="preserve">GC41 </v>
      </c>
      <c r="D141" s="278">
        <f t="shared" si="21"/>
        <v>13183</v>
      </c>
      <c r="E141" s="220">
        <f t="shared" si="21"/>
        <v>5404</v>
      </c>
      <c r="F141" s="220">
        <f t="shared" si="21"/>
        <v>0</v>
      </c>
      <c r="G141" s="220">
        <f t="shared" si="21"/>
        <v>0</v>
      </c>
      <c r="H141" s="279">
        <f t="shared" si="21"/>
        <v>18587</v>
      </c>
      <c r="I141" s="278">
        <f t="shared" si="21"/>
        <v>4863</v>
      </c>
      <c r="J141" s="220">
        <f t="shared" si="21"/>
        <v>410</v>
      </c>
      <c r="K141" s="220">
        <f t="shared" si="21"/>
        <v>2678</v>
      </c>
      <c r="L141" s="220">
        <f t="shared" si="21"/>
        <v>2642</v>
      </c>
      <c r="M141" s="280">
        <f t="shared" si="21"/>
        <v>0</v>
      </c>
      <c r="N141" s="279">
        <f t="shared" si="21"/>
        <v>26538</v>
      </c>
      <c r="O141" s="281">
        <f t="shared" si="21"/>
        <v>13826</v>
      </c>
      <c r="P141" s="281">
        <f t="shared" si="21"/>
        <v>0</v>
      </c>
      <c r="Q141" s="281">
        <f t="shared" si="21"/>
        <v>0</v>
      </c>
      <c r="R141" s="281">
        <f t="shared" si="21"/>
        <v>0</v>
      </c>
      <c r="S141" s="281">
        <f t="shared" si="21"/>
        <v>0</v>
      </c>
      <c r="T141" s="279">
        <f t="shared" si="21"/>
        <v>13826</v>
      </c>
      <c r="U141" s="278">
        <f t="shared" si="21"/>
        <v>2331</v>
      </c>
      <c r="V141" s="220">
        <f t="shared" si="21"/>
        <v>0</v>
      </c>
      <c r="W141" s="220">
        <f t="shared" si="21"/>
        <v>388</v>
      </c>
      <c r="X141" s="220">
        <f t="shared" si="21"/>
        <v>1584</v>
      </c>
      <c r="Y141" s="280">
        <f t="shared" si="21"/>
        <v>193</v>
      </c>
      <c r="Z141" s="279">
        <f t="shared" si="21"/>
        <v>4496</v>
      </c>
      <c r="AA141" s="282">
        <f t="shared" si="21"/>
        <v>0</v>
      </c>
      <c r="AB141" s="282">
        <f t="shared" si="21"/>
        <v>12</v>
      </c>
      <c r="AC141" s="282">
        <f t="shared" si="21"/>
        <v>4508</v>
      </c>
      <c r="AD141" s="282">
        <f t="shared" si="21"/>
        <v>2496</v>
      </c>
      <c r="AE141" s="279">
        <f t="shared" si="21"/>
        <v>20830</v>
      </c>
      <c r="AF141" s="279">
        <f t="shared" si="21"/>
        <v>5708</v>
      </c>
      <c r="AG141" s="283">
        <f t="shared" si="21"/>
        <v>26538</v>
      </c>
      <c r="AH141" s="71">
        <f t="shared" si="8"/>
        <v>0</v>
      </c>
    </row>
    <row r="142" spans="1:34" x14ac:dyDescent="0.25">
      <c r="A142" s="476">
        <v>12</v>
      </c>
      <c r="B142" s="223" t="str">
        <f t="shared" ref="B142:AG142" si="22">B20</f>
        <v xml:space="preserve">BIJOUTERIE ET FABRICATION D INSTRUMENTS </v>
      </c>
      <c r="C142" s="277" t="str">
        <f t="shared" si="22"/>
        <v xml:space="preserve">GC42 </v>
      </c>
      <c r="D142" s="278">
        <f t="shared" si="22"/>
        <v>1622</v>
      </c>
      <c r="E142" s="220">
        <f t="shared" si="22"/>
        <v>1813</v>
      </c>
      <c r="F142" s="220">
        <f t="shared" si="22"/>
        <v>0</v>
      </c>
      <c r="G142" s="220">
        <f t="shared" si="22"/>
        <v>0</v>
      </c>
      <c r="H142" s="279">
        <f t="shared" si="22"/>
        <v>3435</v>
      </c>
      <c r="I142" s="278">
        <f t="shared" si="22"/>
        <v>2188</v>
      </c>
      <c r="J142" s="220">
        <f t="shared" si="22"/>
        <v>86</v>
      </c>
      <c r="K142" s="220">
        <f t="shared" si="22"/>
        <v>703</v>
      </c>
      <c r="L142" s="220">
        <f t="shared" si="22"/>
        <v>647</v>
      </c>
      <c r="M142" s="280">
        <f t="shared" si="22"/>
        <v>0</v>
      </c>
      <c r="N142" s="279">
        <f t="shared" si="22"/>
        <v>6412</v>
      </c>
      <c r="O142" s="281">
        <f t="shared" si="22"/>
        <v>3733</v>
      </c>
      <c r="P142" s="281">
        <f t="shared" si="22"/>
        <v>0</v>
      </c>
      <c r="Q142" s="281">
        <f t="shared" si="22"/>
        <v>0</v>
      </c>
      <c r="R142" s="281">
        <f t="shared" si="22"/>
        <v>0</v>
      </c>
      <c r="S142" s="281">
        <f t="shared" si="22"/>
        <v>0</v>
      </c>
      <c r="T142" s="279">
        <f t="shared" si="22"/>
        <v>3733</v>
      </c>
      <c r="U142" s="278">
        <f t="shared" si="22"/>
        <v>67</v>
      </c>
      <c r="V142" s="220">
        <f t="shared" si="22"/>
        <v>0</v>
      </c>
      <c r="W142" s="220">
        <f t="shared" si="22"/>
        <v>0</v>
      </c>
      <c r="X142" s="220">
        <f t="shared" si="22"/>
        <v>0</v>
      </c>
      <c r="Y142" s="280">
        <f t="shared" si="22"/>
        <v>0</v>
      </c>
      <c r="Z142" s="279">
        <f t="shared" si="22"/>
        <v>67</v>
      </c>
      <c r="AA142" s="282">
        <f t="shared" si="22"/>
        <v>476</v>
      </c>
      <c r="AB142" s="282">
        <f t="shared" si="22"/>
        <v>19</v>
      </c>
      <c r="AC142" s="282">
        <f t="shared" si="22"/>
        <v>562</v>
      </c>
      <c r="AD142" s="282">
        <f t="shared" si="22"/>
        <v>1649</v>
      </c>
      <c r="AE142" s="279">
        <f t="shared" si="22"/>
        <v>5944</v>
      </c>
      <c r="AF142" s="279">
        <f t="shared" si="22"/>
        <v>468</v>
      </c>
      <c r="AG142" s="283">
        <f t="shared" si="22"/>
        <v>6412</v>
      </c>
      <c r="AH142" s="71">
        <f t="shared" si="8"/>
        <v>0</v>
      </c>
    </row>
    <row r="143" spans="1:34" x14ac:dyDescent="0.25">
      <c r="A143" s="476">
        <v>12</v>
      </c>
      <c r="B143" s="223" t="str">
        <f t="shared" ref="B143:AG143" si="23">B21</f>
        <v>FABRICATION D ARTICLES DE SPORTS  JEUX E</v>
      </c>
      <c r="C143" s="277" t="str">
        <f t="shared" si="23"/>
        <v xml:space="preserve">GC43 </v>
      </c>
      <c r="D143" s="278">
        <f t="shared" si="23"/>
        <v>4187</v>
      </c>
      <c r="E143" s="220">
        <f t="shared" si="23"/>
        <v>4630</v>
      </c>
      <c r="F143" s="220">
        <f t="shared" si="23"/>
        <v>0</v>
      </c>
      <c r="G143" s="220">
        <f t="shared" si="23"/>
        <v>0</v>
      </c>
      <c r="H143" s="279">
        <f t="shared" si="23"/>
        <v>8817</v>
      </c>
      <c r="I143" s="278">
        <f t="shared" si="23"/>
        <v>7603</v>
      </c>
      <c r="J143" s="220">
        <f t="shared" si="23"/>
        <v>243</v>
      </c>
      <c r="K143" s="220">
        <f t="shared" si="23"/>
        <v>2148</v>
      </c>
      <c r="L143" s="220">
        <f t="shared" si="23"/>
        <v>2087</v>
      </c>
      <c r="M143" s="280">
        <f t="shared" si="23"/>
        <v>0</v>
      </c>
      <c r="N143" s="279">
        <f t="shared" si="23"/>
        <v>18811</v>
      </c>
      <c r="O143" s="281">
        <f t="shared" si="23"/>
        <v>13037</v>
      </c>
      <c r="P143" s="281">
        <f t="shared" si="23"/>
        <v>0</v>
      </c>
      <c r="Q143" s="281">
        <f t="shared" si="23"/>
        <v>0</v>
      </c>
      <c r="R143" s="281">
        <f t="shared" si="23"/>
        <v>0</v>
      </c>
      <c r="S143" s="281">
        <f t="shared" si="23"/>
        <v>0</v>
      </c>
      <c r="T143" s="279">
        <f t="shared" si="23"/>
        <v>13037</v>
      </c>
      <c r="U143" s="278">
        <f t="shared" si="23"/>
        <v>145</v>
      </c>
      <c r="V143" s="220">
        <f t="shared" si="23"/>
        <v>0</v>
      </c>
      <c r="W143" s="220">
        <f t="shared" si="23"/>
        <v>0</v>
      </c>
      <c r="X143" s="220">
        <f t="shared" si="23"/>
        <v>0</v>
      </c>
      <c r="Y143" s="280">
        <f t="shared" si="23"/>
        <v>0</v>
      </c>
      <c r="Z143" s="279">
        <f t="shared" si="23"/>
        <v>145</v>
      </c>
      <c r="AA143" s="282">
        <f t="shared" si="23"/>
        <v>0</v>
      </c>
      <c r="AB143" s="282">
        <f t="shared" si="23"/>
        <v>-8</v>
      </c>
      <c r="AC143" s="282">
        <f t="shared" si="23"/>
        <v>137</v>
      </c>
      <c r="AD143" s="282">
        <f t="shared" si="23"/>
        <v>2665</v>
      </c>
      <c r="AE143" s="279">
        <f t="shared" si="23"/>
        <v>15839</v>
      </c>
      <c r="AF143" s="279">
        <f t="shared" si="23"/>
        <v>2972</v>
      </c>
      <c r="AG143" s="283">
        <f t="shared" si="23"/>
        <v>18811</v>
      </c>
      <c r="AH143" s="71">
        <f t="shared" si="8"/>
        <v>0</v>
      </c>
    </row>
    <row r="144" spans="1:34" x14ac:dyDescent="0.25">
      <c r="A144" s="476">
        <v>12</v>
      </c>
      <c r="B144" s="223" t="str">
        <f t="shared" ref="B144:AG144" si="24">B22</f>
        <v>FABRICATION D APPAREILS DOMESTIQUES</v>
      </c>
      <c r="C144" s="277" t="str">
        <f t="shared" si="24"/>
        <v xml:space="preserve">GC44 </v>
      </c>
      <c r="D144" s="278">
        <f t="shared" si="24"/>
        <v>2886</v>
      </c>
      <c r="E144" s="220">
        <f t="shared" si="24"/>
        <v>3995</v>
      </c>
      <c r="F144" s="220">
        <f t="shared" si="24"/>
        <v>0</v>
      </c>
      <c r="G144" s="220">
        <f t="shared" si="24"/>
        <v>0</v>
      </c>
      <c r="H144" s="279">
        <f t="shared" si="24"/>
        <v>6881</v>
      </c>
      <c r="I144" s="278">
        <f t="shared" si="24"/>
        <v>3686</v>
      </c>
      <c r="J144" s="220">
        <f t="shared" si="24"/>
        <v>67</v>
      </c>
      <c r="K144" s="220">
        <f t="shared" si="24"/>
        <v>1378</v>
      </c>
      <c r="L144" s="220">
        <f t="shared" si="24"/>
        <v>1352</v>
      </c>
      <c r="M144" s="280">
        <f t="shared" si="24"/>
        <v>0</v>
      </c>
      <c r="N144" s="279">
        <f t="shared" si="24"/>
        <v>12012</v>
      </c>
      <c r="O144" s="281">
        <f t="shared" si="24"/>
        <v>8608</v>
      </c>
      <c r="P144" s="281">
        <f t="shared" si="24"/>
        <v>0</v>
      </c>
      <c r="Q144" s="281">
        <f t="shared" si="24"/>
        <v>0</v>
      </c>
      <c r="R144" s="281">
        <f t="shared" si="24"/>
        <v>0</v>
      </c>
      <c r="S144" s="281">
        <f t="shared" si="24"/>
        <v>0</v>
      </c>
      <c r="T144" s="279">
        <f t="shared" si="24"/>
        <v>8608</v>
      </c>
      <c r="U144" s="278">
        <f t="shared" si="24"/>
        <v>1</v>
      </c>
      <c r="V144" s="220">
        <f t="shared" si="24"/>
        <v>0</v>
      </c>
      <c r="W144" s="220">
        <f t="shared" si="24"/>
        <v>0</v>
      </c>
      <c r="X144" s="220">
        <f t="shared" si="24"/>
        <v>0</v>
      </c>
      <c r="Y144" s="280">
        <f t="shared" si="24"/>
        <v>0</v>
      </c>
      <c r="Z144" s="279">
        <f t="shared" si="24"/>
        <v>1</v>
      </c>
      <c r="AA144" s="282">
        <f t="shared" si="24"/>
        <v>0</v>
      </c>
      <c r="AB144" s="282">
        <f t="shared" si="24"/>
        <v>9</v>
      </c>
      <c r="AC144" s="282">
        <f t="shared" si="24"/>
        <v>10</v>
      </c>
      <c r="AD144" s="282">
        <f t="shared" si="24"/>
        <v>1977</v>
      </c>
      <c r="AE144" s="279">
        <f t="shared" si="24"/>
        <v>10595</v>
      </c>
      <c r="AF144" s="279">
        <f t="shared" si="24"/>
        <v>1417</v>
      </c>
      <c r="AG144" s="283">
        <f t="shared" si="24"/>
        <v>12012</v>
      </c>
      <c r="AH144" s="71">
        <f t="shared" si="8"/>
        <v>0</v>
      </c>
    </row>
    <row r="145" spans="1:34" x14ac:dyDescent="0.25">
      <c r="A145" s="476">
        <v>12</v>
      </c>
      <c r="B145" s="223" t="str">
        <f t="shared" ref="B145:AG145" si="25">B23</f>
        <v>FABRICATION D APPAREILS DE RECEPTION  EN</v>
      </c>
      <c r="C145" s="277" t="str">
        <f t="shared" si="25"/>
        <v xml:space="preserve">GC45 </v>
      </c>
      <c r="D145" s="278">
        <f t="shared" si="25"/>
        <v>1741</v>
      </c>
      <c r="E145" s="220">
        <f t="shared" si="25"/>
        <v>8130</v>
      </c>
      <c r="F145" s="220">
        <f t="shared" si="25"/>
        <v>0</v>
      </c>
      <c r="G145" s="220">
        <f t="shared" si="25"/>
        <v>0</v>
      </c>
      <c r="H145" s="279">
        <f t="shared" si="25"/>
        <v>9871</v>
      </c>
      <c r="I145" s="278">
        <f t="shared" si="25"/>
        <v>4250</v>
      </c>
      <c r="J145" s="220">
        <f t="shared" si="25"/>
        <v>592</v>
      </c>
      <c r="K145" s="220">
        <f t="shared" si="25"/>
        <v>1593</v>
      </c>
      <c r="L145" s="220">
        <f t="shared" si="25"/>
        <v>1460</v>
      </c>
      <c r="M145" s="280">
        <f t="shared" si="25"/>
        <v>0</v>
      </c>
      <c r="N145" s="279">
        <f t="shared" si="25"/>
        <v>16306</v>
      </c>
      <c r="O145" s="281">
        <f t="shared" si="25"/>
        <v>9103</v>
      </c>
      <c r="P145" s="281">
        <f t="shared" si="25"/>
        <v>0</v>
      </c>
      <c r="Q145" s="281">
        <f t="shared" si="25"/>
        <v>0</v>
      </c>
      <c r="R145" s="281">
        <f t="shared" si="25"/>
        <v>0</v>
      </c>
      <c r="S145" s="281">
        <f t="shared" si="25"/>
        <v>0</v>
      </c>
      <c r="T145" s="279">
        <f t="shared" si="25"/>
        <v>9103</v>
      </c>
      <c r="U145" s="278">
        <f t="shared" si="25"/>
        <v>1637</v>
      </c>
      <c r="V145" s="220">
        <f t="shared" si="25"/>
        <v>0</v>
      </c>
      <c r="W145" s="220">
        <f t="shared" si="25"/>
        <v>15</v>
      </c>
      <c r="X145" s="220">
        <f t="shared" si="25"/>
        <v>0</v>
      </c>
      <c r="Y145" s="280">
        <f t="shared" si="25"/>
        <v>7</v>
      </c>
      <c r="Z145" s="279">
        <f t="shared" si="25"/>
        <v>1659</v>
      </c>
      <c r="AA145" s="282">
        <f t="shared" si="25"/>
        <v>0</v>
      </c>
      <c r="AB145" s="282">
        <f t="shared" si="25"/>
        <v>-20</v>
      </c>
      <c r="AC145" s="282">
        <f t="shared" si="25"/>
        <v>1639</v>
      </c>
      <c r="AD145" s="282">
        <f t="shared" si="25"/>
        <v>3845</v>
      </c>
      <c r="AE145" s="279">
        <f t="shared" si="25"/>
        <v>14587</v>
      </c>
      <c r="AF145" s="279">
        <f t="shared" si="25"/>
        <v>1719</v>
      </c>
      <c r="AG145" s="283">
        <f t="shared" si="25"/>
        <v>16306</v>
      </c>
      <c r="AH145" s="71">
        <f t="shared" si="8"/>
        <v>0</v>
      </c>
    </row>
    <row r="146" spans="1:34" x14ac:dyDescent="0.25">
      <c r="A146" s="476">
        <v>12</v>
      </c>
      <c r="B146" s="223" t="str">
        <f t="shared" ref="B146:AG146" si="26">B24</f>
        <v>FABRICATION DE MATERIEL OPTIQUE ET PHOTO</v>
      </c>
      <c r="C146" s="277" t="str">
        <f t="shared" si="26"/>
        <v xml:space="preserve">GC46 </v>
      </c>
      <c r="D146" s="278">
        <f t="shared" si="26"/>
        <v>2021</v>
      </c>
      <c r="E146" s="220">
        <f t="shared" si="26"/>
        <v>2497</v>
      </c>
      <c r="F146" s="220">
        <f t="shared" si="26"/>
        <v>0</v>
      </c>
      <c r="G146" s="220">
        <f t="shared" si="26"/>
        <v>0</v>
      </c>
      <c r="H146" s="279">
        <f t="shared" si="26"/>
        <v>4518</v>
      </c>
      <c r="I146" s="278">
        <f t="shared" si="26"/>
        <v>3080</v>
      </c>
      <c r="J146" s="220">
        <f t="shared" si="26"/>
        <v>104</v>
      </c>
      <c r="K146" s="220">
        <f t="shared" si="26"/>
        <v>907</v>
      </c>
      <c r="L146" s="220">
        <f t="shared" si="26"/>
        <v>876</v>
      </c>
      <c r="M146" s="280">
        <f t="shared" si="26"/>
        <v>0</v>
      </c>
      <c r="N146" s="279">
        <f t="shared" si="26"/>
        <v>8609</v>
      </c>
      <c r="O146" s="281">
        <f t="shared" si="26"/>
        <v>5562</v>
      </c>
      <c r="P146" s="281">
        <f t="shared" si="26"/>
        <v>0</v>
      </c>
      <c r="Q146" s="281">
        <f t="shared" si="26"/>
        <v>185</v>
      </c>
      <c r="R146" s="281">
        <f t="shared" si="26"/>
        <v>185</v>
      </c>
      <c r="S146" s="281">
        <f t="shared" si="26"/>
        <v>0</v>
      </c>
      <c r="T146" s="279">
        <f t="shared" si="26"/>
        <v>5747</v>
      </c>
      <c r="U146" s="278">
        <f t="shared" si="26"/>
        <v>53</v>
      </c>
      <c r="V146" s="220">
        <f t="shared" si="26"/>
        <v>0</v>
      </c>
      <c r="W146" s="220">
        <f t="shared" si="26"/>
        <v>0</v>
      </c>
      <c r="X146" s="220">
        <f t="shared" si="26"/>
        <v>0</v>
      </c>
      <c r="Y146" s="280">
        <f t="shared" si="26"/>
        <v>0</v>
      </c>
      <c r="Z146" s="279">
        <f t="shared" si="26"/>
        <v>53</v>
      </c>
      <c r="AA146" s="282">
        <f t="shared" si="26"/>
        <v>0</v>
      </c>
      <c r="AB146" s="282">
        <f t="shared" si="26"/>
        <v>4</v>
      </c>
      <c r="AC146" s="282">
        <f t="shared" si="26"/>
        <v>57</v>
      </c>
      <c r="AD146" s="282">
        <f t="shared" si="26"/>
        <v>1913</v>
      </c>
      <c r="AE146" s="279">
        <f t="shared" si="26"/>
        <v>7717</v>
      </c>
      <c r="AF146" s="279">
        <f t="shared" si="26"/>
        <v>892</v>
      </c>
      <c r="AG146" s="283">
        <f t="shared" si="26"/>
        <v>8609</v>
      </c>
      <c r="AH146" s="71">
        <f t="shared" si="8"/>
        <v>0</v>
      </c>
    </row>
    <row r="147" spans="1:34" s="284" customFormat="1" x14ac:dyDescent="0.25">
      <c r="A147" s="293">
        <v>103</v>
      </c>
      <c r="B147" s="285" t="str">
        <f t="shared" ref="B147:AG147" si="27">B25</f>
        <v>CONSTRUCTION AUTOMOBILE</v>
      </c>
      <c r="C147" s="286" t="str">
        <f t="shared" si="27"/>
        <v xml:space="preserve">GD01 </v>
      </c>
      <c r="D147" s="287">
        <f t="shared" si="27"/>
        <v>62433</v>
      </c>
      <c r="E147" s="288">
        <f t="shared" si="27"/>
        <v>32074</v>
      </c>
      <c r="F147" s="288">
        <f t="shared" si="27"/>
        <v>0</v>
      </c>
      <c r="G147" s="288">
        <f t="shared" si="27"/>
        <v>0</v>
      </c>
      <c r="H147" s="289">
        <f t="shared" si="27"/>
        <v>94507</v>
      </c>
      <c r="I147" s="287">
        <f t="shared" si="27"/>
        <v>14309</v>
      </c>
      <c r="J147" s="288">
        <f t="shared" si="27"/>
        <v>1782</v>
      </c>
      <c r="K147" s="288">
        <f t="shared" si="27"/>
        <v>7184</v>
      </c>
      <c r="L147" s="288">
        <f t="shared" si="27"/>
        <v>6853</v>
      </c>
      <c r="M147" s="290">
        <f t="shared" si="27"/>
        <v>0</v>
      </c>
      <c r="N147" s="289">
        <f t="shared" si="27"/>
        <v>117782</v>
      </c>
      <c r="O147" s="291">
        <f t="shared" si="27"/>
        <v>35817</v>
      </c>
      <c r="P147" s="291">
        <f t="shared" si="27"/>
        <v>0</v>
      </c>
      <c r="Q147" s="291">
        <f t="shared" si="27"/>
        <v>0</v>
      </c>
      <c r="R147" s="291">
        <f t="shared" si="27"/>
        <v>0</v>
      </c>
      <c r="S147" s="291">
        <f t="shared" si="27"/>
        <v>0</v>
      </c>
      <c r="T147" s="289">
        <f t="shared" si="27"/>
        <v>35817</v>
      </c>
      <c r="U147" s="287">
        <f t="shared" si="27"/>
        <v>21335</v>
      </c>
      <c r="V147" s="288">
        <f t="shared" si="27"/>
        <v>0</v>
      </c>
      <c r="W147" s="288">
        <f t="shared" si="27"/>
        <v>242</v>
      </c>
      <c r="X147" s="288">
        <f t="shared" si="27"/>
        <v>2059</v>
      </c>
      <c r="Y147" s="290">
        <f t="shared" si="27"/>
        <v>267</v>
      </c>
      <c r="Z147" s="289">
        <f t="shared" si="27"/>
        <v>23903</v>
      </c>
      <c r="AA147" s="292">
        <f t="shared" si="27"/>
        <v>0</v>
      </c>
      <c r="AB147" s="292">
        <f t="shared" si="27"/>
        <v>483</v>
      </c>
      <c r="AC147" s="292">
        <f t="shared" si="27"/>
        <v>24386</v>
      </c>
      <c r="AD147" s="292">
        <f t="shared" si="27"/>
        <v>35788</v>
      </c>
      <c r="AE147" s="289">
        <f t="shared" si="27"/>
        <v>95991</v>
      </c>
      <c r="AF147" s="289">
        <f t="shared" si="27"/>
        <v>21791</v>
      </c>
      <c r="AG147" s="284">
        <f t="shared" si="27"/>
        <v>117782</v>
      </c>
      <c r="AH147" s="293">
        <f t="shared" si="8"/>
        <v>0</v>
      </c>
    </row>
    <row r="148" spans="1:34" s="284" customFormat="1" x14ac:dyDescent="0.25">
      <c r="A148" s="293">
        <v>103</v>
      </c>
      <c r="B148" s="285" t="str">
        <f t="shared" ref="B148:AG148" si="28">B26</f>
        <v>FABRICATION D EQUIPEMENTS AUTOMOBILES</v>
      </c>
      <c r="C148" s="286" t="str">
        <f t="shared" si="28"/>
        <v xml:space="preserve">GD02 </v>
      </c>
      <c r="D148" s="287">
        <f t="shared" si="28"/>
        <v>26296</v>
      </c>
      <c r="E148" s="288">
        <f t="shared" si="28"/>
        <v>13296</v>
      </c>
      <c r="F148" s="288">
        <f t="shared" si="28"/>
        <v>0</v>
      </c>
      <c r="G148" s="288">
        <f t="shared" si="28"/>
        <v>0</v>
      </c>
      <c r="H148" s="289">
        <f t="shared" si="28"/>
        <v>39592</v>
      </c>
      <c r="I148" s="287">
        <f t="shared" si="28"/>
        <v>5356</v>
      </c>
      <c r="J148" s="288">
        <f t="shared" si="28"/>
        <v>559</v>
      </c>
      <c r="K148" s="288">
        <f t="shared" si="28"/>
        <v>3579</v>
      </c>
      <c r="L148" s="288">
        <f t="shared" si="28"/>
        <v>3551</v>
      </c>
      <c r="M148" s="290">
        <f t="shared" si="28"/>
        <v>0</v>
      </c>
      <c r="N148" s="289">
        <f t="shared" si="28"/>
        <v>49086</v>
      </c>
      <c r="O148" s="291">
        <f t="shared" si="28"/>
        <v>20594</v>
      </c>
      <c r="P148" s="291">
        <f t="shared" si="28"/>
        <v>0</v>
      </c>
      <c r="Q148" s="291">
        <f t="shared" si="28"/>
        <v>0</v>
      </c>
      <c r="R148" s="291">
        <f t="shared" si="28"/>
        <v>0</v>
      </c>
      <c r="S148" s="291">
        <f t="shared" si="28"/>
        <v>0</v>
      </c>
      <c r="T148" s="289">
        <f t="shared" si="28"/>
        <v>20594</v>
      </c>
      <c r="U148" s="287">
        <f t="shared" si="28"/>
        <v>0</v>
      </c>
      <c r="V148" s="288">
        <f t="shared" si="28"/>
        <v>0</v>
      </c>
      <c r="W148" s="288">
        <f t="shared" si="28"/>
        <v>0</v>
      </c>
      <c r="X148" s="288">
        <f t="shared" si="28"/>
        <v>0</v>
      </c>
      <c r="Y148" s="290">
        <f t="shared" si="28"/>
        <v>0</v>
      </c>
      <c r="Z148" s="289">
        <f t="shared" si="28"/>
        <v>0</v>
      </c>
      <c r="AA148" s="292">
        <f t="shared" si="28"/>
        <v>0</v>
      </c>
      <c r="AB148" s="292">
        <f t="shared" si="28"/>
        <v>-559</v>
      </c>
      <c r="AC148" s="292">
        <f t="shared" si="28"/>
        <v>-559</v>
      </c>
      <c r="AD148" s="292">
        <f t="shared" si="28"/>
        <v>15257</v>
      </c>
      <c r="AE148" s="289">
        <f t="shared" si="28"/>
        <v>35292</v>
      </c>
      <c r="AF148" s="289">
        <f t="shared" si="28"/>
        <v>13794</v>
      </c>
      <c r="AG148" s="284">
        <f t="shared" si="28"/>
        <v>49086</v>
      </c>
      <c r="AH148" s="293">
        <f t="shared" si="8"/>
        <v>0</v>
      </c>
    </row>
    <row r="149" spans="1:34" x14ac:dyDescent="0.25">
      <c r="A149" s="71">
        <v>12</v>
      </c>
      <c r="B149" s="223" t="str">
        <f t="shared" ref="B149:AG149" si="29">B27</f>
        <v>CONSTRUCTION NAVALE</v>
      </c>
      <c r="C149" s="277" t="str">
        <f t="shared" si="29"/>
        <v xml:space="preserve">GE11 </v>
      </c>
      <c r="D149" s="278">
        <f t="shared" si="29"/>
        <v>4661</v>
      </c>
      <c r="E149" s="220">
        <f t="shared" si="29"/>
        <v>1570</v>
      </c>
      <c r="F149" s="220">
        <f t="shared" si="29"/>
        <v>0</v>
      </c>
      <c r="G149" s="220">
        <f t="shared" si="29"/>
        <v>0</v>
      </c>
      <c r="H149" s="279">
        <f t="shared" si="29"/>
        <v>6231</v>
      </c>
      <c r="I149" s="278">
        <f t="shared" si="29"/>
        <v>107</v>
      </c>
      <c r="J149" s="220">
        <f t="shared" si="29"/>
        <v>59</v>
      </c>
      <c r="K149" s="220">
        <f t="shared" si="29"/>
        <v>273</v>
      </c>
      <c r="L149" s="220">
        <f t="shared" si="29"/>
        <v>269</v>
      </c>
      <c r="M149" s="280">
        <f t="shared" si="29"/>
        <v>-7</v>
      </c>
      <c r="N149" s="279">
        <f t="shared" si="29"/>
        <v>6663</v>
      </c>
      <c r="O149" s="281">
        <f t="shared" si="29"/>
        <v>1562</v>
      </c>
      <c r="P149" s="281">
        <f t="shared" si="29"/>
        <v>0</v>
      </c>
      <c r="Q149" s="281">
        <f t="shared" si="29"/>
        <v>0</v>
      </c>
      <c r="R149" s="281">
        <f t="shared" si="29"/>
        <v>0</v>
      </c>
      <c r="S149" s="281">
        <f t="shared" si="29"/>
        <v>0</v>
      </c>
      <c r="T149" s="279">
        <f t="shared" si="29"/>
        <v>1562</v>
      </c>
      <c r="U149" s="278">
        <f t="shared" si="29"/>
        <v>37</v>
      </c>
      <c r="V149" s="220">
        <f t="shared" si="29"/>
        <v>0</v>
      </c>
      <c r="W149" s="220">
        <f t="shared" si="29"/>
        <v>0</v>
      </c>
      <c r="X149" s="220">
        <f t="shared" si="29"/>
        <v>10</v>
      </c>
      <c r="Y149" s="280">
        <f t="shared" si="29"/>
        <v>0</v>
      </c>
      <c r="Z149" s="279">
        <f t="shared" si="29"/>
        <v>47</v>
      </c>
      <c r="AA149" s="282">
        <f t="shared" si="29"/>
        <v>0</v>
      </c>
      <c r="AB149" s="282">
        <f t="shared" si="29"/>
        <v>623</v>
      </c>
      <c r="AC149" s="282">
        <f t="shared" si="29"/>
        <v>670</v>
      </c>
      <c r="AD149" s="282">
        <f t="shared" si="29"/>
        <v>1908</v>
      </c>
      <c r="AE149" s="279">
        <f t="shared" si="29"/>
        <v>4140</v>
      </c>
      <c r="AF149" s="279">
        <f t="shared" si="29"/>
        <v>2523</v>
      </c>
      <c r="AG149" s="283">
        <f t="shared" si="29"/>
        <v>6663</v>
      </c>
      <c r="AH149" s="71">
        <f t="shared" si="8"/>
        <v>0</v>
      </c>
    </row>
    <row r="150" spans="1:34" x14ac:dyDescent="0.25">
      <c r="A150" s="71">
        <v>12</v>
      </c>
      <c r="B150" s="223" t="str">
        <f t="shared" ref="B150:AG150" si="30">B28</f>
        <v>CONSTRUCTION DE MATERIEL FERROVIAIRE ROU</v>
      </c>
      <c r="C150" s="277" t="str">
        <f t="shared" si="30"/>
        <v xml:space="preserve">GE12 </v>
      </c>
      <c r="D150" s="278">
        <f t="shared" si="30"/>
        <v>3341</v>
      </c>
      <c r="E150" s="220">
        <f t="shared" si="30"/>
        <v>379</v>
      </c>
      <c r="F150" s="220">
        <f t="shared" si="30"/>
        <v>0</v>
      </c>
      <c r="G150" s="220">
        <f t="shared" si="30"/>
        <v>0</v>
      </c>
      <c r="H150" s="279">
        <f t="shared" si="30"/>
        <v>3720</v>
      </c>
      <c r="I150" s="278">
        <f t="shared" si="30"/>
        <v>17</v>
      </c>
      <c r="J150" s="220">
        <f t="shared" si="30"/>
        <v>66</v>
      </c>
      <c r="K150" s="220">
        <f t="shared" si="30"/>
        <v>3</v>
      </c>
      <c r="L150" s="220">
        <f t="shared" si="30"/>
        <v>3</v>
      </c>
      <c r="M150" s="280">
        <f t="shared" si="30"/>
        <v>0</v>
      </c>
      <c r="N150" s="279">
        <f t="shared" si="30"/>
        <v>3806</v>
      </c>
      <c r="O150" s="281">
        <f t="shared" si="30"/>
        <v>0</v>
      </c>
      <c r="P150" s="281">
        <f t="shared" si="30"/>
        <v>0</v>
      </c>
      <c r="Q150" s="281">
        <f t="shared" si="30"/>
        <v>0</v>
      </c>
      <c r="R150" s="281">
        <f t="shared" si="30"/>
        <v>0</v>
      </c>
      <c r="S150" s="281">
        <f t="shared" si="30"/>
        <v>0</v>
      </c>
      <c r="T150" s="279">
        <f t="shared" si="30"/>
        <v>0</v>
      </c>
      <c r="U150" s="278">
        <f t="shared" si="30"/>
        <v>2258</v>
      </c>
      <c r="V150" s="220">
        <f t="shared" si="30"/>
        <v>0</v>
      </c>
      <c r="W150" s="220">
        <f t="shared" si="30"/>
        <v>0</v>
      </c>
      <c r="X150" s="220">
        <f t="shared" si="30"/>
        <v>0</v>
      </c>
      <c r="Y150" s="280">
        <f t="shared" si="30"/>
        <v>0</v>
      </c>
      <c r="Z150" s="279">
        <f t="shared" si="30"/>
        <v>2258</v>
      </c>
      <c r="AA150" s="282">
        <f t="shared" si="30"/>
        <v>0</v>
      </c>
      <c r="AB150" s="282">
        <f t="shared" si="30"/>
        <v>-65</v>
      </c>
      <c r="AC150" s="282">
        <f t="shared" si="30"/>
        <v>2193</v>
      </c>
      <c r="AD150" s="282">
        <f t="shared" si="30"/>
        <v>859</v>
      </c>
      <c r="AE150" s="279">
        <f t="shared" si="30"/>
        <v>3052</v>
      </c>
      <c r="AF150" s="279">
        <f t="shared" si="30"/>
        <v>754</v>
      </c>
      <c r="AG150" s="283">
        <f t="shared" si="30"/>
        <v>3806</v>
      </c>
      <c r="AH150" s="71">
        <f t="shared" si="8"/>
        <v>0</v>
      </c>
    </row>
    <row r="151" spans="1:34" x14ac:dyDescent="0.25">
      <c r="A151" s="71">
        <v>12</v>
      </c>
      <c r="B151" s="223" t="str">
        <f t="shared" ref="B151:AG151" si="31">B29</f>
        <v>CONSTRUCTION AERONAUTIQUE ET SPATIALE</v>
      </c>
      <c r="C151" s="277" t="str">
        <f t="shared" si="31"/>
        <v xml:space="preserve">GE13 </v>
      </c>
      <c r="D151" s="278">
        <f t="shared" si="31"/>
        <v>46487</v>
      </c>
      <c r="E151" s="220">
        <f t="shared" si="31"/>
        <v>14603</v>
      </c>
      <c r="F151" s="220">
        <f t="shared" si="31"/>
        <v>0</v>
      </c>
      <c r="G151" s="220">
        <f t="shared" si="31"/>
        <v>0</v>
      </c>
      <c r="H151" s="279">
        <f t="shared" si="31"/>
        <v>61090</v>
      </c>
      <c r="I151" s="278">
        <f t="shared" si="31"/>
        <v>180</v>
      </c>
      <c r="J151" s="220">
        <f t="shared" si="31"/>
        <v>175</v>
      </c>
      <c r="K151" s="220">
        <f t="shared" si="31"/>
        <v>276</v>
      </c>
      <c r="L151" s="220">
        <f t="shared" si="31"/>
        <v>276</v>
      </c>
      <c r="M151" s="280">
        <f t="shared" si="31"/>
        <v>0</v>
      </c>
      <c r="N151" s="279">
        <f t="shared" si="31"/>
        <v>61721</v>
      </c>
      <c r="O151" s="281">
        <f t="shared" si="31"/>
        <v>43</v>
      </c>
      <c r="P151" s="281">
        <f t="shared" si="31"/>
        <v>0</v>
      </c>
      <c r="Q151" s="281">
        <f t="shared" si="31"/>
        <v>0</v>
      </c>
      <c r="R151" s="281">
        <f t="shared" si="31"/>
        <v>0</v>
      </c>
      <c r="S151" s="281">
        <f t="shared" si="31"/>
        <v>0</v>
      </c>
      <c r="T151" s="279">
        <f t="shared" si="31"/>
        <v>43</v>
      </c>
      <c r="U151" s="278">
        <f t="shared" si="31"/>
        <v>2469</v>
      </c>
      <c r="V151" s="220">
        <f t="shared" si="31"/>
        <v>0</v>
      </c>
      <c r="W151" s="220">
        <f t="shared" si="31"/>
        <v>0</v>
      </c>
      <c r="X151" s="220">
        <f t="shared" si="31"/>
        <v>112</v>
      </c>
      <c r="Y151" s="280">
        <f t="shared" si="31"/>
        <v>0</v>
      </c>
      <c r="Z151" s="279">
        <f t="shared" si="31"/>
        <v>2581</v>
      </c>
      <c r="AA151" s="282">
        <f t="shared" si="31"/>
        <v>0</v>
      </c>
      <c r="AB151" s="282">
        <f t="shared" si="31"/>
        <v>1570</v>
      </c>
      <c r="AC151" s="282">
        <f t="shared" si="31"/>
        <v>4151</v>
      </c>
      <c r="AD151" s="282">
        <f t="shared" si="31"/>
        <v>29038</v>
      </c>
      <c r="AE151" s="279">
        <f t="shared" si="31"/>
        <v>33232</v>
      </c>
      <c r="AF151" s="279">
        <f t="shared" si="31"/>
        <v>28489</v>
      </c>
      <c r="AG151" s="283">
        <f t="shared" si="31"/>
        <v>61721</v>
      </c>
      <c r="AH151" s="71">
        <f t="shared" si="8"/>
        <v>0</v>
      </c>
    </row>
    <row r="152" spans="1:34" x14ac:dyDescent="0.25">
      <c r="A152" s="71" t="s">
        <v>758</v>
      </c>
      <c r="B152" s="223" t="str">
        <f t="shared" ref="B152:AG152" si="32">B30</f>
        <v>FABRICATION DE CYCLES  MOTOCYCLES  MATERriel de transport non classé ailleurs</v>
      </c>
      <c r="C152" s="277" t="str">
        <f t="shared" si="32"/>
        <v xml:space="preserve">GE14 </v>
      </c>
      <c r="D152" s="278">
        <f t="shared" si="32"/>
        <v>1016</v>
      </c>
      <c r="E152" s="220">
        <f t="shared" si="32"/>
        <v>1924</v>
      </c>
      <c r="F152" s="220">
        <f t="shared" si="32"/>
        <v>0</v>
      </c>
      <c r="G152" s="220">
        <f t="shared" si="32"/>
        <v>0</v>
      </c>
      <c r="H152" s="279">
        <f t="shared" si="32"/>
        <v>2940</v>
      </c>
      <c r="I152" s="278">
        <f t="shared" si="32"/>
        <v>878</v>
      </c>
      <c r="J152" s="220">
        <f t="shared" si="32"/>
        <v>10</v>
      </c>
      <c r="K152" s="220">
        <f t="shared" si="32"/>
        <v>569</v>
      </c>
      <c r="L152" s="220">
        <f t="shared" si="32"/>
        <v>532</v>
      </c>
      <c r="M152" s="280">
        <f t="shared" si="32"/>
        <v>0</v>
      </c>
      <c r="N152" s="279">
        <f t="shared" si="32"/>
        <v>4397</v>
      </c>
      <c r="O152" s="281">
        <f t="shared" si="32"/>
        <v>3132</v>
      </c>
      <c r="P152" s="281">
        <f t="shared" si="32"/>
        <v>0</v>
      </c>
      <c r="Q152" s="281">
        <f t="shared" si="32"/>
        <v>126</v>
      </c>
      <c r="R152" s="281">
        <f t="shared" si="32"/>
        <v>126</v>
      </c>
      <c r="S152" s="281">
        <f t="shared" si="32"/>
        <v>0</v>
      </c>
      <c r="T152" s="279">
        <f t="shared" si="32"/>
        <v>3258</v>
      </c>
      <c r="U152" s="278">
        <f t="shared" si="32"/>
        <v>25</v>
      </c>
      <c r="V152" s="220">
        <f t="shared" si="32"/>
        <v>0</v>
      </c>
      <c r="W152" s="220">
        <f t="shared" si="32"/>
        <v>0</v>
      </c>
      <c r="X152" s="220">
        <f t="shared" si="32"/>
        <v>199</v>
      </c>
      <c r="Y152" s="280">
        <f t="shared" si="32"/>
        <v>0</v>
      </c>
      <c r="Z152" s="279">
        <f t="shared" si="32"/>
        <v>224</v>
      </c>
      <c r="AA152" s="282">
        <f t="shared" si="32"/>
        <v>0</v>
      </c>
      <c r="AB152" s="282">
        <f t="shared" si="32"/>
        <v>-199</v>
      </c>
      <c r="AC152" s="282">
        <f t="shared" si="32"/>
        <v>25</v>
      </c>
      <c r="AD152" s="282">
        <f t="shared" si="32"/>
        <v>867</v>
      </c>
      <c r="AE152" s="279">
        <f t="shared" si="32"/>
        <v>4150</v>
      </c>
      <c r="AF152" s="279">
        <f t="shared" si="32"/>
        <v>247</v>
      </c>
      <c r="AG152" s="283">
        <f t="shared" si="32"/>
        <v>4397</v>
      </c>
      <c r="AH152" s="71">
        <f t="shared" si="8"/>
        <v>0</v>
      </c>
    </row>
    <row r="153" spans="1:34" x14ac:dyDescent="0.25">
      <c r="A153" s="71">
        <v>12</v>
      </c>
      <c r="B153" s="223" t="str">
        <f t="shared" ref="B153:AG153" si="33">B31</f>
        <v xml:space="preserve">FABRICATION D ELEMENTS EN METAL POUR LA </v>
      </c>
      <c r="C153" s="277" t="str">
        <f t="shared" si="33"/>
        <v xml:space="preserve">GE21 </v>
      </c>
      <c r="D153" s="278">
        <f t="shared" si="33"/>
        <v>9437</v>
      </c>
      <c r="E153" s="220">
        <f t="shared" si="33"/>
        <v>1472</v>
      </c>
      <c r="F153" s="220">
        <f t="shared" si="33"/>
        <v>0</v>
      </c>
      <c r="G153" s="220">
        <f t="shared" si="33"/>
        <v>0</v>
      </c>
      <c r="H153" s="279">
        <f t="shared" si="33"/>
        <v>10909</v>
      </c>
      <c r="I153" s="278">
        <f t="shared" si="33"/>
        <v>758</v>
      </c>
      <c r="J153" s="220">
        <f t="shared" si="33"/>
        <v>170</v>
      </c>
      <c r="K153" s="220">
        <f t="shared" si="33"/>
        <v>89</v>
      </c>
      <c r="L153" s="220">
        <f t="shared" si="33"/>
        <v>80</v>
      </c>
      <c r="M153" s="280">
        <f t="shared" si="33"/>
        <v>0</v>
      </c>
      <c r="N153" s="279">
        <f t="shared" si="33"/>
        <v>11926</v>
      </c>
      <c r="O153" s="281">
        <f t="shared" si="33"/>
        <v>0</v>
      </c>
      <c r="P153" s="281">
        <f t="shared" si="33"/>
        <v>0</v>
      </c>
      <c r="Q153" s="281">
        <f t="shared" si="33"/>
        <v>0</v>
      </c>
      <c r="R153" s="281">
        <f t="shared" si="33"/>
        <v>0</v>
      </c>
      <c r="S153" s="281">
        <f t="shared" si="33"/>
        <v>0</v>
      </c>
      <c r="T153" s="279">
        <f t="shared" si="33"/>
        <v>0</v>
      </c>
      <c r="U153" s="278">
        <f t="shared" si="33"/>
        <v>3459</v>
      </c>
      <c r="V153" s="220">
        <f t="shared" si="33"/>
        <v>0</v>
      </c>
      <c r="W153" s="220">
        <f t="shared" si="33"/>
        <v>165</v>
      </c>
      <c r="X153" s="220">
        <f t="shared" si="33"/>
        <v>23</v>
      </c>
      <c r="Y153" s="280">
        <f t="shared" si="33"/>
        <v>0</v>
      </c>
      <c r="Z153" s="279">
        <f t="shared" si="33"/>
        <v>3647</v>
      </c>
      <c r="AA153" s="282">
        <f t="shared" si="33"/>
        <v>0</v>
      </c>
      <c r="AB153" s="282">
        <f t="shared" si="33"/>
        <v>89</v>
      </c>
      <c r="AC153" s="282">
        <f t="shared" si="33"/>
        <v>3736</v>
      </c>
      <c r="AD153" s="282">
        <f t="shared" si="33"/>
        <v>813</v>
      </c>
      <c r="AE153" s="279">
        <f t="shared" si="33"/>
        <v>4549</v>
      </c>
      <c r="AF153" s="279">
        <f t="shared" si="33"/>
        <v>7377</v>
      </c>
      <c r="AG153" s="283">
        <f t="shared" si="33"/>
        <v>11926</v>
      </c>
      <c r="AH153" s="71">
        <f t="shared" si="8"/>
        <v>0</v>
      </c>
    </row>
    <row r="154" spans="1:34" x14ac:dyDescent="0.25">
      <c r="A154" s="71">
        <v>12</v>
      </c>
      <c r="B154" s="223" t="str">
        <f t="shared" ref="B154:AG154" si="34">B32</f>
        <v>CHAUDRONNERIE  FABRICATION DE RESERVOIRS</v>
      </c>
      <c r="C154" s="277" t="str">
        <f t="shared" si="34"/>
        <v xml:space="preserve">GE22 </v>
      </c>
      <c r="D154" s="278">
        <f t="shared" si="34"/>
        <v>10302</v>
      </c>
      <c r="E154" s="220">
        <f t="shared" si="34"/>
        <v>819</v>
      </c>
      <c r="F154" s="220">
        <f t="shared" si="34"/>
        <v>0</v>
      </c>
      <c r="G154" s="220">
        <f t="shared" si="34"/>
        <v>0</v>
      </c>
      <c r="H154" s="279">
        <f t="shared" si="34"/>
        <v>11121</v>
      </c>
      <c r="I154" s="278">
        <f t="shared" si="34"/>
        <v>1391</v>
      </c>
      <c r="J154" s="220">
        <f t="shared" si="34"/>
        <v>218</v>
      </c>
      <c r="K154" s="220">
        <f t="shared" si="34"/>
        <v>84</v>
      </c>
      <c r="L154" s="220">
        <f t="shared" si="34"/>
        <v>84</v>
      </c>
      <c r="M154" s="280">
        <f t="shared" si="34"/>
        <v>0</v>
      </c>
      <c r="N154" s="279">
        <f t="shared" si="34"/>
        <v>12814</v>
      </c>
      <c r="O154" s="281">
        <f t="shared" si="34"/>
        <v>0</v>
      </c>
      <c r="P154" s="281">
        <f t="shared" si="34"/>
        <v>0</v>
      </c>
      <c r="Q154" s="281">
        <f t="shared" si="34"/>
        <v>0</v>
      </c>
      <c r="R154" s="281">
        <f t="shared" si="34"/>
        <v>0</v>
      </c>
      <c r="S154" s="281">
        <f t="shared" si="34"/>
        <v>0</v>
      </c>
      <c r="T154" s="279">
        <f t="shared" si="34"/>
        <v>0</v>
      </c>
      <c r="U154" s="278">
        <f t="shared" si="34"/>
        <v>4186</v>
      </c>
      <c r="V154" s="220">
        <f t="shared" si="34"/>
        <v>0</v>
      </c>
      <c r="W154" s="220">
        <f t="shared" si="34"/>
        <v>0</v>
      </c>
      <c r="X154" s="220">
        <f t="shared" si="34"/>
        <v>0</v>
      </c>
      <c r="Y154" s="280">
        <f t="shared" si="34"/>
        <v>0</v>
      </c>
      <c r="Z154" s="279">
        <f t="shared" si="34"/>
        <v>4186</v>
      </c>
      <c r="AA154" s="282">
        <f t="shared" si="34"/>
        <v>0</v>
      </c>
      <c r="AB154" s="282">
        <f t="shared" si="34"/>
        <v>0</v>
      </c>
      <c r="AC154" s="282">
        <f t="shared" si="34"/>
        <v>4186</v>
      </c>
      <c r="AD154" s="282">
        <f t="shared" si="34"/>
        <v>806</v>
      </c>
      <c r="AE154" s="279">
        <f t="shared" si="34"/>
        <v>4992</v>
      </c>
      <c r="AF154" s="279">
        <f t="shared" si="34"/>
        <v>7822</v>
      </c>
      <c r="AG154" s="283">
        <f t="shared" si="34"/>
        <v>12814</v>
      </c>
      <c r="AH154" s="71">
        <f t="shared" si="8"/>
        <v>0</v>
      </c>
    </row>
    <row r="155" spans="1:34" x14ac:dyDescent="0.25">
      <c r="A155" s="71">
        <v>12</v>
      </c>
      <c r="B155" s="223" t="str">
        <f t="shared" ref="B155:AG155" si="35">B33</f>
        <v>FABRICATION D EQUIPEMENTS MECANIQUES</v>
      </c>
      <c r="C155" s="277" t="str">
        <f t="shared" si="35"/>
        <v xml:space="preserve">GE23 </v>
      </c>
      <c r="D155" s="278">
        <f t="shared" si="35"/>
        <v>13695</v>
      </c>
      <c r="E155" s="220">
        <f t="shared" si="35"/>
        <v>8989</v>
      </c>
      <c r="F155" s="220">
        <f t="shared" si="35"/>
        <v>0</v>
      </c>
      <c r="G155" s="220">
        <f t="shared" si="35"/>
        <v>0</v>
      </c>
      <c r="H155" s="279">
        <f t="shared" si="35"/>
        <v>22684</v>
      </c>
      <c r="I155" s="278">
        <f t="shared" si="35"/>
        <v>1539</v>
      </c>
      <c r="J155" s="220">
        <f t="shared" si="35"/>
        <v>849</v>
      </c>
      <c r="K155" s="220">
        <f t="shared" si="35"/>
        <v>81</v>
      </c>
      <c r="L155" s="220">
        <f t="shared" si="35"/>
        <v>48</v>
      </c>
      <c r="M155" s="280">
        <f t="shared" si="35"/>
        <v>0</v>
      </c>
      <c r="N155" s="279">
        <f t="shared" si="35"/>
        <v>25153</v>
      </c>
      <c r="O155" s="281">
        <f t="shared" si="35"/>
        <v>0</v>
      </c>
      <c r="P155" s="281">
        <f t="shared" si="35"/>
        <v>0</v>
      </c>
      <c r="Q155" s="281">
        <f t="shared" si="35"/>
        <v>0</v>
      </c>
      <c r="R155" s="281">
        <f t="shared" si="35"/>
        <v>0</v>
      </c>
      <c r="S155" s="281">
        <f t="shared" si="35"/>
        <v>0</v>
      </c>
      <c r="T155" s="279">
        <f t="shared" si="35"/>
        <v>0</v>
      </c>
      <c r="U155" s="278">
        <f t="shared" si="35"/>
        <v>2638</v>
      </c>
      <c r="V155" s="220">
        <f t="shared" si="35"/>
        <v>0</v>
      </c>
      <c r="W155" s="220">
        <f t="shared" si="35"/>
        <v>0</v>
      </c>
      <c r="X155" s="220">
        <f t="shared" si="35"/>
        <v>0</v>
      </c>
      <c r="Y155" s="280">
        <f t="shared" si="35"/>
        <v>0</v>
      </c>
      <c r="Z155" s="279">
        <f t="shared" si="35"/>
        <v>2638</v>
      </c>
      <c r="AA155" s="282">
        <f t="shared" si="35"/>
        <v>0</v>
      </c>
      <c r="AB155" s="282">
        <f t="shared" si="35"/>
        <v>109</v>
      </c>
      <c r="AC155" s="282">
        <f t="shared" si="35"/>
        <v>2747</v>
      </c>
      <c r="AD155" s="282">
        <f t="shared" si="35"/>
        <v>9889</v>
      </c>
      <c r="AE155" s="279">
        <f t="shared" si="35"/>
        <v>12636</v>
      </c>
      <c r="AF155" s="279">
        <f t="shared" si="35"/>
        <v>12517</v>
      </c>
      <c r="AG155" s="283">
        <f t="shared" si="35"/>
        <v>25153</v>
      </c>
      <c r="AH155" s="71">
        <f t="shared" si="8"/>
        <v>0</v>
      </c>
    </row>
    <row r="156" spans="1:34" x14ac:dyDescent="0.25">
      <c r="A156" s="71">
        <v>12</v>
      </c>
      <c r="B156" s="223" t="str">
        <f t="shared" ref="B156:AG156" si="36">B34</f>
        <v>FABRICATION DE MACHINES D USAGE GENERAL</v>
      </c>
      <c r="C156" s="277" t="str">
        <f t="shared" si="36"/>
        <v xml:space="preserve">GE24 </v>
      </c>
      <c r="D156" s="278">
        <f t="shared" si="36"/>
        <v>21110</v>
      </c>
      <c r="E156" s="220">
        <f t="shared" si="36"/>
        <v>8396</v>
      </c>
      <c r="F156" s="220">
        <f t="shared" si="36"/>
        <v>0</v>
      </c>
      <c r="G156" s="220">
        <f t="shared" si="36"/>
        <v>0</v>
      </c>
      <c r="H156" s="279">
        <f t="shared" si="36"/>
        <v>29506</v>
      </c>
      <c r="I156" s="278">
        <f t="shared" si="36"/>
        <v>6984</v>
      </c>
      <c r="J156" s="220">
        <f t="shared" si="36"/>
        <v>327</v>
      </c>
      <c r="K156" s="220">
        <f t="shared" si="36"/>
        <v>384</v>
      </c>
      <c r="L156" s="220">
        <f t="shared" si="36"/>
        <v>359</v>
      </c>
      <c r="M156" s="280">
        <f t="shared" si="36"/>
        <v>0</v>
      </c>
      <c r="N156" s="279">
        <f t="shared" si="36"/>
        <v>37201</v>
      </c>
      <c r="O156" s="281">
        <f t="shared" si="36"/>
        <v>972</v>
      </c>
      <c r="P156" s="281">
        <f t="shared" si="36"/>
        <v>0</v>
      </c>
      <c r="Q156" s="281">
        <f t="shared" si="36"/>
        <v>0</v>
      </c>
      <c r="R156" s="281">
        <f t="shared" si="36"/>
        <v>0</v>
      </c>
      <c r="S156" s="281">
        <f t="shared" si="36"/>
        <v>0</v>
      </c>
      <c r="T156" s="279">
        <f t="shared" si="36"/>
        <v>972</v>
      </c>
      <c r="U156" s="278">
        <f t="shared" si="36"/>
        <v>10949</v>
      </c>
      <c r="V156" s="220">
        <f t="shared" si="36"/>
        <v>0</v>
      </c>
      <c r="W156" s="220">
        <f t="shared" si="36"/>
        <v>535</v>
      </c>
      <c r="X156" s="220">
        <f t="shared" si="36"/>
        <v>112</v>
      </c>
      <c r="Y156" s="280">
        <f t="shared" si="36"/>
        <v>0</v>
      </c>
      <c r="Z156" s="279">
        <f t="shared" si="36"/>
        <v>11596</v>
      </c>
      <c r="AA156" s="282">
        <f t="shared" si="36"/>
        <v>0</v>
      </c>
      <c r="AB156" s="282">
        <f t="shared" si="36"/>
        <v>274</v>
      </c>
      <c r="AC156" s="282">
        <f t="shared" si="36"/>
        <v>11870</v>
      </c>
      <c r="AD156" s="282">
        <f t="shared" si="36"/>
        <v>9402</v>
      </c>
      <c r="AE156" s="279">
        <f t="shared" si="36"/>
        <v>22244</v>
      </c>
      <c r="AF156" s="279">
        <f t="shared" si="36"/>
        <v>14957</v>
      </c>
      <c r="AG156" s="283">
        <f t="shared" si="36"/>
        <v>37201</v>
      </c>
      <c r="AH156" s="71">
        <f t="shared" si="8"/>
        <v>0</v>
      </c>
    </row>
    <row r="157" spans="1:34" x14ac:dyDescent="0.25">
      <c r="A157" s="71">
        <v>12</v>
      </c>
      <c r="B157" s="223" t="str">
        <f t="shared" ref="B157:AG157" si="37">B35</f>
        <v>FABRICATION DE MACHINES AGRICOLES</v>
      </c>
      <c r="C157" s="277" t="str">
        <f t="shared" si="37"/>
        <v xml:space="preserve">GE25 </v>
      </c>
      <c r="D157" s="278">
        <f t="shared" si="37"/>
        <v>4801</v>
      </c>
      <c r="E157" s="220">
        <f t="shared" si="37"/>
        <v>2378</v>
      </c>
      <c r="F157" s="220">
        <f t="shared" si="37"/>
        <v>0</v>
      </c>
      <c r="G157" s="220">
        <f t="shared" si="37"/>
        <v>0</v>
      </c>
      <c r="H157" s="279">
        <f t="shared" si="37"/>
        <v>7179</v>
      </c>
      <c r="I157" s="278">
        <f t="shared" si="37"/>
        <v>3892</v>
      </c>
      <c r="J157" s="220">
        <f t="shared" si="37"/>
        <v>57</v>
      </c>
      <c r="K157" s="220">
        <f t="shared" si="37"/>
        <v>147</v>
      </c>
      <c r="L157" s="220">
        <f t="shared" si="37"/>
        <v>146</v>
      </c>
      <c r="M157" s="280">
        <f t="shared" si="37"/>
        <v>0</v>
      </c>
      <c r="N157" s="279">
        <f t="shared" si="37"/>
        <v>11275</v>
      </c>
      <c r="O157" s="281">
        <f t="shared" si="37"/>
        <v>776</v>
      </c>
      <c r="P157" s="281">
        <f t="shared" si="37"/>
        <v>0</v>
      </c>
      <c r="Q157" s="281">
        <f t="shared" si="37"/>
        <v>0</v>
      </c>
      <c r="R157" s="281">
        <f t="shared" si="37"/>
        <v>0</v>
      </c>
      <c r="S157" s="281">
        <f t="shared" si="37"/>
        <v>0</v>
      </c>
      <c r="T157" s="279">
        <f t="shared" si="37"/>
        <v>776</v>
      </c>
      <c r="U157" s="278">
        <f t="shared" si="37"/>
        <v>4878</v>
      </c>
      <c r="V157" s="220">
        <f t="shared" si="37"/>
        <v>0</v>
      </c>
      <c r="W157" s="220">
        <f t="shared" si="37"/>
        <v>0</v>
      </c>
      <c r="X157" s="220">
        <f t="shared" si="37"/>
        <v>1</v>
      </c>
      <c r="Y157" s="280">
        <f t="shared" si="37"/>
        <v>0</v>
      </c>
      <c r="Z157" s="279">
        <f t="shared" si="37"/>
        <v>4879</v>
      </c>
      <c r="AA157" s="282">
        <f t="shared" si="37"/>
        <v>0</v>
      </c>
      <c r="AB157" s="282">
        <f t="shared" si="37"/>
        <v>16</v>
      </c>
      <c r="AC157" s="282">
        <f t="shared" si="37"/>
        <v>4895</v>
      </c>
      <c r="AD157" s="282">
        <f t="shared" si="37"/>
        <v>1970</v>
      </c>
      <c r="AE157" s="279">
        <f t="shared" si="37"/>
        <v>7641</v>
      </c>
      <c r="AF157" s="279">
        <f t="shared" si="37"/>
        <v>3634</v>
      </c>
      <c r="AG157" s="283">
        <f t="shared" si="37"/>
        <v>11275</v>
      </c>
      <c r="AH157" s="71">
        <f t="shared" si="8"/>
        <v>0</v>
      </c>
    </row>
    <row r="158" spans="1:34" x14ac:dyDescent="0.25">
      <c r="A158" s="71">
        <v>12</v>
      </c>
      <c r="B158" s="223" t="str">
        <f t="shared" ref="B158:AG158" si="38">B36</f>
        <v>FABRICATION DE MACHINES OUTILS</v>
      </c>
      <c r="C158" s="277" t="str">
        <f t="shared" si="38"/>
        <v xml:space="preserve">GE26 </v>
      </c>
      <c r="D158" s="278">
        <f t="shared" si="38"/>
        <v>2196</v>
      </c>
      <c r="E158" s="220">
        <f t="shared" si="38"/>
        <v>2893</v>
      </c>
      <c r="F158" s="220">
        <f t="shared" si="38"/>
        <v>0</v>
      </c>
      <c r="G158" s="220">
        <f t="shared" si="38"/>
        <v>0</v>
      </c>
      <c r="H158" s="279">
        <f t="shared" si="38"/>
        <v>5089</v>
      </c>
      <c r="I158" s="278">
        <f t="shared" si="38"/>
        <v>707</v>
      </c>
      <c r="J158" s="220">
        <f t="shared" si="38"/>
        <v>332</v>
      </c>
      <c r="K158" s="220">
        <f t="shared" si="38"/>
        <v>253</v>
      </c>
      <c r="L158" s="220">
        <f t="shared" si="38"/>
        <v>241</v>
      </c>
      <c r="M158" s="280">
        <f t="shared" si="38"/>
        <v>0</v>
      </c>
      <c r="N158" s="279">
        <f t="shared" si="38"/>
        <v>6381</v>
      </c>
      <c r="O158" s="281">
        <f t="shared" si="38"/>
        <v>985</v>
      </c>
      <c r="P158" s="281">
        <f t="shared" si="38"/>
        <v>0</v>
      </c>
      <c r="Q158" s="281">
        <f t="shared" si="38"/>
        <v>0</v>
      </c>
      <c r="R158" s="281">
        <f t="shared" si="38"/>
        <v>0</v>
      </c>
      <c r="S158" s="281">
        <f t="shared" si="38"/>
        <v>0</v>
      </c>
      <c r="T158" s="279">
        <f t="shared" si="38"/>
        <v>985</v>
      </c>
      <c r="U158" s="278">
        <f t="shared" si="38"/>
        <v>2168</v>
      </c>
      <c r="V158" s="220">
        <f t="shared" si="38"/>
        <v>0</v>
      </c>
      <c r="W158" s="220">
        <f t="shared" si="38"/>
        <v>0</v>
      </c>
      <c r="X158" s="220">
        <f t="shared" si="38"/>
        <v>10</v>
      </c>
      <c r="Y158" s="280">
        <f t="shared" si="38"/>
        <v>299</v>
      </c>
      <c r="Z158" s="279">
        <f t="shared" si="38"/>
        <v>2477</v>
      </c>
      <c r="AA158" s="282">
        <f t="shared" si="38"/>
        <v>0</v>
      </c>
      <c r="AB158" s="282">
        <f t="shared" si="38"/>
        <v>14</v>
      </c>
      <c r="AC158" s="282">
        <f t="shared" si="38"/>
        <v>2491</v>
      </c>
      <c r="AD158" s="282">
        <f t="shared" si="38"/>
        <v>1671</v>
      </c>
      <c r="AE158" s="279">
        <f t="shared" si="38"/>
        <v>5147</v>
      </c>
      <c r="AF158" s="279">
        <f t="shared" si="38"/>
        <v>1234</v>
      </c>
      <c r="AG158" s="283">
        <f t="shared" si="38"/>
        <v>6381</v>
      </c>
      <c r="AH158" s="71">
        <f t="shared" si="8"/>
        <v>0</v>
      </c>
    </row>
    <row r="159" spans="1:34" x14ac:dyDescent="0.25">
      <c r="A159" s="71">
        <v>12</v>
      </c>
      <c r="B159" s="223" t="str">
        <f t="shared" ref="B159:AG159" si="39">B37</f>
        <v>FABRICATION D AUTRES MACHINES A USAGE SP</v>
      </c>
      <c r="C159" s="277" t="str">
        <f t="shared" si="39"/>
        <v xml:space="preserve">GE27 </v>
      </c>
      <c r="D159" s="278">
        <f t="shared" si="39"/>
        <v>12418</v>
      </c>
      <c r="E159" s="220">
        <f t="shared" si="39"/>
        <v>6881</v>
      </c>
      <c r="F159" s="220">
        <f t="shared" si="39"/>
        <v>0</v>
      </c>
      <c r="G159" s="220">
        <f t="shared" si="39"/>
        <v>0</v>
      </c>
      <c r="H159" s="279">
        <f t="shared" si="39"/>
        <v>19299</v>
      </c>
      <c r="I159" s="278">
        <f t="shared" si="39"/>
        <v>1151</v>
      </c>
      <c r="J159" s="220">
        <f t="shared" si="39"/>
        <v>74</v>
      </c>
      <c r="K159" s="220">
        <f t="shared" si="39"/>
        <v>139</v>
      </c>
      <c r="L159" s="220">
        <f t="shared" si="39"/>
        <v>122</v>
      </c>
      <c r="M159" s="280">
        <f t="shared" si="39"/>
        <v>0</v>
      </c>
      <c r="N159" s="279">
        <f t="shared" si="39"/>
        <v>20663</v>
      </c>
      <c r="O159" s="281">
        <f t="shared" si="39"/>
        <v>37</v>
      </c>
      <c r="P159" s="281">
        <f t="shared" si="39"/>
        <v>0</v>
      </c>
      <c r="Q159" s="281">
        <f t="shared" si="39"/>
        <v>0</v>
      </c>
      <c r="R159" s="281">
        <f t="shared" si="39"/>
        <v>0</v>
      </c>
      <c r="S159" s="281">
        <f t="shared" si="39"/>
        <v>0</v>
      </c>
      <c r="T159" s="279">
        <f t="shared" si="39"/>
        <v>37</v>
      </c>
      <c r="U159" s="278">
        <f t="shared" si="39"/>
        <v>6606</v>
      </c>
      <c r="V159" s="220">
        <f t="shared" si="39"/>
        <v>0</v>
      </c>
      <c r="W159" s="220">
        <f t="shared" si="39"/>
        <v>0</v>
      </c>
      <c r="X159" s="220">
        <f t="shared" si="39"/>
        <v>256</v>
      </c>
      <c r="Y159" s="280">
        <f t="shared" si="39"/>
        <v>0</v>
      </c>
      <c r="Z159" s="279">
        <f t="shared" si="39"/>
        <v>6862</v>
      </c>
      <c r="AA159" s="282">
        <f t="shared" si="39"/>
        <v>0</v>
      </c>
      <c r="AB159" s="282">
        <f t="shared" si="39"/>
        <v>46</v>
      </c>
      <c r="AC159" s="282">
        <f t="shared" si="39"/>
        <v>6908</v>
      </c>
      <c r="AD159" s="282">
        <f t="shared" si="39"/>
        <v>8824</v>
      </c>
      <c r="AE159" s="279">
        <f t="shared" si="39"/>
        <v>15769</v>
      </c>
      <c r="AF159" s="279">
        <f t="shared" si="39"/>
        <v>4894</v>
      </c>
      <c r="AG159" s="283">
        <f t="shared" si="39"/>
        <v>20663</v>
      </c>
      <c r="AH159" s="71">
        <f t="shared" si="8"/>
        <v>0</v>
      </c>
    </row>
    <row r="160" spans="1:34" x14ac:dyDescent="0.25">
      <c r="A160" s="71">
        <v>12</v>
      </c>
      <c r="B160" s="223" t="str">
        <f t="shared" ref="B160:AG160" si="40">B38</f>
        <v>FABRICATION D ARMES ET MUNITIONS</v>
      </c>
      <c r="C160" s="277" t="str">
        <f t="shared" si="40"/>
        <v xml:space="preserve">GE28 </v>
      </c>
      <c r="D160" s="278">
        <f t="shared" si="40"/>
        <v>4353</v>
      </c>
      <c r="E160" s="220">
        <f t="shared" si="40"/>
        <v>341</v>
      </c>
      <c r="F160" s="220">
        <f t="shared" si="40"/>
        <v>0</v>
      </c>
      <c r="G160" s="220">
        <f t="shared" si="40"/>
        <v>0</v>
      </c>
      <c r="H160" s="279">
        <f t="shared" si="40"/>
        <v>4694</v>
      </c>
      <c r="I160" s="278">
        <f t="shared" si="40"/>
        <v>10</v>
      </c>
      <c r="J160" s="220">
        <f t="shared" si="40"/>
        <v>2</v>
      </c>
      <c r="K160" s="220">
        <f t="shared" si="40"/>
        <v>458</v>
      </c>
      <c r="L160" s="220">
        <f t="shared" si="40"/>
        <v>457</v>
      </c>
      <c r="M160" s="280">
        <f t="shared" si="40"/>
        <v>0</v>
      </c>
      <c r="N160" s="279">
        <f t="shared" si="40"/>
        <v>5164</v>
      </c>
      <c r="O160" s="281">
        <f t="shared" si="40"/>
        <v>305</v>
      </c>
      <c r="P160" s="281">
        <f t="shared" si="40"/>
        <v>0</v>
      </c>
      <c r="Q160" s="281">
        <f t="shared" si="40"/>
        <v>0</v>
      </c>
      <c r="R160" s="281">
        <f t="shared" si="40"/>
        <v>0</v>
      </c>
      <c r="S160" s="281">
        <f t="shared" si="40"/>
        <v>0</v>
      </c>
      <c r="T160" s="279">
        <f t="shared" si="40"/>
        <v>305</v>
      </c>
      <c r="U160" s="278">
        <f t="shared" si="40"/>
        <v>64</v>
      </c>
      <c r="V160" s="220">
        <f t="shared" si="40"/>
        <v>0</v>
      </c>
      <c r="W160" s="220">
        <f t="shared" si="40"/>
        <v>0</v>
      </c>
      <c r="X160" s="220">
        <f t="shared" si="40"/>
        <v>79</v>
      </c>
      <c r="Y160" s="280">
        <f t="shared" si="40"/>
        <v>0</v>
      </c>
      <c r="Z160" s="279">
        <f t="shared" si="40"/>
        <v>143</v>
      </c>
      <c r="AA160" s="282">
        <f t="shared" si="40"/>
        <v>0</v>
      </c>
      <c r="AB160" s="282">
        <f t="shared" si="40"/>
        <v>-196</v>
      </c>
      <c r="AC160" s="282">
        <f t="shared" si="40"/>
        <v>-53</v>
      </c>
      <c r="AD160" s="282">
        <f t="shared" si="40"/>
        <v>1275</v>
      </c>
      <c r="AE160" s="279">
        <f t="shared" si="40"/>
        <v>1527</v>
      </c>
      <c r="AF160" s="279">
        <f t="shared" si="40"/>
        <v>3637</v>
      </c>
      <c r="AG160" s="283">
        <f t="shared" si="40"/>
        <v>5164</v>
      </c>
      <c r="AH160" s="71">
        <f t="shared" si="8"/>
        <v>0</v>
      </c>
    </row>
    <row r="161" spans="1:34" x14ac:dyDescent="0.25">
      <c r="A161" s="71">
        <v>12</v>
      </c>
      <c r="B161" s="223" t="str">
        <f t="shared" ref="B161:AG161" si="41">B39</f>
        <v>FABRICATION DE MACHINES DE BUREAU ET MAT</v>
      </c>
      <c r="C161" s="277" t="str">
        <f t="shared" si="41"/>
        <v xml:space="preserve">GE31 </v>
      </c>
      <c r="D161" s="278">
        <f t="shared" si="41"/>
        <v>2391</v>
      </c>
      <c r="E161" s="220">
        <f t="shared" si="41"/>
        <v>15043</v>
      </c>
      <c r="F161" s="220">
        <f t="shared" si="41"/>
        <v>0</v>
      </c>
      <c r="G161" s="220">
        <f t="shared" si="41"/>
        <v>0</v>
      </c>
      <c r="H161" s="279">
        <f t="shared" si="41"/>
        <v>17434</v>
      </c>
      <c r="I161" s="278">
        <f t="shared" si="41"/>
        <v>8646</v>
      </c>
      <c r="J161" s="220">
        <f t="shared" si="41"/>
        <v>309</v>
      </c>
      <c r="K161" s="220">
        <f t="shared" si="41"/>
        <v>1840</v>
      </c>
      <c r="L161" s="220">
        <f t="shared" si="41"/>
        <v>1808</v>
      </c>
      <c r="M161" s="280">
        <f t="shared" si="41"/>
        <v>0</v>
      </c>
      <c r="N161" s="279">
        <f t="shared" si="41"/>
        <v>28229</v>
      </c>
      <c r="O161" s="281">
        <f t="shared" si="41"/>
        <v>6242</v>
      </c>
      <c r="P161" s="281">
        <f t="shared" si="41"/>
        <v>0</v>
      </c>
      <c r="Q161" s="281">
        <f t="shared" si="41"/>
        <v>0</v>
      </c>
      <c r="R161" s="281">
        <f t="shared" si="41"/>
        <v>0</v>
      </c>
      <c r="S161" s="281">
        <f t="shared" si="41"/>
        <v>0</v>
      </c>
      <c r="T161" s="279">
        <f t="shared" si="41"/>
        <v>6242</v>
      </c>
      <c r="U161" s="278">
        <f t="shared" si="41"/>
        <v>4193</v>
      </c>
      <c r="V161" s="220">
        <f t="shared" si="41"/>
        <v>0</v>
      </c>
      <c r="W161" s="220">
        <f t="shared" si="41"/>
        <v>2338</v>
      </c>
      <c r="X161" s="220">
        <f t="shared" si="41"/>
        <v>1953</v>
      </c>
      <c r="Y161" s="280">
        <f t="shared" si="41"/>
        <v>179</v>
      </c>
      <c r="Z161" s="279">
        <f t="shared" si="41"/>
        <v>8663</v>
      </c>
      <c r="AA161" s="282">
        <f t="shared" si="41"/>
        <v>0</v>
      </c>
      <c r="AB161" s="282">
        <f t="shared" si="41"/>
        <v>-265</v>
      </c>
      <c r="AC161" s="282">
        <f t="shared" si="41"/>
        <v>8398</v>
      </c>
      <c r="AD161" s="282">
        <f t="shared" si="41"/>
        <v>6542</v>
      </c>
      <c r="AE161" s="279">
        <f t="shared" si="41"/>
        <v>21182</v>
      </c>
      <c r="AF161" s="279">
        <f t="shared" si="41"/>
        <v>7047</v>
      </c>
      <c r="AG161" s="283">
        <f t="shared" si="41"/>
        <v>28229</v>
      </c>
      <c r="AH161" s="71">
        <f t="shared" si="8"/>
        <v>0</v>
      </c>
    </row>
    <row r="162" spans="1:34" x14ac:dyDescent="0.25">
      <c r="A162" s="71">
        <v>12</v>
      </c>
      <c r="B162" s="223" t="str">
        <f t="shared" ref="B162:AG162" si="42">B40</f>
        <v xml:space="preserve">FABRICATION DE MOTEURS  GENERATRICES ET </v>
      </c>
      <c r="C162" s="277" t="str">
        <f t="shared" si="42"/>
        <v xml:space="preserve">GE32 </v>
      </c>
      <c r="D162" s="278">
        <f t="shared" si="42"/>
        <v>6272</v>
      </c>
      <c r="E162" s="220">
        <f t="shared" si="42"/>
        <v>3121</v>
      </c>
      <c r="F162" s="220">
        <f t="shared" si="42"/>
        <v>0</v>
      </c>
      <c r="G162" s="220">
        <f t="shared" si="42"/>
        <v>0</v>
      </c>
      <c r="H162" s="279">
        <f t="shared" si="42"/>
        <v>9393</v>
      </c>
      <c r="I162" s="278">
        <f t="shared" si="42"/>
        <v>1120</v>
      </c>
      <c r="J162" s="220">
        <f t="shared" si="42"/>
        <v>199</v>
      </c>
      <c r="K162" s="220">
        <f t="shared" si="42"/>
        <v>41</v>
      </c>
      <c r="L162" s="220">
        <f t="shared" si="42"/>
        <v>25</v>
      </c>
      <c r="M162" s="280">
        <f t="shared" si="42"/>
        <v>0</v>
      </c>
      <c r="N162" s="279">
        <f t="shared" si="42"/>
        <v>10753</v>
      </c>
      <c r="O162" s="281">
        <f t="shared" si="42"/>
        <v>0</v>
      </c>
      <c r="P162" s="281">
        <f t="shared" si="42"/>
        <v>0</v>
      </c>
      <c r="Q162" s="281">
        <f t="shared" si="42"/>
        <v>0</v>
      </c>
      <c r="R162" s="281">
        <f t="shared" si="42"/>
        <v>0</v>
      </c>
      <c r="S162" s="281">
        <f t="shared" si="42"/>
        <v>0</v>
      </c>
      <c r="T162" s="279">
        <f t="shared" si="42"/>
        <v>0</v>
      </c>
      <c r="U162" s="278">
        <f t="shared" si="42"/>
        <v>1684</v>
      </c>
      <c r="V162" s="220">
        <f t="shared" si="42"/>
        <v>0</v>
      </c>
      <c r="W162" s="220">
        <f t="shared" si="42"/>
        <v>15</v>
      </c>
      <c r="X162" s="220">
        <f t="shared" si="42"/>
        <v>6</v>
      </c>
      <c r="Y162" s="280">
        <f t="shared" si="42"/>
        <v>0</v>
      </c>
      <c r="Z162" s="279">
        <f t="shared" si="42"/>
        <v>1705</v>
      </c>
      <c r="AA162" s="282">
        <f t="shared" si="42"/>
        <v>0</v>
      </c>
      <c r="AB162" s="282">
        <f t="shared" si="42"/>
        <v>21</v>
      </c>
      <c r="AC162" s="282">
        <f t="shared" si="42"/>
        <v>1726</v>
      </c>
      <c r="AD162" s="282">
        <f t="shared" si="42"/>
        <v>3499</v>
      </c>
      <c r="AE162" s="279">
        <f t="shared" si="42"/>
        <v>5225</v>
      </c>
      <c r="AF162" s="279">
        <f t="shared" si="42"/>
        <v>5528</v>
      </c>
      <c r="AG162" s="283">
        <f t="shared" si="42"/>
        <v>10753</v>
      </c>
      <c r="AH162" s="71">
        <f t="shared" si="8"/>
        <v>0</v>
      </c>
    </row>
    <row r="163" spans="1:34" x14ac:dyDescent="0.25">
      <c r="A163" s="71">
        <v>12</v>
      </c>
      <c r="B163" s="223" t="str">
        <f t="shared" ref="B163:AG163" si="43">B41</f>
        <v>FABRICATION D APPAREILS D EMISSION ET DE</v>
      </c>
      <c r="C163" s="277" t="str">
        <f t="shared" si="43"/>
        <v xml:space="preserve">GE33 </v>
      </c>
      <c r="D163" s="278">
        <f t="shared" si="43"/>
        <v>9673</v>
      </c>
      <c r="E163" s="220">
        <f t="shared" si="43"/>
        <v>8526</v>
      </c>
      <c r="F163" s="220">
        <f t="shared" si="43"/>
        <v>0</v>
      </c>
      <c r="G163" s="220">
        <f t="shared" si="43"/>
        <v>0</v>
      </c>
      <c r="H163" s="279">
        <f t="shared" si="43"/>
        <v>18199</v>
      </c>
      <c r="I163" s="278">
        <f t="shared" si="43"/>
        <v>3332</v>
      </c>
      <c r="J163" s="220">
        <f t="shared" si="43"/>
        <v>570</v>
      </c>
      <c r="K163" s="220">
        <f t="shared" si="43"/>
        <v>513</v>
      </c>
      <c r="L163" s="220">
        <f t="shared" si="43"/>
        <v>481</v>
      </c>
      <c r="M163" s="280">
        <f t="shared" si="43"/>
        <v>0</v>
      </c>
      <c r="N163" s="279">
        <f t="shared" si="43"/>
        <v>22614</v>
      </c>
      <c r="O163" s="281">
        <f t="shared" si="43"/>
        <v>1794</v>
      </c>
      <c r="P163" s="281">
        <f t="shared" si="43"/>
        <v>0</v>
      </c>
      <c r="Q163" s="281">
        <f t="shared" si="43"/>
        <v>0</v>
      </c>
      <c r="R163" s="281">
        <f t="shared" si="43"/>
        <v>0</v>
      </c>
      <c r="S163" s="281">
        <f t="shared" si="43"/>
        <v>0</v>
      </c>
      <c r="T163" s="279">
        <f t="shared" si="43"/>
        <v>1794</v>
      </c>
      <c r="U163" s="278">
        <f t="shared" si="43"/>
        <v>5822</v>
      </c>
      <c r="V163" s="220">
        <f t="shared" si="43"/>
        <v>0</v>
      </c>
      <c r="W163" s="220">
        <f t="shared" si="43"/>
        <v>185</v>
      </c>
      <c r="X163" s="220">
        <f t="shared" si="43"/>
        <v>261</v>
      </c>
      <c r="Y163" s="280">
        <f t="shared" si="43"/>
        <v>0</v>
      </c>
      <c r="Z163" s="279">
        <f t="shared" si="43"/>
        <v>6268</v>
      </c>
      <c r="AA163" s="282">
        <f t="shared" si="43"/>
        <v>0</v>
      </c>
      <c r="AB163" s="282">
        <f t="shared" si="43"/>
        <v>261</v>
      </c>
      <c r="AC163" s="282">
        <f t="shared" si="43"/>
        <v>6529</v>
      </c>
      <c r="AD163" s="282">
        <f t="shared" si="43"/>
        <v>7703</v>
      </c>
      <c r="AE163" s="279">
        <f t="shared" si="43"/>
        <v>16026</v>
      </c>
      <c r="AF163" s="279">
        <f t="shared" si="43"/>
        <v>6588</v>
      </c>
      <c r="AG163" s="283">
        <f t="shared" si="43"/>
        <v>22614</v>
      </c>
      <c r="AH163" s="71">
        <f t="shared" si="8"/>
        <v>0</v>
      </c>
    </row>
    <row r="164" spans="1:34" x14ac:dyDescent="0.25">
      <c r="A164" s="71">
        <v>12</v>
      </c>
      <c r="B164" s="223" t="str">
        <f t="shared" ref="B164:AG164" si="44">B42</f>
        <v>FABRICATION DE MATERIEL MEDICO_CHIRURGIC</v>
      </c>
      <c r="C164" s="277" t="str">
        <f t="shared" si="44"/>
        <v xml:space="preserve">GE34 </v>
      </c>
      <c r="D164" s="278">
        <f t="shared" si="44"/>
        <v>5854</v>
      </c>
      <c r="E164" s="220">
        <f t="shared" si="44"/>
        <v>5768</v>
      </c>
      <c r="F164" s="220">
        <f t="shared" si="44"/>
        <v>0</v>
      </c>
      <c r="G164" s="220">
        <f t="shared" si="44"/>
        <v>0</v>
      </c>
      <c r="H164" s="279">
        <f t="shared" si="44"/>
        <v>11622</v>
      </c>
      <c r="I164" s="278">
        <f t="shared" si="44"/>
        <v>3662</v>
      </c>
      <c r="J164" s="220">
        <f t="shared" si="44"/>
        <v>255</v>
      </c>
      <c r="K164" s="220">
        <f t="shared" si="44"/>
        <v>1065</v>
      </c>
      <c r="L164" s="220">
        <f t="shared" si="44"/>
        <v>1057</v>
      </c>
      <c r="M164" s="280">
        <f t="shared" si="44"/>
        <v>0</v>
      </c>
      <c r="N164" s="279">
        <f t="shared" si="44"/>
        <v>16604</v>
      </c>
      <c r="O164" s="281">
        <f t="shared" si="44"/>
        <v>681</v>
      </c>
      <c r="P164" s="281">
        <f t="shared" si="44"/>
        <v>0</v>
      </c>
      <c r="Q164" s="281">
        <f t="shared" si="44"/>
        <v>3975</v>
      </c>
      <c r="R164" s="281">
        <f t="shared" si="44"/>
        <v>3975</v>
      </c>
      <c r="S164" s="281">
        <f t="shared" si="44"/>
        <v>0</v>
      </c>
      <c r="T164" s="279">
        <f t="shared" si="44"/>
        <v>4656</v>
      </c>
      <c r="U164" s="278">
        <f t="shared" si="44"/>
        <v>1334</v>
      </c>
      <c r="V164" s="220">
        <f t="shared" si="44"/>
        <v>0</v>
      </c>
      <c r="W164" s="220">
        <f t="shared" si="44"/>
        <v>0</v>
      </c>
      <c r="X164" s="220">
        <f t="shared" si="44"/>
        <v>876</v>
      </c>
      <c r="Y164" s="280">
        <f t="shared" si="44"/>
        <v>0</v>
      </c>
      <c r="Z164" s="279">
        <f t="shared" si="44"/>
        <v>2210</v>
      </c>
      <c r="AA164" s="282">
        <f t="shared" si="44"/>
        <v>0</v>
      </c>
      <c r="AB164" s="282">
        <f t="shared" si="44"/>
        <v>36</v>
      </c>
      <c r="AC164" s="282">
        <f t="shared" si="44"/>
        <v>2246</v>
      </c>
      <c r="AD164" s="282">
        <f t="shared" si="44"/>
        <v>5301</v>
      </c>
      <c r="AE164" s="279">
        <f t="shared" si="44"/>
        <v>12203</v>
      </c>
      <c r="AF164" s="279">
        <f t="shared" si="44"/>
        <v>4401</v>
      </c>
      <c r="AG164" s="283">
        <f t="shared" si="44"/>
        <v>16604</v>
      </c>
      <c r="AH164" s="71">
        <f t="shared" si="8"/>
        <v>0</v>
      </c>
    </row>
    <row r="165" spans="1:34" x14ac:dyDescent="0.25">
      <c r="A165" s="71">
        <v>12</v>
      </c>
      <c r="B165" s="223" t="str">
        <f t="shared" ref="B165:AG165" si="45">B43</f>
        <v xml:space="preserve">FABRICATION DE MATERIEL DE MESURE ET DE </v>
      </c>
      <c r="C165" s="277" t="str">
        <f t="shared" si="45"/>
        <v xml:space="preserve">GE35 </v>
      </c>
      <c r="D165" s="278">
        <f t="shared" si="45"/>
        <v>12612</v>
      </c>
      <c r="E165" s="220">
        <f t="shared" si="45"/>
        <v>5587</v>
      </c>
      <c r="F165" s="220">
        <f t="shared" si="45"/>
        <v>0</v>
      </c>
      <c r="G165" s="220">
        <f t="shared" si="45"/>
        <v>0</v>
      </c>
      <c r="H165" s="279">
        <f t="shared" si="45"/>
        <v>18199</v>
      </c>
      <c r="I165" s="278">
        <f t="shared" si="45"/>
        <v>1449</v>
      </c>
      <c r="J165" s="220">
        <f t="shared" si="45"/>
        <v>384</v>
      </c>
      <c r="K165" s="220">
        <f t="shared" si="45"/>
        <v>164</v>
      </c>
      <c r="L165" s="220">
        <f t="shared" si="45"/>
        <v>146</v>
      </c>
      <c r="M165" s="280">
        <f t="shared" si="45"/>
        <v>0</v>
      </c>
      <c r="N165" s="279">
        <f t="shared" si="45"/>
        <v>20196</v>
      </c>
      <c r="O165" s="281">
        <f t="shared" si="45"/>
        <v>485</v>
      </c>
      <c r="P165" s="281">
        <f t="shared" si="45"/>
        <v>0</v>
      </c>
      <c r="Q165" s="281">
        <f t="shared" si="45"/>
        <v>0</v>
      </c>
      <c r="R165" s="281">
        <f t="shared" si="45"/>
        <v>0</v>
      </c>
      <c r="S165" s="281">
        <f t="shared" si="45"/>
        <v>0</v>
      </c>
      <c r="T165" s="279">
        <f t="shared" si="45"/>
        <v>485</v>
      </c>
      <c r="U165" s="278">
        <f t="shared" si="45"/>
        <v>1274</v>
      </c>
      <c r="V165" s="220">
        <f t="shared" si="45"/>
        <v>0</v>
      </c>
      <c r="W165" s="220">
        <f t="shared" si="45"/>
        <v>0</v>
      </c>
      <c r="X165" s="220">
        <f t="shared" si="45"/>
        <v>367</v>
      </c>
      <c r="Y165" s="280">
        <f t="shared" si="45"/>
        <v>0</v>
      </c>
      <c r="Z165" s="279">
        <f t="shared" si="45"/>
        <v>1641</v>
      </c>
      <c r="AA165" s="282">
        <f t="shared" si="45"/>
        <v>0</v>
      </c>
      <c r="AB165" s="282">
        <f t="shared" si="45"/>
        <v>-269</v>
      </c>
      <c r="AC165" s="282">
        <f t="shared" si="45"/>
        <v>1372</v>
      </c>
      <c r="AD165" s="282">
        <f t="shared" si="45"/>
        <v>5838</v>
      </c>
      <c r="AE165" s="279">
        <f t="shared" si="45"/>
        <v>7695</v>
      </c>
      <c r="AF165" s="279">
        <f t="shared" si="45"/>
        <v>12501</v>
      </c>
      <c r="AG165" s="283">
        <f t="shared" si="45"/>
        <v>20196</v>
      </c>
      <c r="AH165" s="71">
        <f t="shared" si="8"/>
        <v>0</v>
      </c>
    </row>
    <row r="166" spans="1:34" x14ac:dyDescent="0.25">
      <c r="A166" s="71">
        <v>12</v>
      </c>
      <c r="B166" s="223" t="str">
        <f t="shared" ref="B166:AG166" si="46">B44</f>
        <v>EXTRACTION DE MINERAIS METALLIQUES</v>
      </c>
      <c r="C166" s="277" t="str">
        <f t="shared" si="46"/>
        <v xml:space="preserve">GF11 </v>
      </c>
      <c r="D166" s="278">
        <f t="shared" si="46"/>
        <v>31</v>
      </c>
      <c r="E166" s="220">
        <f t="shared" si="46"/>
        <v>1328</v>
      </c>
      <c r="F166" s="220">
        <f t="shared" si="46"/>
        <v>0</v>
      </c>
      <c r="G166" s="220">
        <f t="shared" si="46"/>
        <v>0</v>
      </c>
      <c r="H166" s="279">
        <f t="shared" si="46"/>
        <v>1359</v>
      </c>
      <c r="I166" s="278">
        <f t="shared" si="46"/>
        <v>750</v>
      </c>
      <c r="J166" s="220">
        <f t="shared" si="46"/>
        <v>59</v>
      </c>
      <c r="K166" s="220">
        <f t="shared" si="46"/>
        <v>1</v>
      </c>
      <c r="L166" s="220">
        <f t="shared" si="46"/>
        <v>0</v>
      </c>
      <c r="M166" s="280">
        <f t="shared" si="46"/>
        <v>0</v>
      </c>
      <c r="N166" s="279">
        <f t="shared" si="46"/>
        <v>2169</v>
      </c>
      <c r="O166" s="281">
        <f t="shared" si="46"/>
        <v>0</v>
      </c>
      <c r="P166" s="281">
        <f t="shared" si="46"/>
        <v>0</v>
      </c>
      <c r="Q166" s="281">
        <f t="shared" si="46"/>
        <v>0</v>
      </c>
      <c r="R166" s="281">
        <f t="shared" si="46"/>
        <v>0</v>
      </c>
      <c r="S166" s="281">
        <f t="shared" si="46"/>
        <v>0</v>
      </c>
      <c r="T166" s="279">
        <f t="shared" si="46"/>
        <v>0</v>
      </c>
      <c r="U166" s="278">
        <f t="shared" si="46"/>
        <v>0</v>
      </c>
      <c r="V166" s="220">
        <f t="shared" si="46"/>
        <v>0</v>
      </c>
      <c r="W166" s="220">
        <f t="shared" si="46"/>
        <v>0</v>
      </c>
      <c r="X166" s="220">
        <f t="shared" si="46"/>
        <v>0</v>
      </c>
      <c r="Y166" s="280">
        <f t="shared" si="46"/>
        <v>0</v>
      </c>
      <c r="Z166" s="279">
        <f t="shared" si="46"/>
        <v>0</v>
      </c>
      <c r="AA166" s="282">
        <f t="shared" si="46"/>
        <v>0</v>
      </c>
      <c r="AB166" s="282">
        <f t="shared" si="46"/>
        <v>30</v>
      </c>
      <c r="AC166" s="282">
        <f t="shared" si="46"/>
        <v>30</v>
      </c>
      <c r="AD166" s="282">
        <f t="shared" si="46"/>
        <v>86</v>
      </c>
      <c r="AE166" s="279">
        <f t="shared" si="46"/>
        <v>116</v>
      </c>
      <c r="AF166" s="279">
        <f t="shared" si="46"/>
        <v>2053</v>
      </c>
      <c r="AG166" s="283">
        <f t="shared" si="46"/>
        <v>2169</v>
      </c>
      <c r="AH166" s="71">
        <f t="shared" si="8"/>
        <v>0</v>
      </c>
    </row>
    <row r="167" spans="1:34" x14ac:dyDescent="0.25">
      <c r="A167" s="71">
        <v>12</v>
      </c>
      <c r="B167" s="223" t="str">
        <f t="shared" ref="B167:AG167" si="47">B45</f>
        <v>AUTRES INDUSTRIES EXTRACTIVES</v>
      </c>
      <c r="C167" s="277" t="str">
        <f t="shared" si="47"/>
        <v xml:space="preserve">GF12 </v>
      </c>
      <c r="D167" s="278">
        <f t="shared" si="47"/>
        <v>5494</v>
      </c>
      <c r="E167" s="220">
        <f t="shared" si="47"/>
        <v>674</v>
      </c>
      <c r="F167" s="220">
        <f t="shared" si="47"/>
        <v>0</v>
      </c>
      <c r="G167" s="220">
        <f t="shared" si="47"/>
        <v>0</v>
      </c>
      <c r="H167" s="279">
        <f t="shared" si="47"/>
        <v>6168</v>
      </c>
      <c r="I167" s="278">
        <f t="shared" si="47"/>
        <v>278</v>
      </c>
      <c r="J167" s="220">
        <f t="shared" si="47"/>
        <v>1183</v>
      </c>
      <c r="K167" s="220">
        <f t="shared" si="47"/>
        <v>44</v>
      </c>
      <c r="L167" s="220">
        <f t="shared" si="47"/>
        <v>19</v>
      </c>
      <c r="M167" s="280">
        <f t="shared" si="47"/>
        <v>0</v>
      </c>
      <c r="N167" s="279">
        <f t="shared" si="47"/>
        <v>7673</v>
      </c>
      <c r="O167" s="281">
        <f t="shared" si="47"/>
        <v>201</v>
      </c>
      <c r="P167" s="281">
        <f t="shared" si="47"/>
        <v>0</v>
      </c>
      <c r="Q167" s="281">
        <f t="shared" si="47"/>
        <v>0</v>
      </c>
      <c r="R167" s="281">
        <f t="shared" si="47"/>
        <v>0</v>
      </c>
      <c r="S167" s="281">
        <f t="shared" si="47"/>
        <v>0</v>
      </c>
      <c r="T167" s="279">
        <f t="shared" si="47"/>
        <v>201</v>
      </c>
      <c r="U167" s="281">
        <f t="shared" si="47"/>
        <v>0</v>
      </c>
      <c r="V167" s="281">
        <f t="shared" si="47"/>
        <v>0</v>
      </c>
      <c r="W167" s="281">
        <f t="shared" si="47"/>
        <v>0</v>
      </c>
      <c r="X167" s="281">
        <f t="shared" si="47"/>
        <v>0</v>
      </c>
      <c r="Y167" s="281">
        <f t="shared" si="47"/>
        <v>0</v>
      </c>
      <c r="Z167" s="279">
        <f t="shared" si="47"/>
        <v>0</v>
      </c>
      <c r="AA167" s="282">
        <f t="shared" si="47"/>
        <v>0</v>
      </c>
      <c r="AB167" s="282">
        <f t="shared" si="47"/>
        <v>0</v>
      </c>
      <c r="AC167" s="282">
        <f t="shared" si="47"/>
        <v>0</v>
      </c>
      <c r="AD167" s="282">
        <f t="shared" si="47"/>
        <v>541</v>
      </c>
      <c r="AE167" s="279">
        <f t="shared" si="47"/>
        <v>742</v>
      </c>
      <c r="AF167" s="279">
        <f t="shared" si="47"/>
        <v>6931</v>
      </c>
      <c r="AG167" s="283">
        <f t="shared" si="47"/>
        <v>7673</v>
      </c>
      <c r="AH167" s="71">
        <f t="shared" si="8"/>
        <v>0</v>
      </c>
    </row>
    <row r="168" spans="1:34" s="302" customFormat="1" x14ac:dyDescent="0.25">
      <c r="A168" s="303">
        <v>4</v>
      </c>
      <c r="B168" s="294" t="str">
        <f t="shared" ref="B168:AG168" si="48">B46</f>
        <v>FABRICATION DE VERRE ET D ARTICLES EN VE</v>
      </c>
      <c r="C168" s="295" t="str">
        <f t="shared" si="48"/>
        <v xml:space="preserve">GF13 </v>
      </c>
      <c r="D168" s="296">
        <f t="shared" si="48"/>
        <v>6754</v>
      </c>
      <c r="E168" s="297">
        <f t="shared" si="48"/>
        <v>2399</v>
      </c>
      <c r="F168" s="297">
        <f t="shared" si="48"/>
        <v>0</v>
      </c>
      <c r="G168" s="297">
        <f t="shared" si="48"/>
        <v>0</v>
      </c>
      <c r="H168" s="298">
        <f t="shared" si="48"/>
        <v>9153</v>
      </c>
      <c r="I168" s="296">
        <f t="shared" si="48"/>
        <v>477</v>
      </c>
      <c r="J168" s="297">
        <f t="shared" si="48"/>
        <v>488</v>
      </c>
      <c r="K168" s="297">
        <f t="shared" si="48"/>
        <v>329</v>
      </c>
      <c r="L168" s="297">
        <f t="shared" si="48"/>
        <v>323</v>
      </c>
      <c r="M168" s="299">
        <f t="shared" si="48"/>
        <v>0</v>
      </c>
      <c r="N168" s="298">
        <f t="shared" si="48"/>
        <v>10447</v>
      </c>
      <c r="O168" s="300">
        <f t="shared" si="48"/>
        <v>1878</v>
      </c>
      <c r="P168" s="300">
        <f t="shared" si="48"/>
        <v>0</v>
      </c>
      <c r="Q168" s="300">
        <f t="shared" si="48"/>
        <v>0</v>
      </c>
      <c r="R168" s="300">
        <f t="shared" si="48"/>
        <v>0</v>
      </c>
      <c r="S168" s="300">
        <f t="shared" si="48"/>
        <v>0</v>
      </c>
      <c r="T168" s="298">
        <f t="shared" si="48"/>
        <v>1878</v>
      </c>
      <c r="U168" s="300">
        <f t="shared" si="48"/>
        <v>0</v>
      </c>
      <c r="V168" s="300">
        <f t="shared" si="48"/>
        <v>0</v>
      </c>
      <c r="W168" s="300">
        <f t="shared" si="48"/>
        <v>0</v>
      </c>
      <c r="X168" s="300">
        <f t="shared" si="48"/>
        <v>0</v>
      </c>
      <c r="Y168" s="300">
        <f t="shared" si="48"/>
        <v>0</v>
      </c>
      <c r="Z168" s="298">
        <f t="shared" si="48"/>
        <v>0</v>
      </c>
      <c r="AA168" s="301">
        <f t="shared" si="48"/>
        <v>0</v>
      </c>
      <c r="AB168" s="301">
        <f t="shared" si="48"/>
        <v>0</v>
      </c>
      <c r="AC168" s="301">
        <f t="shared" si="48"/>
        <v>0</v>
      </c>
      <c r="AD168" s="301">
        <f t="shared" si="48"/>
        <v>2847</v>
      </c>
      <c r="AE168" s="298">
        <f t="shared" si="48"/>
        <v>4725</v>
      </c>
      <c r="AF168" s="298">
        <f t="shared" si="48"/>
        <v>5722</v>
      </c>
      <c r="AG168" s="302">
        <f t="shared" si="48"/>
        <v>10447</v>
      </c>
      <c r="AH168" s="303">
        <f t="shared" si="8"/>
        <v>0</v>
      </c>
    </row>
    <row r="169" spans="1:34" s="312" customFormat="1" x14ac:dyDescent="0.25">
      <c r="A169" s="313">
        <v>5</v>
      </c>
      <c r="B169" s="304" t="str">
        <f t="shared" ref="B169:AG169" si="49">B47</f>
        <v>FABRICATION DE PRODUITS CERAMIQUES ET DE</v>
      </c>
      <c r="C169" s="305" t="str">
        <f t="shared" si="49"/>
        <v xml:space="preserve">GF14 </v>
      </c>
      <c r="D169" s="306">
        <f t="shared" si="49"/>
        <v>19667</v>
      </c>
      <c r="E169" s="307">
        <f t="shared" si="49"/>
        <v>3674</v>
      </c>
      <c r="F169" s="307">
        <f t="shared" si="49"/>
        <v>0</v>
      </c>
      <c r="G169" s="307">
        <f t="shared" si="49"/>
        <v>0</v>
      </c>
      <c r="H169" s="308">
        <f t="shared" si="49"/>
        <v>23341</v>
      </c>
      <c r="I169" s="306">
        <f t="shared" si="49"/>
        <v>7756</v>
      </c>
      <c r="J169" s="307">
        <f t="shared" si="49"/>
        <v>1155</v>
      </c>
      <c r="K169" s="307">
        <f t="shared" si="49"/>
        <v>258</v>
      </c>
      <c r="L169" s="307">
        <f t="shared" si="49"/>
        <v>246</v>
      </c>
      <c r="M169" s="309">
        <f t="shared" si="49"/>
        <v>0</v>
      </c>
      <c r="N169" s="308">
        <f t="shared" si="49"/>
        <v>32510</v>
      </c>
      <c r="O169" s="310">
        <f t="shared" si="49"/>
        <v>1813</v>
      </c>
      <c r="P169" s="310">
        <f t="shared" si="49"/>
        <v>0</v>
      </c>
      <c r="Q169" s="310">
        <f t="shared" si="49"/>
        <v>0</v>
      </c>
      <c r="R169" s="310">
        <f t="shared" si="49"/>
        <v>0</v>
      </c>
      <c r="S169" s="310">
        <f t="shared" si="49"/>
        <v>0</v>
      </c>
      <c r="T169" s="308">
        <f t="shared" si="49"/>
        <v>1813</v>
      </c>
      <c r="U169" s="310">
        <f t="shared" si="49"/>
        <v>6</v>
      </c>
      <c r="V169" s="310">
        <f t="shared" si="49"/>
        <v>0</v>
      </c>
      <c r="W169" s="310">
        <f t="shared" si="49"/>
        <v>0</v>
      </c>
      <c r="X169" s="310">
        <f t="shared" si="49"/>
        <v>0</v>
      </c>
      <c r="Y169" s="310">
        <f t="shared" si="49"/>
        <v>0</v>
      </c>
      <c r="Z169" s="308">
        <f t="shared" si="49"/>
        <v>6</v>
      </c>
      <c r="AA169" s="311">
        <f t="shared" si="49"/>
        <v>0</v>
      </c>
      <c r="AB169" s="311">
        <f t="shared" si="49"/>
        <v>201</v>
      </c>
      <c r="AC169" s="311">
        <f t="shared" si="49"/>
        <v>207</v>
      </c>
      <c r="AD169" s="311">
        <f t="shared" si="49"/>
        <v>2431</v>
      </c>
      <c r="AE169" s="308">
        <f t="shared" si="49"/>
        <v>4451</v>
      </c>
      <c r="AF169" s="308">
        <f t="shared" si="49"/>
        <v>28059</v>
      </c>
      <c r="AG169" s="312">
        <f t="shared" si="49"/>
        <v>32510</v>
      </c>
      <c r="AH169" s="313">
        <f t="shared" si="8"/>
        <v>0</v>
      </c>
    </row>
    <row r="170" spans="1:34" x14ac:dyDescent="0.25">
      <c r="A170" s="71">
        <v>12</v>
      </c>
      <c r="B170" s="223" t="str">
        <f t="shared" ref="B170:AG170" si="50">B48</f>
        <v>FILATURE ET TISSAGE</v>
      </c>
      <c r="C170" s="277" t="str">
        <f t="shared" si="50"/>
        <v xml:space="preserve">GF21 </v>
      </c>
      <c r="D170" s="278">
        <f t="shared" si="50"/>
        <v>5172</v>
      </c>
      <c r="E170" s="220">
        <f t="shared" si="50"/>
        <v>2044</v>
      </c>
      <c r="F170" s="220">
        <f t="shared" si="50"/>
        <v>0</v>
      </c>
      <c r="G170" s="220">
        <f t="shared" si="50"/>
        <v>0</v>
      </c>
      <c r="H170" s="279">
        <f t="shared" si="50"/>
        <v>7216</v>
      </c>
      <c r="I170" s="278">
        <f t="shared" si="50"/>
        <v>242</v>
      </c>
      <c r="J170" s="220">
        <f t="shared" si="50"/>
        <v>368</v>
      </c>
      <c r="K170" s="220">
        <f t="shared" si="50"/>
        <v>74</v>
      </c>
      <c r="L170" s="220">
        <f t="shared" si="50"/>
        <v>49</v>
      </c>
      <c r="M170" s="280">
        <f t="shared" si="50"/>
        <v>0</v>
      </c>
      <c r="N170" s="279">
        <f t="shared" si="50"/>
        <v>7900</v>
      </c>
      <c r="O170" s="281">
        <f t="shared" si="50"/>
        <v>414</v>
      </c>
      <c r="P170" s="281">
        <f t="shared" si="50"/>
        <v>0</v>
      </c>
      <c r="Q170" s="281">
        <f t="shared" si="50"/>
        <v>0</v>
      </c>
      <c r="R170" s="281">
        <f t="shared" si="50"/>
        <v>0</v>
      </c>
      <c r="S170" s="281">
        <f t="shared" si="50"/>
        <v>0</v>
      </c>
      <c r="T170" s="279">
        <f t="shared" si="50"/>
        <v>414</v>
      </c>
      <c r="U170" s="281">
        <f t="shared" si="50"/>
        <v>0</v>
      </c>
      <c r="V170" s="281">
        <f t="shared" si="50"/>
        <v>0</v>
      </c>
      <c r="W170" s="281">
        <f t="shared" si="50"/>
        <v>0</v>
      </c>
      <c r="X170" s="281">
        <f t="shared" si="50"/>
        <v>0</v>
      </c>
      <c r="Y170" s="281">
        <f t="shared" si="50"/>
        <v>0</v>
      </c>
      <c r="Z170" s="279">
        <f t="shared" si="50"/>
        <v>0</v>
      </c>
      <c r="AA170" s="282">
        <f t="shared" si="50"/>
        <v>0</v>
      </c>
      <c r="AB170" s="282">
        <f t="shared" si="50"/>
        <v>-65</v>
      </c>
      <c r="AC170" s="282">
        <f t="shared" si="50"/>
        <v>-65</v>
      </c>
      <c r="AD170" s="282">
        <f t="shared" si="50"/>
        <v>2446</v>
      </c>
      <c r="AE170" s="279">
        <f t="shared" si="50"/>
        <v>2795</v>
      </c>
      <c r="AF170" s="279">
        <f t="shared" si="50"/>
        <v>5105</v>
      </c>
      <c r="AG170" s="283">
        <f t="shared" si="50"/>
        <v>7900</v>
      </c>
      <c r="AH170" s="71">
        <f t="shared" si="8"/>
        <v>0</v>
      </c>
    </row>
    <row r="171" spans="1:34" x14ac:dyDescent="0.25">
      <c r="A171" s="71">
        <v>12</v>
      </c>
      <c r="B171" s="223" t="str">
        <f t="shared" ref="B171:AG171" si="51">B49</f>
        <v>FABRICATION DE PRODUITS TEXTILES</v>
      </c>
      <c r="C171" s="277" t="str">
        <f t="shared" si="51"/>
        <v xml:space="preserve">GF22 </v>
      </c>
      <c r="D171" s="278">
        <f t="shared" si="51"/>
        <v>5118</v>
      </c>
      <c r="E171" s="220">
        <f t="shared" si="51"/>
        <v>3447</v>
      </c>
      <c r="F171" s="220">
        <f t="shared" si="51"/>
        <v>0</v>
      </c>
      <c r="G171" s="220">
        <f t="shared" si="51"/>
        <v>0</v>
      </c>
      <c r="H171" s="279">
        <f t="shared" si="51"/>
        <v>8565</v>
      </c>
      <c r="I171" s="278">
        <f t="shared" si="51"/>
        <v>2191</v>
      </c>
      <c r="J171" s="220">
        <f t="shared" si="51"/>
        <v>189</v>
      </c>
      <c r="K171" s="220">
        <f t="shared" si="51"/>
        <v>635</v>
      </c>
      <c r="L171" s="220">
        <f t="shared" si="51"/>
        <v>587</v>
      </c>
      <c r="M171" s="280">
        <f t="shared" si="51"/>
        <v>0</v>
      </c>
      <c r="N171" s="279">
        <f t="shared" si="51"/>
        <v>11580</v>
      </c>
      <c r="O171" s="281">
        <f t="shared" si="51"/>
        <v>3543</v>
      </c>
      <c r="P171" s="281">
        <f t="shared" si="51"/>
        <v>0</v>
      </c>
      <c r="Q171" s="281">
        <f t="shared" si="51"/>
        <v>0</v>
      </c>
      <c r="R171" s="281">
        <f t="shared" si="51"/>
        <v>0</v>
      </c>
      <c r="S171" s="281">
        <f t="shared" si="51"/>
        <v>0</v>
      </c>
      <c r="T171" s="279">
        <f t="shared" si="51"/>
        <v>3543</v>
      </c>
      <c r="U171" s="281">
        <f t="shared" si="51"/>
        <v>0</v>
      </c>
      <c r="V171" s="281">
        <f t="shared" si="51"/>
        <v>0</v>
      </c>
      <c r="W171" s="281">
        <f t="shared" si="51"/>
        <v>0</v>
      </c>
      <c r="X171" s="281">
        <f t="shared" si="51"/>
        <v>0</v>
      </c>
      <c r="Y171" s="281">
        <f t="shared" si="51"/>
        <v>0</v>
      </c>
      <c r="Z171" s="279">
        <f t="shared" si="51"/>
        <v>0</v>
      </c>
      <c r="AA171" s="282">
        <f t="shared" si="51"/>
        <v>0</v>
      </c>
      <c r="AB171" s="282">
        <f t="shared" si="51"/>
        <v>-62</v>
      </c>
      <c r="AC171" s="282">
        <f t="shared" si="51"/>
        <v>-62</v>
      </c>
      <c r="AD171" s="282">
        <f t="shared" si="51"/>
        <v>2466</v>
      </c>
      <c r="AE171" s="279">
        <f t="shared" si="51"/>
        <v>5947</v>
      </c>
      <c r="AF171" s="279">
        <f t="shared" si="51"/>
        <v>5633</v>
      </c>
      <c r="AG171" s="283">
        <f t="shared" si="51"/>
        <v>11580</v>
      </c>
      <c r="AH171" s="71">
        <f t="shared" si="8"/>
        <v>0</v>
      </c>
    </row>
    <row r="172" spans="1:34" x14ac:dyDescent="0.25">
      <c r="A172" s="71">
        <v>12</v>
      </c>
      <c r="B172" s="223" t="str">
        <f t="shared" ref="B172:AG172" si="52">B50</f>
        <v>FABRICATION D ETOFFES ET D ARTICLES A MA</v>
      </c>
      <c r="C172" s="277" t="str">
        <f t="shared" si="52"/>
        <v xml:space="preserve">GF23 </v>
      </c>
      <c r="D172" s="278">
        <f t="shared" si="52"/>
        <v>1436</v>
      </c>
      <c r="E172" s="220">
        <f t="shared" si="52"/>
        <v>2705</v>
      </c>
      <c r="F172" s="220">
        <f t="shared" si="52"/>
        <v>0</v>
      </c>
      <c r="G172" s="220">
        <f t="shared" si="52"/>
        <v>0</v>
      </c>
      <c r="H172" s="279">
        <f t="shared" si="52"/>
        <v>4141</v>
      </c>
      <c r="I172" s="278">
        <f t="shared" si="52"/>
        <v>1060</v>
      </c>
      <c r="J172" s="220">
        <f t="shared" si="52"/>
        <v>274</v>
      </c>
      <c r="K172" s="220">
        <f t="shared" si="52"/>
        <v>825</v>
      </c>
      <c r="L172" s="220">
        <f t="shared" si="52"/>
        <v>761</v>
      </c>
      <c r="M172" s="280">
        <f t="shared" si="52"/>
        <v>0</v>
      </c>
      <c r="N172" s="279">
        <f t="shared" si="52"/>
        <v>6300</v>
      </c>
      <c r="O172" s="281">
        <f t="shared" si="52"/>
        <v>4796</v>
      </c>
      <c r="P172" s="281">
        <f t="shared" si="52"/>
        <v>0</v>
      </c>
      <c r="Q172" s="281">
        <f t="shared" si="52"/>
        <v>0</v>
      </c>
      <c r="R172" s="281">
        <f t="shared" si="52"/>
        <v>0</v>
      </c>
      <c r="S172" s="281">
        <f t="shared" si="52"/>
        <v>0</v>
      </c>
      <c r="T172" s="279">
        <f t="shared" si="52"/>
        <v>4796</v>
      </c>
      <c r="U172" s="281">
        <f t="shared" si="52"/>
        <v>0</v>
      </c>
      <c r="V172" s="281">
        <f t="shared" si="52"/>
        <v>0</v>
      </c>
      <c r="W172" s="281">
        <f t="shared" si="52"/>
        <v>0</v>
      </c>
      <c r="X172" s="281">
        <f t="shared" si="52"/>
        <v>0</v>
      </c>
      <c r="Y172" s="281">
        <f t="shared" si="52"/>
        <v>0</v>
      </c>
      <c r="Z172" s="279">
        <f t="shared" si="52"/>
        <v>0</v>
      </c>
      <c r="AA172" s="282">
        <f t="shared" si="52"/>
        <v>0</v>
      </c>
      <c r="AB172" s="282">
        <f t="shared" si="52"/>
        <v>-65</v>
      </c>
      <c r="AC172" s="282">
        <f t="shared" si="52"/>
        <v>-65</v>
      </c>
      <c r="AD172" s="282">
        <f t="shared" si="52"/>
        <v>1200</v>
      </c>
      <c r="AE172" s="279">
        <f t="shared" si="52"/>
        <v>5931</v>
      </c>
      <c r="AF172" s="279">
        <f t="shared" si="52"/>
        <v>369</v>
      </c>
      <c r="AG172" s="283">
        <f t="shared" si="52"/>
        <v>6300</v>
      </c>
      <c r="AH172" s="71">
        <f t="shared" si="8"/>
        <v>0</v>
      </c>
    </row>
    <row r="173" spans="1:34" x14ac:dyDescent="0.25">
      <c r="A173" s="71">
        <v>12</v>
      </c>
      <c r="B173" s="223" t="str">
        <f t="shared" ref="B173:AG173" si="53">B51</f>
        <v>TRAVAIL DU BOIS ET FABRICATION D ARTICLE</v>
      </c>
      <c r="C173" s="277" t="str">
        <f t="shared" si="53"/>
        <v xml:space="preserve">GF31 </v>
      </c>
      <c r="D173" s="278">
        <f t="shared" si="53"/>
        <v>11871</v>
      </c>
      <c r="E173" s="220">
        <f t="shared" si="53"/>
        <v>3575</v>
      </c>
      <c r="F173" s="220">
        <f t="shared" si="53"/>
        <v>0</v>
      </c>
      <c r="G173" s="220">
        <f t="shared" si="53"/>
        <v>0</v>
      </c>
      <c r="H173" s="279">
        <f t="shared" si="53"/>
        <v>15446</v>
      </c>
      <c r="I173" s="278">
        <f t="shared" si="53"/>
        <v>2757</v>
      </c>
      <c r="J173" s="220">
        <f t="shared" si="53"/>
        <v>642</v>
      </c>
      <c r="K173" s="220">
        <f t="shared" si="53"/>
        <v>240</v>
      </c>
      <c r="L173" s="220">
        <f t="shared" si="53"/>
        <v>225</v>
      </c>
      <c r="M173" s="280">
        <f t="shared" si="53"/>
        <v>0</v>
      </c>
      <c r="N173" s="279">
        <f t="shared" si="53"/>
        <v>19085</v>
      </c>
      <c r="O173" s="281">
        <f t="shared" si="53"/>
        <v>1774</v>
      </c>
      <c r="P173" s="281">
        <f t="shared" si="53"/>
        <v>0</v>
      </c>
      <c r="Q173" s="281">
        <f t="shared" si="53"/>
        <v>0</v>
      </c>
      <c r="R173" s="281">
        <f t="shared" si="53"/>
        <v>0</v>
      </c>
      <c r="S173" s="281">
        <f t="shared" si="53"/>
        <v>0</v>
      </c>
      <c r="T173" s="279">
        <f t="shared" si="53"/>
        <v>1774</v>
      </c>
      <c r="U173" s="281">
        <f t="shared" si="53"/>
        <v>0</v>
      </c>
      <c r="V173" s="281">
        <f t="shared" si="53"/>
        <v>0</v>
      </c>
      <c r="W173" s="281">
        <f t="shared" si="53"/>
        <v>0</v>
      </c>
      <c r="X173" s="281">
        <f t="shared" si="53"/>
        <v>0</v>
      </c>
      <c r="Y173" s="281">
        <f t="shared" si="53"/>
        <v>0</v>
      </c>
      <c r="Z173" s="279">
        <f t="shared" si="53"/>
        <v>0</v>
      </c>
      <c r="AA173" s="282">
        <f t="shared" si="53"/>
        <v>0</v>
      </c>
      <c r="AB173" s="282">
        <f t="shared" si="53"/>
        <v>-132</v>
      </c>
      <c r="AC173" s="282">
        <f t="shared" si="53"/>
        <v>-132</v>
      </c>
      <c r="AD173" s="282">
        <f t="shared" si="53"/>
        <v>2267</v>
      </c>
      <c r="AE173" s="279">
        <f t="shared" si="53"/>
        <v>3909</v>
      </c>
      <c r="AF173" s="279">
        <f t="shared" si="53"/>
        <v>15176</v>
      </c>
      <c r="AG173" s="283">
        <f t="shared" si="53"/>
        <v>19085</v>
      </c>
      <c r="AH173" s="71">
        <f t="shared" si="8"/>
        <v>0</v>
      </c>
    </row>
    <row r="174" spans="1:34" s="322" customFormat="1" x14ac:dyDescent="0.25">
      <c r="A174" s="323">
        <v>6</v>
      </c>
      <c r="B174" s="314" t="str">
        <f t="shared" ref="B174:AG174" si="54">B52</f>
        <v xml:space="preserve">FABRICATION DE PATE A PAPIER  DE PAPIER </v>
      </c>
      <c r="C174" s="315" t="str">
        <f t="shared" si="54"/>
        <v xml:space="preserve">GF32 </v>
      </c>
      <c r="D174" s="316">
        <f t="shared" si="54"/>
        <v>9376</v>
      </c>
      <c r="E174" s="317">
        <f t="shared" si="54"/>
        <v>5845</v>
      </c>
      <c r="F174" s="317">
        <f t="shared" si="54"/>
        <v>0</v>
      </c>
      <c r="G174" s="317">
        <f t="shared" si="54"/>
        <v>0</v>
      </c>
      <c r="H174" s="318">
        <f t="shared" si="54"/>
        <v>15221</v>
      </c>
      <c r="I174" s="316">
        <f t="shared" si="54"/>
        <v>419</v>
      </c>
      <c r="J174" s="317">
        <f t="shared" si="54"/>
        <v>751</v>
      </c>
      <c r="K174" s="317">
        <f t="shared" si="54"/>
        <v>22</v>
      </c>
      <c r="L174" s="317">
        <f t="shared" si="54"/>
        <v>18</v>
      </c>
      <c r="M174" s="319">
        <f t="shared" si="54"/>
        <v>0</v>
      </c>
      <c r="N174" s="318">
        <f t="shared" si="54"/>
        <v>16413</v>
      </c>
      <c r="O174" s="320">
        <f t="shared" si="54"/>
        <v>0</v>
      </c>
      <c r="P174" s="320">
        <f t="shared" si="54"/>
        <v>0</v>
      </c>
      <c r="Q174" s="320">
        <f t="shared" si="54"/>
        <v>0</v>
      </c>
      <c r="R174" s="320">
        <f t="shared" si="54"/>
        <v>0</v>
      </c>
      <c r="S174" s="320">
        <f t="shared" si="54"/>
        <v>0</v>
      </c>
      <c r="T174" s="318">
        <f t="shared" si="54"/>
        <v>0</v>
      </c>
      <c r="U174" s="320">
        <f t="shared" si="54"/>
        <v>0</v>
      </c>
      <c r="V174" s="320">
        <f t="shared" si="54"/>
        <v>0</v>
      </c>
      <c r="W174" s="320">
        <f t="shared" si="54"/>
        <v>0</v>
      </c>
      <c r="X174" s="320">
        <f t="shared" si="54"/>
        <v>0</v>
      </c>
      <c r="Y174" s="320">
        <f t="shared" si="54"/>
        <v>0</v>
      </c>
      <c r="Z174" s="318">
        <f t="shared" si="54"/>
        <v>0</v>
      </c>
      <c r="AA174" s="321">
        <f t="shared" si="54"/>
        <v>0</v>
      </c>
      <c r="AB174" s="321">
        <f t="shared" si="54"/>
        <v>-100</v>
      </c>
      <c r="AC174" s="321">
        <f t="shared" si="54"/>
        <v>-100</v>
      </c>
      <c r="AD174" s="321">
        <f t="shared" si="54"/>
        <v>4913</v>
      </c>
      <c r="AE174" s="318">
        <f t="shared" si="54"/>
        <v>4813</v>
      </c>
      <c r="AF174" s="318">
        <f t="shared" si="54"/>
        <v>11600</v>
      </c>
      <c r="AG174" s="322">
        <f t="shared" si="54"/>
        <v>16413</v>
      </c>
      <c r="AH174" s="323">
        <f t="shared" si="8"/>
        <v>0</v>
      </c>
    </row>
    <row r="175" spans="1:34" s="322" customFormat="1" x14ac:dyDescent="0.25">
      <c r="A175" s="323">
        <v>6</v>
      </c>
      <c r="B175" s="314" t="str">
        <f t="shared" ref="B175:AG175" si="55">B53</f>
        <v>FABRICATION D ARTICLES EN PAPIER ET EN C</v>
      </c>
      <c r="C175" s="315" t="str">
        <f t="shared" si="55"/>
        <v xml:space="preserve">GF33 </v>
      </c>
      <c r="D175" s="316">
        <f t="shared" si="55"/>
        <v>10532</v>
      </c>
      <c r="E175" s="317">
        <f t="shared" si="55"/>
        <v>2729</v>
      </c>
      <c r="F175" s="317">
        <f t="shared" si="55"/>
        <v>0</v>
      </c>
      <c r="G175" s="317">
        <f t="shared" si="55"/>
        <v>0</v>
      </c>
      <c r="H175" s="318">
        <f t="shared" si="55"/>
        <v>13261</v>
      </c>
      <c r="I175" s="316">
        <f t="shared" si="55"/>
        <v>3185</v>
      </c>
      <c r="J175" s="317">
        <f t="shared" si="55"/>
        <v>393</v>
      </c>
      <c r="K175" s="317">
        <f t="shared" si="55"/>
        <v>840</v>
      </c>
      <c r="L175" s="317">
        <f t="shared" si="55"/>
        <v>828</v>
      </c>
      <c r="M175" s="319">
        <f t="shared" si="55"/>
        <v>0</v>
      </c>
      <c r="N175" s="318">
        <f t="shared" si="55"/>
        <v>17679</v>
      </c>
      <c r="O175" s="320">
        <f t="shared" si="55"/>
        <v>3920</v>
      </c>
      <c r="P175" s="320">
        <f t="shared" si="55"/>
        <v>0</v>
      </c>
      <c r="Q175" s="320">
        <f t="shared" si="55"/>
        <v>0</v>
      </c>
      <c r="R175" s="320">
        <f t="shared" si="55"/>
        <v>0</v>
      </c>
      <c r="S175" s="320">
        <f t="shared" si="55"/>
        <v>0</v>
      </c>
      <c r="T175" s="318">
        <f t="shared" si="55"/>
        <v>3920</v>
      </c>
      <c r="U175" s="320">
        <f t="shared" si="55"/>
        <v>0</v>
      </c>
      <c r="V175" s="320">
        <f t="shared" si="55"/>
        <v>0</v>
      </c>
      <c r="W175" s="320">
        <f t="shared" si="55"/>
        <v>0</v>
      </c>
      <c r="X175" s="320">
        <f t="shared" si="55"/>
        <v>0</v>
      </c>
      <c r="Y175" s="320">
        <f t="shared" si="55"/>
        <v>0</v>
      </c>
      <c r="Z175" s="318">
        <f t="shared" si="55"/>
        <v>0</v>
      </c>
      <c r="AA175" s="321">
        <f t="shared" si="55"/>
        <v>0</v>
      </c>
      <c r="AB175" s="321">
        <f t="shared" si="55"/>
        <v>145</v>
      </c>
      <c r="AC175" s="321">
        <f t="shared" si="55"/>
        <v>145</v>
      </c>
      <c r="AD175" s="321">
        <f t="shared" si="55"/>
        <v>1784</v>
      </c>
      <c r="AE175" s="318">
        <f t="shared" si="55"/>
        <v>5849</v>
      </c>
      <c r="AF175" s="318">
        <f t="shared" si="55"/>
        <v>11830</v>
      </c>
      <c r="AG175" s="322">
        <f t="shared" si="55"/>
        <v>17679</v>
      </c>
      <c r="AH175" s="323">
        <f t="shared" si="8"/>
        <v>0</v>
      </c>
    </row>
    <row r="176" spans="1:34" s="332" customFormat="1" x14ac:dyDescent="0.25">
      <c r="A176" s="477">
        <v>7</v>
      </c>
      <c r="B176" s="324" t="str">
        <f t="shared" ref="B176:AG176" si="56">B54</f>
        <v>INDUSTRIE CHIMIQUE MINERALE</v>
      </c>
      <c r="C176" s="325" t="str">
        <f t="shared" si="56"/>
        <v xml:space="preserve">GF41 </v>
      </c>
      <c r="D176" s="326">
        <f t="shared" si="56"/>
        <v>5993</v>
      </c>
      <c r="E176" s="327">
        <f t="shared" si="56"/>
        <v>4433</v>
      </c>
      <c r="F176" s="327">
        <f t="shared" si="56"/>
        <v>0</v>
      </c>
      <c r="G176" s="327">
        <f t="shared" si="56"/>
        <v>0</v>
      </c>
      <c r="H176" s="328">
        <f t="shared" si="56"/>
        <v>10426</v>
      </c>
      <c r="I176" s="326">
        <f t="shared" si="56"/>
        <v>1096</v>
      </c>
      <c r="J176" s="327">
        <f t="shared" si="56"/>
        <v>1053</v>
      </c>
      <c r="K176" s="327">
        <f t="shared" si="56"/>
        <v>54</v>
      </c>
      <c r="L176" s="327">
        <f t="shared" si="56"/>
        <v>12</v>
      </c>
      <c r="M176" s="329">
        <f t="shared" si="56"/>
        <v>0</v>
      </c>
      <c r="N176" s="328">
        <f t="shared" si="56"/>
        <v>12629</v>
      </c>
      <c r="O176" s="330">
        <f t="shared" si="56"/>
        <v>98</v>
      </c>
      <c r="P176" s="330">
        <f t="shared" si="56"/>
        <v>0</v>
      </c>
      <c r="Q176" s="330">
        <f t="shared" si="56"/>
        <v>0</v>
      </c>
      <c r="R176" s="330">
        <f t="shared" si="56"/>
        <v>0</v>
      </c>
      <c r="S176" s="330">
        <f t="shared" si="56"/>
        <v>0</v>
      </c>
      <c r="T176" s="328">
        <f t="shared" si="56"/>
        <v>98</v>
      </c>
      <c r="U176" s="330">
        <f t="shared" si="56"/>
        <v>0</v>
      </c>
      <c r="V176" s="330">
        <f t="shared" si="56"/>
        <v>0</v>
      </c>
      <c r="W176" s="330">
        <f t="shared" si="56"/>
        <v>0</v>
      </c>
      <c r="X176" s="330">
        <f t="shared" si="56"/>
        <v>0</v>
      </c>
      <c r="Y176" s="330">
        <f t="shared" si="56"/>
        <v>0</v>
      </c>
      <c r="Z176" s="328">
        <f t="shared" si="56"/>
        <v>0</v>
      </c>
      <c r="AA176" s="331">
        <f t="shared" si="56"/>
        <v>0</v>
      </c>
      <c r="AB176" s="331">
        <f t="shared" si="56"/>
        <v>0</v>
      </c>
      <c r="AC176" s="331">
        <f t="shared" si="56"/>
        <v>0</v>
      </c>
      <c r="AD176" s="331">
        <f t="shared" si="56"/>
        <v>2702</v>
      </c>
      <c r="AE176" s="328">
        <f t="shared" si="56"/>
        <v>2800</v>
      </c>
      <c r="AF176" s="328">
        <f t="shared" si="56"/>
        <v>9829</v>
      </c>
      <c r="AG176" s="332">
        <f t="shared" si="56"/>
        <v>12629</v>
      </c>
      <c r="AH176" s="333">
        <f t="shared" si="8"/>
        <v>0</v>
      </c>
    </row>
    <row r="177" spans="1:34" s="342" customFormat="1" x14ac:dyDescent="0.25">
      <c r="A177" s="477">
        <v>8</v>
      </c>
      <c r="B177" s="334" t="str">
        <f t="shared" ref="B177:AG177" si="57">B55</f>
        <v>INDUSTRIE CHIMIQUE ORGANIQUE</v>
      </c>
      <c r="C177" s="335" t="str">
        <f t="shared" si="57"/>
        <v xml:space="preserve">GF42 </v>
      </c>
      <c r="D177" s="336">
        <f t="shared" si="57"/>
        <v>23764</v>
      </c>
      <c r="E177" s="337">
        <f t="shared" si="57"/>
        <v>17741</v>
      </c>
      <c r="F177" s="337">
        <f t="shared" si="57"/>
        <v>0</v>
      </c>
      <c r="G177" s="337">
        <f t="shared" si="57"/>
        <v>0</v>
      </c>
      <c r="H177" s="338">
        <f t="shared" si="57"/>
        <v>41505</v>
      </c>
      <c r="I177" s="336">
        <f t="shared" si="57"/>
        <v>2600</v>
      </c>
      <c r="J177" s="337">
        <f t="shared" si="57"/>
        <v>661</v>
      </c>
      <c r="K177" s="337">
        <f t="shared" si="57"/>
        <v>124</v>
      </c>
      <c r="L177" s="337">
        <f t="shared" si="57"/>
        <v>70</v>
      </c>
      <c r="M177" s="339">
        <f t="shared" si="57"/>
        <v>0</v>
      </c>
      <c r="N177" s="338">
        <f t="shared" si="57"/>
        <v>44890</v>
      </c>
      <c r="O177" s="340">
        <f t="shared" si="57"/>
        <v>20</v>
      </c>
      <c r="P177" s="340">
        <f t="shared" si="57"/>
        <v>0</v>
      </c>
      <c r="Q177" s="340">
        <f t="shared" si="57"/>
        <v>0</v>
      </c>
      <c r="R177" s="340">
        <f t="shared" si="57"/>
        <v>0</v>
      </c>
      <c r="S177" s="340">
        <f t="shared" si="57"/>
        <v>0</v>
      </c>
      <c r="T177" s="338">
        <f t="shared" si="57"/>
        <v>20</v>
      </c>
      <c r="U177" s="340">
        <f t="shared" si="57"/>
        <v>0</v>
      </c>
      <c r="V177" s="340">
        <f t="shared" si="57"/>
        <v>0</v>
      </c>
      <c r="W177" s="340">
        <f t="shared" si="57"/>
        <v>0</v>
      </c>
      <c r="X177" s="340">
        <f t="shared" si="57"/>
        <v>0</v>
      </c>
      <c r="Y177" s="340">
        <f t="shared" si="57"/>
        <v>0</v>
      </c>
      <c r="Z177" s="338">
        <f t="shared" si="57"/>
        <v>0</v>
      </c>
      <c r="AA177" s="341">
        <f t="shared" si="57"/>
        <v>0</v>
      </c>
      <c r="AB177" s="341">
        <f t="shared" si="57"/>
        <v>0</v>
      </c>
      <c r="AC177" s="341">
        <f t="shared" si="57"/>
        <v>0</v>
      </c>
      <c r="AD177" s="341">
        <f t="shared" si="57"/>
        <v>18838</v>
      </c>
      <c r="AE177" s="338">
        <f t="shared" si="57"/>
        <v>18858</v>
      </c>
      <c r="AF177" s="338">
        <f t="shared" si="57"/>
        <v>26032</v>
      </c>
      <c r="AG177" s="342">
        <f t="shared" si="57"/>
        <v>44890</v>
      </c>
      <c r="AH177" s="343">
        <f t="shared" si="8"/>
        <v>0</v>
      </c>
    </row>
    <row r="178" spans="1:34" x14ac:dyDescent="0.25">
      <c r="A178" s="71">
        <v>12</v>
      </c>
      <c r="B178" s="223" t="str">
        <f t="shared" ref="B178:AG178" si="58">B56</f>
        <v>PARACHIMIE</v>
      </c>
      <c r="C178" s="277" t="str">
        <f t="shared" si="58"/>
        <v xml:space="preserve">GF43 </v>
      </c>
      <c r="D178" s="278">
        <f t="shared" si="58"/>
        <v>12207</v>
      </c>
      <c r="E178" s="220">
        <f t="shared" si="58"/>
        <v>9903</v>
      </c>
      <c r="F178" s="220">
        <f t="shared" si="58"/>
        <v>0</v>
      </c>
      <c r="G178" s="220">
        <f t="shared" si="58"/>
        <v>0</v>
      </c>
      <c r="H178" s="279">
        <f t="shared" si="58"/>
        <v>22110</v>
      </c>
      <c r="I178" s="278">
        <f t="shared" si="58"/>
        <v>4191</v>
      </c>
      <c r="J178" s="220">
        <f t="shared" si="58"/>
        <v>557</v>
      </c>
      <c r="K178" s="220">
        <f t="shared" si="58"/>
        <v>453</v>
      </c>
      <c r="L178" s="220">
        <f t="shared" si="58"/>
        <v>395</v>
      </c>
      <c r="M178" s="280">
        <f t="shared" si="58"/>
        <v>0</v>
      </c>
      <c r="N178" s="279">
        <f t="shared" si="58"/>
        <v>27311</v>
      </c>
      <c r="O178" s="281">
        <f t="shared" si="58"/>
        <v>2726</v>
      </c>
      <c r="P178" s="281">
        <f t="shared" si="58"/>
        <v>0</v>
      </c>
      <c r="Q178" s="281">
        <f t="shared" si="58"/>
        <v>0</v>
      </c>
      <c r="R178" s="281">
        <f t="shared" si="58"/>
        <v>0</v>
      </c>
      <c r="S178" s="281">
        <f t="shared" si="58"/>
        <v>0</v>
      </c>
      <c r="T178" s="279">
        <f t="shared" si="58"/>
        <v>2726</v>
      </c>
      <c r="U178" s="281">
        <f t="shared" si="58"/>
        <v>0</v>
      </c>
      <c r="V178" s="281">
        <f t="shared" si="58"/>
        <v>0</v>
      </c>
      <c r="W178" s="281">
        <f t="shared" si="58"/>
        <v>0</v>
      </c>
      <c r="X178" s="281">
        <f t="shared" si="58"/>
        <v>0</v>
      </c>
      <c r="Y178" s="281">
        <f t="shared" si="58"/>
        <v>0</v>
      </c>
      <c r="Z178" s="279">
        <f t="shared" si="58"/>
        <v>0</v>
      </c>
      <c r="AA178" s="282">
        <f t="shared" si="58"/>
        <v>0</v>
      </c>
      <c r="AB178" s="282">
        <f t="shared" si="58"/>
        <v>-160</v>
      </c>
      <c r="AC178" s="282">
        <f t="shared" si="58"/>
        <v>-160</v>
      </c>
      <c r="AD178" s="282">
        <f t="shared" si="58"/>
        <v>11755</v>
      </c>
      <c r="AE178" s="279">
        <f t="shared" si="58"/>
        <v>14321</v>
      </c>
      <c r="AF178" s="279">
        <f t="shared" si="58"/>
        <v>12990</v>
      </c>
      <c r="AG178" s="283">
        <f t="shared" si="58"/>
        <v>27311</v>
      </c>
      <c r="AH178" s="71">
        <f t="shared" si="8"/>
        <v>0</v>
      </c>
    </row>
    <row r="179" spans="1:34" x14ac:dyDescent="0.25">
      <c r="A179" s="71">
        <v>12</v>
      </c>
      <c r="B179" s="223" t="str">
        <f t="shared" ref="B179:AG179" si="59">B57</f>
        <v>FABRICATION DE FIBRES ARTIFICIELLES OU S</v>
      </c>
      <c r="C179" s="277" t="str">
        <f t="shared" si="59"/>
        <v xml:space="preserve">GF44 </v>
      </c>
      <c r="D179" s="278">
        <f t="shared" si="59"/>
        <v>425</v>
      </c>
      <c r="E179" s="220">
        <f t="shared" si="59"/>
        <v>862</v>
      </c>
      <c r="F179" s="220">
        <f t="shared" si="59"/>
        <v>0</v>
      </c>
      <c r="G179" s="220">
        <f t="shared" si="59"/>
        <v>0</v>
      </c>
      <c r="H179" s="279">
        <f t="shared" si="59"/>
        <v>1287</v>
      </c>
      <c r="I179" s="278">
        <f t="shared" si="59"/>
        <v>39</v>
      </c>
      <c r="J179" s="220">
        <f t="shared" si="59"/>
        <v>34</v>
      </c>
      <c r="K179" s="220">
        <f t="shared" si="59"/>
        <v>5</v>
      </c>
      <c r="L179" s="220">
        <f t="shared" si="59"/>
        <v>0</v>
      </c>
      <c r="M179" s="280">
        <f t="shared" si="59"/>
        <v>0</v>
      </c>
      <c r="N179" s="279">
        <f t="shared" si="59"/>
        <v>1365</v>
      </c>
      <c r="O179" s="281">
        <f t="shared" si="59"/>
        <v>0</v>
      </c>
      <c r="P179" s="281">
        <f t="shared" si="59"/>
        <v>0</v>
      </c>
      <c r="Q179" s="281">
        <f t="shared" si="59"/>
        <v>0</v>
      </c>
      <c r="R179" s="281">
        <f t="shared" si="59"/>
        <v>0</v>
      </c>
      <c r="S179" s="281">
        <f t="shared" si="59"/>
        <v>0</v>
      </c>
      <c r="T179" s="279">
        <f t="shared" si="59"/>
        <v>0</v>
      </c>
      <c r="U179" s="281">
        <f t="shared" si="59"/>
        <v>0</v>
      </c>
      <c r="V179" s="281">
        <f t="shared" si="59"/>
        <v>0</v>
      </c>
      <c r="W179" s="281">
        <f t="shared" si="59"/>
        <v>0</v>
      </c>
      <c r="X179" s="281">
        <f t="shared" si="59"/>
        <v>0</v>
      </c>
      <c r="Y179" s="281">
        <f t="shared" si="59"/>
        <v>0</v>
      </c>
      <c r="Z179" s="279">
        <f t="shared" si="59"/>
        <v>0</v>
      </c>
      <c r="AA179" s="282">
        <f t="shared" si="59"/>
        <v>0</v>
      </c>
      <c r="AB179" s="282">
        <f t="shared" si="59"/>
        <v>0</v>
      </c>
      <c r="AC179" s="282">
        <f t="shared" si="59"/>
        <v>0</v>
      </c>
      <c r="AD179" s="282">
        <f t="shared" si="59"/>
        <v>600</v>
      </c>
      <c r="AE179" s="279">
        <f t="shared" si="59"/>
        <v>600</v>
      </c>
      <c r="AF179" s="279">
        <f t="shared" si="59"/>
        <v>765</v>
      </c>
      <c r="AG179" s="283">
        <f t="shared" si="59"/>
        <v>1365</v>
      </c>
      <c r="AH179" s="71">
        <f t="shared" si="8"/>
        <v>0</v>
      </c>
    </row>
    <row r="180" spans="1:34" x14ac:dyDescent="0.25">
      <c r="A180" s="71">
        <v>12</v>
      </c>
      <c r="B180" s="223" t="str">
        <f t="shared" ref="B180:AG180" si="60">B58</f>
        <v>INDUSTRIE DU CAOUTCHOUC</v>
      </c>
      <c r="C180" s="277" t="str">
        <f t="shared" si="60"/>
        <v xml:space="preserve">GF45 </v>
      </c>
      <c r="D180" s="278">
        <f t="shared" si="60"/>
        <v>9614</v>
      </c>
      <c r="E180" s="220">
        <f t="shared" si="60"/>
        <v>3799</v>
      </c>
      <c r="F180" s="220">
        <f t="shared" si="60"/>
        <v>0</v>
      </c>
      <c r="G180" s="220">
        <f t="shared" si="60"/>
        <v>0</v>
      </c>
      <c r="H180" s="279">
        <f t="shared" si="60"/>
        <v>13413</v>
      </c>
      <c r="I180" s="278">
        <f t="shared" si="60"/>
        <v>1030</v>
      </c>
      <c r="J180" s="220">
        <f t="shared" si="60"/>
        <v>419</v>
      </c>
      <c r="K180" s="220">
        <f t="shared" si="60"/>
        <v>376</v>
      </c>
      <c r="L180" s="220">
        <f t="shared" si="60"/>
        <v>354</v>
      </c>
      <c r="M180" s="280">
        <f t="shared" si="60"/>
        <v>0</v>
      </c>
      <c r="N180" s="279">
        <f t="shared" si="60"/>
        <v>15238</v>
      </c>
      <c r="O180" s="281">
        <f t="shared" si="60"/>
        <v>2156</v>
      </c>
      <c r="P180" s="281">
        <f t="shared" si="60"/>
        <v>0</v>
      </c>
      <c r="Q180" s="281">
        <f t="shared" si="60"/>
        <v>0</v>
      </c>
      <c r="R180" s="281">
        <f t="shared" si="60"/>
        <v>0</v>
      </c>
      <c r="S180" s="281">
        <f t="shared" si="60"/>
        <v>0</v>
      </c>
      <c r="T180" s="279">
        <f t="shared" si="60"/>
        <v>2156</v>
      </c>
      <c r="U180" s="281">
        <f t="shared" si="60"/>
        <v>0</v>
      </c>
      <c r="V180" s="281">
        <f t="shared" si="60"/>
        <v>0</v>
      </c>
      <c r="W180" s="281">
        <f t="shared" si="60"/>
        <v>0</v>
      </c>
      <c r="X180" s="281">
        <f t="shared" si="60"/>
        <v>0</v>
      </c>
      <c r="Y180" s="281">
        <f t="shared" si="60"/>
        <v>0</v>
      </c>
      <c r="Z180" s="279">
        <f t="shared" si="60"/>
        <v>0</v>
      </c>
      <c r="AA180" s="282">
        <f t="shared" si="60"/>
        <v>0</v>
      </c>
      <c r="AB180" s="282">
        <f t="shared" si="60"/>
        <v>0</v>
      </c>
      <c r="AC180" s="282">
        <f t="shared" si="60"/>
        <v>0</v>
      </c>
      <c r="AD180" s="282">
        <f t="shared" si="60"/>
        <v>4820</v>
      </c>
      <c r="AE180" s="279">
        <f t="shared" si="60"/>
        <v>6976</v>
      </c>
      <c r="AF180" s="279">
        <f t="shared" si="60"/>
        <v>8262</v>
      </c>
      <c r="AG180" s="283">
        <f t="shared" si="60"/>
        <v>15238</v>
      </c>
      <c r="AH180" s="71">
        <f t="shared" si="8"/>
        <v>0</v>
      </c>
    </row>
    <row r="181" spans="1:34" s="352" customFormat="1" x14ac:dyDescent="0.25">
      <c r="A181" s="353">
        <v>9</v>
      </c>
      <c r="B181" s="344" t="str">
        <f t="shared" ref="B181:AG181" si="61">B59</f>
        <v>TRANSFORMATION DES MATIERES PLASTIQUES</v>
      </c>
      <c r="C181" s="345" t="str">
        <f t="shared" si="61"/>
        <v xml:space="preserve">GF46 </v>
      </c>
      <c r="D181" s="346">
        <f t="shared" si="61"/>
        <v>25169</v>
      </c>
      <c r="E181" s="347">
        <f t="shared" si="61"/>
        <v>9041</v>
      </c>
      <c r="F181" s="347">
        <f t="shared" si="61"/>
        <v>0</v>
      </c>
      <c r="G181" s="347">
        <f t="shared" si="61"/>
        <v>0</v>
      </c>
      <c r="H181" s="348">
        <f t="shared" si="61"/>
        <v>34210</v>
      </c>
      <c r="I181" s="346">
        <f t="shared" si="61"/>
        <v>2072</v>
      </c>
      <c r="J181" s="347">
        <f t="shared" si="61"/>
        <v>1189</v>
      </c>
      <c r="K181" s="347">
        <f t="shared" si="61"/>
        <v>830</v>
      </c>
      <c r="L181" s="347">
        <f t="shared" si="61"/>
        <v>768</v>
      </c>
      <c r="M181" s="349">
        <f t="shared" si="61"/>
        <v>0</v>
      </c>
      <c r="N181" s="348">
        <f t="shared" si="61"/>
        <v>38301</v>
      </c>
      <c r="O181" s="350">
        <f t="shared" si="61"/>
        <v>5048</v>
      </c>
      <c r="P181" s="350">
        <f t="shared" si="61"/>
        <v>0</v>
      </c>
      <c r="Q181" s="350">
        <f t="shared" si="61"/>
        <v>0</v>
      </c>
      <c r="R181" s="350">
        <f t="shared" si="61"/>
        <v>0</v>
      </c>
      <c r="S181" s="350">
        <f t="shared" si="61"/>
        <v>0</v>
      </c>
      <c r="T181" s="348">
        <f t="shared" si="61"/>
        <v>5048</v>
      </c>
      <c r="U181" s="350">
        <f t="shared" si="61"/>
        <v>0</v>
      </c>
      <c r="V181" s="350">
        <f t="shared" si="61"/>
        <v>0</v>
      </c>
      <c r="W181" s="350">
        <f t="shared" si="61"/>
        <v>0</v>
      </c>
      <c r="X181" s="350">
        <f t="shared" si="61"/>
        <v>0</v>
      </c>
      <c r="Y181" s="350">
        <f t="shared" si="61"/>
        <v>0</v>
      </c>
      <c r="Z181" s="348">
        <f t="shared" si="61"/>
        <v>0</v>
      </c>
      <c r="AA181" s="351">
        <f t="shared" si="61"/>
        <v>0</v>
      </c>
      <c r="AB181" s="351">
        <f t="shared" si="61"/>
        <v>0</v>
      </c>
      <c r="AC181" s="351">
        <f t="shared" si="61"/>
        <v>0</v>
      </c>
      <c r="AD181" s="351">
        <f t="shared" si="61"/>
        <v>7017</v>
      </c>
      <c r="AE181" s="348">
        <f t="shared" si="61"/>
        <v>12065</v>
      </c>
      <c r="AF181" s="348">
        <f t="shared" si="61"/>
        <v>26236</v>
      </c>
      <c r="AG181" s="352">
        <f t="shared" si="61"/>
        <v>38301</v>
      </c>
      <c r="AH181" s="353">
        <f t="shared" si="8"/>
        <v>0</v>
      </c>
    </row>
    <row r="182" spans="1:34" s="362" customFormat="1" x14ac:dyDescent="0.25">
      <c r="A182" s="363">
        <v>10</v>
      </c>
      <c r="B182" s="354" t="str">
        <f t="shared" ref="B182:AG182" si="62">B60</f>
        <v>SIDERURGIE ET PREMIERE TRANSFORMATION DE</v>
      </c>
      <c r="C182" s="355" t="str">
        <f t="shared" si="62"/>
        <v xml:space="preserve">GF51 </v>
      </c>
      <c r="D182" s="356">
        <f t="shared" si="62"/>
        <v>27396</v>
      </c>
      <c r="E182" s="357">
        <f t="shared" si="62"/>
        <v>14686</v>
      </c>
      <c r="F182" s="357">
        <f t="shared" si="62"/>
        <v>0</v>
      </c>
      <c r="G182" s="357">
        <f t="shared" si="62"/>
        <v>0</v>
      </c>
      <c r="H182" s="358">
        <f t="shared" si="62"/>
        <v>42082</v>
      </c>
      <c r="I182" s="356">
        <f t="shared" si="62"/>
        <v>2431</v>
      </c>
      <c r="J182" s="357">
        <f t="shared" si="62"/>
        <v>965</v>
      </c>
      <c r="K182" s="357">
        <f t="shared" si="62"/>
        <v>8</v>
      </c>
      <c r="L182" s="357">
        <f t="shared" si="62"/>
        <v>5</v>
      </c>
      <c r="M182" s="359">
        <f t="shared" si="62"/>
        <v>0</v>
      </c>
      <c r="N182" s="358">
        <f t="shared" si="62"/>
        <v>45486</v>
      </c>
      <c r="O182" s="360">
        <f t="shared" si="62"/>
        <v>0</v>
      </c>
      <c r="P182" s="360">
        <f t="shared" si="62"/>
        <v>0</v>
      </c>
      <c r="Q182" s="360">
        <f t="shared" si="62"/>
        <v>0</v>
      </c>
      <c r="R182" s="360">
        <f t="shared" si="62"/>
        <v>0</v>
      </c>
      <c r="S182" s="360">
        <f t="shared" si="62"/>
        <v>0</v>
      </c>
      <c r="T182" s="358">
        <f t="shared" si="62"/>
        <v>0</v>
      </c>
      <c r="U182" s="360">
        <f t="shared" si="62"/>
        <v>0</v>
      </c>
      <c r="V182" s="360">
        <f t="shared" si="62"/>
        <v>0</v>
      </c>
      <c r="W182" s="360">
        <f t="shared" si="62"/>
        <v>0</v>
      </c>
      <c r="X182" s="360">
        <f t="shared" si="62"/>
        <v>0</v>
      </c>
      <c r="Y182" s="360">
        <f t="shared" si="62"/>
        <v>0</v>
      </c>
      <c r="Z182" s="358">
        <f t="shared" si="62"/>
        <v>0</v>
      </c>
      <c r="AA182" s="361">
        <f t="shared" si="62"/>
        <v>0</v>
      </c>
      <c r="AB182" s="361">
        <f t="shared" si="62"/>
        <v>80</v>
      </c>
      <c r="AC182" s="361">
        <f t="shared" si="62"/>
        <v>80</v>
      </c>
      <c r="AD182" s="361">
        <f t="shared" si="62"/>
        <v>16496</v>
      </c>
      <c r="AE182" s="358">
        <f t="shared" si="62"/>
        <v>16576</v>
      </c>
      <c r="AF182" s="358">
        <f t="shared" si="62"/>
        <v>28910</v>
      </c>
      <c r="AG182" s="362">
        <f t="shared" si="62"/>
        <v>45486</v>
      </c>
      <c r="AH182" s="363">
        <f t="shared" si="8"/>
        <v>0</v>
      </c>
    </row>
    <row r="183" spans="1:34" s="372" customFormat="1" x14ac:dyDescent="0.25">
      <c r="A183" s="373">
        <v>11</v>
      </c>
      <c r="B183" s="364" t="str">
        <f t="shared" ref="B183:AG183" si="63">B61</f>
        <v>PRODUCTION DE METAUX NON FERREUX</v>
      </c>
      <c r="C183" s="365" t="str">
        <f t="shared" si="63"/>
        <v xml:space="preserve">GF52 </v>
      </c>
      <c r="D183" s="366">
        <f t="shared" si="63"/>
        <v>12661</v>
      </c>
      <c r="E183" s="367">
        <f t="shared" si="63"/>
        <v>12431</v>
      </c>
      <c r="F183" s="367">
        <f t="shared" si="63"/>
        <v>0</v>
      </c>
      <c r="G183" s="367">
        <f t="shared" si="63"/>
        <v>0</v>
      </c>
      <c r="H183" s="368">
        <f t="shared" si="63"/>
        <v>25092</v>
      </c>
      <c r="I183" s="366">
        <f t="shared" si="63"/>
        <v>1737</v>
      </c>
      <c r="J183" s="367">
        <f t="shared" si="63"/>
        <v>361</v>
      </c>
      <c r="K183" s="367">
        <f t="shared" si="63"/>
        <v>12</v>
      </c>
      <c r="L183" s="367">
        <f t="shared" si="63"/>
        <v>0</v>
      </c>
      <c r="M183" s="369">
        <f t="shared" si="63"/>
        <v>0</v>
      </c>
      <c r="N183" s="368">
        <f t="shared" si="63"/>
        <v>27202</v>
      </c>
      <c r="O183" s="370">
        <f t="shared" si="63"/>
        <v>164</v>
      </c>
      <c r="P183" s="370">
        <f t="shared" si="63"/>
        <v>0</v>
      </c>
      <c r="Q183" s="370">
        <f t="shared" si="63"/>
        <v>0</v>
      </c>
      <c r="R183" s="370">
        <f t="shared" si="63"/>
        <v>0</v>
      </c>
      <c r="S183" s="370">
        <f t="shared" si="63"/>
        <v>0</v>
      </c>
      <c r="T183" s="368">
        <f t="shared" si="63"/>
        <v>164</v>
      </c>
      <c r="U183" s="370">
        <f t="shared" si="63"/>
        <v>0</v>
      </c>
      <c r="V183" s="370">
        <f t="shared" si="63"/>
        <v>0</v>
      </c>
      <c r="W183" s="370">
        <f t="shared" si="63"/>
        <v>0</v>
      </c>
      <c r="X183" s="370">
        <f t="shared" si="63"/>
        <v>0</v>
      </c>
      <c r="Y183" s="370">
        <f t="shared" si="63"/>
        <v>0</v>
      </c>
      <c r="Z183" s="368">
        <f t="shared" si="63"/>
        <v>0</v>
      </c>
      <c r="AA183" s="371">
        <f t="shared" si="63"/>
        <v>330</v>
      </c>
      <c r="AB183" s="371">
        <f t="shared" si="63"/>
        <v>0</v>
      </c>
      <c r="AC183" s="371">
        <f t="shared" si="63"/>
        <v>330</v>
      </c>
      <c r="AD183" s="371">
        <f t="shared" si="63"/>
        <v>9350</v>
      </c>
      <c r="AE183" s="368">
        <f t="shared" si="63"/>
        <v>9844</v>
      </c>
      <c r="AF183" s="368">
        <f t="shared" si="63"/>
        <v>17358</v>
      </c>
      <c r="AG183" s="372">
        <f t="shared" si="63"/>
        <v>27202</v>
      </c>
      <c r="AH183" s="373">
        <f t="shared" si="8"/>
        <v>0</v>
      </c>
    </row>
    <row r="184" spans="1:34" x14ac:dyDescent="0.25">
      <c r="A184" s="71">
        <v>12</v>
      </c>
      <c r="B184" s="223" t="str">
        <f t="shared" ref="B184:AG184" si="64">B62</f>
        <v>FONDERIE</v>
      </c>
      <c r="C184" s="277" t="str">
        <f t="shared" si="64"/>
        <v xml:space="preserve">GF53 </v>
      </c>
      <c r="D184" s="278">
        <f t="shared" si="64"/>
        <v>5547</v>
      </c>
      <c r="E184" s="220">
        <f t="shared" si="64"/>
        <v>0</v>
      </c>
      <c r="F184" s="220">
        <f t="shared" si="64"/>
        <v>0</v>
      </c>
      <c r="G184" s="220">
        <f t="shared" si="64"/>
        <v>0</v>
      </c>
      <c r="H184" s="279">
        <f t="shared" si="64"/>
        <v>5547</v>
      </c>
      <c r="I184" s="278">
        <f t="shared" si="64"/>
        <v>15</v>
      </c>
      <c r="J184" s="220">
        <f t="shared" si="64"/>
        <v>10</v>
      </c>
      <c r="K184" s="220">
        <f t="shared" si="64"/>
        <v>0</v>
      </c>
      <c r="L184" s="220">
        <f t="shared" si="64"/>
        <v>0</v>
      </c>
      <c r="M184" s="280">
        <f t="shared" si="64"/>
        <v>0</v>
      </c>
      <c r="N184" s="279">
        <f t="shared" si="64"/>
        <v>5572</v>
      </c>
      <c r="O184" s="281">
        <f t="shared" si="64"/>
        <v>0</v>
      </c>
      <c r="P184" s="281">
        <f t="shared" si="64"/>
        <v>0</v>
      </c>
      <c r="Q184" s="281">
        <f t="shared" si="64"/>
        <v>0</v>
      </c>
      <c r="R184" s="281">
        <f t="shared" si="64"/>
        <v>0</v>
      </c>
      <c r="S184" s="281">
        <f t="shared" si="64"/>
        <v>0</v>
      </c>
      <c r="T184" s="279">
        <f t="shared" si="64"/>
        <v>0</v>
      </c>
      <c r="U184" s="281">
        <f t="shared" si="64"/>
        <v>0</v>
      </c>
      <c r="V184" s="281">
        <f t="shared" si="64"/>
        <v>0</v>
      </c>
      <c r="W184" s="281">
        <f t="shared" si="64"/>
        <v>0</v>
      </c>
      <c r="X184" s="281">
        <f t="shared" si="64"/>
        <v>0</v>
      </c>
      <c r="Y184" s="281">
        <f t="shared" si="64"/>
        <v>0</v>
      </c>
      <c r="Z184" s="279">
        <f t="shared" si="64"/>
        <v>0</v>
      </c>
      <c r="AA184" s="282">
        <f t="shared" si="64"/>
        <v>0</v>
      </c>
      <c r="AB184" s="282">
        <f t="shared" si="64"/>
        <v>0</v>
      </c>
      <c r="AC184" s="282">
        <f t="shared" si="64"/>
        <v>0</v>
      </c>
      <c r="AD184" s="282">
        <f t="shared" si="64"/>
        <v>0</v>
      </c>
      <c r="AE184" s="279">
        <f t="shared" si="64"/>
        <v>0</v>
      </c>
      <c r="AF184" s="279">
        <f t="shared" si="64"/>
        <v>5572</v>
      </c>
      <c r="AG184" s="283">
        <f t="shared" si="64"/>
        <v>5572</v>
      </c>
      <c r="AH184" s="71">
        <f t="shared" si="8"/>
        <v>0</v>
      </c>
    </row>
    <row r="185" spans="1:34" x14ac:dyDescent="0.25">
      <c r="A185" s="71">
        <v>12</v>
      </c>
      <c r="B185" s="223" t="str">
        <f t="shared" ref="B185:AG185" si="65">B63</f>
        <v>SERVICES INDUSTRIELS DU TRAVAIL DES META</v>
      </c>
      <c r="C185" s="277" t="str">
        <f t="shared" si="65"/>
        <v xml:space="preserve">GF54 </v>
      </c>
      <c r="D185" s="278">
        <f t="shared" si="65"/>
        <v>28770</v>
      </c>
      <c r="E185" s="220">
        <f t="shared" si="65"/>
        <v>0</v>
      </c>
      <c r="F185" s="220">
        <f t="shared" si="65"/>
        <v>0</v>
      </c>
      <c r="G185" s="220">
        <f t="shared" si="65"/>
        <v>0</v>
      </c>
      <c r="H185" s="279">
        <f t="shared" si="65"/>
        <v>28770</v>
      </c>
      <c r="I185" s="278">
        <f t="shared" si="65"/>
        <v>430</v>
      </c>
      <c r="J185" s="220">
        <f t="shared" si="65"/>
        <v>0</v>
      </c>
      <c r="K185" s="220">
        <f t="shared" si="65"/>
        <v>20</v>
      </c>
      <c r="L185" s="220">
        <f t="shared" si="65"/>
        <v>20</v>
      </c>
      <c r="M185" s="280">
        <f t="shared" si="65"/>
        <v>0</v>
      </c>
      <c r="N185" s="279">
        <f t="shared" si="65"/>
        <v>29220</v>
      </c>
      <c r="O185" s="281">
        <f t="shared" si="65"/>
        <v>0</v>
      </c>
      <c r="P185" s="281">
        <f t="shared" si="65"/>
        <v>0</v>
      </c>
      <c r="Q185" s="281">
        <f t="shared" si="65"/>
        <v>0</v>
      </c>
      <c r="R185" s="281">
        <f t="shared" si="65"/>
        <v>0</v>
      </c>
      <c r="S185" s="281">
        <f t="shared" si="65"/>
        <v>0</v>
      </c>
      <c r="T185" s="279">
        <f t="shared" si="65"/>
        <v>0</v>
      </c>
      <c r="U185" s="281">
        <f t="shared" si="65"/>
        <v>3417</v>
      </c>
      <c r="V185" s="281">
        <f t="shared" si="65"/>
        <v>0</v>
      </c>
      <c r="W185" s="281">
        <f t="shared" si="65"/>
        <v>0</v>
      </c>
      <c r="X185" s="281">
        <f t="shared" si="65"/>
        <v>0</v>
      </c>
      <c r="Y185" s="281">
        <f t="shared" si="65"/>
        <v>0</v>
      </c>
      <c r="Z185" s="279">
        <f t="shared" si="65"/>
        <v>3417</v>
      </c>
      <c r="AA185" s="282">
        <f t="shared" si="65"/>
        <v>0</v>
      </c>
      <c r="AB185" s="282">
        <f t="shared" si="65"/>
        <v>0</v>
      </c>
      <c r="AC185" s="282">
        <f t="shared" si="65"/>
        <v>3417</v>
      </c>
      <c r="AD185" s="282">
        <f t="shared" si="65"/>
        <v>0</v>
      </c>
      <c r="AE185" s="279">
        <f t="shared" si="65"/>
        <v>3417</v>
      </c>
      <c r="AF185" s="279">
        <f t="shared" si="65"/>
        <v>25803</v>
      </c>
      <c r="AG185" s="283">
        <f t="shared" si="65"/>
        <v>29220</v>
      </c>
      <c r="AH185" s="71">
        <f t="shared" si="8"/>
        <v>0</v>
      </c>
    </row>
    <row r="186" spans="1:34" x14ac:dyDescent="0.25">
      <c r="A186" s="71">
        <v>12</v>
      </c>
      <c r="B186" s="223" t="str">
        <f t="shared" ref="B186:AG186" si="66">B64</f>
        <v>FABRICATION DE PRODUITS METALLIQUES</v>
      </c>
      <c r="C186" s="277" t="str">
        <f t="shared" si="66"/>
        <v xml:space="preserve">GF55 </v>
      </c>
      <c r="D186" s="278">
        <f t="shared" si="66"/>
        <v>13506</v>
      </c>
      <c r="E186" s="220">
        <f t="shared" si="66"/>
        <v>8507</v>
      </c>
      <c r="F186" s="220">
        <f t="shared" si="66"/>
        <v>0</v>
      </c>
      <c r="G186" s="220">
        <f t="shared" si="66"/>
        <v>0</v>
      </c>
      <c r="H186" s="279">
        <f t="shared" si="66"/>
        <v>22013</v>
      </c>
      <c r="I186" s="278">
        <f t="shared" si="66"/>
        <v>6411</v>
      </c>
      <c r="J186" s="220">
        <f t="shared" si="66"/>
        <v>1659</v>
      </c>
      <c r="K186" s="220">
        <f t="shared" si="66"/>
        <v>705</v>
      </c>
      <c r="L186" s="220">
        <f t="shared" si="66"/>
        <v>672</v>
      </c>
      <c r="M186" s="280">
        <f t="shared" si="66"/>
        <v>0</v>
      </c>
      <c r="N186" s="279">
        <f t="shared" si="66"/>
        <v>30788</v>
      </c>
      <c r="O186" s="281">
        <f t="shared" si="66"/>
        <v>4445</v>
      </c>
      <c r="P186" s="281">
        <f t="shared" si="66"/>
        <v>0</v>
      </c>
      <c r="Q186" s="281">
        <f t="shared" si="66"/>
        <v>0</v>
      </c>
      <c r="R186" s="281">
        <f t="shared" si="66"/>
        <v>0</v>
      </c>
      <c r="S186" s="281">
        <f t="shared" si="66"/>
        <v>0</v>
      </c>
      <c r="T186" s="279">
        <f t="shared" si="66"/>
        <v>4445</v>
      </c>
      <c r="U186" s="281">
        <f t="shared" si="66"/>
        <v>0</v>
      </c>
      <c r="V186" s="281">
        <f t="shared" si="66"/>
        <v>0</v>
      </c>
      <c r="W186" s="281">
        <f t="shared" si="66"/>
        <v>15</v>
      </c>
      <c r="X186" s="281">
        <f t="shared" si="66"/>
        <v>0</v>
      </c>
      <c r="Y186" s="281">
        <f t="shared" si="66"/>
        <v>0</v>
      </c>
      <c r="Z186" s="279">
        <f t="shared" si="66"/>
        <v>15</v>
      </c>
      <c r="AA186" s="282">
        <f t="shared" si="66"/>
        <v>0</v>
      </c>
      <c r="AB186" s="282">
        <f t="shared" si="66"/>
        <v>130</v>
      </c>
      <c r="AC186" s="282">
        <f t="shared" si="66"/>
        <v>145</v>
      </c>
      <c r="AD186" s="282">
        <f t="shared" si="66"/>
        <v>7331</v>
      </c>
      <c r="AE186" s="279">
        <f t="shared" si="66"/>
        <v>11921</v>
      </c>
      <c r="AF186" s="279">
        <f t="shared" si="66"/>
        <v>18867</v>
      </c>
      <c r="AG186" s="283">
        <f t="shared" si="66"/>
        <v>30788</v>
      </c>
      <c r="AH186" s="71">
        <f t="shared" si="8"/>
        <v>0</v>
      </c>
    </row>
    <row r="187" spans="1:34" x14ac:dyDescent="0.25">
      <c r="A187" s="71">
        <v>12</v>
      </c>
      <c r="B187" s="223" t="str">
        <f t="shared" ref="B187:AG187" si="67">B65</f>
        <v>RECUPERATION</v>
      </c>
      <c r="C187" s="277" t="str">
        <f t="shared" si="67"/>
        <v xml:space="preserve">GF56 </v>
      </c>
      <c r="D187" s="278">
        <f t="shared" si="67"/>
        <v>0</v>
      </c>
      <c r="E187" s="220">
        <f t="shared" si="67"/>
        <v>0</v>
      </c>
      <c r="F187" s="220">
        <f t="shared" si="67"/>
        <v>0</v>
      </c>
      <c r="G187" s="220">
        <f t="shared" si="67"/>
        <v>0</v>
      </c>
      <c r="H187" s="279">
        <f t="shared" si="67"/>
        <v>0</v>
      </c>
      <c r="I187" s="278">
        <f t="shared" si="67"/>
        <v>0</v>
      </c>
      <c r="J187" s="220">
        <f t="shared" si="67"/>
        <v>0</v>
      </c>
      <c r="K187" s="220">
        <f t="shared" si="67"/>
        <v>0</v>
      </c>
      <c r="L187" s="220">
        <f t="shared" si="67"/>
        <v>0</v>
      </c>
      <c r="M187" s="280">
        <f t="shared" si="67"/>
        <v>0</v>
      </c>
      <c r="N187" s="279">
        <f t="shared" si="67"/>
        <v>0</v>
      </c>
      <c r="O187" s="281">
        <f t="shared" si="67"/>
        <v>0</v>
      </c>
      <c r="P187" s="281">
        <f t="shared" si="67"/>
        <v>0</v>
      </c>
      <c r="Q187" s="281">
        <f t="shared" si="67"/>
        <v>0</v>
      </c>
      <c r="R187" s="281">
        <f t="shared" si="67"/>
        <v>0</v>
      </c>
      <c r="S187" s="281">
        <f t="shared" si="67"/>
        <v>0</v>
      </c>
      <c r="T187" s="279">
        <f t="shared" si="67"/>
        <v>0</v>
      </c>
      <c r="U187" s="281">
        <f t="shared" si="67"/>
        <v>0</v>
      </c>
      <c r="V187" s="281">
        <f t="shared" si="67"/>
        <v>0</v>
      </c>
      <c r="W187" s="281">
        <f t="shared" si="67"/>
        <v>0</v>
      </c>
      <c r="X187" s="281">
        <f t="shared" si="67"/>
        <v>0</v>
      </c>
      <c r="Y187" s="281">
        <f t="shared" si="67"/>
        <v>0</v>
      </c>
      <c r="Z187" s="279">
        <f t="shared" si="67"/>
        <v>0</v>
      </c>
      <c r="AA187" s="282">
        <f t="shared" si="67"/>
        <v>0</v>
      </c>
      <c r="AB187" s="282">
        <f t="shared" si="67"/>
        <v>0</v>
      </c>
      <c r="AC187" s="282">
        <f t="shared" si="67"/>
        <v>0</v>
      </c>
      <c r="AD187" s="282">
        <f t="shared" si="67"/>
        <v>0</v>
      </c>
      <c r="AE187" s="279">
        <f t="shared" si="67"/>
        <v>0</v>
      </c>
      <c r="AF187" s="279">
        <f t="shared" si="67"/>
        <v>0</v>
      </c>
      <c r="AG187" s="283">
        <f t="shared" si="67"/>
        <v>0</v>
      </c>
      <c r="AH187" s="71">
        <f t="shared" si="8"/>
        <v>0</v>
      </c>
    </row>
    <row r="188" spans="1:34" x14ac:dyDescent="0.25">
      <c r="A188" s="71">
        <v>12</v>
      </c>
      <c r="B188" s="223" t="str">
        <f t="shared" ref="B188:AG188" si="68">B66</f>
        <v>FABRICATION DE MATERIEL ELECTRIQUE</v>
      </c>
      <c r="C188" s="277" t="str">
        <f t="shared" si="68"/>
        <v xml:space="preserve">GF61 </v>
      </c>
      <c r="D188" s="278">
        <f t="shared" si="68"/>
        <v>22509</v>
      </c>
      <c r="E188" s="220">
        <f t="shared" si="68"/>
        <v>11409</v>
      </c>
      <c r="F188" s="220">
        <f t="shared" si="68"/>
        <v>0</v>
      </c>
      <c r="G188" s="220">
        <f t="shared" si="68"/>
        <v>0</v>
      </c>
      <c r="H188" s="279">
        <f t="shared" si="68"/>
        <v>33918</v>
      </c>
      <c r="I188" s="278">
        <f t="shared" si="68"/>
        <v>2023</v>
      </c>
      <c r="J188" s="220">
        <f t="shared" si="68"/>
        <v>535</v>
      </c>
      <c r="K188" s="220">
        <f t="shared" si="68"/>
        <v>898</v>
      </c>
      <c r="L188" s="220">
        <f t="shared" si="68"/>
        <v>845</v>
      </c>
      <c r="M188" s="280">
        <f t="shared" si="68"/>
        <v>0</v>
      </c>
      <c r="N188" s="279">
        <f t="shared" si="68"/>
        <v>37374</v>
      </c>
      <c r="O188" s="281">
        <f t="shared" si="68"/>
        <v>5058</v>
      </c>
      <c r="P188" s="281">
        <f t="shared" si="68"/>
        <v>0</v>
      </c>
      <c r="Q188" s="281">
        <f t="shared" si="68"/>
        <v>0</v>
      </c>
      <c r="R188" s="281">
        <f t="shared" si="68"/>
        <v>0</v>
      </c>
      <c r="S188" s="281">
        <f t="shared" si="68"/>
        <v>0</v>
      </c>
      <c r="T188" s="279">
        <f t="shared" si="68"/>
        <v>5058</v>
      </c>
      <c r="U188" s="281">
        <f t="shared" si="68"/>
        <v>2390</v>
      </c>
      <c r="V188" s="281">
        <f t="shared" si="68"/>
        <v>0</v>
      </c>
      <c r="W188" s="281">
        <f t="shared" si="68"/>
        <v>0</v>
      </c>
      <c r="X188" s="281">
        <f t="shared" si="68"/>
        <v>6</v>
      </c>
      <c r="Y188" s="281">
        <f t="shared" si="68"/>
        <v>0</v>
      </c>
      <c r="Z188" s="279">
        <f t="shared" si="68"/>
        <v>2396</v>
      </c>
      <c r="AA188" s="282">
        <f t="shared" si="68"/>
        <v>0</v>
      </c>
      <c r="AB188" s="282">
        <f t="shared" si="68"/>
        <v>197</v>
      </c>
      <c r="AC188" s="282">
        <f t="shared" si="68"/>
        <v>2593</v>
      </c>
      <c r="AD188" s="282">
        <f t="shared" si="68"/>
        <v>12717</v>
      </c>
      <c r="AE188" s="279">
        <f t="shared" si="68"/>
        <v>20368</v>
      </c>
      <c r="AF188" s="279">
        <f t="shared" si="68"/>
        <v>17006</v>
      </c>
      <c r="AG188" s="283">
        <f t="shared" si="68"/>
        <v>37374</v>
      </c>
      <c r="AH188" s="71">
        <f t="shared" si="8"/>
        <v>0</v>
      </c>
    </row>
    <row r="189" spans="1:34" x14ac:dyDescent="0.25">
      <c r="A189" s="71">
        <v>12</v>
      </c>
      <c r="B189" s="223" t="str">
        <f t="shared" ref="B189:AG189" si="69">B67</f>
        <v>FABRICATION DE COMPOSANTS ELECTRONIQUES</v>
      </c>
      <c r="C189" s="277" t="str">
        <f t="shared" si="69"/>
        <v xml:space="preserve">GF62 </v>
      </c>
      <c r="D189" s="278">
        <f t="shared" si="69"/>
        <v>10364</v>
      </c>
      <c r="E189" s="220">
        <f t="shared" si="69"/>
        <v>6170</v>
      </c>
      <c r="F189" s="220">
        <f t="shared" si="69"/>
        <v>0</v>
      </c>
      <c r="G189" s="220">
        <f t="shared" si="69"/>
        <v>0</v>
      </c>
      <c r="H189" s="279">
        <f t="shared" si="69"/>
        <v>16534</v>
      </c>
      <c r="I189" s="278">
        <f t="shared" si="69"/>
        <v>2893</v>
      </c>
      <c r="J189" s="220">
        <f t="shared" si="69"/>
        <v>153</v>
      </c>
      <c r="K189" s="220">
        <f t="shared" si="69"/>
        <v>42</v>
      </c>
      <c r="L189" s="220">
        <f t="shared" si="69"/>
        <v>36</v>
      </c>
      <c r="M189" s="280">
        <f t="shared" si="69"/>
        <v>0</v>
      </c>
      <c r="N189" s="279">
        <f t="shared" si="69"/>
        <v>19622</v>
      </c>
      <c r="O189" s="281">
        <f t="shared" si="69"/>
        <v>21</v>
      </c>
      <c r="P189" s="281">
        <f t="shared" si="69"/>
        <v>0</v>
      </c>
      <c r="Q189" s="281">
        <f t="shared" si="69"/>
        <v>0</v>
      </c>
      <c r="R189" s="281">
        <f t="shared" si="69"/>
        <v>0</v>
      </c>
      <c r="S189" s="281">
        <f t="shared" si="69"/>
        <v>0</v>
      </c>
      <c r="T189" s="279">
        <f t="shared" si="69"/>
        <v>21</v>
      </c>
      <c r="U189" s="281">
        <f t="shared" si="69"/>
        <v>8</v>
      </c>
      <c r="V189" s="281">
        <f t="shared" si="69"/>
        <v>0</v>
      </c>
      <c r="W189" s="281">
        <f t="shared" si="69"/>
        <v>0</v>
      </c>
      <c r="X189" s="281">
        <f t="shared" si="69"/>
        <v>0</v>
      </c>
      <c r="Y189" s="281">
        <f t="shared" si="69"/>
        <v>0</v>
      </c>
      <c r="Z189" s="279">
        <f t="shared" si="69"/>
        <v>8</v>
      </c>
      <c r="AA189" s="282">
        <f t="shared" si="69"/>
        <v>0</v>
      </c>
      <c r="AB189" s="282">
        <f t="shared" si="69"/>
        <v>26</v>
      </c>
      <c r="AC189" s="282">
        <f t="shared" si="69"/>
        <v>34</v>
      </c>
      <c r="AD189" s="282">
        <f t="shared" si="69"/>
        <v>7440</v>
      </c>
      <c r="AE189" s="279">
        <f t="shared" si="69"/>
        <v>7495</v>
      </c>
      <c r="AF189" s="279">
        <f t="shared" si="69"/>
        <v>12127</v>
      </c>
      <c r="AG189" s="283">
        <f t="shared" si="69"/>
        <v>19622</v>
      </c>
      <c r="AH189" s="71">
        <f t="shared" si="8"/>
        <v>0</v>
      </c>
    </row>
    <row r="190" spans="1:34" s="247" customFormat="1" x14ac:dyDescent="0.25">
      <c r="A190" s="259">
        <v>21</v>
      </c>
      <c r="B190" s="260" t="str">
        <f t="shared" ref="B190:AG190" si="70">B68</f>
        <v>EXTRACTION ET AGGLOMERATION DE LA HOUILL</v>
      </c>
      <c r="C190" s="261" t="str">
        <f t="shared" si="70"/>
        <v xml:space="preserve">GG11 </v>
      </c>
      <c r="D190" s="262">
        <f t="shared" si="70"/>
        <v>131</v>
      </c>
      <c r="E190" s="263">
        <f t="shared" si="70"/>
        <v>1561</v>
      </c>
      <c r="F190" s="263">
        <f t="shared" si="70"/>
        <v>0</v>
      </c>
      <c r="G190" s="263">
        <f t="shared" si="70"/>
        <v>0</v>
      </c>
      <c r="H190" s="258">
        <f t="shared" si="70"/>
        <v>1692</v>
      </c>
      <c r="I190" s="262">
        <f t="shared" si="70"/>
        <v>67</v>
      </c>
      <c r="J190" s="263">
        <f t="shared" si="70"/>
        <v>65</v>
      </c>
      <c r="K190" s="263">
        <f t="shared" si="70"/>
        <v>34</v>
      </c>
      <c r="L190" s="263">
        <f t="shared" si="70"/>
        <v>28</v>
      </c>
      <c r="M190" s="264">
        <f t="shared" si="70"/>
        <v>0</v>
      </c>
      <c r="N190" s="258">
        <f t="shared" si="70"/>
        <v>1858</v>
      </c>
      <c r="O190" s="256">
        <f t="shared" si="70"/>
        <v>65</v>
      </c>
      <c r="P190" s="256">
        <f t="shared" si="70"/>
        <v>0</v>
      </c>
      <c r="Q190" s="256">
        <f t="shared" si="70"/>
        <v>0</v>
      </c>
      <c r="R190" s="256">
        <f t="shared" si="70"/>
        <v>0</v>
      </c>
      <c r="S190" s="256">
        <f t="shared" si="70"/>
        <v>0</v>
      </c>
      <c r="T190" s="258">
        <f t="shared" si="70"/>
        <v>65</v>
      </c>
      <c r="U190" s="256">
        <f t="shared" si="70"/>
        <v>0</v>
      </c>
      <c r="V190" s="256">
        <f t="shared" si="70"/>
        <v>0</v>
      </c>
      <c r="W190" s="256">
        <f t="shared" si="70"/>
        <v>0</v>
      </c>
      <c r="X190" s="256">
        <f t="shared" si="70"/>
        <v>0</v>
      </c>
      <c r="Y190" s="256">
        <f t="shared" si="70"/>
        <v>0</v>
      </c>
      <c r="Z190" s="258">
        <f t="shared" si="70"/>
        <v>0</v>
      </c>
      <c r="AA190" s="265">
        <f t="shared" si="70"/>
        <v>0</v>
      </c>
      <c r="AB190" s="265">
        <f t="shared" si="70"/>
        <v>-26</v>
      </c>
      <c r="AC190" s="265">
        <f t="shared" si="70"/>
        <v>-26</v>
      </c>
      <c r="AD190" s="265">
        <f t="shared" si="70"/>
        <v>12</v>
      </c>
      <c r="AE190" s="258">
        <f t="shared" si="70"/>
        <v>51</v>
      </c>
      <c r="AF190" s="258">
        <f t="shared" si="70"/>
        <v>1807</v>
      </c>
      <c r="AG190" s="247">
        <f t="shared" si="70"/>
        <v>1858</v>
      </c>
      <c r="AH190" s="259">
        <f t="shared" si="8"/>
        <v>0</v>
      </c>
    </row>
    <row r="191" spans="1:34" s="374" customFormat="1" x14ac:dyDescent="0.25">
      <c r="A191" s="134" t="s">
        <v>759</v>
      </c>
      <c r="B191" s="375" t="str">
        <f t="shared" ref="B191:AG191" si="71">B69</f>
        <v>EXTRACTION D HYDROCARBURES  SERVICES ANN</v>
      </c>
      <c r="C191" s="376" t="str">
        <f t="shared" si="71"/>
        <v xml:space="preserve">GG12 </v>
      </c>
      <c r="D191" s="377">
        <f t="shared" si="71"/>
        <v>562</v>
      </c>
      <c r="E191" s="378">
        <f t="shared" si="71"/>
        <v>43240</v>
      </c>
      <c r="F191" s="378">
        <f t="shared" si="71"/>
        <v>0</v>
      </c>
      <c r="G191" s="378">
        <f t="shared" si="71"/>
        <v>0</v>
      </c>
      <c r="H191" s="379">
        <f t="shared" si="71"/>
        <v>43802</v>
      </c>
      <c r="I191" s="377">
        <f t="shared" si="71"/>
        <v>42</v>
      </c>
      <c r="J191" s="378">
        <f t="shared" si="71"/>
        <v>50</v>
      </c>
      <c r="K191" s="378">
        <f t="shared" si="71"/>
        <v>22</v>
      </c>
      <c r="L191" s="378">
        <f t="shared" si="71"/>
        <v>0</v>
      </c>
      <c r="M191" s="380">
        <f t="shared" si="71"/>
        <v>0</v>
      </c>
      <c r="N191" s="379">
        <f t="shared" si="71"/>
        <v>43916</v>
      </c>
      <c r="O191" s="381">
        <f t="shared" si="71"/>
        <v>0</v>
      </c>
      <c r="P191" s="381">
        <f t="shared" si="71"/>
        <v>0</v>
      </c>
      <c r="Q191" s="381">
        <f t="shared" si="71"/>
        <v>0</v>
      </c>
      <c r="R191" s="381">
        <f t="shared" si="71"/>
        <v>0</v>
      </c>
      <c r="S191" s="381">
        <f t="shared" si="71"/>
        <v>0</v>
      </c>
      <c r="T191" s="379">
        <f t="shared" si="71"/>
        <v>0</v>
      </c>
      <c r="U191" s="381">
        <f t="shared" si="71"/>
        <v>0</v>
      </c>
      <c r="V191" s="381">
        <f t="shared" si="71"/>
        <v>0</v>
      </c>
      <c r="W191" s="381">
        <f t="shared" si="71"/>
        <v>0</v>
      </c>
      <c r="X191" s="381">
        <f t="shared" si="71"/>
        <v>0</v>
      </c>
      <c r="Y191" s="381">
        <f t="shared" si="71"/>
        <v>0</v>
      </c>
      <c r="Z191" s="379">
        <f t="shared" si="71"/>
        <v>0</v>
      </c>
      <c r="AA191" s="382">
        <f t="shared" si="71"/>
        <v>0</v>
      </c>
      <c r="AB191" s="382">
        <f t="shared" si="71"/>
        <v>-9</v>
      </c>
      <c r="AC191" s="382">
        <f t="shared" si="71"/>
        <v>-9</v>
      </c>
      <c r="AD191" s="382">
        <f t="shared" si="71"/>
        <v>1775</v>
      </c>
      <c r="AE191" s="379">
        <f t="shared" si="71"/>
        <v>1766</v>
      </c>
      <c r="AF191" s="379">
        <f t="shared" si="71"/>
        <v>42150</v>
      </c>
      <c r="AG191" s="383">
        <f t="shared" si="71"/>
        <v>43916</v>
      </c>
      <c r="AH191" s="134">
        <f t="shared" si="8"/>
        <v>0</v>
      </c>
    </row>
    <row r="192" spans="1:34" x14ac:dyDescent="0.25">
      <c r="A192" s="71">
        <v>12</v>
      </c>
      <c r="B192" s="223" t="str">
        <f t="shared" ref="B192:AG192" si="72">B70</f>
        <v>EXTRACTION DE MINERAIS D URANIUM</v>
      </c>
      <c r="C192" s="277" t="str">
        <f t="shared" si="72"/>
        <v xml:space="preserve">GG13 </v>
      </c>
      <c r="D192" s="278">
        <f t="shared" si="72"/>
        <v>0</v>
      </c>
      <c r="E192" s="220">
        <f t="shared" si="72"/>
        <v>2</v>
      </c>
      <c r="F192" s="220">
        <f t="shared" si="72"/>
        <v>0</v>
      </c>
      <c r="G192" s="220">
        <f t="shared" si="72"/>
        <v>0</v>
      </c>
      <c r="H192" s="279">
        <f t="shared" si="72"/>
        <v>2</v>
      </c>
      <c r="I192" s="278">
        <f t="shared" si="72"/>
        <v>0</v>
      </c>
      <c r="J192" s="220">
        <f t="shared" si="72"/>
        <v>0</v>
      </c>
      <c r="K192" s="220">
        <f t="shared" si="72"/>
        <v>0</v>
      </c>
      <c r="L192" s="220">
        <f t="shared" si="72"/>
        <v>0</v>
      </c>
      <c r="M192" s="280">
        <f t="shared" si="72"/>
        <v>0</v>
      </c>
      <c r="N192" s="279">
        <f t="shared" si="72"/>
        <v>2</v>
      </c>
      <c r="O192" s="281">
        <f t="shared" si="72"/>
        <v>0</v>
      </c>
      <c r="P192" s="281">
        <f t="shared" si="72"/>
        <v>0</v>
      </c>
      <c r="Q192" s="281">
        <f t="shared" si="72"/>
        <v>0</v>
      </c>
      <c r="R192" s="281">
        <f t="shared" si="72"/>
        <v>0</v>
      </c>
      <c r="S192" s="281">
        <f t="shared" si="72"/>
        <v>0</v>
      </c>
      <c r="T192" s="279">
        <f t="shared" si="72"/>
        <v>0</v>
      </c>
      <c r="U192" s="281">
        <f t="shared" si="72"/>
        <v>0</v>
      </c>
      <c r="V192" s="281">
        <f t="shared" si="72"/>
        <v>0</v>
      </c>
      <c r="W192" s="281">
        <f t="shared" si="72"/>
        <v>0</v>
      </c>
      <c r="X192" s="281">
        <f t="shared" si="72"/>
        <v>0</v>
      </c>
      <c r="Y192" s="281">
        <f t="shared" si="72"/>
        <v>0</v>
      </c>
      <c r="Z192" s="279">
        <f t="shared" si="72"/>
        <v>0</v>
      </c>
      <c r="AA192" s="282">
        <f t="shared" si="72"/>
        <v>0</v>
      </c>
      <c r="AB192" s="282">
        <f t="shared" si="72"/>
        <v>0</v>
      </c>
      <c r="AC192" s="282">
        <f t="shared" si="72"/>
        <v>0</v>
      </c>
      <c r="AD192" s="282">
        <f t="shared" si="72"/>
        <v>0</v>
      </c>
      <c r="AE192" s="279">
        <f t="shared" si="72"/>
        <v>0</v>
      </c>
      <c r="AF192" s="279">
        <f t="shared" si="72"/>
        <v>2</v>
      </c>
      <c r="AG192" s="283">
        <f t="shared" si="72"/>
        <v>2</v>
      </c>
      <c r="AH192" s="71">
        <f t="shared" ref="AH192:AH245" si="73">AG192-N192</f>
        <v>0</v>
      </c>
    </row>
    <row r="193" spans="1:34" x14ac:dyDescent="0.25">
      <c r="A193" s="71">
        <v>12</v>
      </c>
      <c r="B193" s="223" t="str">
        <f t="shared" ref="B193:AG193" si="74">B71</f>
        <v>COKEFACTION ET INDUSTRIE NUCLEAIRE</v>
      </c>
      <c r="C193" s="277" t="str">
        <f t="shared" si="74"/>
        <v xml:space="preserve">GG14 </v>
      </c>
      <c r="D193" s="278">
        <f t="shared" si="74"/>
        <v>4049</v>
      </c>
      <c r="E193" s="220">
        <f t="shared" si="74"/>
        <v>2031</v>
      </c>
      <c r="F193" s="220">
        <f t="shared" si="74"/>
        <v>0</v>
      </c>
      <c r="G193" s="220">
        <f t="shared" si="74"/>
        <v>0</v>
      </c>
      <c r="H193" s="279">
        <f t="shared" si="74"/>
        <v>6080</v>
      </c>
      <c r="I193" s="278">
        <f t="shared" si="74"/>
        <v>0</v>
      </c>
      <c r="J193" s="220">
        <f t="shared" si="74"/>
        <v>14</v>
      </c>
      <c r="K193" s="220">
        <f t="shared" si="74"/>
        <v>42</v>
      </c>
      <c r="L193" s="220">
        <f t="shared" si="74"/>
        <v>42</v>
      </c>
      <c r="M193" s="280">
        <f t="shared" si="74"/>
        <v>0</v>
      </c>
      <c r="N193" s="279">
        <f t="shared" si="74"/>
        <v>6136</v>
      </c>
      <c r="O193" s="281">
        <f t="shared" si="74"/>
        <v>1</v>
      </c>
      <c r="P193" s="281">
        <f t="shared" si="74"/>
        <v>0</v>
      </c>
      <c r="Q193" s="281">
        <f t="shared" si="74"/>
        <v>0</v>
      </c>
      <c r="R193" s="281">
        <f t="shared" si="74"/>
        <v>0</v>
      </c>
      <c r="S193" s="281">
        <f t="shared" si="74"/>
        <v>0</v>
      </c>
      <c r="T193" s="279">
        <f t="shared" si="74"/>
        <v>1</v>
      </c>
      <c r="U193" s="281">
        <f t="shared" si="74"/>
        <v>0</v>
      </c>
      <c r="V193" s="281">
        <f t="shared" si="74"/>
        <v>0</v>
      </c>
      <c r="W193" s="281">
        <f t="shared" si="74"/>
        <v>0</v>
      </c>
      <c r="X193" s="281">
        <f t="shared" si="74"/>
        <v>0</v>
      </c>
      <c r="Y193" s="281">
        <f t="shared" si="74"/>
        <v>0</v>
      </c>
      <c r="Z193" s="279">
        <f t="shared" si="74"/>
        <v>0</v>
      </c>
      <c r="AA193" s="282">
        <f t="shared" si="74"/>
        <v>0</v>
      </c>
      <c r="AB193" s="282">
        <f t="shared" si="74"/>
        <v>0</v>
      </c>
      <c r="AC193" s="282">
        <f t="shared" si="74"/>
        <v>0</v>
      </c>
      <c r="AD193" s="282">
        <f t="shared" si="74"/>
        <v>1584</v>
      </c>
      <c r="AE193" s="279">
        <f t="shared" si="74"/>
        <v>1585</v>
      </c>
      <c r="AF193" s="279">
        <f t="shared" si="74"/>
        <v>4551</v>
      </c>
      <c r="AG193" s="283">
        <f t="shared" si="74"/>
        <v>6136</v>
      </c>
      <c r="AH193" s="71">
        <f t="shared" si="73"/>
        <v>0</v>
      </c>
    </row>
    <row r="194" spans="1:34" s="384" customFormat="1" x14ac:dyDescent="0.25">
      <c r="A194" s="393">
        <v>122</v>
      </c>
      <c r="B194" s="385" t="str">
        <f t="shared" ref="B194:AG194" si="75">B72</f>
        <v>RAFFINAGE DE PETROLE</v>
      </c>
      <c r="C194" s="386" t="str">
        <f t="shared" si="75"/>
        <v xml:space="preserve">GG15 </v>
      </c>
      <c r="D194" s="387">
        <f t="shared" si="75"/>
        <v>49961</v>
      </c>
      <c r="E194" s="388">
        <f t="shared" si="75"/>
        <v>17560</v>
      </c>
      <c r="F194" s="388">
        <f t="shared" si="75"/>
        <v>0</v>
      </c>
      <c r="G194" s="388">
        <f t="shared" si="75"/>
        <v>0</v>
      </c>
      <c r="H194" s="389">
        <f t="shared" si="75"/>
        <v>67521</v>
      </c>
      <c r="I194" s="387">
        <f t="shared" si="75"/>
        <v>13188</v>
      </c>
      <c r="J194" s="388">
        <f t="shared" si="75"/>
        <v>2468</v>
      </c>
      <c r="K194" s="388">
        <f t="shared" si="75"/>
        <v>34305</v>
      </c>
      <c r="L194" s="388">
        <f t="shared" si="75"/>
        <v>9330</v>
      </c>
      <c r="M194" s="390">
        <f t="shared" si="75"/>
        <v>0</v>
      </c>
      <c r="N194" s="389">
        <f t="shared" si="75"/>
        <v>117482</v>
      </c>
      <c r="O194" s="391">
        <f t="shared" si="75"/>
        <v>43742</v>
      </c>
      <c r="P194" s="391">
        <f t="shared" si="75"/>
        <v>0</v>
      </c>
      <c r="Q194" s="391">
        <f t="shared" si="75"/>
        <v>0</v>
      </c>
      <c r="R194" s="391">
        <f t="shared" si="75"/>
        <v>0</v>
      </c>
      <c r="S194" s="391">
        <f t="shared" si="75"/>
        <v>0</v>
      </c>
      <c r="T194" s="389">
        <f t="shared" si="75"/>
        <v>43742</v>
      </c>
      <c r="U194" s="391">
        <f t="shared" si="75"/>
        <v>0</v>
      </c>
      <c r="V194" s="391">
        <f t="shared" si="75"/>
        <v>0</v>
      </c>
      <c r="W194" s="391">
        <f t="shared" si="75"/>
        <v>0</v>
      </c>
      <c r="X194" s="391">
        <f t="shared" si="75"/>
        <v>0</v>
      </c>
      <c r="Y194" s="391">
        <f t="shared" si="75"/>
        <v>0</v>
      </c>
      <c r="Z194" s="389">
        <f t="shared" si="75"/>
        <v>0</v>
      </c>
      <c r="AA194" s="392">
        <f t="shared" si="75"/>
        <v>0</v>
      </c>
      <c r="AB194" s="392">
        <f t="shared" si="75"/>
        <v>-209</v>
      </c>
      <c r="AC194" s="392">
        <f t="shared" si="75"/>
        <v>-209</v>
      </c>
      <c r="AD194" s="392">
        <f t="shared" si="75"/>
        <v>12886</v>
      </c>
      <c r="AE194" s="389">
        <f t="shared" si="75"/>
        <v>56419</v>
      </c>
      <c r="AF194" s="389">
        <f t="shared" si="75"/>
        <v>61063</v>
      </c>
      <c r="AG194" s="384">
        <f t="shared" si="75"/>
        <v>117482</v>
      </c>
      <c r="AH194" s="393">
        <f t="shared" si="73"/>
        <v>0</v>
      </c>
    </row>
    <row r="195" spans="1:34" s="394" customFormat="1" x14ac:dyDescent="0.25">
      <c r="A195" s="403">
        <v>23</v>
      </c>
      <c r="B195" s="395" t="str">
        <f t="shared" ref="B195:AG195" si="76">B73</f>
        <v>PRODUCTION ET DISTRIBUTION D ELECTRICITE</v>
      </c>
      <c r="C195" s="396" t="str">
        <f t="shared" si="76"/>
        <v xml:space="preserve">GG2A </v>
      </c>
      <c r="D195" s="397">
        <f t="shared" si="76"/>
        <v>46037</v>
      </c>
      <c r="E195" s="398">
        <f t="shared" si="76"/>
        <v>548</v>
      </c>
      <c r="F195" s="398">
        <f t="shared" si="76"/>
        <v>0</v>
      </c>
      <c r="G195" s="398">
        <f t="shared" si="76"/>
        <v>0</v>
      </c>
      <c r="H195" s="399">
        <f t="shared" si="76"/>
        <v>46585</v>
      </c>
      <c r="I195" s="397">
        <f t="shared" si="76"/>
        <v>0</v>
      </c>
      <c r="J195" s="398">
        <f t="shared" si="76"/>
        <v>0</v>
      </c>
      <c r="K195" s="398">
        <f t="shared" si="76"/>
        <v>6640</v>
      </c>
      <c r="L195" s="398">
        <f t="shared" si="76"/>
        <v>3199</v>
      </c>
      <c r="M195" s="400">
        <f t="shared" si="76"/>
        <v>-1535</v>
      </c>
      <c r="N195" s="399">
        <f t="shared" si="76"/>
        <v>51690</v>
      </c>
      <c r="O195" s="401">
        <f t="shared" si="76"/>
        <v>17844</v>
      </c>
      <c r="P195" s="401">
        <f t="shared" si="76"/>
        <v>0</v>
      </c>
      <c r="Q195" s="401">
        <f t="shared" si="76"/>
        <v>0</v>
      </c>
      <c r="R195" s="401">
        <f t="shared" si="76"/>
        <v>0</v>
      </c>
      <c r="S195" s="401">
        <f t="shared" si="76"/>
        <v>0</v>
      </c>
      <c r="T195" s="399">
        <f t="shared" si="76"/>
        <v>17844</v>
      </c>
      <c r="U195" s="401">
        <f t="shared" si="76"/>
        <v>0</v>
      </c>
      <c r="V195" s="401">
        <f t="shared" si="76"/>
        <v>0</v>
      </c>
      <c r="W195" s="401">
        <f t="shared" si="76"/>
        <v>0</v>
      </c>
      <c r="X195" s="401">
        <f t="shared" si="76"/>
        <v>0</v>
      </c>
      <c r="Y195" s="401">
        <f t="shared" si="76"/>
        <v>0</v>
      </c>
      <c r="Z195" s="399">
        <f t="shared" si="76"/>
        <v>0</v>
      </c>
      <c r="AA195" s="402">
        <f t="shared" si="76"/>
        <v>0</v>
      </c>
      <c r="AB195" s="402">
        <f t="shared" si="76"/>
        <v>0</v>
      </c>
      <c r="AC195" s="402">
        <f t="shared" si="76"/>
        <v>0</v>
      </c>
      <c r="AD195" s="402">
        <f t="shared" si="76"/>
        <v>3122</v>
      </c>
      <c r="AE195" s="399">
        <f t="shared" si="76"/>
        <v>20966</v>
      </c>
      <c r="AF195" s="399">
        <f t="shared" si="76"/>
        <v>30724</v>
      </c>
      <c r="AG195" s="394">
        <f t="shared" si="76"/>
        <v>51690</v>
      </c>
      <c r="AH195" s="403">
        <f t="shared" si="73"/>
        <v>0</v>
      </c>
    </row>
    <row r="196" spans="1:34" s="404" customFormat="1" x14ac:dyDescent="0.25">
      <c r="A196" s="413">
        <v>124</v>
      </c>
      <c r="B196" s="405" t="str">
        <f t="shared" ref="B196:AG196" si="77">B74</f>
        <v>PRODUCTION ET DISTRIBUTION DE COMBUSTIBLE GAZEUX</v>
      </c>
      <c r="C196" s="406" t="str">
        <f t="shared" si="77"/>
        <v xml:space="preserve">GG2B </v>
      </c>
      <c r="D196" s="407">
        <f t="shared" si="77"/>
        <v>23843</v>
      </c>
      <c r="E196" s="408">
        <f t="shared" si="77"/>
        <v>0</v>
      </c>
      <c r="F196" s="408">
        <f t="shared" si="77"/>
        <v>0</v>
      </c>
      <c r="G196" s="408">
        <f t="shared" si="77"/>
        <v>0</v>
      </c>
      <c r="H196" s="409">
        <f t="shared" si="77"/>
        <v>23843</v>
      </c>
      <c r="I196" s="407">
        <f t="shared" si="77"/>
        <v>0</v>
      </c>
      <c r="J196" s="408">
        <f t="shared" si="77"/>
        <v>1626</v>
      </c>
      <c r="K196" s="408">
        <f t="shared" si="77"/>
        <v>2034</v>
      </c>
      <c r="L196" s="408">
        <f t="shared" si="77"/>
        <v>1827</v>
      </c>
      <c r="M196" s="410">
        <f t="shared" si="77"/>
        <v>0</v>
      </c>
      <c r="N196" s="409">
        <f t="shared" si="77"/>
        <v>27503</v>
      </c>
      <c r="O196" s="411">
        <f t="shared" si="77"/>
        <v>10467</v>
      </c>
      <c r="P196" s="411">
        <f t="shared" si="77"/>
        <v>0</v>
      </c>
      <c r="Q196" s="411">
        <f t="shared" si="77"/>
        <v>5</v>
      </c>
      <c r="R196" s="411">
        <f t="shared" si="77"/>
        <v>5</v>
      </c>
      <c r="S196" s="411">
        <f t="shared" si="77"/>
        <v>0</v>
      </c>
      <c r="T196" s="409">
        <f t="shared" si="77"/>
        <v>10472</v>
      </c>
      <c r="U196" s="411">
        <f t="shared" si="77"/>
        <v>0</v>
      </c>
      <c r="V196" s="411">
        <f t="shared" si="77"/>
        <v>0</v>
      </c>
      <c r="W196" s="411">
        <f t="shared" si="77"/>
        <v>0</v>
      </c>
      <c r="X196" s="411">
        <f t="shared" si="77"/>
        <v>0</v>
      </c>
      <c r="Y196" s="411">
        <f t="shared" si="77"/>
        <v>0</v>
      </c>
      <c r="Z196" s="409">
        <f t="shared" si="77"/>
        <v>0</v>
      </c>
      <c r="AA196" s="412">
        <f t="shared" si="77"/>
        <v>0</v>
      </c>
      <c r="AB196" s="412">
        <f t="shared" si="77"/>
        <v>0</v>
      </c>
      <c r="AC196" s="412">
        <f t="shared" si="77"/>
        <v>0</v>
      </c>
      <c r="AD196" s="412">
        <f t="shared" si="77"/>
        <v>0</v>
      </c>
      <c r="AE196" s="409">
        <f t="shared" si="77"/>
        <v>10472</v>
      </c>
      <c r="AF196" s="409">
        <f t="shared" si="77"/>
        <v>17031</v>
      </c>
      <c r="AG196" s="404">
        <f t="shared" si="77"/>
        <v>27503</v>
      </c>
      <c r="AH196" s="413">
        <f t="shared" si="73"/>
        <v>0</v>
      </c>
    </row>
    <row r="197" spans="1:34" x14ac:dyDescent="0.25">
      <c r="A197" s="71">
        <v>12</v>
      </c>
      <c r="B197" s="223" t="str">
        <f t="shared" ref="B197:AG197" si="78">B75</f>
        <v>CAPTAGE  TRAITEMENT ET DISTRIBUTION D EA</v>
      </c>
      <c r="C197" s="277" t="str">
        <f t="shared" si="78"/>
        <v xml:space="preserve">GG22 </v>
      </c>
      <c r="D197" s="278">
        <f t="shared" si="78"/>
        <v>8873</v>
      </c>
      <c r="E197" s="220">
        <f t="shared" si="78"/>
        <v>0</v>
      </c>
      <c r="F197" s="220">
        <f t="shared" si="78"/>
        <v>0</v>
      </c>
      <c r="G197" s="220">
        <f t="shared" si="78"/>
        <v>0</v>
      </c>
      <c r="H197" s="279">
        <f t="shared" si="78"/>
        <v>8873</v>
      </c>
      <c r="I197" s="278">
        <f t="shared" si="78"/>
        <v>0</v>
      </c>
      <c r="J197" s="220">
        <f t="shared" si="78"/>
        <v>0</v>
      </c>
      <c r="K197" s="220">
        <f t="shared" si="78"/>
        <v>581</v>
      </c>
      <c r="L197" s="220">
        <f t="shared" si="78"/>
        <v>262</v>
      </c>
      <c r="M197" s="280">
        <f t="shared" si="78"/>
        <v>0</v>
      </c>
      <c r="N197" s="279">
        <f t="shared" si="78"/>
        <v>9454</v>
      </c>
      <c r="O197" s="281">
        <f t="shared" si="78"/>
        <v>3879</v>
      </c>
      <c r="P197" s="281">
        <f t="shared" si="78"/>
        <v>0</v>
      </c>
      <c r="Q197" s="281">
        <f t="shared" si="78"/>
        <v>0</v>
      </c>
      <c r="R197" s="281">
        <f t="shared" si="78"/>
        <v>0</v>
      </c>
      <c r="S197" s="281">
        <f t="shared" si="78"/>
        <v>0</v>
      </c>
      <c r="T197" s="279">
        <f t="shared" si="78"/>
        <v>3879</v>
      </c>
      <c r="U197" s="281">
        <f t="shared" si="78"/>
        <v>0</v>
      </c>
      <c r="V197" s="281">
        <f t="shared" si="78"/>
        <v>0</v>
      </c>
      <c r="W197" s="281">
        <f t="shared" si="78"/>
        <v>0</v>
      </c>
      <c r="X197" s="281">
        <f t="shared" si="78"/>
        <v>0</v>
      </c>
      <c r="Y197" s="281">
        <f t="shared" si="78"/>
        <v>0</v>
      </c>
      <c r="Z197" s="279">
        <f t="shared" si="78"/>
        <v>0</v>
      </c>
      <c r="AA197" s="282">
        <f t="shared" si="78"/>
        <v>0</v>
      </c>
      <c r="AB197" s="282">
        <f t="shared" si="78"/>
        <v>0</v>
      </c>
      <c r="AC197" s="282">
        <f t="shared" si="78"/>
        <v>0</v>
      </c>
      <c r="AD197" s="282">
        <f t="shared" si="78"/>
        <v>0</v>
      </c>
      <c r="AE197" s="279">
        <f t="shared" si="78"/>
        <v>3879</v>
      </c>
      <c r="AF197" s="279">
        <f t="shared" si="78"/>
        <v>5575</v>
      </c>
      <c r="AG197" s="283">
        <f t="shared" si="78"/>
        <v>9454</v>
      </c>
      <c r="AH197" s="71">
        <f t="shared" si="73"/>
        <v>0</v>
      </c>
    </row>
    <row r="198" spans="1:34" s="414" customFormat="1" x14ac:dyDescent="0.25">
      <c r="A198" s="423">
        <v>13</v>
      </c>
      <c r="B198" s="415" t="str">
        <f t="shared" ref="B198:AG198" si="79">B76</f>
        <v>BATIMENT</v>
      </c>
      <c r="C198" s="416" t="str">
        <f t="shared" si="79"/>
        <v xml:space="preserve">GH01 </v>
      </c>
      <c r="D198" s="417">
        <f t="shared" si="79"/>
        <v>180449</v>
      </c>
      <c r="E198" s="418">
        <f t="shared" si="79"/>
        <v>0</v>
      </c>
      <c r="F198" s="418">
        <f t="shared" si="79"/>
        <v>0</v>
      </c>
      <c r="G198" s="418">
        <f t="shared" si="79"/>
        <v>0</v>
      </c>
      <c r="H198" s="419">
        <f t="shared" si="79"/>
        <v>180449</v>
      </c>
      <c r="I198" s="417">
        <f t="shared" si="79"/>
        <v>0</v>
      </c>
      <c r="J198" s="418">
        <f t="shared" si="79"/>
        <v>0</v>
      </c>
      <c r="K198" s="418">
        <f t="shared" si="79"/>
        <v>16902</v>
      </c>
      <c r="L198" s="418">
        <f t="shared" si="79"/>
        <v>16105</v>
      </c>
      <c r="M198" s="420">
        <f t="shared" si="79"/>
        <v>-69</v>
      </c>
      <c r="N198" s="419">
        <f t="shared" si="79"/>
        <v>197282</v>
      </c>
      <c r="O198" s="421">
        <f t="shared" si="79"/>
        <v>10499</v>
      </c>
      <c r="P198" s="421">
        <f t="shared" si="79"/>
        <v>0</v>
      </c>
      <c r="Q198" s="421">
        <f t="shared" si="79"/>
        <v>0</v>
      </c>
      <c r="R198" s="421">
        <f t="shared" si="79"/>
        <v>0</v>
      </c>
      <c r="S198" s="421">
        <f t="shared" si="79"/>
        <v>0</v>
      </c>
      <c r="T198" s="419">
        <f t="shared" si="79"/>
        <v>10499</v>
      </c>
      <c r="U198" s="421">
        <f t="shared" si="79"/>
        <v>30770</v>
      </c>
      <c r="V198" s="421">
        <f t="shared" si="79"/>
        <v>77701</v>
      </c>
      <c r="W198" s="421">
        <f t="shared" si="79"/>
        <v>8271</v>
      </c>
      <c r="X198" s="421">
        <f t="shared" si="79"/>
        <v>27710</v>
      </c>
      <c r="Y198" s="421">
        <f t="shared" si="79"/>
        <v>1303</v>
      </c>
      <c r="Z198" s="419">
        <f t="shared" si="79"/>
        <v>145755</v>
      </c>
      <c r="AA198" s="422">
        <f t="shared" si="79"/>
        <v>0</v>
      </c>
      <c r="AB198" s="422">
        <f t="shared" si="79"/>
        <v>0</v>
      </c>
      <c r="AC198" s="422">
        <f t="shared" si="79"/>
        <v>145755</v>
      </c>
      <c r="AD198" s="422">
        <f t="shared" si="79"/>
        <v>0</v>
      </c>
      <c r="AE198" s="419">
        <f t="shared" si="79"/>
        <v>156254</v>
      </c>
      <c r="AF198" s="419">
        <f t="shared" si="79"/>
        <v>41028</v>
      </c>
      <c r="AG198" s="414">
        <f t="shared" si="79"/>
        <v>197282</v>
      </c>
      <c r="AH198" s="423">
        <f t="shared" si="73"/>
        <v>0</v>
      </c>
    </row>
    <row r="199" spans="1:34" s="414" customFormat="1" x14ac:dyDescent="0.25">
      <c r="A199" s="423">
        <v>13</v>
      </c>
      <c r="B199" s="415" t="str">
        <f t="shared" ref="B199:AG199" si="80">B77</f>
        <v>TRAVAUX PUBLICS</v>
      </c>
      <c r="C199" s="416" t="str">
        <f t="shared" si="80"/>
        <v xml:space="preserve">GH02 </v>
      </c>
      <c r="D199" s="417">
        <f t="shared" si="80"/>
        <v>49282</v>
      </c>
      <c r="E199" s="418">
        <f t="shared" si="80"/>
        <v>0</v>
      </c>
      <c r="F199" s="418">
        <f t="shared" si="80"/>
        <v>0</v>
      </c>
      <c r="G199" s="418">
        <f t="shared" si="80"/>
        <v>0</v>
      </c>
      <c r="H199" s="419">
        <f t="shared" si="80"/>
        <v>49282</v>
      </c>
      <c r="I199" s="417">
        <f t="shared" si="80"/>
        <v>0</v>
      </c>
      <c r="J199" s="418">
        <f t="shared" si="80"/>
        <v>0</v>
      </c>
      <c r="K199" s="418">
        <f t="shared" si="80"/>
        <v>4840</v>
      </c>
      <c r="L199" s="418">
        <f t="shared" si="80"/>
        <v>4839</v>
      </c>
      <c r="M199" s="420">
        <f t="shared" si="80"/>
        <v>0</v>
      </c>
      <c r="N199" s="419">
        <f t="shared" si="80"/>
        <v>54122</v>
      </c>
      <c r="O199" s="421">
        <f t="shared" si="80"/>
        <v>0</v>
      </c>
      <c r="P199" s="421">
        <f t="shared" si="80"/>
        <v>0</v>
      </c>
      <c r="Q199" s="421">
        <f t="shared" si="80"/>
        <v>0</v>
      </c>
      <c r="R199" s="421">
        <f t="shared" si="80"/>
        <v>0</v>
      </c>
      <c r="S199" s="421">
        <f t="shared" si="80"/>
        <v>0</v>
      </c>
      <c r="T199" s="419">
        <f t="shared" si="80"/>
        <v>0</v>
      </c>
      <c r="U199" s="421">
        <f t="shared" si="80"/>
        <v>21129</v>
      </c>
      <c r="V199" s="421">
        <f t="shared" si="80"/>
        <v>2392</v>
      </c>
      <c r="W199" s="421">
        <f t="shared" si="80"/>
        <v>0</v>
      </c>
      <c r="X199" s="421">
        <f t="shared" si="80"/>
        <v>17118</v>
      </c>
      <c r="Y199" s="421">
        <f t="shared" si="80"/>
        <v>0</v>
      </c>
      <c r="Z199" s="419">
        <f t="shared" si="80"/>
        <v>40639</v>
      </c>
      <c r="AA199" s="422">
        <f t="shared" si="80"/>
        <v>0</v>
      </c>
      <c r="AB199" s="422">
        <f t="shared" si="80"/>
        <v>0</v>
      </c>
      <c r="AC199" s="422">
        <f t="shared" si="80"/>
        <v>40639</v>
      </c>
      <c r="AD199" s="422">
        <f t="shared" si="80"/>
        <v>0</v>
      </c>
      <c r="AE199" s="419">
        <f t="shared" si="80"/>
        <v>40639</v>
      </c>
      <c r="AF199" s="419">
        <f t="shared" si="80"/>
        <v>13483</v>
      </c>
      <c r="AG199" s="414">
        <f t="shared" si="80"/>
        <v>54122</v>
      </c>
      <c r="AH199" s="423">
        <f t="shared" si="73"/>
        <v>0</v>
      </c>
    </row>
    <row r="200" spans="1:34" x14ac:dyDescent="0.25">
      <c r="A200" s="477">
        <v>19</v>
      </c>
      <c r="B200" s="223" t="str">
        <f t="shared" ref="B200:AG200" si="81">B78</f>
        <v>COMMERCE ET REPARATION AUTOMOBILE</v>
      </c>
      <c r="C200" s="277" t="str">
        <f t="shared" si="81"/>
        <v xml:space="preserve">GJ10 </v>
      </c>
      <c r="D200" s="278">
        <f t="shared" si="81"/>
        <v>43521</v>
      </c>
      <c r="E200" s="220">
        <f t="shared" si="81"/>
        <v>0</v>
      </c>
      <c r="F200" s="220">
        <f t="shared" si="81"/>
        <v>0</v>
      </c>
      <c r="G200" s="220">
        <f t="shared" si="81"/>
        <v>0</v>
      </c>
      <c r="H200" s="279">
        <f t="shared" si="81"/>
        <v>43521</v>
      </c>
      <c r="I200" s="278">
        <f t="shared" si="81"/>
        <v>-23204</v>
      </c>
      <c r="J200" s="220">
        <f t="shared" si="81"/>
        <v>0</v>
      </c>
      <c r="K200" s="220">
        <f t="shared" si="81"/>
        <v>1258</v>
      </c>
      <c r="L200" s="220">
        <f t="shared" si="81"/>
        <v>1258</v>
      </c>
      <c r="M200" s="280">
        <f t="shared" si="81"/>
        <v>0</v>
      </c>
      <c r="N200" s="279">
        <f t="shared" si="81"/>
        <v>21575</v>
      </c>
      <c r="O200" s="281">
        <f t="shared" si="81"/>
        <v>17922</v>
      </c>
      <c r="P200" s="281">
        <f t="shared" si="81"/>
        <v>0</v>
      </c>
      <c r="Q200" s="281">
        <f t="shared" si="81"/>
        <v>0</v>
      </c>
      <c r="R200" s="281">
        <f t="shared" si="81"/>
        <v>0</v>
      </c>
      <c r="S200" s="281">
        <f t="shared" si="81"/>
        <v>0</v>
      </c>
      <c r="T200" s="279">
        <f t="shared" si="81"/>
        <v>17922</v>
      </c>
      <c r="U200" s="281">
        <f t="shared" si="81"/>
        <v>0</v>
      </c>
      <c r="V200" s="281">
        <f t="shared" si="81"/>
        <v>0</v>
      </c>
      <c r="W200" s="281">
        <f t="shared" si="81"/>
        <v>0</v>
      </c>
      <c r="X200" s="281">
        <f t="shared" si="81"/>
        <v>0</v>
      </c>
      <c r="Y200" s="281">
        <f t="shared" si="81"/>
        <v>0</v>
      </c>
      <c r="Z200" s="279">
        <f t="shared" si="81"/>
        <v>0</v>
      </c>
      <c r="AA200" s="282">
        <f t="shared" si="81"/>
        <v>0</v>
      </c>
      <c r="AB200" s="282">
        <f t="shared" si="81"/>
        <v>0</v>
      </c>
      <c r="AC200" s="282">
        <f t="shared" si="81"/>
        <v>0</v>
      </c>
      <c r="AD200" s="282">
        <f t="shared" si="81"/>
        <v>0</v>
      </c>
      <c r="AE200" s="279">
        <f t="shared" si="81"/>
        <v>17922</v>
      </c>
      <c r="AF200" s="279">
        <f t="shared" si="81"/>
        <v>3653</v>
      </c>
      <c r="AG200" s="283">
        <f t="shared" si="81"/>
        <v>21575</v>
      </c>
      <c r="AH200" s="71">
        <f t="shared" si="73"/>
        <v>0</v>
      </c>
    </row>
    <row r="201" spans="1:34" x14ac:dyDescent="0.25">
      <c r="A201" s="477">
        <v>19</v>
      </c>
      <c r="B201" s="223" t="str">
        <f t="shared" ref="B201:AG201" si="82">B79</f>
        <v>COMMERCE DE GROS  INTERMEDIAIRES</v>
      </c>
      <c r="C201" s="277" t="str">
        <f t="shared" si="82"/>
        <v xml:space="preserve">GJ20 </v>
      </c>
      <c r="D201" s="278">
        <f t="shared" si="82"/>
        <v>168677</v>
      </c>
      <c r="E201" s="220">
        <f t="shared" si="82"/>
        <v>0</v>
      </c>
      <c r="F201" s="220">
        <f t="shared" si="82"/>
        <v>4559</v>
      </c>
      <c r="G201" s="220">
        <f t="shared" si="82"/>
        <v>0</v>
      </c>
      <c r="H201" s="279">
        <f t="shared" si="82"/>
        <v>173236</v>
      </c>
      <c r="I201" s="278">
        <f t="shared" si="82"/>
        <v>-137221</v>
      </c>
      <c r="J201" s="220">
        <f t="shared" si="82"/>
        <v>0</v>
      </c>
      <c r="K201" s="220">
        <f t="shared" si="82"/>
        <v>482</v>
      </c>
      <c r="L201" s="220">
        <f t="shared" si="82"/>
        <v>482</v>
      </c>
      <c r="M201" s="280">
        <f t="shared" si="82"/>
        <v>0</v>
      </c>
      <c r="N201" s="279">
        <f t="shared" si="82"/>
        <v>36497</v>
      </c>
      <c r="O201" s="281">
        <f t="shared" si="82"/>
        <v>0</v>
      </c>
      <c r="P201" s="281">
        <f t="shared" si="82"/>
        <v>0</v>
      </c>
      <c r="Q201" s="281">
        <f t="shared" si="82"/>
        <v>0</v>
      </c>
      <c r="R201" s="281">
        <f t="shared" si="82"/>
        <v>0</v>
      </c>
      <c r="S201" s="281">
        <f t="shared" si="82"/>
        <v>0</v>
      </c>
      <c r="T201" s="279">
        <f t="shared" si="82"/>
        <v>0</v>
      </c>
      <c r="U201" s="281">
        <f t="shared" si="82"/>
        <v>0</v>
      </c>
      <c r="V201" s="281">
        <f t="shared" si="82"/>
        <v>0</v>
      </c>
      <c r="W201" s="281">
        <f t="shared" si="82"/>
        <v>0</v>
      </c>
      <c r="X201" s="281">
        <f t="shared" si="82"/>
        <v>0</v>
      </c>
      <c r="Y201" s="281">
        <f t="shared" si="82"/>
        <v>0</v>
      </c>
      <c r="Z201" s="279">
        <f t="shared" si="82"/>
        <v>0</v>
      </c>
      <c r="AA201" s="282">
        <f t="shared" si="82"/>
        <v>0</v>
      </c>
      <c r="AB201" s="282">
        <f t="shared" si="82"/>
        <v>0</v>
      </c>
      <c r="AC201" s="282">
        <f t="shared" si="82"/>
        <v>0</v>
      </c>
      <c r="AD201" s="282">
        <f t="shared" si="82"/>
        <v>3670</v>
      </c>
      <c r="AE201" s="279">
        <f t="shared" si="82"/>
        <v>3670</v>
      </c>
      <c r="AF201" s="279">
        <f t="shared" si="82"/>
        <v>32827</v>
      </c>
      <c r="AG201" s="283">
        <f t="shared" si="82"/>
        <v>36497</v>
      </c>
      <c r="AH201" s="71">
        <f t="shared" si="73"/>
        <v>0</v>
      </c>
    </row>
    <row r="202" spans="1:34" x14ac:dyDescent="0.25">
      <c r="A202" s="477">
        <v>19</v>
      </c>
      <c r="B202" s="223" t="str">
        <f t="shared" ref="B202:AG202" si="83">B80</f>
        <v>COMMERCE DE DETAIL ET REPARATIONS</v>
      </c>
      <c r="C202" s="277" t="str">
        <f t="shared" si="83"/>
        <v xml:space="preserve">GJ30 </v>
      </c>
      <c r="D202" s="278">
        <f t="shared" si="83"/>
        <v>113992</v>
      </c>
      <c r="E202" s="220">
        <f t="shared" si="83"/>
        <v>0</v>
      </c>
      <c r="F202" s="220">
        <f t="shared" si="83"/>
        <v>0</v>
      </c>
      <c r="G202" s="220">
        <f t="shared" si="83"/>
        <v>0</v>
      </c>
      <c r="H202" s="279">
        <f t="shared" si="83"/>
        <v>113992</v>
      </c>
      <c r="I202" s="278">
        <f t="shared" si="83"/>
        <v>-111411</v>
      </c>
      <c r="J202" s="220">
        <f t="shared" si="83"/>
        <v>0</v>
      </c>
      <c r="K202" s="220">
        <f t="shared" si="83"/>
        <v>355</v>
      </c>
      <c r="L202" s="220">
        <f t="shared" si="83"/>
        <v>355</v>
      </c>
      <c r="M202" s="280">
        <f t="shared" si="83"/>
        <v>0</v>
      </c>
      <c r="N202" s="279">
        <f t="shared" si="83"/>
        <v>2936</v>
      </c>
      <c r="O202" s="281">
        <f t="shared" si="83"/>
        <v>2561</v>
      </c>
      <c r="P202" s="281">
        <f t="shared" si="83"/>
        <v>0</v>
      </c>
      <c r="Q202" s="281">
        <f t="shared" si="83"/>
        <v>0</v>
      </c>
      <c r="R202" s="281">
        <f t="shared" si="83"/>
        <v>0</v>
      </c>
      <c r="S202" s="281">
        <f t="shared" si="83"/>
        <v>0</v>
      </c>
      <c r="T202" s="279">
        <f t="shared" si="83"/>
        <v>2561</v>
      </c>
      <c r="U202" s="281">
        <f t="shared" si="83"/>
        <v>0</v>
      </c>
      <c r="V202" s="281">
        <f t="shared" si="83"/>
        <v>0</v>
      </c>
      <c r="W202" s="281">
        <f t="shared" si="83"/>
        <v>0</v>
      </c>
      <c r="X202" s="281">
        <f t="shared" si="83"/>
        <v>0</v>
      </c>
      <c r="Y202" s="281">
        <f t="shared" si="83"/>
        <v>0</v>
      </c>
      <c r="Z202" s="279">
        <f t="shared" si="83"/>
        <v>0</v>
      </c>
      <c r="AA202" s="282">
        <f t="shared" si="83"/>
        <v>0</v>
      </c>
      <c r="AB202" s="282">
        <f t="shared" si="83"/>
        <v>0</v>
      </c>
      <c r="AC202" s="282">
        <f t="shared" si="83"/>
        <v>0</v>
      </c>
      <c r="AD202" s="282">
        <f t="shared" si="83"/>
        <v>0</v>
      </c>
      <c r="AE202" s="279">
        <f t="shared" si="83"/>
        <v>2561</v>
      </c>
      <c r="AF202" s="279">
        <f t="shared" si="83"/>
        <v>375</v>
      </c>
      <c r="AG202" s="283">
        <f t="shared" si="83"/>
        <v>2936</v>
      </c>
      <c r="AH202" s="71">
        <f t="shared" si="73"/>
        <v>0</v>
      </c>
    </row>
    <row r="203" spans="1:34" s="432" customFormat="1" x14ac:dyDescent="0.25">
      <c r="A203" s="433">
        <v>114</v>
      </c>
      <c r="B203" s="424" t="str">
        <f t="shared" ref="B203:AG203" si="84">B81</f>
        <v>TRANSPORTS FERROVIAIRES</v>
      </c>
      <c r="C203" s="425" t="str">
        <f t="shared" si="84"/>
        <v xml:space="preserve">GK01 </v>
      </c>
      <c r="D203" s="426">
        <f t="shared" si="84"/>
        <v>9702</v>
      </c>
      <c r="E203" s="427">
        <f t="shared" si="84"/>
        <v>0</v>
      </c>
      <c r="F203" s="427">
        <f t="shared" si="84"/>
        <v>868</v>
      </c>
      <c r="G203" s="427">
        <f t="shared" si="84"/>
        <v>-119</v>
      </c>
      <c r="H203" s="428">
        <f t="shared" si="84"/>
        <v>10451</v>
      </c>
      <c r="I203" s="426">
        <f t="shared" si="84"/>
        <v>0</v>
      </c>
      <c r="J203" s="427">
        <f t="shared" si="84"/>
        <v>-1535</v>
      </c>
      <c r="K203" s="427">
        <f t="shared" si="84"/>
        <v>290</v>
      </c>
      <c r="L203" s="427">
        <f t="shared" si="84"/>
        <v>290</v>
      </c>
      <c r="M203" s="429">
        <f t="shared" si="84"/>
        <v>-1794</v>
      </c>
      <c r="N203" s="428">
        <f t="shared" si="84"/>
        <v>7412</v>
      </c>
      <c r="O203" s="430">
        <f t="shared" si="84"/>
        <v>4178</v>
      </c>
      <c r="P203" s="430">
        <f t="shared" si="84"/>
        <v>0</v>
      </c>
      <c r="Q203" s="430">
        <f t="shared" si="84"/>
        <v>190</v>
      </c>
      <c r="R203" s="430">
        <f t="shared" si="84"/>
        <v>190</v>
      </c>
      <c r="S203" s="430">
        <f t="shared" si="84"/>
        <v>0</v>
      </c>
      <c r="T203" s="428">
        <f t="shared" si="84"/>
        <v>4368</v>
      </c>
      <c r="U203" s="430">
        <f t="shared" si="84"/>
        <v>0</v>
      </c>
      <c r="V203" s="430">
        <f t="shared" si="84"/>
        <v>0</v>
      </c>
      <c r="W203" s="430">
        <f t="shared" si="84"/>
        <v>0</v>
      </c>
      <c r="X203" s="430">
        <f t="shared" si="84"/>
        <v>0</v>
      </c>
      <c r="Y203" s="430">
        <f t="shared" si="84"/>
        <v>0</v>
      </c>
      <c r="Z203" s="428">
        <f t="shared" si="84"/>
        <v>0</v>
      </c>
      <c r="AA203" s="431">
        <f t="shared" si="84"/>
        <v>0</v>
      </c>
      <c r="AB203" s="431">
        <f t="shared" si="84"/>
        <v>0</v>
      </c>
      <c r="AC203" s="431">
        <f t="shared" si="84"/>
        <v>0</v>
      </c>
      <c r="AD203" s="431">
        <f t="shared" si="84"/>
        <v>1232</v>
      </c>
      <c r="AE203" s="428">
        <f t="shared" si="84"/>
        <v>5600</v>
      </c>
      <c r="AF203" s="428">
        <f t="shared" si="84"/>
        <v>1812</v>
      </c>
      <c r="AG203" s="432">
        <f t="shared" si="84"/>
        <v>7412</v>
      </c>
      <c r="AH203" s="433">
        <f t="shared" si="73"/>
        <v>0</v>
      </c>
    </row>
    <row r="204" spans="1:34" s="442" customFormat="1" x14ac:dyDescent="0.25">
      <c r="A204" s="443">
        <v>15</v>
      </c>
      <c r="B204" s="434" t="str">
        <f t="shared" ref="B204:AG204" si="85">B82</f>
        <v>TRANSPORT ROUTIER DE VOYAGEURS</v>
      </c>
      <c r="C204" s="435" t="str">
        <f t="shared" si="85"/>
        <v xml:space="preserve">GK02 </v>
      </c>
      <c r="D204" s="436">
        <f t="shared" si="85"/>
        <v>17708</v>
      </c>
      <c r="E204" s="437">
        <f t="shared" si="85"/>
        <v>0</v>
      </c>
      <c r="F204" s="437">
        <f t="shared" si="85"/>
        <v>0</v>
      </c>
      <c r="G204" s="437">
        <f t="shared" si="85"/>
        <v>0</v>
      </c>
      <c r="H204" s="438">
        <f t="shared" si="85"/>
        <v>17708</v>
      </c>
      <c r="I204" s="436">
        <f t="shared" si="85"/>
        <v>0</v>
      </c>
      <c r="J204" s="437">
        <f t="shared" si="85"/>
        <v>0</v>
      </c>
      <c r="K204" s="437">
        <f t="shared" si="85"/>
        <v>768</v>
      </c>
      <c r="L204" s="437">
        <f t="shared" si="85"/>
        <v>704</v>
      </c>
      <c r="M204" s="439">
        <f t="shared" si="85"/>
        <v>-3393</v>
      </c>
      <c r="N204" s="438">
        <f t="shared" si="85"/>
        <v>15083</v>
      </c>
      <c r="O204" s="440">
        <f t="shared" si="85"/>
        <v>9238</v>
      </c>
      <c r="P204" s="440">
        <f t="shared" si="85"/>
        <v>0</v>
      </c>
      <c r="Q204" s="440">
        <f t="shared" si="85"/>
        <v>1630</v>
      </c>
      <c r="R204" s="440">
        <f t="shared" si="85"/>
        <v>1630</v>
      </c>
      <c r="S204" s="440">
        <f t="shared" si="85"/>
        <v>0</v>
      </c>
      <c r="T204" s="438">
        <f t="shared" si="85"/>
        <v>10868</v>
      </c>
      <c r="U204" s="440">
        <f t="shared" si="85"/>
        <v>0</v>
      </c>
      <c r="V204" s="440">
        <f t="shared" si="85"/>
        <v>0</v>
      </c>
      <c r="W204" s="440">
        <f t="shared" si="85"/>
        <v>0</v>
      </c>
      <c r="X204" s="440">
        <f t="shared" si="85"/>
        <v>0</v>
      </c>
      <c r="Y204" s="440">
        <f t="shared" si="85"/>
        <v>0</v>
      </c>
      <c r="Z204" s="438">
        <f t="shared" si="85"/>
        <v>0</v>
      </c>
      <c r="AA204" s="441">
        <f t="shared" si="85"/>
        <v>0</v>
      </c>
      <c r="AB204" s="441">
        <f t="shared" si="85"/>
        <v>0</v>
      </c>
      <c r="AC204" s="441">
        <f t="shared" si="85"/>
        <v>0</v>
      </c>
      <c r="AD204" s="441">
        <f t="shared" si="85"/>
        <v>0</v>
      </c>
      <c r="AE204" s="438">
        <f t="shared" si="85"/>
        <v>10868</v>
      </c>
      <c r="AF204" s="438">
        <f t="shared" si="85"/>
        <v>4215</v>
      </c>
      <c r="AG204" s="442">
        <f t="shared" si="85"/>
        <v>15083</v>
      </c>
      <c r="AH204" s="443">
        <f t="shared" si="73"/>
        <v>0</v>
      </c>
    </row>
    <row r="205" spans="1:34" s="444" customFormat="1" x14ac:dyDescent="0.25">
      <c r="A205" s="445">
        <v>116</v>
      </c>
      <c r="B205" s="375" t="str">
        <f t="shared" ref="B205:AG205" si="86">B83</f>
        <v>TRANSPORT ROUTIER (OU PAR CONDUITES) DE marchandises</v>
      </c>
      <c r="C205" s="376" t="str">
        <f t="shared" si="86"/>
        <v xml:space="preserve">GK03 </v>
      </c>
      <c r="D205" s="377">
        <f t="shared" si="86"/>
        <v>42100</v>
      </c>
      <c r="E205" s="378">
        <f t="shared" si="86"/>
        <v>0</v>
      </c>
      <c r="F205" s="378">
        <f t="shared" si="86"/>
        <v>5165</v>
      </c>
      <c r="G205" s="378">
        <f t="shared" si="86"/>
        <v>-3788</v>
      </c>
      <c r="H205" s="379">
        <f t="shared" si="86"/>
        <v>43477</v>
      </c>
      <c r="I205" s="377">
        <f t="shared" si="86"/>
        <v>0</v>
      </c>
      <c r="J205" s="378">
        <f t="shared" si="86"/>
        <v>-30886</v>
      </c>
      <c r="K205" s="378">
        <f t="shared" si="86"/>
        <v>215</v>
      </c>
      <c r="L205" s="378">
        <f t="shared" si="86"/>
        <v>215</v>
      </c>
      <c r="M205" s="380">
        <f t="shared" si="86"/>
        <v>0</v>
      </c>
      <c r="N205" s="379">
        <f t="shared" si="86"/>
        <v>12806</v>
      </c>
      <c r="O205" s="381">
        <f t="shared" si="86"/>
        <v>640</v>
      </c>
      <c r="P205" s="381">
        <f t="shared" si="86"/>
        <v>0</v>
      </c>
      <c r="Q205" s="381">
        <f t="shared" si="86"/>
        <v>4</v>
      </c>
      <c r="R205" s="381">
        <f t="shared" si="86"/>
        <v>4</v>
      </c>
      <c r="S205" s="381">
        <f t="shared" si="86"/>
        <v>0</v>
      </c>
      <c r="T205" s="379">
        <f t="shared" si="86"/>
        <v>644</v>
      </c>
      <c r="U205" s="381">
        <f t="shared" si="86"/>
        <v>0</v>
      </c>
      <c r="V205" s="381">
        <f t="shared" si="86"/>
        <v>0</v>
      </c>
      <c r="W205" s="381">
        <f t="shared" si="86"/>
        <v>0</v>
      </c>
      <c r="X205" s="381">
        <f t="shared" si="86"/>
        <v>0</v>
      </c>
      <c r="Y205" s="381">
        <f t="shared" si="86"/>
        <v>0</v>
      </c>
      <c r="Z205" s="379">
        <f t="shared" si="86"/>
        <v>0</v>
      </c>
      <c r="AA205" s="382">
        <f t="shared" si="86"/>
        <v>0</v>
      </c>
      <c r="AB205" s="382">
        <f t="shared" si="86"/>
        <v>0</v>
      </c>
      <c r="AC205" s="382">
        <f t="shared" si="86"/>
        <v>0</v>
      </c>
      <c r="AD205" s="382">
        <f t="shared" si="86"/>
        <v>1391</v>
      </c>
      <c r="AE205" s="379">
        <f t="shared" si="86"/>
        <v>2035</v>
      </c>
      <c r="AF205" s="379">
        <f t="shared" si="86"/>
        <v>10771</v>
      </c>
      <c r="AG205" s="444">
        <f t="shared" si="86"/>
        <v>12806</v>
      </c>
      <c r="AH205" s="445">
        <f t="shared" si="73"/>
        <v>0</v>
      </c>
    </row>
    <row r="206" spans="1:34" s="322" customFormat="1" x14ac:dyDescent="0.25">
      <c r="A206" s="323">
        <v>117</v>
      </c>
      <c r="B206" s="314" t="str">
        <f t="shared" ref="B206:AG206" si="87">B84</f>
        <v>TRANSPORTS PAR EAU</v>
      </c>
      <c r="C206" s="315" t="str">
        <f t="shared" si="87"/>
        <v xml:space="preserve">GK04 </v>
      </c>
      <c r="D206" s="316">
        <f t="shared" si="87"/>
        <v>9494</v>
      </c>
      <c r="E206" s="317">
        <f t="shared" si="87"/>
        <v>0</v>
      </c>
      <c r="F206" s="317">
        <f t="shared" si="87"/>
        <v>5018</v>
      </c>
      <c r="G206" s="317">
        <f t="shared" si="87"/>
        <v>-6704</v>
      </c>
      <c r="H206" s="318">
        <f t="shared" si="87"/>
        <v>7808</v>
      </c>
      <c r="I206" s="316">
        <f t="shared" si="87"/>
        <v>0</v>
      </c>
      <c r="J206" s="317">
        <f t="shared" si="87"/>
        <v>-1903</v>
      </c>
      <c r="K206" s="317">
        <f t="shared" si="87"/>
        <v>5</v>
      </c>
      <c r="L206" s="317">
        <f t="shared" si="87"/>
        <v>5</v>
      </c>
      <c r="M206" s="319">
        <f t="shared" si="87"/>
        <v>-130</v>
      </c>
      <c r="N206" s="318">
        <f t="shared" si="87"/>
        <v>5780</v>
      </c>
      <c r="O206" s="320">
        <f t="shared" si="87"/>
        <v>348</v>
      </c>
      <c r="P206" s="320">
        <f t="shared" si="87"/>
        <v>0</v>
      </c>
      <c r="Q206" s="320">
        <f t="shared" si="87"/>
        <v>0</v>
      </c>
      <c r="R206" s="320">
        <f t="shared" si="87"/>
        <v>0</v>
      </c>
      <c r="S206" s="320">
        <f t="shared" si="87"/>
        <v>0</v>
      </c>
      <c r="T206" s="318">
        <f t="shared" si="87"/>
        <v>348</v>
      </c>
      <c r="U206" s="320">
        <f t="shared" si="87"/>
        <v>0</v>
      </c>
      <c r="V206" s="320">
        <f t="shared" si="87"/>
        <v>0</v>
      </c>
      <c r="W206" s="320">
        <f t="shared" si="87"/>
        <v>0</v>
      </c>
      <c r="X206" s="320">
        <f t="shared" si="87"/>
        <v>0</v>
      </c>
      <c r="Y206" s="320">
        <f t="shared" si="87"/>
        <v>0</v>
      </c>
      <c r="Z206" s="318">
        <f t="shared" si="87"/>
        <v>0</v>
      </c>
      <c r="AA206" s="321">
        <f t="shared" si="87"/>
        <v>0</v>
      </c>
      <c r="AB206" s="321">
        <f t="shared" si="87"/>
        <v>0</v>
      </c>
      <c r="AC206" s="321">
        <f t="shared" si="87"/>
        <v>0</v>
      </c>
      <c r="AD206" s="321">
        <f t="shared" si="87"/>
        <v>3653</v>
      </c>
      <c r="AE206" s="318">
        <f t="shared" si="87"/>
        <v>4001</v>
      </c>
      <c r="AF206" s="318">
        <f t="shared" si="87"/>
        <v>1779</v>
      </c>
      <c r="AG206" s="322">
        <f t="shared" si="87"/>
        <v>5780</v>
      </c>
      <c r="AH206" s="323">
        <f t="shared" si="73"/>
        <v>0</v>
      </c>
    </row>
    <row r="207" spans="1:34" s="284" customFormat="1" x14ac:dyDescent="0.25">
      <c r="A207" s="293">
        <v>118</v>
      </c>
      <c r="B207" s="285" t="str">
        <f t="shared" ref="B207:AG207" si="88">B85</f>
        <v>TRANSPORTS AERIENS</v>
      </c>
      <c r="C207" s="286" t="str">
        <f t="shared" si="88"/>
        <v xml:space="preserve">GK05 </v>
      </c>
      <c r="D207" s="287">
        <f t="shared" si="88"/>
        <v>17798</v>
      </c>
      <c r="E207" s="288">
        <f t="shared" si="88"/>
        <v>0</v>
      </c>
      <c r="F207" s="288">
        <f t="shared" si="88"/>
        <v>7296</v>
      </c>
      <c r="G207" s="288">
        <f t="shared" si="88"/>
        <v>-2151</v>
      </c>
      <c r="H207" s="289">
        <f t="shared" si="88"/>
        <v>22943</v>
      </c>
      <c r="I207" s="287">
        <f t="shared" si="88"/>
        <v>0</v>
      </c>
      <c r="J207" s="288">
        <f t="shared" si="88"/>
        <v>-403</v>
      </c>
      <c r="K207" s="288">
        <f t="shared" si="88"/>
        <v>540</v>
      </c>
      <c r="L207" s="288">
        <f t="shared" si="88"/>
        <v>155</v>
      </c>
      <c r="M207" s="290">
        <f t="shared" si="88"/>
        <v>-67</v>
      </c>
      <c r="N207" s="289">
        <f t="shared" si="88"/>
        <v>23013</v>
      </c>
      <c r="O207" s="291">
        <f t="shared" si="88"/>
        <v>7332</v>
      </c>
      <c r="P207" s="291">
        <f t="shared" si="88"/>
        <v>0</v>
      </c>
      <c r="Q207" s="291">
        <f t="shared" si="88"/>
        <v>0</v>
      </c>
      <c r="R207" s="291">
        <f t="shared" si="88"/>
        <v>0</v>
      </c>
      <c r="S207" s="291">
        <f t="shared" si="88"/>
        <v>0</v>
      </c>
      <c r="T207" s="289">
        <f t="shared" si="88"/>
        <v>7332</v>
      </c>
      <c r="U207" s="291">
        <f t="shared" si="88"/>
        <v>0</v>
      </c>
      <c r="V207" s="291">
        <f t="shared" si="88"/>
        <v>0</v>
      </c>
      <c r="W207" s="291">
        <f t="shared" si="88"/>
        <v>0</v>
      </c>
      <c r="X207" s="291">
        <f t="shared" si="88"/>
        <v>0</v>
      </c>
      <c r="Y207" s="291">
        <f t="shared" si="88"/>
        <v>0</v>
      </c>
      <c r="Z207" s="289">
        <f t="shared" si="88"/>
        <v>0</v>
      </c>
      <c r="AA207" s="292">
        <f t="shared" si="88"/>
        <v>0</v>
      </c>
      <c r="AB207" s="292">
        <f t="shared" si="88"/>
        <v>0</v>
      </c>
      <c r="AC207" s="292">
        <f t="shared" si="88"/>
        <v>0</v>
      </c>
      <c r="AD207" s="292">
        <f t="shared" si="88"/>
        <v>7343</v>
      </c>
      <c r="AE207" s="289">
        <f t="shared" si="88"/>
        <v>14675</v>
      </c>
      <c r="AF207" s="289">
        <f t="shared" si="88"/>
        <v>8338</v>
      </c>
      <c r="AG207" s="284">
        <f t="shared" si="88"/>
        <v>23013</v>
      </c>
      <c r="AH207" s="293">
        <f t="shared" si="73"/>
        <v>0</v>
      </c>
    </row>
    <row r="208" spans="1:34" x14ac:dyDescent="0.25">
      <c r="A208" s="71">
        <v>19</v>
      </c>
      <c r="B208" s="223" t="str">
        <f t="shared" ref="B208:AG208" si="89">B86</f>
        <v>MANUTENTION  ENTREPOSAGE ET GESTION D IN</v>
      </c>
      <c r="C208" s="277" t="str">
        <f t="shared" si="89"/>
        <v xml:space="preserve">GK07 </v>
      </c>
      <c r="D208" s="278">
        <f t="shared" si="89"/>
        <v>30807</v>
      </c>
      <c r="E208" s="220">
        <f t="shared" si="89"/>
        <v>0</v>
      </c>
      <c r="F208" s="220">
        <f t="shared" si="89"/>
        <v>2022</v>
      </c>
      <c r="G208" s="220">
        <f t="shared" si="89"/>
        <v>0</v>
      </c>
      <c r="H208" s="279">
        <f t="shared" si="89"/>
        <v>32829</v>
      </c>
      <c r="I208" s="278">
        <f t="shared" si="89"/>
        <v>0</v>
      </c>
      <c r="J208" s="220">
        <f t="shared" si="89"/>
        <v>0</v>
      </c>
      <c r="K208" s="220">
        <f t="shared" si="89"/>
        <v>1416</v>
      </c>
      <c r="L208" s="220">
        <f t="shared" si="89"/>
        <v>903</v>
      </c>
      <c r="M208" s="280">
        <f t="shared" si="89"/>
        <v>-832</v>
      </c>
      <c r="N208" s="279">
        <f t="shared" si="89"/>
        <v>33413</v>
      </c>
      <c r="O208" s="281">
        <f t="shared" si="89"/>
        <v>5767</v>
      </c>
      <c r="P208" s="281">
        <f t="shared" si="89"/>
        <v>0</v>
      </c>
      <c r="Q208" s="281">
        <f t="shared" si="89"/>
        <v>0</v>
      </c>
      <c r="R208" s="281">
        <f t="shared" si="89"/>
        <v>0</v>
      </c>
      <c r="S208" s="281">
        <f t="shared" si="89"/>
        <v>0</v>
      </c>
      <c r="T208" s="279">
        <f t="shared" si="89"/>
        <v>5767</v>
      </c>
      <c r="U208" s="281">
        <f t="shared" si="89"/>
        <v>0</v>
      </c>
      <c r="V208" s="281">
        <f t="shared" si="89"/>
        <v>0</v>
      </c>
      <c r="W208" s="281">
        <f t="shared" si="89"/>
        <v>0</v>
      </c>
      <c r="X208" s="281">
        <f t="shared" si="89"/>
        <v>0</v>
      </c>
      <c r="Y208" s="281">
        <f t="shared" si="89"/>
        <v>0</v>
      </c>
      <c r="Z208" s="279">
        <f t="shared" si="89"/>
        <v>0</v>
      </c>
      <c r="AA208" s="282">
        <f t="shared" si="89"/>
        <v>0</v>
      </c>
      <c r="AB208" s="282">
        <f t="shared" si="89"/>
        <v>0</v>
      </c>
      <c r="AC208" s="282">
        <f t="shared" si="89"/>
        <v>0</v>
      </c>
      <c r="AD208" s="282">
        <f t="shared" si="89"/>
        <v>1233</v>
      </c>
      <c r="AE208" s="279">
        <f t="shared" si="89"/>
        <v>7000</v>
      </c>
      <c r="AF208" s="279">
        <f t="shared" si="89"/>
        <v>26413</v>
      </c>
      <c r="AG208" s="283">
        <f t="shared" si="89"/>
        <v>33413</v>
      </c>
      <c r="AH208" s="71">
        <f t="shared" si="73"/>
        <v>0</v>
      </c>
    </row>
    <row r="209" spans="1:34" x14ac:dyDescent="0.25">
      <c r="A209" s="71">
        <v>19</v>
      </c>
      <c r="B209" s="223" t="str">
        <f t="shared" ref="B209:AG209" si="90">B87</f>
        <v>AGENCES DE VOYAGE</v>
      </c>
      <c r="C209" s="277" t="str">
        <f t="shared" si="90"/>
        <v xml:space="preserve">GK08 </v>
      </c>
      <c r="D209" s="278">
        <f t="shared" si="90"/>
        <v>7728</v>
      </c>
      <c r="E209" s="220">
        <f t="shared" si="90"/>
        <v>0</v>
      </c>
      <c r="F209" s="220">
        <f t="shared" si="90"/>
        <v>0</v>
      </c>
      <c r="G209" s="220">
        <f t="shared" si="90"/>
        <v>0</v>
      </c>
      <c r="H209" s="279">
        <f t="shared" si="90"/>
        <v>7728</v>
      </c>
      <c r="I209" s="278">
        <f t="shared" si="90"/>
        <v>0</v>
      </c>
      <c r="J209" s="220">
        <f t="shared" si="90"/>
        <v>0</v>
      </c>
      <c r="K209" s="220">
        <f t="shared" si="90"/>
        <v>76</v>
      </c>
      <c r="L209" s="220">
        <f t="shared" si="90"/>
        <v>76</v>
      </c>
      <c r="M209" s="280">
        <f t="shared" si="90"/>
        <v>0</v>
      </c>
      <c r="N209" s="279">
        <f t="shared" si="90"/>
        <v>7804</v>
      </c>
      <c r="O209" s="281">
        <f t="shared" si="90"/>
        <v>1156</v>
      </c>
      <c r="P209" s="281">
        <f t="shared" si="90"/>
        <v>0</v>
      </c>
      <c r="Q209" s="281">
        <f t="shared" si="90"/>
        <v>0</v>
      </c>
      <c r="R209" s="281">
        <f t="shared" si="90"/>
        <v>0</v>
      </c>
      <c r="S209" s="281">
        <f t="shared" si="90"/>
        <v>0</v>
      </c>
      <c r="T209" s="279">
        <f t="shared" si="90"/>
        <v>1156</v>
      </c>
      <c r="U209" s="281">
        <f t="shared" si="90"/>
        <v>0</v>
      </c>
      <c r="V209" s="281">
        <f t="shared" si="90"/>
        <v>0</v>
      </c>
      <c r="W209" s="281">
        <f t="shared" si="90"/>
        <v>0</v>
      </c>
      <c r="X209" s="281">
        <f t="shared" si="90"/>
        <v>0</v>
      </c>
      <c r="Y209" s="281">
        <f t="shared" si="90"/>
        <v>0</v>
      </c>
      <c r="Z209" s="279">
        <f t="shared" si="90"/>
        <v>0</v>
      </c>
      <c r="AA209" s="282">
        <f t="shared" si="90"/>
        <v>0</v>
      </c>
      <c r="AB209" s="282">
        <f t="shared" si="90"/>
        <v>0</v>
      </c>
      <c r="AC209" s="282">
        <f t="shared" si="90"/>
        <v>0</v>
      </c>
      <c r="AD209" s="282">
        <f t="shared" si="90"/>
        <v>0</v>
      </c>
      <c r="AE209" s="279">
        <f t="shared" si="90"/>
        <v>1156</v>
      </c>
      <c r="AF209" s="279">
        <f t="shared" si="90"/>
        <v>6648</v>
      </c>
      <c r="AG209" s="283">
        <f t="shared" si="90"/>
        <v>7804</v>
      </c>
      <c r="AH209" s="71">
        <f t="shared" si="73"/>
        <v>0</v>
      </c>
    </row>
    <row r="210" spans="1:34" x14ac:dyDescent="0.25">
      <c r="A210" s="71" t="s">
        <v>765</v>
      </c>
      <c r="B210" s="223" t="str">
        <f t="shared" ref="B210:AG210" si="91">B88</f>
        <v>ORGANISATION DU TRANSPORT DE FRET ET TRANSPORT SPATIAL</v>
      </c>
      <c r="C210" s="277" t="str">
        <f t="shared" si="91"/>
        <v xml:space="preserve">GK69 </v>
      </c>
      <c r="D210" s="278">
        <f t="shared" si="91"/>
        <v>14279</v>
      </c>
      <c r="E210" s="220">
        <f t="shared" si="91"/>
        <v>0</v>
      </c>
      <c r="F210" s="220">
        <f t="shared" si="91"/>
        <v>5506</v>
      </c>
      <c r="G210" s="220">
        <f t="shared" si="91"/>
        <v>0</v>
      </c>
      <c r="H210" s="279">
        <f t="shared" si="91"/>
        <v>19785</v>
      </c>
      <c r="I210" s="278">
        <f t="shared" si="91"/>
        <v>0</v>
      </c>
      <c r="J210" s="220">
        <f t="shared" si="91"/>
        <v>-3146</v>
      </c>
      <c r="K210" s="220">
        <f t="shared" si="91"/>
        <v>41</v>
      </c>
      <c r="L210" s="220">
        <f t="shared" si="91"/>
        <v>41</v>
      </c>
      <c r="M210" s="280">
        <f t="shared" si="91"/>
        <v>0</v>
      </c>
      <c r="N210" s="279">
        <f t="shared" si="91"/>
        <v>16680</v>
      </c>
      <c r="O210" s="281">
        <f t="shared" si="91"/>
        <v>55</v>
      </c>
      <c r="P210" s="281">
        <f t="shared" si="91"/>
        <v>0</v>
      </c>
      <c r="Q210" s="281">
        <f t="shared" si="91"/>
        <v>0</v>
      </c>
      <c r="R210" s="281">
        <f t="shared" si="91"/>
        <v>0</v>
      </c>
      <c r="S210" s="281">
        <f t="shared" si="91"/>
        <v>0</v>
      </c>
      <c r="T210" s="279">
        <f t="shared" si="91"/>
        <v>55</v>
      </c>
      <c r="U210" s="281">
        <f t="shared" si="91"/>
        <v>0</v>
      </c>
      <c r="V210" s="281">
        <f t="shared" si="91"/>
        <v>0</v>
      </c>
      <c r="W210" s="281">
        <f t="shared" si="91"/>
        <v>0</v>
      </c>
      <c r="X210" s="281">
        <f t="shared" si="91"/>
        <v>0</v>
      </c>
      <c r="Y210" s="281">
        <f t="shared" si="91"/>
        <v>0</v>
      </c>
      <c r="Z210" s="279">
        <f t="shared" si="91"/>
        <v>0</v>
      </c>
      <c r="AA210" s="282">
        <f t="shared" si="91"/>
        <v>0</v>
      </c>
      <c r="AB210" s="282">
        <f t="shared" si="91"/>
        <v>-145</v>
      </c>
      <c r="AC210" s="282">
        <f t="shared" si="91"/>
        <v>-145</v>
      </c>
      <c r="AD210" s="282">
        <f t="shared" si="91"/>
        <v>3851</v>
      </c>
      <c r="AE210" s="279">
        <f t="shared" si="91"/>
        <v>3761</v>
      </c>
      <c r="AF210" s="279">
        <f t="shared" si="91"/>
        <v>12919</v>
      </c>
      <c r="AG210" s="283">
        <f t="shared" si="91"/>
        <v>16680</v>
      </c>
      <c r="AH210" s="71">
        <f t="shared" si="73"/>
        <v>0</v>
      </c>
    </row>
    <row r="211" spans="1:34" x14ac:dyDescent="0.25">
      <c r="A211" s="71">
        <v>19</v>
      </c>
      <c r="B211" s="223" t="str">
        <f t="shared" ref="B211:AG211" si="92">B89</f>
        <v>INTERMEDIATION FINANCIERE</v>
      </c>
      <c r="C211" s="277" t="str">
        <f t="shared" si="92"/>
        <v xml:space="preserve">GL01 </v>
      </c>
      <c r="D211" s="278">
        <f t="shared" si="92"/>
        <v>94080</v>
      </c>
      <c r="E211" s="220">
        <f t="shared" si="92"/>
        <v>0</v>
      </c>
      <c r="F211" s="220">
        <f t="shared" si="92"/>
        <v>3369</v>
      </c>
      <c r="G211" s="220">
        <f t="shared" si="92"/>
        <v>0</v>
      </c>
      <c r="H211" s="279">
        <f t="shared" si="92"/>
        <v>97449</v>
      </c>
      <c r="I211" s="278">
        <f t="shared" si="92"/>
        <v>0</v>
      </c>
      <c r="J211" s="220">
        <f t="shared" si="92"/>
        <v>0</v>
      </c>
      <c r="K211" s="220">
        <f t="shared" si="92"/>
        <v>934</v>
      </c>
      <c r="L211" s="220">
        <f t="shared" si="92"/>
        <v>690</v>
      </c>
      <c r="M211" s="280">
        <f t="shared" si="92"/>
        <v>0</v>
      </c>
      <c r="N211" s="279">
        <f t="shared" si="92"/>
        <v>98383</v>
      </c>
      <c r="O211" s="281">
        <f t="shared" si="92"/>
        <v>17400</v>
      </c>
      <c r="P211" s="281">
        <f t="shared" si="92"/>
        <v>0</v>
      </c>
      <c r="Q211" s="281">
        <f t="shared" si="92"/>
        <v>0</v>
      </c>
      <c r="R211" s="281">
        <f t="shared" si="92"/>
        <v>0</v>
      </c>
      <c r="S211" s="281">
        <f t="shared" si="92"/>
        <v>0</v>
      </c>
      <c r="T211" s="279">
        <f t="shared" si="92"/>
        <v>17400</v>
      </c>
      <c r="U211" s="281">
        <f t="shared" si="92"/>
        <v>0</v>
      </c>
      <c r="V211" s="281">
        <f t="shared" si="92"/>
        <v>0</v>
      </c>
      <c r="W211" s="281">
        <f t="shared" si="92"/>
        <v>0</v>
      </c>
      <c r="X211" s="281">
        <f t="shared" si="92"/>
        <v>0</v>
      </c>
      <c r="Y211" s="281">
        <f t="shared" si="92"/>
        <v>0</v>
      </c>
      <c r="Z211" s="279">
        <f t="shared" si="92"/>
        <v>0</v>
      </c>
      <c r="AA211" s="282">
        <f t="shared" si="92"/>
        <v>0</v>
      </c>
      <c r="AB211" s="282">
        <f t="shared" si="92"/>
        <v>0</v>
      </c>
      <c r="AC211" s="282">
        <f t="shared" si="92"/>
        <v>0</v>
      </c>
      <c r="AD211" s="282">
        <f t="shared" si="92"/>
        <v>5978</v>
      </c>
      <c r="AE211" s="279">
        <f t="shared" si="92"/>
        <v>23378</v>
      </c>
      <c r="AF211" s="279">
        <f t="shared" si="92"/>
        <v>75005</v>
      </c>
      <c r="AG211" s="283">
        <f t="shared" si="92"/>
        <v>98383</v>
      </c>
      <c r="AH211" s="71">
        <f t="shared" si="73"/>
        <v>0</v>
      </c>
    </row>
    <row r="212" spans="1:34" x14ac:dyDescent="0.25">
      <c r="A212" s="71">
        <v>19</v>
      </c>
      <c r="B212" s="223" t="str">
        <f t="shared" ref="B212:AG212" si="93">B90</f>
        <v>ASSURANCES</v>
      </c>
      <c r="C212" s="277" t="str">
        <f t="shared" si="93"/>
        <v xml:space="preserve">GL02 </v>
      </c>
      <c r="D212" s="278">
        <f t="shared" si="93"/>
        <v>45545</v>
      </c>
      <c r="E212" s="220">
        <f t="shared" si="93"/>
        <v>0</v>
      </c>
      <c r="F212" s="220">
        <f t="shared" si="93"/>
        <v>2111</v>
      </c>
      <c r="G212" s="220">
        <f t="shared" si="93"/>
        <v>-109</v>
      </c>
      <c r="H212" s="279">
        <f t="shared" si="93"/>
        <v>47547</v>
      </c>
      <c r="I212" s="278">
        <f t="shared" si="93"/>
        <v>0</v>
      </c>
      <c r="J212" s="220">
        <f t="shared" si="93"/>
        <v>0</v>
      </c>
      <c r="K212" s="220">
        <f t="shared" si="93"/>
        <v>8036</v>
      </c>
      <c r="L212" s="220">
        <f t="shared" si="93"/>
        <v>0</v>
      </c>
      <c r="M212" s="280">
        <f t="shared" si="93"/>
        <v>-81</v>
      </c>
      <c r="N212" s="279">
        <f t="shared" si="93"/>
        <v>55502</v>
      </c>
      <c r="O212" s="281">
        <f t="shared" si="93"/>
        <v>35701</v>
      </c>
      <c r="P212" s="281">
        <f t="shared" si="93"/>
        <v>0</v>
      </c>
      <c r="Q212" s="281">
        <f t="shared" si="93"/>
        <v>0</v>
      </c>
      <c r="R212" s="281">
        <f t="shared" si="93"/>
        <v>0</v>
      </c>
      <c r="S212" s="281">
        <f t="shared" si="93"/>
        <v>0</v>
      </c>
      <c r="T212" s="279">
        <f t="shared" si="93"/>
        <v>35701</v>
      </c>
      <c r="U212" s="281">
        <f t="shared" si="93"/>
        <v>0</v>
      </c>
      <c r="V212" s="281">
        <f t="shared" si="93"/>
        <v>0</v>
      </c>
      <c r="W212" s="281">
        <f t="shared" si="93"/>
        <v>0</v>
      </c>
      <c r="X212" s="281">
        <f t="shared" si="93"/>
        <v>0</v>
      </c>
      <c r="Y212" s="281">
        <f t="shared" si="93"/>
        <v>0</v>
      </c>
      <c r="Z212" s="279">
        <f t="shared" si="93"/>
        <v>0</v>
      </c>
      <c r="AA212" s="282">
        <f t="shared" si="93"/>
        <v>0</v>
      </c>
      <c r="AB212" s="282">
        <f t="shared" si="93"/>
        <v>0</v>
      </c>
      <c r="AC212" s="282">
        <f t="shared" si="93"/>
        <v>0</v>
      </c>
      <c r="AD212" s="282">
        <f t="shared" si="93"/>
        <v>849</v>
      </c>
      <c r="AE212" s="279">
        <f t="shared" si="93"/>
        <v>36550</v>
      </c>
      <c r="AF212" s="279">
        <f t="shared" si="93"/>
        <v>18952</v>
      </c>
      <c r="AG212" s="283">
        <f t="shared" si="93"/>
        <v>55502</v>
      </c>
      <c r="AH212" s="71">
        <f t="shared" si="73"/>
        <v>0</v>
      </c>
    </row>
    <row r="213" spans="1:34" x14ac:dyDescent="0.25">
      <c r="A213" s="71">
        <v>19</v>
      </c>
      <c r="B213" s="223" t="str">
        <f t="shared" ref="B213:AG213" si="94">B91</f>
        <v>AUXILIAIRES FINANCIERS ET D ASSURANCE</v>
      </c>
      <c r="C213" s="277" t="str">
        <f t="shared" si="94"/>
        <v xml:space="preserve">GL03 </v>
      </c>
      <c r="D213" s="278">
        <f t="shared" si="94"/>
        <v>31290</v>
      </c>
      <c r="E213" s="220">
        <f t="shared" si="94"/>
        <v>0</v>
      </c>
      <c r="F213" s="220">
        <f t="shared" si="94"/>
        <v>0</v>
      </c>
      <c r="G213" s="220">
        <f t="shared" si="94"/>
        <v>0</v>
      </c>
      <c r="H213" s="279">
        <f t="shared" si="94"/>
        <v>31290</v>
      </c>
      <c r="I213" s="278">
        <f t="shared" si="94"/>
        <v>0</v>
      </c>
      <c r="J213" s="220">
        <f t="shared" si="94"/>
        <v>0</v>
      </c>
      <c r="K213" s="220">
        <f t="shared" si="94"/>
        <v>1510</v>
      </c>
      <c r="L213" s="220">
        <f t="shared" si="94"/>
        <v>1510</v>
      </c>
      <c r="M213" s="280">
        <f t="shared" si="94"/>
        <v>0</v>
      </c>
      <c r="N213" s="279">
        <f t="shared" si="94"/>
        <v>32800</v>
      </c>
      <c r="O213" s="281">
        <f t="shared" si="94"/>
        <v>642</v>
      </c>
      <c r="P213" s="281">
        <f t="shared" si="94"/>
        <v>0</v>
      </c>
      <c r="Q213" s="281">
        <f t="shared" si="94"/>
        <v>0</v>
      </c>
      <c r="R213" s="281">
        <f t="shared" si="94"/>
        <v>0</v>
      </c>
      <c r="S213" s="281">
        <f t="shared" si="94"/>
        <v>0</v>
      </c>
      <c r="T213" s="279">
        <f t="shared" si="94"/>
        <v>642</v>
      </c>
      <c r="U213" s="281">
        <f t="shared" si="94"/>
        <v>0</v>
      </c>
      <c r="V213" s="281">
        <f t="shared" si="94"/>
        <v>0</v>
      </c>
      <c r="W213" s="281">
        <f t="shared" si="94"/>
        <v>0</v>
      </c>
      <c r="X213" s="281">
        <f t="shared" si="94"/>
        <v>0</v>
      </c>
      <c r="Y213" s="281">
        <f t="shared" si="94"/>
        <v>0</v>
      </c>
      <c r="Z213" s="279">
        <f t="shared" si="94"/>
        <v>0</v>
      </c>
      <c r="AA213" s="282">
        <f t="shared" si="94"/>
        <v>0</v>
      </c>
      <c r="AB213" s="282">
        <f t="shared" si="94"/>
        <v>0</v>
      </c>
      <c r="AC213" s="282">
        <f t="shared" si="94"/>
        <v>0</v>
      </c>
      <c r="AD213" s="282">
        <f t="shared" si="94"/>
        <v>0</v>
      </c>
      <c r="AE213" s="279">
        <f t="shared" si="94"/>
        <v>642</v>
      </c>
      <c r="AF213" s="279">
        <f t="shared" si="94"/>
        <v>32158</v>
      </c>
      <c r="AG213" s="283">
        <f t="shared" si="94"/>
        <v>32800</v>
      </c>
      <c r="AH213" s="71">
        <f t="shared" si="73"/>
        <v>0</v>
      </c>
    </row>
    <row r="214" spans="1:34" x14ac:dyDescent="0.25">
      <c r="A214" s="71">
        <v>19</v>
      </c>
      <c r="B214" s="223" t="str">
        <f t="shared" ref="B214:AG214" si="95">B92</f>
        <v>PROMOTION  GESTION IMMOBILIERE</v>
      </c>
      <c r="C214" s="277" t="str">
        <f t="shared" si="95"/>
        <v xml:space="preserve">GM01 </v>
      </c>
      <c r="D214" s="278">
        <f t="shared" si="95"/>
        <v>34981</v>
      </c>
      <c r="E214" s="220">
        <f t="shared" si="95"/>
        <v>0</v>
      </c>
      <c r="F214" s="220">
        <f t="shared" si="95"/>
        <v>0</v>
      </c>
      <c r="G214" s="220">
        <f t="shared" si="95"/>
        <v>0</v>
      </c>
      <c r="H214" s="279">
        <f t="shared" si="95"/>
        <v>34981</v>
      </c>
      <c r="I214" s="278">
        <f t="shared" si="95"/>
        <v>0</v>
      </c>
      <c r="J214" s="220">
        <f t="shared" si="95"/>
        <v>0</v>
      </c>
      <c r="K214" s="220">
        <f t="shared" si="95"/>
        <v>3434</v>
      </c>
      <c r="L214" s="220">
        <f t="shared" si="95"/>
        <v>3402</v>
      </c>
      <c r="M214" s="280">
        <f t="shared" si="95"/>
        <v>0</v>
      </c>
      <c r="N214" s="279">
        <f t="shared" si="95"/>
        <v>38415</v>
      </c>
      <c r="O214" s="281">
        <f t="shared" si="95"/>
        <v>1153</v>
      </c>
      <c r="P214" s="281">
        <f t="shared" si="95"/>
        <v>0</v>
      </c>
      <c r="Q214" s="281">
        <f t="shared" si="95"/>
        <v>0</v>
      </c>
      <c r="R214" s="281">
        <f t="shared" si="95"/>
        <v>0</v>
      </c>
      <c r="S214" s="281">
        <f t="shared" si="95"/>
        <v>0</v>
      </c>
      <c r="T214" s="279">
        <f t="shared" si="95"/>
        <v>1153</v>
      </c>
      <c r="U214" s="281">
        <f t="shared" si="95"/>
        <v>10801</v>
      </c>
      <c r="V214" s="281">
        <f t="shared" si="95"/>
        <v>13303</v>
      </c>
      <c r="W214" s="281">
        <f t="shared" si="95"/>
        <v>297</v>
      </c>
      <c r="X214" s="281">
        <f t="shared" si="95"/>
        <v>0</v>
      </c>
      <c r="Y214" s="281">
        <f t="shared" si="95"/>
        <v>0</v>
      </c>
      <c r="Z214" s="279">
        <f t="shared" si="95"/>
        <v>24401</v>
      </c>
      <c r="AA214" s="282">
        <f t="shared" si="95"/>
        <v>0</v>
      </c>
      <c r="AB214" s="282">
        <f t="shared" si="95"/>
        <v>0</v>
      </c>
      <c r="AC214" s="282">
        <f t="shared" si="95"/>
        <v>24401</v>
      </c>
      <c r="AD214" s="282">
        <f t="shared" si="95"/>
        <v>0</v>
      </c>
      <c r="AE214" s="279">
        <f t="shared" si="95"/>
        <v>25554</v>
      </c>
      <c r="AF214" s="279">
        <f t="shared" si="95"/>
        <v>12861</v>
      </c>
      <c r="AG214" s="283">
        <f t="shared" si="95"/>
        <v>38415</v>
      </c>
      <c r="AH214" s="71">
        <f t="shared" si="73"/>
        <v>0</v>
      </c>
    </row>
    <row r="215" spans="1:34" x14ac:dyDescent="0.25">
      <c r="A215" s="71">
        <v>19</v>
      </c>
      <c r="B215" s="223" t="str">
        <f t="shared" ref="B215:AG215" si="96">B93</f>
        <v>LOCATION IMMOBILIERE</v>
      </c>
      <c r="C215" s="277" t="str">
        <f t="shared" si="96"/>
        <v xml:space="preserve">GM02 </v>
      </c>
      <c r="D215" s="278">
        <f t="shared" si="96"/>
        <v>249025</v>
      </c>
      <c r="E215" s="220">
        <f t="shared" si="96"/>
        <v>0</v>
      </c>
      <c r="F215" s="220">
        <f t="shared" si="96"/>
        <v>0</v>
      </c>
      <c r="G215" s="220">
        <f t="shared" si="96"/>
        <v>0</v>
      </c>
      <c r="H215" s="279">
        <f t="shared" si="96"/>
        <v>249025</v>
      </c>
      <c r="I215" s="278">
        <f t="shared" si="96"/>
        <v>0</v>
      </c>
      <c r="J215" s="220">
        <f t="shared" si="96"/>
        <v>0</v>
      </c>
      <c r="K215" s="220">
        <f t="shared" si="96"/>
        <v>1338</v>
      </c>
      <c r="L215" s="220">
        <f t="shared" si="96"/>
        <v>661</v>
      </c>
      <c r="M215" s="280">
        <f t="shared" si="96"/>
        <v>0</v>
      </c>
      <c r="N215" s="279">
        <f t="shared" si="96"/>
        <v>250363</v>
      </c>
      <c r="O215" s="281">
        <f t="shared" si="96"/>
        <v>186287</v>
      </c>
      <c r="P215" s="281">
        <f t="shared" si="96"/>
        <v>0</v>
      </c>
      <c r="Q215" s="281">
        <f t="shared" si="96"/>
        <v>12422</v>
      </c>
      <c r="R215" s="281">
        <f t="shared" si="96"/>
        <v>12422</v>
      </c>
      <c r="S215" s="281">
        <f t="shared" si="96"/>
        <v>0</v>
      </c>
      <c r="T215" s="279">
        <f t="shared" si="96"/>
        <v>198709</v>
      </c>
      <c r="U215" s="281">
        <f t="shared" si="96"/>
        <v>0</v>
      </c>
      <c r="V215" s="281">
        <f t="shared" si="96"/>
        <v>0</v>
      </c>
      <c r="W215" s="281">
        <f t="shared" si="96"/>
        <v>0</v>
      </c>
      <c r="X215" s="281">
        <f t="shared" si="96"/>
        <v>0</v>
      </c>
      <c r="Y215" s="281">
        <f t="shared" si="96"/>
        <v>0</v>
      </c>
      <c r="Z215" s="279">
        <f t="shared" si="96"/>
        <v>0</v>
      </c>
      <c r="AA215" s="282">
        <f t="shared" si="96"/>
        <v>0</v>
      </c>
      <c r="AB215" s="282">
        <f t="shared" si="96"/>
        <v>0</v>
      </c>
      <c r="AC215" s="282">
        <f t="shared" si="96"/>
        <v>0</v>
      </c>
      <c r="AD215" s="282">
        <f t="shared" si="96"/>
        <v>0</v>
      </c>
      <c r="AE215" s="279">
        <f t="shared" si="96"/>
        <v>198709</v>
      </c>
      <c r="AF215" s="279">
        <f t="shared" si="96"/>
        <v>51654</v>
      </c>
      <c r="AG215" s="283">
        <f t="shared" si="96"/>
        <v>250363</v>
      </c>
      <c r="AH215" s="71">
        <f t="shared" si="73"/>
        <v>0</v>
      </c>
    </row>
    <row r="216" spans="1:34" x14ac:dyDescent="0.25">
      <c r="A216" s="71">
        <v>19</v>
      </c>
      <c r="B216" s="223" t="str">
        <f t="shared" ref="B216:AG216" si="97">B94</f>
        <v>TELECOMMUNICATION, POSTE ET COURRIER</v>
      </c>
      <c r="C216" s="277" t="str">
        <f t="shared" si="97"/>
        <v xml:space="preserve">GN10 </v>
      </c>
      <c r="D216" s="278">
        <f t="shared" si="97"/>
        <v>65501</v>
      </c>
      <c r="E216" s="220">
        <f t="shared" si="97"/>
        <v>0</v>
      </c>
      <c r="F216" s="220">
        <f t="shared" si="97"/>
        <v>1665</v>
      </c>
      <c r="G216" s="220">
        <f t="shared" si="97"/>
        <v>0</v>
      </c>
      <c r="H216" s="279">
        <f t="shared" si="97"/>
        <v>67166</v>
      </c>
      <c r="I216" s="278">
        <f t="shared" si="97"/>
        <v>0</v>
      </c>
      <c r="J216" s="220">
        <f t="shared" si="97"/>
        <v>0</v>
      </c>
      <c r="K216" s="220">
        <f t="shared" si="97"/>
        <v>5010</v>
      </c>
      <c r="L216" s="220">
        <f t="shared" si="97"/>
        <v>5010</v>
      </c>
      <c r="M216" s="280">
        <f t="shared" si="97"/>
        <v>-172</v>
      </c>
      <c r="N216" s="279">
        <f t="shared" si="97"/>
        <v>72004</v>
      </c>
      <c r="O216" s="281">
        <f t="shared" si="97"/>
        <v>25617</v>
      </c>
      <c r="P216" s="281">
        <f t="shared" si="97"/>
        <v>0</v>
      </c>
      <c r="Q216" s="281">
        <f t="shared" si="97"/>
        <v>0</v>
      </c>
      <c r="R216" s="281">
        <f t="shared" si="97"/>
        <v>0</v>
      </c>
      <c r="S216" s="281">
        <f t="shared" si="97"/>
        <v>0</v>
      </c>
      <c r="T216" s="279">
        <f t="shared" si="97"/>
        <v>25617</v>
      </c>
      <c r="U216" s="281">
        <f t="shared" si="97"/>
        <v>0</v>
      </c>
      <c r="V216" s="281">
        <f t="shared" si="97"/>
        <v>0</v>
      </c>
      <c r="W216" s="281">
        <f t="shared" si="97"/>
        <v>0</v>
      </c>
      <c r="X216" s="281">
        <f t="shared" si="97"/>
        <v>0</v>
      </c>
      <c r="Y216" s="281">
        <f t="shared" si="97"/>
        <v>0</v>
      </c>
      <c r="Z216" s="279">
        <f t="shared" si="97"/>
        <v>0</v>
      </c>
      <c r="AA216" s="282">
        <f t="shared" si="97"/>
        <v>0</v>
      </c>
      <c r="AB216" s="282">
        <f t="shared" si="97"/>
        <v>0</v>
      </c>
      <c r="AC216" s="282">
        <f t="shared" si="97"/>
        <v>0</v>
      </c>
      <c r="AD216" s="282">
        <f t="shared" si="97"/>
        <v>2966</v>
      </c>
      <c r="AE216" s="279">
        <f t="shared" si="97"/>
        <v>28583</v>
      </c>
      <c r="AF216" s="279">
        <f t="shared" si="97"/>
        <v>43421</v>
      </c>
      <c r="AG216" s="283">
        <f t="shared" si="97"/>
        <v>72004</v>
      </c>
      <c r="AH216" s="71">
        <f t="shared" si="73"/>
        <v>0</v>
      </c>
    </row>
    <row r="217" spans="1:34" x14ac:dyDescent="0.25">
      <c r="A217" s="71">
        <v>19</v>
      </c>
      <c r="B217" s="223" t="str">
        <f t="shared" ref="B217:AG217" si="98">B95</f>
        <v>ACTIVITES INFORMATIQUES</v>
      </c>
      <c r="C217" s="277" t="str">
        <f t="shared" si="98"/>
        <v xml:space="preserve">GN21 </v>
      </c>
      <c r="D217" s="278">
        <f t="shared" si="98"/>
        <v>65201</v>
      </c>
      <c r="E217" s="220">
        <f t="shared" si="98"/>
        <v>0</v>
      </c>
      <c r="F217" s="220">
        <f t="shared" si="98"/>
        <v>1901</v>
      </c>
      <c r="G217" s="220">
        <f t="shared" si="98"/>
        <v>0</v>
      </c>
      <c r="H217" s="279">
        <f t="shared" si="98"/>
        <v>67102</v>
      </c>
      <c r="I217" s="278">
        <f t="shared" si="98"/>
        <v>0</v>
      </c>
      <c r="J217" s="220">
        <f t="shared" si="98"/>
        <v>0</v>
      </c>
      <c r="K217" s="220">
        <f t="shared" si="98"/>
        <v>1745</v>
      </c>
      <c r="L217" s="220">
        <f t="shared" si="98"/>
        <v>1745</v>
      </c>
      <c r="M217" s="280">
        <f t="shared" si="98"/>
        <v>0</v>
      </c>
      <c r="N217" s="279">
        <f t="shared" si="98"/>
        <v>68847</v>
      </c>
      <c r="O217" s="281">
        <f t="shared" si="98"/>
        <v>1444</v>
      </c>
      <c r="P217" s="281">
        <f t="shared" si="98"/>
        <v>0</v>
      </c>
      <c r="Q217" s="281">
        <f t="shared" si="98"/>
        <v>0</v>
      </c>
      <c r="R217" s="281">
        <f t="shared" si="98"/>
        <v>0</v>
      </c>
      <c r="S217" s="281">
        <f t="shared" si="98"/>
        <v>0</v>
      </c>
      <c r="T217" s="279">
        <f t="shared" si="98"/>
        <v>1444</v>
      </c>
      <c r="U217" s="281">
        <f t="shared" si="98"/>
        <v>22654</v>
      </c>
      <c r="V217" s="281">
        <f t="shared" si="98"/>
        <v>0</v>
      </c>
      <c r="W217" s="281">
        <f t="shared" si="98"/>
        <v>2987</v>
      </c>
      <c r="X217" s="281">
        <f t="shared" si="98"/>
        <v>3546</v>
      </c>
      <c r="Y217" s="281">
        <f t="shared" si="98"/>
        <v>0</v>
      </c>
      <c r="Z217" s="279">
        <f t="shared" si="98"/>
        <v>29187</v>
      </c>
      <c r="AA217" s="282">
        <f t="shared" si="98"/>
        <v>0</v>
      </c>
      <c r="AB217" s="282">
        <f t="shared" si="98"/>
        <v>36</v>
      </c>
      <c r="AC217" s="282">
        <f t="shared" si="98"/>
        <v>29223</v>
      </c>
      <c r="AD217" s="282">
        <f t="shared" si="98"/>
        <v>1772</v>
      </c>
      <c r="AE217" s="279">
        <f t="shared" si="98"/>
        <v>32439</v>
      </c>
      <c r="AF217" s="279">
        <f t="shared" si="98"/>
        <v>36408</v>
      </c>
      <c r="AG217" s="283">
        <f t="shared" si="98"/>
        <v>68847</v>
      </c>
      <c r="AH217" s="71">
        <f t="shared" si="73"/>
        <v>0</v>
      </c>
    </row>
    <row r="218" spans="1:34" x14ac:dyDescent="0.25">
      <c r="A218" s="71">
        <v>19</v>
      </c>
      <c r="B218" s="223" t="str">
        <f t="shared" ref="B218:AG218" si="99">B96</f>
        <v>SERVICES PROFESSIONNELS</v>
      </c>
      <c r="C218" s="277" t="str">
        <f t="shared" si="99"/>
        <v xml:space="preserve">GN22 </v>
      </c>
      <c r="D218" s="278">
        <f t="shared" si="99"/>
        <v>58797</v>
      </c>
      <c r="E218" s="220">
        <f t="shared" si="99"/>
        <v>0</v>
      </c>
      <c r="F218" s="220">
        <f t="shared" si="99"/>
        <v>2532</v>
      </c>
      <c r="G218" s="220">
        <f t="shared" si="99"/>
        <v>0</v>
      </c>
      <c r="H218" s="279">
        <f t="shared" si="99"/>
        <v>61329</v>
      </c>
      <c r="I218" s="278">
        <f t="shared" si="99"/>
        <v>0</v>
      </c>
      <c r="J218" s="220">
        <f t="shared" si="99"/>
        <v>0</v>
      </c>
      <c r="K218" s="220">
        <f t="shared" si="99"/>
        <v>14414</v>
      </c>
      <c r="L218" s="220">
        <f t="shared" si="99"/>
        <v>2858</v>
      </c>
      <c r="M218" s="280">
        <f t="shared" si="99"/>
        <v>0</v>
      </c>
      <c r="N218" s="279">
        <f t="shared" si="99"/>
        <v>75743</v>
      </c>
      <c r="O218" s="281">
        <f t="shared" si="99"/>
        <v>7817</v>
      </c>
      <c r="P218" s="281">
        <f t="shared" si="99"/>
        <v>0</v>
      </c>
      <c r="Q218" s="281">
        <f t="shared" si="99"/>
        <v>0</v>
      </c>
      <c r="R218" s="281">
        <f t="shared" si="99"/>
        <v>0</v>
      </c>
      <c r="S218" s="281">
        <f t="shared" si="99"/>
        <v>0</v>
      </c>
      <c r="T218" s="279">
        <f t="shared" si="99"/>
        <v>7817</v>
      </c>
      <c r="U218" s="281">
        <f t="shared" si="99"/>
        <v>2815</v>
      </c>
      <c r="V218" s="281">
        <f t="shared" si="99"/>
        <v>10942</v>
      </c>
      <c r="W218" s="281">
        <f t="shared" si="99"/>
        <v>0</v>
      </c>
      <c r="X218" s="281">
        <f t="shared" si="99"/>
        <v>326</v>
      </c>
      <c r="Y218" s="281">
        <f t="shared" si="99"/>
        <v>148</v>
      </c>
      <c r="Z218" s="279">
        <f t="shared" si="99"/>
        <v>14231</v>
      </c>
      <c r="AA218" s="282">
        <f t="shared" si="99"/>
        <v>0</v>
      </c>
      <c r="AB218" s="282">
        <f t="shared" si="99"/>
        <v>100</v>
      </c>
      <c r="AC218" s="282">
        <f t="shared" si="99"/>
        <v>14331</v>
      </c>
      <c r="AD218" s="282">
        <f t="shared" si="99"/>
        <v>3260</v>
      </c>
      <c r="AE218" s="279">
        <f t="shared" si="99"/>
        <v>25408</v>
      </c>
      <c r="AF218" s="279">
        <f t="shared" si="99"/>
        <v>50335</v>
      </c>
      <c r="AG218" s="283">
        <f t="shared" si="99"/>
        <v>75743</v>
      </c>
      <c r="AH218" s="71">
        <f t="shared" si="73"/>
        <v>0</v>
      </c>
    </row>
    <row r="219" spans="1:34" x14ac:dyDescent="0.25">
      <c r="A219" s="71">
        <v>19</v>
      </c>
      <c r="B219" s="223" t="str">
        <f t="shared" ref="B219:AG219" si="100">B97</f>
        <v>ADMINISTRATION D ENTREPRISES</v>
      </c>
      <c r="C219" s="277" t="str">
        <f t="shared" si="100"/>
        <v xml:space="preserve">GN23 </v>
      </c>
      <c r="D219" s="278">
        <f t="shared" si="100"/>
        <v>40168</v>
      </c>
      <c r="E219" s="220">
        <f t="shared" si="100"/>
        <v>0</v>
      </c>
      <c r="F219" s="220">
        <f t="shared" si="100"/>
        <v>0</v>
      </c>
      <c r="G219" s="220">
        <f t="shared" si="100"/>
        <v>0</v>
      </c>
      <c r="H219" s="279">
        <f t="shared" si="100"/>
        <v>40168</v>
      </c>
      <c r="I219" s="278">
        <f t="shared" si="100"/>
        <v>0</v>
      </c>
      <c r="J219" s="220">
        <f t="shared" si="100"/>
        <v>0</v>
      </c>
      <c r="K219" s="220">
        <f t="shared" si="100"/>
        <v>333</v>
      </c>
      <c r="L219" s="220">
        <f t="shared" si="100"/>
        <v>333</v>
      </c>
      <c r="M219" s="280">
        <f t="shared" si="100"/>
        <v>0</v>
      </c>
      <c r="N219" s="279">
        <f t="shared" si="100"/>
        <v>40501</v>
      </c>
      <c r="O219" s="281">
        <f t="shared" si="100"/>
        <v>0</v>
      </c>
      <c r="P219" s="281">
        <f t="shared" si="100"/>
        <v>0</v>
      </c>
      <c r="Q219" s="281">
        <f t="shared" si="100"/>
        <v>0</v>
      </c>
      <c r="R219" s="281">
        <f t="shared" si="100"/>
        <v>0</v>
      </c>
      <c r="S219" s="281">
        <f t="shared" si="100"/>
        <v>0</v>
      </c>
      <c r="T219" s="279">
        <f t="shared" si="100"/>
        <v>0</v>
      </c>
      <c r="U219" s="281">
        <f t="shared" si="100"/>
        <v>0</v>
      </c>
      <c r="V219" s="281">
        <f t="shared" si="100"/>
        <v>0</v>
      </c>
      <c r="W219" s="281">
        <f t="shared" si="100"/>
        <v>0</v>
      </c>
      <c r="X219" s="281">
        <f t="shared" si="100"/>
        <v>0</v>
      </c>
      <c r="Y219" s="281">
        <f t="shared" si="100"/>
        <v>0</v>
      </c>
      <c r="Z219" s="279">
        <f t="shared" si="100"/>
        <v>0</v>
      </c>
      <c r="AA219" s="282">
        <f t="shared" si="100"/>
        <v>0</v>
      </c>
      <c r="AB219" s="282">
        <f t="shared" si="100"/>
        <v>0</v>
      </c>
      <c r="AC219" s="282">
        <f t="shared" si="100"/>
        <v>0</v>
      </c>
      <c r="AD219" s="282">
        <f t="shared" si="100"/>
        <v>0</v>
      </c>
      <c r="AE219" s="279">
        <f t="shared" si="100"/>
        <v>0</v>
      </c>
      <c r="AF219" s="279">
        <f t="shared" si="100"/>
        <v>40501</v>
      </c>
      <c r="AG219" s="283">
        <f t="shared" si="100"/>
        <v>40501</v>
      </c>
      <c r="AH219" s="71">
        <f t="shared" si="73"/>
        <v>0</v>
      </c>
    </row>
    <row r="220" spans="1:34" x14ac:dyDescent="0.25">
      <c r="A220" s="71">
        <v>19</v>
      </c>
      <c r="B220" s="223" t="str">
        <f t="shared" ref="B220:AG220" si="101">B98</f>
        <v>PUBLICITE ET ETUDES DE MARCHE</v>
      </c>
      <c r="C220" s="277" t="str">
        <f t="shared" si="101"/>
        <v xml:space="preserve">GN24 </v>
      </c>
      <c r="D220" s="278">
        <f t="shared" si="101"/>
        <v>29397</v>
      </c>
      <c r="E220" s="220">
        <f t="shared" si="101"/>
        <v>0</v>
      </c>
      <c r="F220" s="220">
        <f t="shared" si="101"/>
        <v>0</v>
      </c>
      <c r="G220" s="220">
        <f t="shared" si="101"/>
        <v>0</v>
      </c>
      <c r="H220" s="279">
        <f t="shared" si="101"/>
        <v>29397</v>
      </c>
      <c r="I220" s="278">
        <f t="shared" si="101"/>
        <v>0</v>
      </c>
      <c r="J220" s="220">
        <f t="shared" si="101"/>
        <v>0</v>
      </c>
      <c r="K220" s="220">
        <f t="shared" si="101"/>
        <v>328</v>
      </c>
      <c r="L220" s="220">
        <f t="shared" si="101"/>
        <v>262</v>
      </c>
      <c r="M220" s="280">
        <f t="shared" si="101"/>
        <v>-4</v>
      </c>
      <c r="N220" s="279">
        <f t="shared" si="101"/>
        <v>29721</v>
      </c>
      <c r="O220" s="281">
        <f t="shared" si="101"/>
        <v>369</v>
      </c>
      <c r="P220" s="281">
        <f t="shared" si="101"/>
        <v>0</v>
      </c>
      <c r="Q220" s="281">
        <f t="shared" si="101"/>
        <v>0</v>
      </c>
      <c r="R220" s="281">
        <f t="shared" si="101"/>
        <v>0</v>
      </c>
      <c r="S220" s="281">
        <f t="shared" si="101"/>
        <v>0</v>
      </c>
      <c r="T220" s="279">
        <f t="shared" si="101"/>
        <v>369</v>
      </c>
      <c r="U220" s="281">
        <f t="shared" si="101"/>
        <v>0</v>
      </c>
      <c r="V220" s="281">
        <f t="shared" si="101"/>
        <v>0</v>
      </c>
      <c r="W220" s="281">
        <f t="shared" si="101"/>
        <v>0</v>
      </c>
      <c r="X220" s="281">
        <f t="shared" si="101"/>
        <v>0</v>
      </c>
      <c r="Y220" s="281">
        <f t="shared" si="101"/>
        <v>0</v>
      </c>
      <c r="Z220" s="279">
        <f t="shared" si="101"/>
        <v>0</v>
      </c>
      <c r="AA220" s="282">
        <f t="shared" si="101"/>
        <v>0</v>
      </c>
      <c r="AB220" s="282">
        <f t="shared" si="101"/>
        <v>0</v>
      </c>
      <c r="AC220" s="282">
        <f t="shared" si="101"/>
        <v>0</v>
      </c>
      <c r="AD220" s="282">
        <f t="shared" si="101"/>
        <v>0</v>
      </c>
      <c r="AE220" s="279">
        <f t="shared" si="101"/>
        <v>369</v>
      </c>
      <c r="AF220" s="279">
        <f t="shared" si="101"/>
        <v>29352</v>
      </c>
      <c r="AG220" s="283">
        <f t="shared" si="101"/>
        <v>29721</v>
      </c>
      <c r="AH220" s="71">
        <f t="shared" si="73"/>
        <v>0</v>
      </c>
    </row>
    <row r="221" spans="1:34" x14ac:dyDescent="0.25">
      <c r="A221" s="71">
        <v>19</v>
      </c>
      <c r="B221" s="223" t="str">
        <f t="shared" ref="B221:AG221" si="102">B99</f>
        <v>ARCHITECTURE  INGENIERIE  CONTROLE</v>
      </c>
      <c r="C221" s="277" t="str">
        <f t="shared" si="102"/>
        <v xml:space="preserve">GN25 </v>
      </c>
      <c r="D221" s="278">
        <f t="shared" si="102"/>
        <v>49737</v>
      </c>
      <c r="E221" s="220">
        <f t="shared" si="102"/>
        <v>0</v>
      </c>
      <c r="F221" s="220">
        <f t="shared" si="102"/>
        <v>9581</v>
      </c>
      <c r="G221" s="220">
        <f t="shared" si="102"/>
        <v>0</v>
      </c>
      <c r="H221" s="279">
        <f t="shared" si="102"/>
        <v>59318</v>
      </c>
      <c r="I221" s="278">
        <f t="shared" si="102"/>
        <v>0</v>
      </c>
      <c r="J221" s="220">
        <f t="shared" si="102"/>
        <v>0</v>
      </c>
      <c r="K221" s="220">
        <f t="shared" si="102"/>
        <v>1213</v>
      </c>
      <c r="L221" s="220">
        <f t="shared" si="102"/>
        <v>1213</v>
      </c>
      <c r="M221" s="280">
        <f t="shared" si="102"/>
        <v>0</v>
      </c>
      <c r="N221" s="279">
        <f t="shared" si="102"/>
        <v>60531</v>
      </c>
      <c r="O221" s="281">
        <f t="shared" si="102"/>
        <v>687</v>
      </c>
      <c r="P221" s="281">
        <f t="shared" si="102"/>
        <v>0</v>
      </c>
      <c r="Q221" s="281">
        <f t="shared" si="102"/>
        <v>0</v>
      </c>
      <c r="R221" s="281">
        <f t="shared" si="102"/>
        <v>0</v>
      </c>
      <c r="S221" s="281">
        <f t="shared" si="102"/>
        <v>0</v>
      </c>
      <c r="T221" s="279">
        <f t="shared" si="102"/>
        <v>687</v>
      </c>
      <c r="U221" s="281">
        <f t="shared" si="102"/>
        <v>15326</v>
      </c>
      <c r="V221" s="281">
        <f t="shared" si="102"/>
        <v>2797</v>
      </c>
      <c r="W221" s="281">
        <f t="shared" si="102"/>
        <v>76</v>
      </c>
      <c r="X221" s="281">
        <f t="shared" si="102"/>
        <v>1306</v>
      </c>
      <c r="Y221" s="281">
        <f t="shared" si="102"/>
        <v>0</v>
      </c>
      <c r="Z221" s="279">
        <f t="shared" si="102"/>
        <v>19505</v>
      </c>
      <c r="AA221" s="282">
        <f t="shared" si="102"/>
        <v>0</v>
      </c>
      <c r="AB221" s="282">
        <f t="shared" si="102"/>
        <v>353</v>
      </c>
      <c r="AC221" s="282">
        <f t="shared" si="102"/>
        <v>19858</v>
      </c>
      <c r="AD221" s="282">
        <f t="shared" si="102"/>
        <v>8357</v>
      </c>
      <c r="AE221" s="279">
        <f t="shared" si="102"/>
        <v>28902</v>
      </c>
      <c r="AF221" s="279">
        <f t="shared" si="102"/>
        <v>31629</v>
      </c>
      <c r="AG221" s="283">
        <f t="shared" si="102"/>
        <v>60531</v>
      </c>
      <c r="AH221" s="71">
        <f t="shared" si="73"/>
        <v>0</v>
      </c>
    </row>
    <row r="222" spans="1:34" x14ac:dyDescent="0.25">
      <c r="A222" s="71">
        <v>19</v>
      </c>
      <c r="B222" s="223" t="str">
        <f t="shared" ref="B222:AG222" si="103">B100</f>
        <v>LOCATION SANS OPERATEUR</v>
      </c>
      <c r="C222" s="277" t="str">
        <f t="shared" si="103"/>
        <v xml:space="preserve">GN31 </v>
      </c>
      <c r="D222" s="278">
        <f t="shared" si="103"/>
        <v>25425</v>
      </c>
      <c r="E222" s="220">
        <f t="shared" si="103"/>
        <v>0</v>
      </c>
      <c r="F222" s="220">
        <f t="shared" si="103"/>
        <v>0</v>
      </c>
      <c r="G222" s="220">
        <f t="shared" si="103"/>
        <v>0</v>
      </c>
      <c r="H222" s="279">
        <f t="shared" si="103"/>
        <v>25425</v>
      </c>
      <c r="I222" s="278">
        <f t="shared" si="103"/>
        <v>0</v>
      </c>
      <c r="J222" s="220">
        <f t="shared" si="103"/>
        <v>0</v>
      </c>
      <c r="K222" s="220">
        <f t="shared" si="103"/>
        <v>1696</v>
      </c>
      <c r="L222" s="220">
        <f t="shared" si="103"/>
        <v>1696</v>
      </c>
      <c r="M222" s="280">
        <f t="shared" si="103"/>
        <v>0</v>
      </c>
      <c r="N222" s="279">
        <f t="shared" si="103"/>
        <v>27121</v>
      </c>
      <c r="O222" s="281">
        <f t="shared" si="103"/>
        <v>3159</v>
      </c>
      <c r="P222" s="281">
        <f t="shared" si="103"/>
        <v>0</v>
      </c>
      <c r="Q222" s="281">
        <f t="shared" si="103"/>
        <v>0</v>
      </c>
      <c r="R222" s="281">
        <f t="shared" si="103"/>
        <v>0</v>
      </c>
      <c r="S222" s="281">
        <f t="shared" si="103"/>
        <v>0</v>
      </c>
      <c r="T222" s="279">
        <f t="shared" si="103"/>
        <v>3159</v>
      </c>
      <c r="U222" s="281">
        <f t="shared" si="103"/>
        <v>0</v>
      </c>
      <c r="V222" s="281">
        <f t="shared" si="103"/>
        <v>0</v>
      </c>
      <c r="W222" s="281">
        <f t="shared" si="103"/>
        <v>0</v>
      </c>
      <c r="X222" s="281">
        <f t="shared" si="103"/>
        <v>0</v>
      </c>
      <c r="Y222" s="281">
        <f t="shared" si="103"/>
        <v>0</v>
      </c>
      <c r="Z222" s="279">
        <f t="shared" si="103"/>
        <v>0</v>
      </c>
      <c r="AA222" s="282">
        <f t="shared" si="103"/>
        <v>0</v>
      </c>
      <c r="AB222" s="282">
        <f t="shared" si="103"/>
        <v>0</v>
      </c>
      <c r="AC222" s="282">
        <f t="shared" si="103"/>
        <v>0</v>
      </c>
      <c r="AD222" s="282">
        <f t="shared" si="103"/>
        <v>0</v>
      </c>
      <c r="AE222" s="279">
        <f t="shared" si="103"/>
        <v>3159</v>
      </c>
      <c r="AF222" s="279">
        <f t="shared" si="103"/>
        <v>23962</v>
      </c>
      <c r="AG222" s="283">
        <f t="shared" si="103"/>
        <v>27121</v>
      </c>
      <c r="AH222" s="71">
        <f t="shared" si="73"/>
        <v>0</v>
      </c>
    </row>
    <row r="223" spans="1:34" x14ac:dyDescent="0.25">
      <c r="A223" s="71">
        <v>19</v>
      </c>
      <c r="B223" s="223" t="str">
        <f t="shared" ref="B223:AG223" si="104">B101</f>
        <v>SELECTION ET FOURNITURE DE PERSONNEL</v>
      </c>
      <c r="C223" s="277" t="str">
        <f t="shared" si="104"/>
        <v xml:space="preserve">GN32 </v>
      </c>
      <c r="D223" s="278">
        <f t="shared" si="104"/>
        <v>28483</v>
      </c>
      <c r="E223" s="220">
        <f t="shared" si="104"/>
        <v>0</v>
      </c>
      <c r="F223" s="220">
        <f t="shared" si="104"/>
        <v>0</v>
      </c>
      <c r="G223" s="220">
        <f t="shared" si="104"/>
        <v>0</v>
      </c>
      <c r="H223" s="279">
        <f t="shared" si="104"/>
        <v>28483</v>
      </c>
      <c r="I223" s="278">
        <f t="shared" si="104"/>
        <v>0</v>
      </c>
      <c r="J223" s="220">
        <f t="shared" si="104"/>
        <v>0</v>
      </c>
      <c r="K223" s="220">
        <f t="shared" si="104"/>
        <v>411</v>
      </c>
      <c r="L223" s="220">
        <f t="shared" si="104"/>
        <v>411</v>
      </c>
      <c r="M223" s="280">
        <f t="shared" si="104"/>
        <v>0</v>
      </c>
      <c r="N223" s="279">
        <f t="shared" si="104"/>
        <v>28894</v>
      </c>
      <c r="O223" s="281">
        <f t="shared" si="104"/>
        <v>0</v>
      </c>
      <c r="P223" s="281">
        <f t="shared" si="104"/>
        <v>0</v>
      </c>
      <c r="Q223" s="281">
        <f t="shared" si="104"/>
        <v>0</v>
      </c>
      <c r="R223" s="281">
        <f t="shared" si="104"/>
        <v>0</v>
      </c>
      <c r="S223" s="281">
        <f t="shared" si="104"/>
        <v>0</v>
      </c>
      <c r="T223" s="279">
        <f t="shared" si="104"/>
        <v>0</v>
      </c>
      <c r="U223" s="281">
        <f t="shared" si="104"/>
        <v>0</v>
      </c>
      <c r="V223" s="281">
        <f t="shared" si="104"/>
        <v>0</v>
      </c>
      <c r="W223" s="281">
        <f t="shared" si="104"/>
        <v>0</v>
      </c>
      <c r="X223" s="281">
        <f t="shared" si="104"/>
        <v>0</v>
      </c>
      <c r="Y223" s="281">
        <f t="shared" si="104"/>
        <v>0</v>
      </c>
      <c r="Z223" s="279">
        <f t="shared" si="104"/>
        <v>0</v>
      </c>
      <c r="AA223" s="282">
        <f t="shared" si="104"/>
        <v>0</v>
      </c>
      <c r="AB223" s="282">
        <f t="shared" si="104"/>
        <v>0</v>
      </c>
      <c r="AC223" s="282">
        <f t="shared" si="104"/>
        <v>0</v>
      </c>
      <c r="AD223" s="282">
        <f t="shared" si="104"/>
        <v>0</v>
      </c>
      <c r="AE223" s="279">
        <f t="shared" si="104"/>
        <v>0</v>
      </c>
      <c r="AF223" s="279">
        <f t="shared" si="104"/>
        <v>28894</v>
      </c>
      <c r="AG223" s="283">
        <f t="shared" si="104"/>
        <v>28894</v>
      </c>
      <c r="AH223" s="71">
        <f t="shared" si="73"/>
        <v>0</v>
      </c>
    </row>
    <row r="224" spans="1:34" x14ac:dyDescent="0.25">
      <c r="A224" s="71">
        <v>19</v>
      </c>
      <c r="B224" s="223" t="str">
        <f t="shared" ref="B224:AG224" si="105">B102</f>
        <v>SECURITE  NETTOYAGE ET SERVICES DIVERS A</v>
      </c>
      <c r="C224" s="277" t="str">
        <f t="shared" si="105"/>
        <v xml:space="preserve">GN33 </v>
      </c>
      <c r="D224" s="278">
        <f t="shared" si="105"/>
        <v>101980</v>
      </c>
      <c r="E224" s="220">
        <f t="shared" si="105"/>
        <v>0</v>
      </c>
      <c r="F224" s="220">
        <f t="shared" si="105"/>
        <v>10403</v>
      </c>
      <c r="G224" s="220">
        <f t="shared" si="105"/>
        <v>0</v>
      </c>
      <c r="H224" s="279">
        <f t="shared" si="105"/>
        <v>112383</v>
      </c>
      <c r="I224" s="278">
        <f t="shared" si="105"/>
        <v>0</v>
      </c>
      <c r="J224" s="220">
        <f t="shared" si="105"/>
        <v>0</v>
      </c>
      <c r="K224" s="220">
        <f t="shared" si="105"/>
        <v>3762</v>
      </c>
      <c r="L224" s="220">
        <f t="shared" si="105"/>
        <v>3762</v>
      </c>
      <c r="M224" s="280">
        <f t="shared" si="105"/>
        <v>0</v>
      </c>
      <c r="N224" s="279">
        <f t="shared" si="105"/>
        <v>116145</v>
      </c>
      <c r="O224" s="281">
        <f t="shared" si="105"/>
        <v>2726</v>
      </c>
      <c r="P224" s="281">
        <f t="shared" si="105"/>
        <v>0</v>
      </c>
      <c r="Q224" s="281">
        <f t="shared" si="105"/>
        <v>0</v>
      </c>
      <c r="R224" s="281">
        <f t="shared" si="105"/>
        <v>0</v>
      </c>
      <c r="S224" s="281">
        <f t="shared" si="105"/>
        <v>0</v>
      </c>
      <c r="T224" s="279">
        <f t="shared" si="105"/>
        <v>2726</v>
      </c>
      <c r="U224" s="281">
        <f t="shared" si="105"/>
        <v>0</v>
      </c>
      <c r="V224" s="281">
        <f t="shared" si="105"/>
        <v>0</v>
      </c>
      <c r="W224" s="281">
        <f t="shared" si="105"/>
        <v>0</v>
      </c>
      <c r="X224" s="281">
        <f t="shared" si="105"/>
        <v>0</v>
      </c>
      <c r="Y224" s="281">
        <f t="shared" si="105"/>
        <v>0</v>
      </c>
      <c r="Z224" s="279">
        <f t="shared" si="105"/>
        <v>0</v>
      </c>
      <c r="AA224" s="282">
        <f t="shared" si="105"/>
        <v>0</v>
      </c>
      <c r="AB224" s="282">
        <f t="shared" si="105"/>
        <v>0</v>
      </c>
      <c r="AC224" s="282">
        <f t="shared" si="105"/>
        <v>0</v>
      </c>
      <c r="AD224" s="282">
        <f t="shared" si="105"/>
        <v>8476</v>
      </c>
      <c r="AE224" s="279">
        <f t="shared" si="105"/>
        <v>11202</v>
      </c>
      <c r="AF224" s="279">
        <f t="shared" si="105"/>
        <v>104943</v>
      </c>
      <c r="AG224" s="283">
        <f t="shared" si="105"/>
        <v>116145</v>
      </c>
      <c r="AH224" s="71">
        <f t="shared" si="73"/>
        <v>0</v>
      </c>
    </row>
    <row r="225" spans="1:34" x14ac:dyDescent="0.25">
      <c r="A225" s="71">
        <v>19</v>
      </c>
      <c r="B225" s="223" t="str">
        <f t="shared" ref="B225:AG225" si="106">B103</f>
        <v>ASSAINISSEMENT  VOIRIE ET GESTION DES DE</v>
      </c>
      <c r="C225" s="277" t="str">
        <f t="shared" si="106"/>
        <v xml:space="preserve">GN34 </v>
      </c>
      <c r="D225" s="278">
        <f t="shared" si="106"/>
        <v>22666</v>
      </c>
      <c r="E225" s="220">
        <f t="shared" si="106"/>
        <v>0</v>
      </c>
      <c r="F225" s="220">
        <f t="shared" si="106"/>
        <v>0</v>
      </c>
      <c r="G225" s="220">
        <f t="shared" si="106"/>
        <v>0</v>
      </c>
      <c r="H225" s="279">
        <f t="shared" si="106"/>
        <v>22666</v>
      </c>
      <c r="I225" s="278">
        <f t="shared" si="106"/>
        <v>0</v>
      </c>
      <c r="J225" s="220">
        <f t="shared" si="106"/>
        <v>0</v>
      </c>
      <c r="K225" s="220">
        <f t="shared" si="106"/>
        <v>2307</v>
      </c>
      <c r="L225" s="220">
        <f t="shared" si="106"/>
        <v>985</v>
      </c>
      <c r="M225" s="280">
        <f t="shared" si="106"/>
        <v>0</v>
      </c>
      <c r="N225" s="279">
        <f t="shared" si="106"/>
        <v>24973</v>
      </c>
      <c r="O225" s="281">
        <f t="shared" si="106"/>
        <v>7109</v>
      </c>
      <c r="P225" s="281">
        <f t="shared" si="106"/>
        <v>0</v>
      </c>
      <c r="Q225" s="281">
        <f t="shared" si="106"/>
        <v>0</v>
      </c>
      <c r="R225" s="281">
        <f t="shared" si="106"/>
        <v>0</v>
      </c>
      <c r="S225" s="281">
        <f t="shared" si="106"/>
        <v>0</v>
      </c>
      <c r="T225" s="279">
        <f t="shared" si="106"/>
        <v>7109</v>
      </c>
      <c r="U225" s="281">
        <f t="shared" si="106"/>
        <v>0</v>
      </c>
      <c r="V225" s="281">
        <f t="shared" si="106"/>
        <v>0</v>
      </c>
      <c r="W225" s="281">
        <f t="shared" si="106"/>
        <v>0</v>
      </c>
      <c r="X225" s="281">
        <f t="shared" si="106"/>
        <v>0</v>
      </c>
      <c r="Y225" s="281">
        <f t="shared" si="106"/>
        <v>0</v>
      </c>
      <c r="Z225" s="279">
        <f t="shared" si="106"/>
        <v>0</v>
      </c>
      <c r="AA225" s="282">
        <f t="shared" si="106"/>
        <v>0</v>
      </c>
      <c r="AB225" s="282">
        <f t="shared" si="106"/>
        <v>0</v>
      </c>
      <c r="AC225" s="282">
        <f t="shared" si="106"/>
        <v>0</v>
      </c>
      <c r="AD225" s="282">
        <f t="shared" si="106"/>
        <v>0</v>
      </c>
      <c r="AE225" s="279">
        <f t="shared" si="106"/>
        <v>7109</v>
      </c>
      <c r="AF225" s="279">
        <f t="shared" si="106"/>
        <v>17864</v>
      </c>
      <c r="AG225" s="283">
        <f t="shared" si="106"/>
        <v>24973</v>
      </c>
      <c r="AH225" s="71">
        <f t="shared" si="73"/>
        <v>0</v>
      </c>
    </row>
    <row r="226" spans="1:34" x14ac:dyDescent="0.25">
      <c r="A226" s="71">
        <v>19</v>
      </c>
      <c r="B226" s="223" t="str">
        <f t="shared" ref="B226:AG226" si="107">B104</f>
        <v>RECHERCHE ET DEVELOPPEMENT MARCHANDS</v>
      </c>
      <c r="C226" s="277" t="str">
        <f t="shared" si="107"/>
        <v xml:space="preserve">GN4A </v>
      </c>
      <c r="D226" s="278">
        <f t="shared" si="107"/>
        <v>26183</v>
      </c>
      <c r="E226" s="220">
        <f t="shared" si="107"/>
        <v>0</v>
      </c>
      <c r="F226" s="220">
        <f t="shared" si="107"/>
        <v>1874</v>
      </c>
      <c r="G226" s="220">
        <f t="shared" si="107"/>
        <v>0</v>
      </c>
      <c r="H226" s="279">
        <f t="shared" si="107"/>
        <v>28057</v>
      </c>
      <c r="I226" s="278">
        <f t="shared" si="107"/>
        <v>0</v>
      </c>
      <c r="J226" s="220">
        <f t="shared" si="107"/>
        <v>0</v>
      </c>
      <c r="K226" s="220">
        <f t="shared" si="107"/>
        <v>356</v>
      </c>
      <c r="L226" s="220">
        <f t="shared" si="107"/>
        <v>356</v>
      </c>
      <c r="M226" s="280">
        <f t="shared" si="107"/>
        <v>-15</v>
      </c>
      <c r="N226" s="279">
        <f t="shared" si="107"/>
        <v>28398</v>
      </c>
      <c r="O226" s="281">
        <f t="shared" si="107"/>
        <v>0</v>
      </c>
      <c r="P226" s="281">
        <f t="shared" si="107"/>
        <v>0</v>
      </c>
      <c r="Q226" s="281">
        <f t="shared" si="107"/>
        <v>0</v>
      </c>
      <c r="R226" s="281">
        <f t="shared" si="107"/>
        <v>0</v>
      </c>
      <c r="S226" s="281">
        <f t="shared" si="107"/>
        <v>0</v>
      </c>
      <c r="T226" s="279">
        <f t="shared" si="107"/>
        <v>0</v>
      </c>
      <c r="U226" s="281">
        <f t="shared" si="107"/>
        <v>0</v>
      </c>
      <c r="V226" s="281">
        <f t="shared" si="107"/>
        <v>0</v>
      </c>
      <c r="W226" s="281">
        <f t="shared" si="107"/>
        <v>0</v>
      </c>
      <c r="X226" s="281">
        <f t="shared" si="107"/>
        <v>0</v>
      </c>
      <c r="Y226" s="281">
        <f t="shared" si="107"/>
        <v>0</v>
      </c>
      <c r="Z226" s="279">
        <f t="shared" si="107"/>
        <v>0</v>
      </c>
      <c r="AA226" s="282">
        <f t="shared" si="107"/>
        <v>0</v>
      </c>
      <c r="AB226" s="282">
        <f t="shared" si="107"/>
        <v>0</v>
      </c>
      <c r="AC226" s="282">
        <f t="shared" si="107"/>
        <v>0</v>
      </c>
      <c r="AD226" s="282">
        <f t="shared" si="107"/>
        <v>3378</v>
      </c>
      <c r="AE226" s="279">
        <f t="shared" si="107"/>
        <v>3378</v>
      </c>
      <c r="AF226" s="279">
        <f t="shared" si="107"/>
        <v>25020</v>
      </c>
      <c r="AG226" s="283">
        <f t="shared" si="107"/>
        <v>28398</v>
      </c>
      <c r="AH226" s="71">
        <f t="shared" si="73"/>
        <v>0</v>
      </c>
    </row>
    <row r="227" spans="1:34" x14ac:dyDescent="0.25">
      <c r="A227" s="71">
        <v>20</v>
      </c>
      <c r="B227" s="223" t="str">
        <f t="shared" ref="B227:AG227" si="108">B105</f>
        <v>RECHERCHE ET DEVELOPPEMENT NON MARCHANDS</v>
      </c>
      <c r="C227" s="277" t="str">
        <f t="shared" si="108"/>
        <v xml:space="preserve">GN4B </v>
      </c>
      <c r="D227" s="278">
        <f t="shared" si="108"/>
        <v>8570</v>
      </c>
      <c r="E227" s="220">
        <f t="shared" si="108"/>
        <v>0</v>
      </c>
      <c r="F227" s="220">
        <f t="shared" si="108"/>
        <v>0</v>
      </c>
      <c r="G227" s="220">
        <f t="shared" si="108"/>
        <v>0</v>
      </c>
      <c r="H227" s="279">
        <f t="shared" si="108"/>
        <v>8570</v>
      </c>
      <c r="I227" s="278">
        <f t="shared" si="108"/>
        <v>0</v>
      </c>
      <c r="J227" s="220">
        <f t="shared" si="108"/>
        <v>0</v>
      </c>
      <c r="K227" s="220">
        <f t="shared" si="108"/>
        <v>0</v>
      </c>
      <c r="L227" s="220">
        <f t="shared" si="108"/>
        <v>0</v>
      </c>
      <c r="M227" s="280">
        <f t="shared" si="108"/>
        <v>0</v>
      </c>
      <c r="N227" s="279">
        <f t="shared" si="108"/>
        <v>8570</v>
      </c>
      <c r="O227" s="281">
        <f t="shared" si="108"/>
        <v>19</v>
      </c>
      <c r="P227" s="281">
        <f t="shared" si="108"/>
        <v>8551</v>
      </c>
      <c r="Q227" s="281">
        <f t="shared" si="108"/>
        <v>0</v>
      </c>
      <c r="R227" s="281">
        <f t="shared" si="108"/>
        <v>8551</v>
      </c>
      <c r="S227" s="281">
        <f t="shared" si="108"/>
        <v>0</v>
      </c>
      <c r="T227" s="279">
        <f t="shared" si="108"/>
        <v>8570</v>
      </c>
      <c r="U227" s="281">
        <f t="shared" si="108"/>
        <v>0</v>
      </c>
      <c r="V227" s="281">
        <f t="shared" si="108"/>
        <v>0</v>
      </c>
      <c r="W227" s="281">
        <f t="shared" si="108"/>
        <v>0</v>
      </c>
      <c r="X227" s="281">
        <f t="shared" si="108"/>
        <v>0</v>
      </c>
      <c r="Y227" s="281">
        <f t="shared" si="108"/>
        <v>0</v>
      </c>
      <c r="Z227" s="279">
        <f t="shared" si="108"/>
        <v>0</v>
      </c>
      <c r="AA227" s="282">
        <f t="shared" si="108"/>
        <v>0</v>
      </c>
      <c r="AB227" s="282">
        <f t="shared" si="108"/>
        <v>0</v>
      </c>
      <c r="AC227" s="282">
        <f t="shared" si="108"/>
        <v>0</v>
      </c>
      <c r="AD227" s="282">
        <f t="shared" si="108"/>
        <v>0</v>
      </c>
      <c r="AE227" s="279">
        <f t="shared" si="108"/>
        <v>8570</v>
      </c>
      <c r="AF227" s="279">
        <f t="shared" si="108"/>
        <v>0</v>
      </c>
      <c r="AG227" s="283">
        <f t="shared" si="108"/>
        <v>8570</v>
      </c>
      <c r="AH227" s="71">
        <f t="shared" si="73"/>
        <v>0</v>
      </c>
    </row>
    <row r="228" spans="1:34" x14ac:dyDescent="0.25">
      <c r="A228" s="71">
        <v>19</v>
      </c>
      <c r="B228" s="223" t="str">
        <f t="shared" ref="B228:AG228" si="109">B106</f>
        <v>HOTELS ET RESTAURANTS</v>
      </c>
      <c r="C228" s="277" t="str">
        <f t="shared" si="109"/>
        <v xml:space="preserve">GP10 </v>
      </c>
      <c r="D228" s="278">
        <f t="shared" si="109"/>
        <v>78516</v>
      </c>
      <c r="E228" s="220">
        <f t="shared" si="109"/>
        <v>0</v>
      </c>
      <c r="F228" s="220">
        <f t="shared" si="109"/>
        <v>0</v>
      </c>
      <c r="G228" s="220">
        <f t="shared" si="109"/>
        <v>0</v>
      </c>
      <c r="H228" s="279">
        <f t="shared" si="109"/>
        <v>78516</v>
      </c>
      <c r="I228" s="278">
        <f t="shared" si="109"/>
        <v>0</v>
      </c>
      <c r="J228" s="220">
        <f t="shared" si="109"/>
        <v>0</v>
      </c>
      <c r="K228" s="220">
        <f t="shared" si="109"/>
        <v>6298</v>
      </c>
      <c r="L228" s="220">
        <f t="shared" si="109"/>
        <v>6126</v>
      </c>
      <c r="M228" s="280">
        <f t="shared" si="109"/>
        <v>-262</v>
      </c>
      <c r="N228" s="279">
        <f t="shared" si="109"/>
        <v>84552</v>
      </c>
      <c r="O228" s="281">
        <f t="shared" si="109"/>
        <v>62254</v>
      </c>
      <c r="P228" s="281">
        <f t="shared" si="109"/>
        <v>0</v>
      </c>
      <c r="Q228" s="281">
        <f t="shared" si="109"/>
        <v>429</v>
      </c>
      <c r="R228" s="281">
        <f t="shared" si="109"/>
        <v>429</v>
      </c>
      <c r="S228" s="281">
        <f t="shared" si="109"/>
        <v>0</v>
      </c>
      <c r="T228" s="279">
        <f t="shared" si="109"/>
        <v>62683</v>
      </c>
      <c r="U228" s="281">
        <f t="shared" si="109"/>
        <v>0</v>
      </c>
      <c r="V228" s="281">
        <f t="shared" si="109"/>
        <v>0</v>
      </c>
      <c r="W228" s="281">
        <f t="shared" si="109"/>
        <v>0</v>
      </c>
      <c r="X228" s="281">
        <f t="shared" si="109"/>
        <v>0</v>
      </c>
      <c r="Y228" s="281">
        <f t="shared" si="109"/>
        <v>0</v>
      </c>
      <c r="Z228" s="279">
        <f t="shared" si="109"/>
        <v>0</v>
      </c>
      <c r="AA228" s="282">
        <f t="shared" si="109"/>
        <v>0</v>
      </c>
      <c r="AB228" s="282">
        <f t="shared" si="109"/>
        <v>0</v>
      </c>
      <c r="AC228" s="282">
        <f t="shared" si="109"/>
        <v>0</v>
      </c>
      <c r="AD228" s="282">
        <f t="shared" si="109"/>
        <v>0</v>
      </c>
      <c r="AE228" s="279">
        <f t="shared" si="109"/>
        <v>62683</v>
      </c>
      <c r="AF228" s="279">
        <f t="shared" si="109"/>
        <v>21869</v>
      </c>
      <c r="AG228" s="283">
        <f t="shared" si="109"/>
        <v>84552</v>
      </c>
      <c r="AH228" s="71">
        <f t="shared" si="73"/>
        <v>0</v>
      </c>
    </row>
    <row r="229" spans="1:34" x14ac:dyDescent="0.25">
      <c r="A229" s="71">
        <v>19</v>
      </c>
      <c r="B229" s="223" t="str">
        <f t="shared" ref="B229:AG229" si="110">B107</f>
        <v>ACTIVITES AUDIOVISUELLES</v>
      </c>
      <c r="C229" s="277" t="str">
        <f t="shared" si="110"/>
        <v xml:space="preserve">GP21 </v>
      </c>
      <c r="D229" s="278">
        <f t="shared" si="110"/>
        <v>20008</v>
      </c>
      <c r="E229" s="220">
        <f t="shared" si="110"/>
        <v>0</v>
      </c>
      <c r="F229" s="220">
        <f t="shared" si="110"/>
        <v>1475</v>
      </c>
      <c r="G229" s="220">
        <f t="shared" si="110"/>
        <v>0</v>
      </c>
      <c r="H229" s="279">
        <f t="shared" si="110"/>
        <v>21483</v>
      </c>
      <c r="I229" s="278">
        <f t="shared" si="110"/>
        <v>0</v>
      </c>
      <c r="J229" s="220">
        <f t="shared" si="110"/>
        <v>0</v>
      </c>
      <c r="K229" s="220">
        <f t="shared" si="110"/>
        <v>1158</v>
      </c>
      <c r="L229" s="220">
        <f t="shared" si="110"/>
        <v>681</v>
      </c>
      <c r="M229" s="280">
        <f t="shared" si="110"/>
        <v>0</v>
      </c>
      <c r="N229" s="279">
        <f t="shared" si="110"/>
        <v>22641</v>
      </c>
      <c r="O229" s="281">
        <f t="shared" si="110"/>
        <v>8884</v>
      </c>
      <c r="P229" s="281">
        <f t="shared" si="110"/>
        <v>0</v>
      </c>
      <c r="Q229" s="281">
        <f t="shared" si="110"/>
        <v>512</v>
      </c>
      <c r="R229" s="281">
        <f t="shared" si="110"/>
        <v>512</v>
      </c>
      <c r="S229" s="281">
        <f t="shared" si="110"/>
        <v>0</v>
      </c>
      <c r="T229" s="279">
        <f t="shared" si="110"/>
        <v>9396</v>
      </c>
      <c r="U229" s="281">
        <f t="shared" si="110"/>
        <v>2355</v>
      </c>
      <c r="V229" s="281">
        <f t="shared" si="110"/>
        <v>0</v>
      </c>
      <c r="W229" s="281">
        <f t="shared" si="110"/>
        <v>0</v>
      </c>
      <c r="X229" s="281">
        <f t="shared" si="110"/>
        <v>0</v>
      </c>
      <c r="Y229" s="281">
        <f t="shared" si="110"/>
        <v>0</v>
      </c>
      <c r="Z229" s="279">
        <f t="shared" si="110"/>
        <v>2355</v>
      </c>
      <c r="AA229" s="282">
        <f t="shared" si="110"/>
        <v>0</v>
      </c>
      <c r="AB229" s="282">
        <f t="shared" si="110"/>
        <v>2</v>
      </c>
      <c r="AC229" s="282">
        <f t="shared" si="110"/>
        <v>2357</v>
      </c>
      <c r="AD229" s="282">
        <f t="shared" si="110"/>
        <v>867</v>
      </c>
      <c r="AE229" s="279">
        <f t="shared" si="110"/>
        <v>12620</v>
      </c>
      <c r="AF229" s="279">
        <f t="shared" si="110"/>
        <v>10021</v>
      </c>
      <c r="AG229" s="283">
        <f t="shared" si="110"/>
        <v>22641</v>
      </c>
      <c r="AH229" s="71">
        <f t="shared" si="73"/>
        <v>0</v>
      </c>
    </row>
    <row r="230" spans="1:34" x14ac:dyDescent="0.25">
      <c r="A230" s="71">
        <v>19</v>
      </c>
      <c r="B230" s="223" t="str">
        <f t="shared" ref="B230:AG230" si="111">B108</f>
        <v>AUTRES ACTIVITES RECREATIVES  CULTURELLE</v>
      </c>
      <c r="C230" s="277" t="str">
        <f t="shared" si="111"/>
        <v xml:space="preserve">GP2A </v>
      </c>
      <c r="D230" s="278">
        <f t="shared" si="111"/>
        <v>20154</v>
      </c>
      <c r="E230" s="220">
        <f t="shared" si="111"/>
        <v>0</v>
      </c>
      <c r="F230" s="220">
        <f t="shared" si="111"/>
        <v>594</v>
      </c>
      <c r="G230" s="220">
        <f t="shared" si="111"/>
        <v>0</v>
      </c>
      <c r="H230" s="279">
        <f t="shared" si="111"/>
        <v>20748</v>
      </c>
      <c r="I230" s="278">
        <f t="shared" si="111"/>
        <v>0</v>
      </c>
      <c r="J230" s="220">
        <f t="shared" si="111"/>
        <v>0</v>
      </c>
      <c r="K230" s="220">
        <f t="shared" si="111"/>
        <v>5149</v>
      </c>
      <c r="L230" s="220">
        <f t="shared" si="111"/>
        <v>991</v>
      </c>
      <c r="M230" s="280">
        <f t="shared" si="111"/>
        <v>-22</v>
      </c>
      <c r="N230" s="279">
        <f t="shared" si="111"/>
        <v>25875</v>
      </c>
      <c r="O230" s="281">
        <f t="shared" si="111"/>
        <v>19915</v>
      </c>
      <c r="P230" s="281">
        <f t="shared" si="111"/>
        <v>0</v>
      </c>
      <c r="Q230" s="281">
        <f t="shared" si="111"/>
        <v>14</v>
      </c>
      <c r="R230" s="281">
        <f t="shared" si="111"/>
        <v>14</v>
      </c>
      <c r="S230" s="281">
        <f t="shared" si="111"/>
        <v>0</v>
      </c>
      <c r="T230" s="279">
        <f t="shared" si="111"/>
        <v>19929</v>
      </c>
      <c r="U230" s="281">
        <f t="shared" si="111"/>
        <v>131</v>
      </c>
      <c r="V230" s="281">
        <f t="shared" si="111"/>
        <v>0</v>
      </c>
      <c r="W230" s="281">
        <f t="shared" si="111"/>
        <v>0</v>
      </c>
      <c r="X230" s="281">
        <f t="shared" si="111"/>
        <v>156</v>
      </c>
      <c r="Y230" s="281">
        <f t="shared" si="111"/>
        <v>0</v>
      </c>
      <c r="Z230" s="279">
        <f t="shared" si="111"/>
        <v>287</v>
      </c>
      <c r="AA230" s="282">
        <f t="shared" si="111"/>
        <v>0</v>
      </c>
      <c r="AB230" s="282">
        <f t="shared" si="111"/>
        <v>0</v>
      </c>
      <c r="AC230" s="282">
        <f t="shared" si="111"/>
        <v>287</v>
      </c>
      <c r="AD230" s="282">
        <f t="shared" si="111"/>
        <v>1098</v>
      </c>
      <c r="AE230" s="279">
        <f t="shared" si="111"/>
        <v>21314</v>
      </c>
      <c r="AF230" s="279">
        <f t="shared" si="111"/>
        <v>4561</v>
      </c>
      <c r="AG230" s="283">
        <f t="shared" si="111"/>
        <v>25875</v>
      </c>
      <c r="AH230" s="71">
        <f t="shared" si="73"/>
        <v>0</v>
      </c>
    </row>
    <row r="231" spans="1:34" x14ac:dyDescent="0.25">
      <c r="A231" s="71">
        <v>19</v>
      </c>
      <c r="B231" s="223" t="str">
        <f t="shared" ref="B231:AG231" si="112">B109</f>
        <v>AUTRES ACTIVITES RECREATIVES  CULTURELLE</v>
      </c>
      <c r="C231" s="277" t="str">
        <f t="shared" si="112"/>
        <v xml:space="preserve">GP2B </v>
      </c>
      <c r="D231" s="278">
        <f t="shared" si="112"/>
        <v>23381</v>
      </c>
      <c r="E231" s="220">
        <f t="shared" si="112"/>
        <v>0</v>
      </c>
      <c r="F231" s="220">
        <f t="shared" si="112"/>
        <v>0</v>
      </c>
      <c r="G231" s="220">
        <f t="shared" si="112"/>
        <v>0</v>
      </c>
      <c r="H231" s="279">
        <f t="shared" si="112"/>
        <v>23381</v>
      </c>
      <c r="I231" s="278">
        <f t="shared" si="112"/>
        <v>0</v>
      </c>
      <c r="J231" s="220">
        <f t="shared" si="112"/>
        <v>0</v>
      </c>
      <c r="K231" s="220">
        <f t="shared" si="112"/>
        <v>0</v>
      </c>
      <c r="L231" s="220">
        <f t="shared" si="112"/>
        <v>0</v>
      </c>
      <c r="M231" s="280">
        <f t="shared" si="112"/>
        <v>0</v>
      </c>
      <c r="N231" s="279">
        <f t="shared" si="112"/>
        <v>23381</v>
      </c>
      <c r="O231" s="281">
        <f t="shared" si="112"/>
        <v>3770</v>
      </c>
      <c r="P231" s="281">
        <f t="shared" si="112"/>
        <v>0</v>
      </c>
      <c r="Q231" s="281">
        <f t="shared" si="112"/>
        <v>15502</v>
      </c>
      <c r="R231" s="281">
        <f t="shared" si="112"/>
        <v>15502</v>
      </c>
      <c r="S231" s="281">
        <f t="shared" si="112"/>
        <v>4109</v>
      </c>
      <c r="T231" s="279">
        <f t="shared" si="112"/>
        <v>23381</v>
      </c>
      <c r="U231" s="281">
        <f t="shared" si="112"/>
        <v>0</v>
      </c>
      <c r="V231" s="281">
        <f t="shared" si="112"/>
        <v>0</v>
      </c>
      <c r="W231" s="281">
        <f t="shared" si="112"/>
        <v>0</v>
      </c>
      <c r="X231" s="281">
        <f t="shared" si="112"/>
        <v>0</v>
      </c>
      <c r="Y231" s="281">
        <f t="shared" si="112"/>
        <v>0</v>
      </c>
      <c r="Z231" s="279">
        <f t="shared" si="112"/>
        <v>0</v>
      </c>
      <c r="AA231" s="282">
        <f t="shared" si="112"/>
        <v>0</v>
      </c>
      <c r="AB231" s="282">
        <f t="shared" si="112"/>
        <v>0</v>
      </c>
      <c r="AC231" s="282">
        <f t="shared" si="112"/>
        <v>0</v>
      </c>
      <c r="AD231" s="282">
        <f t="shared" si="112"/>
        <v>0</v>
      </c>
      <c r="AE231" s="279">
        <f t="shared" si="112"/>
        <v>23381</v>
      </c>
      <c r="AF231" s="279">
        <f t="shared" si="112"/>
        <v>0</v>
      </c>
      <c r="AG231" s="283">
        <f t="shared" si="112"/>
        <v>23381</v>
      </c>
      <c r="AH231" s="71">
        <f t="shared" si="73"/>
        <v>0</v>
      </c>
    </row>
    <row r="232" spans="1:34" x14ac:dyDescent="0.25">
      <c r="A232" s="71">
        <v>19</v>
      </c>
      <c r="B232" s="223" t="str">
        <f t="shared" ref="B232:AG232" si="113">B110</f>
        <v>SERVICES PERSONNELS</v>
      </c>
      <c r="C232" s="277" t="str">
        <f t="shared" si="113"/>
        <v xml:space="preserve">GP31 </v>
      </c>
      <c r="D232" s="278">
        <f t="shared" si="113"/>
        <v>13722</v>
      </c>
      <c r="E232" s="220">
        <f t="shared" si="113"/>
        <v>0</v>
      </c>
      <c r="F232" s="220">
        <f t="shared" si="113"/>
        <v>0</v>
      </c>
      <c r="G232" s="220">
        <f t="shared" si="113"/>
        <v>0</v>
      </c>
      <c r="H232" s="279">
        <f t="shared" si="113"/>
        <v>13722</v>
      </c>
      <c r="I232" s="278">
        <f t="shared" si="113"/>
        <v>0</v>
      </c>
      <c r="J232" s="220">
        <f t="shared" si="113"/>
        <v>0</v>
      </c>
      <c r="K232" s="220">
        <f t="shared" si="113"/>
        <v>1527</v>
      </c>
      <c r="L232" s="220">
        <f t="shared" si="113"/>
        <v>1516</v>
      </c>
      <c r="M232" s="280">
        <f t="shared" si="113"/>
        <v>0</v>
      </c>
      <c r="N232" s="279">
        <f t="shared" si="113"/>
        <v>15249</v>
      </c>
      <c r="O232" s="281">
        <f t="shared" si="113"/>
        <v>12383</v>
      </c>
      <c r="P232" s="281">
        <f t="shared" si="113"/>
        <v>0</v>
      </c>
      <c r="Q232" s="281">
        <f t="shared" si="113"/>
        <v>236</v>
      </c>
      <c r="R232" s="281">
        <f t="shared" si="113"/>
        <v>236</v>
      </c>
      <c r="S232" s="281">
        <f t="shared" si="113"/>
        <v>0</v>
      </c>
      <c r="T232" s="279">
        <f t="shared" si="113"/>
        <v>12619</v>
      </c>
      <c r="U232" s="281">
        <f t="shared" si="113"/>
        <v>0</v>
      </c>
      <c r="V232" s="281">
        <f t="shared" si="113"/>
        <v>0</v>
      </c>
      <c r="W232" s="281">
        <f t="shared" si="113"/>
        <v>0</v>
      </c>
      <c r="X232" s="281">
        <f t="shared" si="113"/>
        <v>0</v>
      </c>
      <c r="Y232" s="281">
        <f t="shared" si="113"/>
        <v>0</v>
      </c>
      <c r="Z232" s="279">
        <f t="shared" si="113"/>
        <v>0</v>
      </c>
      <c r="AA232" s="282">
        <f t="shared" si="113"/>
        <v>0</v>
      </c>
      <c r="AB232" s="282">
        <f t="shared" si="113"/>
        <v>0</v>
      </c>
      <c r="AC232" s="282">
        <f t="shared" si="113"/>
        <v>0</v>
      </c>
      <c r="AD232" s="282">
        <f t="shared" si="113"/>
        <v>0</v>
      </c>
      <c r="AE232" s="279">
        <f t="shared" si="113"/>
        <v>12619</v>
      </c>
      <c r="AF232" s="279">
        <f t="shared" si="113"/>
        <v>2630</v>
      </c>
      <c r="AG232" s="283">
        <f t="shared" si="113"/>
        <v>15249</v>
      </c>
      <c r="AH232" s="71">
        <f t="shared" si="73"/>
        <v>0</v>
      </c>
    </row>
    <row r="233" spans="1:34" x14ac:dyDescent="0.25">
      <c r="A233" s="71">
        <v>19</v>
      </c>
      <c r="B233" s="223" t="str">
        <f t="shared" ref="B233:AG233" si="114">B111</f>
        <v>SERVICES DOMESTIQUES</v>
      </c>
      <c r="C233" s="277" t="str">
        <f t="shared" si="114"/>
        <v xml:space="preserve">GP32 </v>
      </c>
      <c r="D233" s="278">
        <f t="shared" si="114"/>
        <v>9109</v>
      </c>
      <c r="E233" s="220">
        <f t="shared" si="114"/>
        <v>0</v>
      </c>
      <c r="F233" s="220">
        <f t="shared" si="114"/>
        <v>0</v>
      </c>
      <c r="G233" s="220">
        <f t="shared" si="114"/>
        <v>0</v>
      </c>
      <c r="H233" s="279">
        <f t="shared" si="114"/>
        <v>9109</v>
      </c>
      <c r="I233" s="278">
        <f t="shared" si="114"/>
        <v>0</v>
      </c>
      <c r="J233" s="220">
        <f t="shared" si="114"/>
        <v>0</v>
      </c>
      <c r="K233" s="220">
        <f t="shared" si="114"/>
        <v>0</v>
      </c>
      <c r="L233" s="220">
        <f t="shared" si="114"/>
        <v>0</v>
      </c>
      <c r="M233" s="280">
        <f t="shared" si="114"/>
        <v>0</v>
      </c>
      <c r="N233" s="279">
        <f t="shared" si="114"/>
        <v>9109</v>
      </c>
      <c r="O233" s="281">
        <f t="shared" si="114"/>
        <v>8320</v>
      </c>
      <c r="P233" s="281">
        <f t="shared" si="114"/>
        <v>0</v>
      </c>
      <c r="Q233" s="281">
        <f t="shared" si="114"/>
        <v>0</v>
      </c>
      <c r="R233" s="281">
        <f t="shared" si="114"/>
        <v>0</v>
      </c>
      <c r="S233" s="281">
        <f t="shared" si="114"/>
        <v>0</v>
      </c>
      <c r="T233" s="279">
        <f t="shared" si="114"/>
        <v>8320</v>
      </c>
      <c r="U233" s="281">
        <f t="shared" si="114"/>
        <v>0</v>
      </c>
      <c r="V233" s="281">
        <f t="shared" si="114"/>
        <v>0</v>
      </c>
      <c r="W233" s="281">
        <f t="shared" si="114"/>
        <v>0</v>
      </c>
      <c r="X233" s="281">
        <f t="shared" si="114"/>
        <v>0</v>
      </c>
      <c r="Y233" s="281">
        <f t="shared" si="114"/>
        <v>0</v>
      </c>
      <c r="Z233" s="279">
        <f t="shared" si="114"/>
        <v>0</v>
      </c>
      <c r="AA233" s="282">
        <f t="shared" si="114"/>
        <v>0</v>
      </c>
      <c r="AB233" s="282">
        <f t="shared" si="114"/>
        <v>0</v>
      </c>
      <c r="AC233" s="282">
        <f t="shared" si="114"/>
        <v>0</v>
      </c>
      <c r="AD233" s="282">
        <f t="shared" si="114"/>
        <v>0</v>
      </c>
      <c r="AE233" s="279">
        <f t="shared" si="114"/>
        <v>8320</v>
      </c>
      <c r="AF233" s="279">
        <f t="shared" si="114"/>
        <v>789</v>
      </c>
      <c r="AG233" s="283">
        <f t="shared" si="114"/>
        <v>9109</v>
      </c>
      <c r="AH233" s="71">
        <f t="shared" si="73"/>
        <v>0</v>
      </c>
    </row>
    <row r="234" spans="1:34" x14ac:dyDescent="0.25">
      <c r="A234" s="71">
        <v>19</v>
      </c>
      <c r="B234" s="223" t="str">
        <f t="shared" ref="B234:AG234" si="115">B112</f>
        <v>EDUCATION MARCHANDE</v>
      </c>
      <c r="C234" s="277" t="str">
        <f t="shared" si="115"/>
        <v xml:space="preserve">GQ1A </v>
      </c>
      <c r="D234" s="278">
        <f t="shared" si="115"/>
        <v>17471</v>
      </c>
      <c r="E234" s="220">
        <f t="shared" si="115"/>
        <v>0</v>
      </c>
      <c r="F234" s="220">
        <f t="shared" si="115"/>
        <v>0</v>
      </c>
      <c r="G234" s="220">
        <f t="shared" si="115"/>
        <v>0</v>
      </c>
      <c r="H234" s="279">
        <f t="shared" si="115"/>
        <v>17471</v>
      </c>
      <c r="I234" s="278">
        <f t="shared" si="115"/>
        <v>0</v>
      </c>
      <c r="J234" s="220">
        <f t="shared" si="115"/>
        <v>0</v>
      </c>
      <c r="K234" s="220">
        <f t="shared" si="115"/>
        <v>345</v>
      </c>
      <c r="L234" s="220">
        <f t="shared" si="115"/>
        <v>345</v>
      </c>
      <c r="M234" s="280">
        <f t="shared" si="115"/>
        <v>0</v>
      </c>
      <c r="N234" s="279">
        <f t="shared" si="115"/>
        <v>17816</v>
      </c>
      <c r="O234" s="281">
        <f t="shared" si="115"/>
        <v>6884</v>
      </c>
      <c r="P234" s="281">
        <f t="shared" si="115"/>
        <v>0</v>
      </c>
      <c r="Q234" s="281">
        <f t="shared" si="115"/>
        <v>48</v>
      </c>
      <c r="R234" s="281">
        <f t="shared" si="115"/>
        <v>48</v>
      </c>
      <c r="S234" s="281">
        <f t="shared" si="115"/>
        <v>0</v>
      </c>
      <c r="T234" s="279">
        <f t="shared" si="115"/>
        <v>6932</v>
      </c>
      <c r="U234" s="281">
        <f t="shared" si="115"/>
        <v>0</v>
      </c>
      <c r="V234" s="281">
        <f t="shared" si="115"/>
        <v>0</v>
      </c>
      <c r="W234" s="281">
        <f t="shared" si="115"/>
        <v>0</v>
      </c>
      <c r="X234" s="281">
        <f t="shared" si="115"/>
        <v>0</v>
      </c>
      <c r="Y234" s="281">
        <f t="shared" si="115"/>
        <v>0</v>
      </c>
      <c r="Z234" s="279">
        <f t="shared" si="115"/>
        <v>0</v>
      </c>
      <c r="AA234" s="282">
        <f t="shared" si="115"/>
        <v>0</v>
      </c>
      <c r="AB234" s="282">
        <f t="shared" si="115"/>
        <v>0</v>
      </c>
      <c r="AC234" s="282">
        <f t="shared" si="115"/>
        <v>0</v>
      </c>
      <c r="AD234" s="282">
        <f t="shared" si="115"/>
        <v>0</v>
      </c>
      <c r="AE234" s="279">
        <f t="shared" si="115"/>
        <v>6932</v>
      </c>
      <c r="AF234" s="279">
        <f t="shared" si="115"/>
        <v>10884</v>
      </c>
      <c r="AG234" s="283">
        <f t="shared" si="115"/>
        <v>17816</v>
      </c>
      <c r="AH234" s="71">
        <f t="shared" si="73"/>
        <v>0</v>
      </c>
    </row>
    <row r="235" spans="1:34" x14ac:dyDescent="0.25">
      <c r="A235" s="71">
        <v>20</v>
      </c>
      <c r="B235" s="223" t="str">
        <f t="shared" ref="B235:AG235" si="116">B113</f>
        <v>EDUCATION NON MARCHANDE</v>
      </c>
      <c r="C235" s="277" t="str">
        <f t="shared" si="116"/>
        <v xml:space="preserve">GQ1B </v>
      </c>
      <c r="D235" s="278">
        <f t="shared" si="116"/>
        <v>86310</v>
      </c>
      <c r="E235" s="220">
        <f t="shared" si="116"/>
        <v>0</v>
      </c>
      <c r="F235" s="220">
        <f t="shared" si="116"/>
        <v>0</v>
      </c>
      <c r="G235" s="220">
        <f t="shared" si="116"/>
        <v>0</v>
      </c>
      <c r="H235" s="279">
        <f t="shared" si="116"/>
        <v>86310</v>
      </c>
      <c r="I235" s="278">
        <f t="shared" si="116"/>
        <v>0</v>
      </c>
      <c r="J235" s="220">
        <f t="shared" si="116"/>
        <v>0</v>
      </c>
      <c r="K235" s="220">
        <f t="shared" si="116"/>
        <v>0</v>
      </c>
      <c r="L235" s="220">
        <f t="shared" si="116"/>
        <v>0</v>
      </c>
      <c r="M235" s="280">
        <f t="shared" si="116"/>
        <v>0</v>
      </c>
      <c r="N235" s="279">
        <f t="shared" si="116"/>
        <v>86310</v>
      </c>
      <c r="O235" s="281">
        <f t="shared" si="116"/>
        <v>1929</v>
      </c>
      <c r="P235" s="281">
        <f t="shared" si="116"/>
        <v>0</v>
      </c>
      <c r="Q235" s="281">
        <f t="shared" si="116"/>
        <v>82940</v>
      </c>
      <c r="R235" s="281">
        <f t="shared" si="116"/>
        <v>82940</v>
      </c>
      <c r="S235" s="281">
        <f t="shared" si="116"/>
        <v>1441</v>
      </c>
      <c r="T235" s="279">
        <f t="shared" si="116"/>
        <v>86310</v>
      </c>
      <c r="U235" s="281">
        <f t="shared" si="116"/>
        <v>0</v>
      </c>
      <c r="V235" s="281">
        <f t="shared" si="116"/>
        <v>0</v>
      </c>
      <c r="W235" s="281">
        <f t="shared" si="116"/>
        <v>0</v>
      </c>
      <c r="X235" s="281">
        <f t="shared" si="116"/>
        <v>0</v>
      </c>
      <c r="Y235" s="281">
        <f t="shared" si="116"/>
        <v>0</v>
      </c>
      <c r="Z235" s="279">
        <f t="shared" si="116"/>
        <v>0</v>
      </c>
      <c r="AA235" s="282">
        <f t="shared" si="116"/>
        <v>0</v>
      </c>
      <c r="AB235" s="282">
        <f t="shared" si="116"/>
        <v>0</v>
      </c>
      <c r="AC235" s="282">
        <f t="shared" si="116"/>
        <v>0</v>
      </c>
      <c r="AD235" s="282">
        <f t="shared" si="116"/>
        <v>0</v>
      </c>
      <c r="AE235" s="279">
        <f t="shared" si="116"/>
        <v>86310</v>
      </c>
      <c r="AF235" s="279">
        <f t="shared" si="116"/>
        <v>0</v>
      </c>
      <c r="AG235" s="283">
        <f t="shared" si="116"/>
        <v>86310</v>
      </c>
      <c r="AH235" s="71">
        <f t="shared" si="73"/>
        <v>0</v>
      </c>
    </row>
    <row r="236" spans="1:34" x14ac:dyDescent="0.25">
      <c r="A236" s="71">
        <v>19</v>
      </c>
      <c r="B236" s="223" t="str">
        <f t="shared" ref="B236:AG236" si="117">B114</f>
        <v>SANTE HUMAINE (PARTIE MARCHANDE)</v>
      </c>
      <c r="C236" s="277" t="str">
        <f t="shared" si="117"/>
        <v xml:space="preserve">GQ2A </v>
      </c>
      <c r="D236" s="278">
        <f t="shared" si="117"/>
        <v>64364</v>
      </c>
      <c r="E236" s="220">
        <f t="shared" si="117"/>
        <v>0</v>
      </c>
      <c r="F236" s="220">
        <f t="shared" si="117"/>
        <v>261</v>
      </c>
      <c r="G236" s="220">
        <f t="shared" si="117"/>
        <v>0</v>
      </c>
      <c r="H236" s="279">
        <f t="shared" si="117"/>
        <v>64625</v>
      </c>
      <c r="I236" s="278">
        <f t="shared" si="117"/>
        <v>0</v>
      </c>
      <c r="J236" s="220">
        <f t="shared" si="117"/>
        <v>0</v>
      </c>
      <c r="K236" s="220">
        <f t="shared" si="117"/>
        <v>5</v>
      </c>
      <c r="L236" s="220">
        <f t="shared" si="117"/>
        <v>0</v>
      </c>
      <c r="M236" s="280">
        <f t="shared" si="117"/>
        <v>0</v>
      </c>
      <c r="N236" s="279">
        <f t="shared" si="117"/>
        <v>64630</v>
      </c>
      <c r="O236" s="281">
        <f t="shared" si="117"/>
        <v>15570</v>
      </c>
      <c r="P236" s="281">
        <f t="shared" si="117"/>
        <v>0</v>
      </c>
      <c r="Q236" s="281">
        <f t="shared" si="117"/>
        <v>42202</v>
      </c>
      <c r="R236" s="281">
        <f t="shared" si="117"/>
        <v>42202</v>
      </c>
      <c r="S236" s="281">
        <f t="shared" si="117"/>
        <v>0</v>
      </c>
      <c r="T236" s="279">
        <f t="shared" si="117"/>
        <v>57772</v>
      </c>
      <c r="U236" s="281">
        <f t="shared" si="117"/>
        <v>0</v>
      </c>
      <c r="V236" s="281">
        <f t="shared" si="117"/>
        <v>0</v>
      </c>
      <c r="W236" s="281">
        <f t="shared" si="117"/>
        <v>0</v>
      </c>
      <c r="X236" s="281">
        <f t="shared" si="117"/>
        <v>0</v>
      </c>
      <c r="Y236" s="281">
        <f t="shared" si="117"/>
        <v>0</v>
      </c>
      <c r="Z236" s="279">
        <f t="shared" si="117"/>
        <v>0</v>
      </c>
      <c r="AA236" s="282">
        <f t="shared" si="117"/>
        <v>0</v>
      </c>
      <c r="AB236" s="282">
        <f t="shared" si="117"/>
        <v>0</v>
      </c>
      <c r="AC236" s="282">
        <f t="shared" si="117"/>
        <v>0</v>
      </c>
      <c r="AD236" s="282">
        <f t="shared" si="117"/>
        <v>516</v>
      </c>
      <c r="AE236" s="279">
        <f t="shared" si="117"/>
        <v>58288</v>
      </c>
      <c r="AF236" s="279">
        <f t="shared" si="117"/>
        <v>6342</v>
      </c>
      <c r="AG236" s="283">
        <f t="shared" si="117"/>
        <v>64630</v>
      </c>
      <c r="AH236" s="71">
        <f t="shared" si="73"/>
        <v>0</v>
      </c>
    </row>
    <row r="237" spans="1:34" x14ac:dyDescent="0.25">
      <c r="A237" s="71">
        <v>20</v>
      </c>
      <c r="B237" s="223" t="str">
        <f t="shared" ref="B237:AG237" si="118">B115</f>
        <v>SANTE NON MARCHANDE</v>
      </c>
      <c r="C237" s="277" t="str">
        <f t="shared" si="118"/>
        <v xml:space="preserve">GQ2B </v>
      </c>
      <c r="D237" s="278">
        <f t="shared" si="118"/>
        <v>55246</v>
      </c>
      <c r="E237" s="220">
        <f t="shared" si="118"/>
        <v>0</v>
      </c>
      <c r="F237" s="220">
        <f t="shared" si="118"/>
        <v>0</v>
      </c>
      <c r="G237" s="220">
        <f t="shared" si="118"/>
        <v>0</v>
      </c>
      <c r="H237" s="279">
        <f t="shared" si="118"/>
        <v>55246</v>
      </c>
      <c r="I237" s="278">
        <f t="shared" si="118"/>
        <v>0</v>
      </c>
      <c r="J237" s="220">
        <f t="shared" si="118"/>
        <v>0</v>
      </c>
      <c r="K237" s="220">
        <f t="shared" si="118"/>
        <v>0</v>
      </c>
      <c r="L237" s="220">
        <f t="shared" si="118"/>
        <v>0</v>
      </c>
      <c r="M237" s="280">
        <f t="shared" si="118"/>
        <v>0</v>
      </c>
      <c r="N237" s="279">
        <f t="shared" si="118"/>
        <v>55246</v>
      </c>
      <c r="O237" s="281">
        <f t="shared" si="118"/>
        <v>3624</v>
      </c>
      <c r="P237" s="281">
        <f t="shared" si="118"/>
        <v>0</v>
      </c>
      <c r="Q237" s="281">
        <f t="shared" si="118"/>
        <v>51622</v>
      </c>
      <c r="R237" s="281">
        <f t="shared" si="118"/>
        <v>51622</v>
      </c>
      <c r="S237" s="281">
        <f t="shared" si="118"/>
        <v>0</v>
      </c>
      <c r="T237" s="279">
        <f t="shared" si="118"/>
        <v>55246</v>
      </c>
      <c r="U237" s="281">
        <f t="shared" si="118"/>
        <v>0</v>
      </c>
      <c r="V237" s="281">
        <f t="shared" si="118"/>
        <v>0</v>
      </c>
      <c r="W237" s="281">
        <f t="shared" si="118"/>
        <v>0</v>
      </c>
      <c r="X237" s="281">
        <f t="shared" si="118"/>
        <v>0</v>
      </c>
      <c r="Y237" s="281">
        <f t="shared" si="118"/>
        <v>0</v>
      </c>
      <c r="Z237" s="279">
        <f t="shared" si="118"/>
        <v>0</v>
      </c>
      <c r="AA237" s="282">
        <f t="shared" si="118"/>
        <v>0</v>
      </c>
      <c r="AB237" s="282">
        <f t="shared" si="118"/>
        <v>0</v>
      </c>
      <c r="AC237" s="282">
        <f t="shared" si="118"/>
        <v>0</v>
      </c>
      <c r="AD237" s="282">
        <f t="shared" si="118"/>
        <v>0</v>
      </c>
      <c r="AE237" s="279">
        <f t="shared" si="118"/>
        <v>55246</v>
      </c>
      <c r="AF237" s="279">
        <f t="shared" si="118"/>
        <v>0</v>
      </c>
      <c r="AG237" s="283">
        <f t="shared" si="118"/>
        <v>55246</v>
      </c>
      <c r="AH237" s="71">
        <f t="shared" si="73"/>
        <v>0</v>
      </c>
    </row>
    <row r="238" spans="1:34" x14ac:dyDescent="0.25">
      <c r="A238" s="71">
        <v>19</v>
      </c>
      <c r="B238" s="223" t="str">
        <f t="shared" ref="B238:AG238" si="119">B116</f>
        <v>ACTIVITES VETERINAIRES</v>
      </c>
      <c r="C238" s="277" t="str">
        <f t="shared" si="119"/>
        <v xml:space="preserve">GQ2C </v>
      </c>
      <c r="D238" s="278">
        <f t="shared" si="119"/>
        <v>2255</v>
      </c>
      <c r="E238" s="220">
        <f t="shared" si="119"/>
        <v>0</v>
      </c>
      <c r="F238" s="220">
        <f t="shared" si="119"/>
        <v>0</v>
      </c>
      <c r="G238" s="220">
        <f t="shared" si="119"/>
        <v>0</v>
      </c>
      <c r="H238" s="279">
        <f t="shared" si="119"/>
        <v>2255</v>
      </c>
      <c r="I238" s="278">
        <f t="shared" si="119"/>
        <v>0</v>
      </c>
      <c r="J238" s="220">
        <f t="shared" si="119"/>
        <v>0</v>
      </c>
      <c r="K238" s="220">
        <f t="shared" si="119"/>
        <v>275</v>
      </c>
      <c r="L238" s="220">
        <f t="shared" si="119"/>
        <v>275</v>
      </c>
      <c r="M238" s="280">
        <f t="shared" si="119"/>
        <v>0</v>
      </c>
      <c r="N238" s="279">
        <f t="shared" si="119"/>
        <v>2530</v>
      </c>
      <c r="O238" s="281">
        <f t="shared" si="119"/>
        <v>1872</v>
      </c>
      <c r="P238" s="281">
        <f t="shared" si="119"/>
        <v>0</v>
      </c>
      <c r="Q238" s="281">
        <f t="shared" si="119"/>
        <v>0</v>
      </c>
      <c r="R238" s="281">
        <f t="shared" si="119"/>
        <v>0</v>
      </c>
      <c r="S238" s="281">
        <f t="shared" si="119"/>
        <v>0</v>
      </c>
      <c r="T238" s="279">
        <f t="shared" si="119"/>
        <v>1872</v>
      </c>
      <c r="U238" s="281">
        <f t="shared" si="119"/>
        <v>0</v>
      </c>
      <c r="V238" s="281">
        <f t="shared" si="119"/>
        <v>0</v>
      </c>
      <c r="W238" s="281">
        <f t="shared" si="119"/>
        <v>0</v>
      </c>
      <c r="X238" s="281">
        <f t="shared" si="119"/>
        <v>0</v>
      </c>
      <c r="Y238" s="281">
        <f t="shared" si="119"/>
        <v>0</v>
      </c>
      <c r="Z238" s="279">
        <f t="shared" si="119"/>
        <v>0</v>
      </c>
      <c r="AA238" s="282">
        <f t="shared" si="119"/>
        <v>0</v>
      </c>
      <c r="AB238" s="282">
        <f t="shared" si="119"/>
        <v>0</v>
      </c>
      <c r="AC238" s="282">
        <f t="shared" si="119"/>
        <v>0</v>
      </c>
      <c r="AD238" s="282">
        <f t="shared" si="119"/>
        <v>0</v>
      </c>
      <c r="AE238" s="279">
        <f t="shared" si="119"/>
        <v>1872</v>
      </c>
      <c r="AF238" s="279">
        <f t="shared" si="119"/>
        <v>658</v>
      </c>
      <c r="AG238" s="283">
        <f t="shared" si="119"/>
        <v>2530</v>
      </c>
      <c r="AH238" s="71">
        <f>AG238-N238</f>
        <v>0</v>
      </c>
    </row>
    <row r="239" spans="1:34" x14ac:dyDescent="0.25">
      <c r="A239" s="71">
        <v>19</v>
      </c>
      <c r="B239" s="223" t="str">
        <f t="shared" ref="B239:AG239" si="120">B117</f>
        <v>ACTION SOCIALE (PARTIE MARCHANDE)</v>
      </c>
      <c r="C239" s="277" t="str">
        <f t="shared" si="120"/>
        <v xml:space="preserve">GQ2D </v>
      </c>
      <c r="D239" s="278">
        <f t="shared" si="120"/>
        <v>24045</v>
      </c>
      <c r="E239" s="220">
        <f t="shared" si="120"/>
        <v>0</v>
      </c>
      <c r="F239" s="220">
        <f t="shared" si="120"/>
        <v>0</v>
      </c>
      <c r="G239" s="220">
        <f t="shared" si="120"/>
        <v>0</v>
      </c>
      <c r="H239" s="279">
        <f t="shared" si="120"/>
        <v>24045</v>
      </c>
      <c r="I239" s="278">
        <f t="shared" si="120"/>
        <v>0</v>
      </c>
      <c r="J239" s="220">
        <f t="shared" si="120"/>
        <v>0</v>
      </c>
      <c r="K239" s="220">
        <f t="shared" si="120"/>
        <v>0</v>
      </c>
      <c r="L239" s="220">
        <f t="shared" si="120"/>
        <v>0</v>
      </c>
      <c r="M239" s="280">
        <f t="shared" si="120"/>
        <v>0</v>
      </c>
      <c r="N239" s="279">
        <f t="shared" si="120"/>
        <v>24045</v>
      </c>
      <c r="O239" s="281">
        <f t="shared" si="120"/>
        <v>13498</v>
      </c>
      <c r="P239" s="281">
        <f t="shared" si="120"/>
        <v>0</v>
      </c>
      <c r="Q239" s="281">
        <f t="shared" si="120"/>
        <v>10547</v>
      </c>
      <c r="R239" s="281">
        <f t="shared" si="120"/>
        <v>10547</v>
      </c>
      <c r="S239" s="281">
        <f t="shared" si="120"/>
        <v>0</v>
      </c>
      <c r="T239" s="279">
        <f t="shared" si="120"/>
        <v>24045</v>
      </c>
      <c r="U239" s="281">
        <f t="shared" si="120"/>
        <v>0</v>
      </c>
      <c r="V239" s="281">
        <f t="shared" si="120"/>
        <v>0</v>
      </c>
      <c r="W239" s="281">
        <f t="shared" si="120"/>
        <v>0</v>
      </c>
      <c r="X239" s="281">
        <f t="shared" si="120"/>
        <v>0</v>
      </c>
      <c r="Y239" s="281">
        <f t="shared" si="120"/>
        <v>0</v>
      </c>
      <c r="Z239" s="279">
        <f t="shared" si="120"/>
        <v>0</v>
      </c>
      <c r="AA239" s="282">
        <f t="shared" si="120"/>
        <v>0</v>
      </c>
      <c r="AB239" s="282">
        <f t="shared" si="120"/>
        <v>0</v>
      </c>
      <c r="AC239" s="282">
        <f t="shared" si="120"/>
        <v>0</v>
      </c>
      <c r="AD239" s="282">
        <f t="shared" si="120"/>
        <v>0</v>
      </c>
      <c r="AE239" s="279">
        <f t="shared" si="120"/>
        <v>24045</v>
      </c>
      <c r="AF239" s="279">
        <f t="shared" si="120"/>
        <v>0</v>
      </c>
      <c r="AG239" s="283">
        <f t="shared" si="120"/>
        <v>24045</v>
      </c>
      <c r="AH239" s="71">
        <f t="shared" si="73"/>
        <v>0</v>
      </c>
    </row>
    <row r="240" spans="1:34" x14ac:dyDescent="0.25">
      <c r="A240" s="71">
        <v>20</v>
      </c>
      <c r="B240" s="223" t="str">
        <f t="shared" ref="B240:AG240" si="121">B118</f>
        <v>ACTION SOCIALE NON MARCHANDE</v>
      </c>
      <c r="C240" s="277" t="str">
        <f t="shared" si="121"/>
        <v xml:space="preserve">GQ2E </v>
      </c>
      <c r="D240" s="278">
        <f t="shared" si="121"/>
        <v>33103</v>
      </c>
      <c r="E240" s="220">
        <f t="shared" si="121"/>
        <v>0</v>
      </c>
      <c r="F240" s="220">
        <f t="shared" si="121"/>
        <v>0</v>
      </c>
      <c r="G240" s="220">
        <f t="shared" si="121"/>
        <v>0</v>
      </c>
      <c r="H240" s="279">
        <f t="shared" si="121"/>
        <v>33103</v>
      </c>
      <c r="I240" s="278">
        <f t="shared" si="121"/>
        <v>0</v>
      </c>
      <c r="J240" s="220">
        <f t="shared" si="121"/>
        <v>0</v>
      </c>
      <c r="K240" s="220">
        <f t="shared" si="121"/>
        <v>0</v>
      </c>
      <c r="L240" s="220">
        <f t="shared" si="121"/>
        <v>0</v>
      </c>
      <c r="M240" s="280">
        <f t="shared" si="121"/>
        <v>0</v>
      </c>
      <c r="N240" s="279">
        <f t="shared" si="121"/>
        <v>33103</v>
      </c>
      <c r="O240" s="281">
        <f t="shared" si="121"/>
        <v>4296</v>
      </c>
      <c r="P240" s="281">
        <f t="shared" si="121"/>
        <v>0</v>
      </c>
      <c r="Q240" s="281">
        <f t="shared" si="121"/>
        <v>14199</v>
      </c>
      <c r="R240" s="281">
        <f t="shared" si="121"/>
        <v>14199</v>
      </c>
      <c r="S240" s="281">
        <f t="shared" si="121"/>
        <v>14608</v>
      </c>
      <c r="T240" s="279">
        <f t="shared" si="121"/>
        <v>33103</v>
      </c>
      <c r="U240" s="281">
        <f t="shared" si="121"/>
        <v>0</v>
      </c>
      <c r="V240" s="281">
        <f t="shared" si="121"/>
        <v>0</v>
      </c>
      <c r="W240" s="281">
        <f t="shared" si="121"/>
        <v>0</v>
      </c>
      <c r="X240" s="281">
        <f t="shared" si="121"/>
        <v>0</v>
      </c>
      <c r="Y240" s="281">
        <f t="shared" si="121"/>
        <v>0</v>
      </c>
      <c r="Z240" s="279">
        <f t="shared" si="121"/>
        <v>0</v>
      </c>
      <c r="AA240" s="282">
        <f t="shared" si="121"/>
        <v>0</v>
      </c>
      <c r="AB240" s="282">
        <f t="shared" si="121"/>
        <v>0</v>
      </c>
      <c r="AC240" s="282">
        <f t="shared" si="121"/>
        <v>0</v>
      </c>
      <c r="AD240" s="282">
        <f t="shared" si="121"/>
        <v>0</v>
      </c>
      <c r="AE240" s="279">
        <f t="shared" si="121"/>
        <v>33103</v>
      </c>
      <c r="AF240" s="279">
        <f t="shared" si="121"/>
        <v>0</v>
      </c>
      <c r="AG240" s="283">
        <f t="shared" si="121"/>
        <v>33103</v>
      </c>
      <c r="AH240" s="71">
        <f t="shared" si="73"/>
        <v>0</v>
      </c>
    </row>
    <row r="241" spans="1:66" x14ac:dyDescent="0.25">
      <c r="A241" s="71">
        <v>20</v>
      </c>
      <c r="B241" s="223" t="str">
        <f t="shared" ref="B241:AG241" si="122">B119</f>
        <v>ADMINISTRATION PUBLIQUE</v>
      </c>
      <c r="C241" s="277" t="str">
        <f t="shared" si="122"/>
        <v xml:space="preserve">GR10 </v>
      </c>
      <c r="D241" s="278">
        <f t="shared" si="122"/>
        <v>153084</v>
      </c>
      <c r="E241" s="220">
        <f t="shared" si="122"/>
        <v>0</v>
      </c>
      <c r="F241" s="220">
        <f t="shared" si="122"/>
        <v>0</v>
      </c>
      <c r="G241" s="220">
        <f t="shared" si="122"/>
        <v>0</v>
      </c>
      <c r="H241" s="279">
        <f t="shared" si="122"/>
        <v>153084</v>
      </c>
      <c r="I241" s="278">
        <f t="shared" si="122"/>
        <v>0</v>
      </c>
      <c r="J241" s="220">
        <f t="shared" si="122"/>
        <v>0</v>
      </c>
      <c r="K241" s="220">
        <f t="shared" si="122"/>
        <v>0</v>
      </c>
      <c r="L241" s="220">
        <f t="shared" si="122"/>
        <v>0</v>
      </c>
      <c r="M241" s="280">
        <f t="shared" si="122"/>
        <v>0</v>
      </c>
      <c r="N241" s="279">
        <f t="shared" si="122"/>
        <v>153084</v>
      </c>
      <c r="O241" s="281">
        <f t="shared" si="122"/>
        <v>406</v>
      </c>
      <c r="P241" s="281">
        <f t="shared" si="122"/>
        <v>137212</v>
      </c>
      <c r="Q241" s="281">
        <f t="shared" si="122"/>
        <v>15466</v>
      </c>
      <c r="R241" s="281">
        <f t="shared" si="122"/>
        <v>152678</v>
      </c>
      <c r="S241" s="281">
        <f t="shared" si="122"/>
        <v>0</v>
      </c>
      <c r="T241" s="279">
        <f t="shared" si="122"/>
        <v>153084</v>
      </c>
      <c r="U241" s="281">
        <f t="shared" si="122"/>
        <v>0</v>
      </c>
      <c r="V241" s="281">
        <f t="shared" si="122"/>
        <v>0</v>
      </c>
      <c r="W241" s="281">
        <f t="shared" si="122"/>
        <v>0</v>
      </c>
      <c r="X241" s="281">
        <f t="shared" si="122"/>
        <v>0</v>
      </c>
      <c r="Y241" s="281">
        <f t="shared" si="122"/>
        <v>0</v>
      </c>
      <c r="Z241" s="279">
        <f t="shared" si="122"/>
        <v>0</v>
      </c>
      <c r="AA241" s="282">
        <f t="shared" si="122"/>
        <v>0</v>
      </c>
      <c r="AB241" s="282">
        <f t="shared" si="122"/>
        <v>0</v>
      </c>
      <c r="AC241" s="282">
        <f t="shared" si="122"/>
        <v>0</v>
      </c>
      <c r="AD241" s="282">
        <f t="shared" si="122"/>
        <v>0</v>
      </c>
      <c r="AE241" s="279">
        <f t="shared" si="122"/>
        <v>153084</v>
      </c>
      <c r="AF241" s="279">
        <f t="shared" si="122"/>
        <v>0</v>
      </c>
      <c r="AG241" s="283">
        <f t="shared" si="122"/>
        <v>153084</v>
      </c>
      <c r="AH241" s="71">
        <f t="shared" si="73"/>
        <v>0</v>
      </c>
    </row>
    <row r="242" spans="1:66" x14ac:dyDescent="0.25">
      <c r="A242" s="71">
        <v>20</v>
      </c>
      <c r="B242" s="223" t="str">
        <f t="shared" ref="B242:AG242" si="123">B120</f>
        <v>ACTIVITES ASSOCIATIVES</v>
      </c>
      <c r="C242" s="277" t="str">
        <f t="shared" si="123"/>
        <v xml:space="preserve">GR20 </v>
      </c>
      <c r="D242" s="278">
        <f t="shared" si="123"/>
        <v>7359</v>
      </c>
      <c r="E242" s="220">
        <f t="shared" si="123"/>
        <v>0</v>
      </c>
      <c r="F242" s="220">
        <f t="shared" si="123"/>
        <v>0</v>
      </c>
      <c r="G242" s="220">
        <f t="shared" si="123"/>
        <v>0</v>
      </c>
      <c r="H242" s="279">
        <f t="shared" si="123"/>
        <v>7359</v>
      </c>
      <c r="I242" s="278">
        <f t="shared" si="123"/>
        <v>0</v>
      </c>
      <c r="J242" s="220">
        <f t="shared" si="123"/>
        <v>0</v>
      </c>
      <c r="K242" s="220">
        <f t="shared" si="123"/>
        <v>0</v>
      </c>
      <c r="L242" s="220">
        <f t="shared" si="123"/>
        <v>0</v>
      </c>
      <c r="M242" s="280">
        <f t="shared" si="123"/>
        <v>0</v>
      </c>
      <c r="N242" s="279">
        <f t="shared" si="123"/>
        <v>7359</v>
      </c>
      <c r="O242" s="281">
        <f t="shared" si="123"/>
        <v>0</v>
      </c>
      <c r="P242" s="281">
        <f t="shared" si="123"/>
        <v>1105</v>
      </c>
      <c r="Q242" s="281">
        <f t="shared" si="123"/>
        <v>0</v>
      </c>
      <c r="R242" s="281">
        <f t="shared" si="123"/>
        <v>1105</v>
      </c>
      <c r="S242" s="281">
        <f t="shared" si="123"/>
        <v>3568</v>
      </c>
      <c r="T242" s="279">
        <f t="shared" si="123"/>
        <v>4673</v>
      </c>
      <c r="U242" s="281">
        <f t="shared" si="123"/>
        <v>0</v>
      </c>
      <c r="V242" s="281">
        <f t="shared" si="123"/>
        <v>0</v>
      </c>
      <c r="W242" s="281">
        <f t="shared" si="123"/>
        <v>0</v>
      </c>
      <c r="X242" s="281">
        <f t="shared" si="123"/>
        <v>0</v>
      </c>
      <c r="Y242" s="281">
        <f t="shared" si="123"/>
        <v>0</v>
      </c>
      <c r="Z242" s="279">
        <f t="shared" si="123"/>
        <v>0</v>
      </c>
      <c r="AA242" s="282">
        <f t="shared" si="123"/>
        <v>0</v>
      </c>
      <c r="AB242" s="282">
        <f t="shared" si="123"/>
        <v>0</v>
      </c>
      <c r="AC242" s="282">
        <f t="shared" si="123"/>
        <v>0</v>
      </c>
      <c r="AD242" s="282">
        <f t="shared" si="123"/>
        <v>0</v>
      </c>
      <c r="AE242" s="279">
        <f t="shared" si="123"/>
        <v>4673</v>
      </c>
      <c r="AF242" s="279">
        <f t="shared" si="123"/>
        <v>2686</v>
      </c>
      <c r="AG242" s="283">
        <f t="shared" si="123"/>
        <v>7359</v>
      </c>
      <c r="AH242" s="71">
        <f t="shared" si="73"/>
        <v>0</v>
      </c>
    </row>
    <row r="243" spans="1:66" s="488" customFormat="1" x14ac:dyDescent="0.25">
      <c r="A243" s="478">
        <v>25</v>
      </c>
      <c r="B243" s="479" t="str">
        <f t="shared" ref="B243:AG243" si="124">B121</f>
        <v>PRODUITS CONSOMMES HORS DU TERRITOIRE DE</v>
      </c>
      <c r="C243" s="480" t="str">
        <f t="shared" si="124"/>
        <v xml:space="preserve">PCHTR </v>
      </c>
      <c r="D243" s="481">
        <f t="shared" si="124"/>
        <v>0</v>
      </c>
      <c r="E243" s="482">
        <f t="shared" si="124"/>
        <v>0</v>
      </c>
      <c r="F243" s="482">
        <f t="shared" si="124"/>
        <v>25365</v>
      </c>
      <c r="G243" s="482">
        <f t="shared" si="124"/>
        <v>0</v>
      </c>
      <c r="H243" s="483">
        <f t="shared" si="124"/>
        <v>25365</v>
      </c>
      <c r="I243" s="481">
        <f t="shared" si="124"/>
        <v>0</v>
      </c>
      <c r="J243" s="482">
        <f t="shared" si="124"/>
        <v>0</v>
      </c>
      <c r="K243" s="482">
        <f t="shared" si="124"/>
        <v>0</v>
      </c>
      <c r="L243" s="482">
        <f t="shared" si="124"/>
        <v>0</v>
      </c>
      <c r="M243" s="484">
        <f t="shared" si="124"/>
        <v>0</v>
      </c>
      <c r="N243" s="483">
        <f t="shared" si="124"/>
        <v>25365</v>
      </c>
      <c r="O243" s="485">
        <f t="shared" si="124"/>
        <v>-10141</v>
      </c>
      <c r="P243" s="485">
        <f t="shared" si="124"/>
        <v>0</v>
      </c>
      <c r="Q243" s="485">
        <f t="shared" si="124"/>
        <v>0</v>
      </c>
      <c r="R243" s="485">
        <f t="shared" si="124"/>
        <v>0</v>
      </c>
      <c r="S243" s="485">
        <f t="shared" si="124"/>
        <v>0</v>
      </c>
      <c r="T243" s="483">
        <f t="shared" si="124"/>
        <v>-10141</v>
      </c>
      <c r="U243" s="485">
        <f t="shared" si="124"/>
        <v>0</v>
      </c>
      <c r="V243" s="485">
        <f t="shared" si="124"/>
        <v>0</v>
      </c>
      <c r="W243" s="485">
        <f t="shared" si="124"/>
        <v>0</v>
      </c>
      <c r="X243" s="485">
        <f t="shared" si="124"/>
        <v>0</v>
      </c>
      <c r="Y243" s="485">
        <f t="shared" si="124"/>
        <v>0</v>
      </c>
      <c r="Z243" s="483">
        <f t="shared" si="124"/>
        <v>0</v>
      </c>
      <c r="AA243" s="486">
        <f t="shared" si="124"/>
        <v>0</v>
      </c>
      <c r="AB243" s="486">
        <f t="shared" si="124"/>
        <v>0</v>
      </c>
      <c r="AC243" s="486">
        <f t="shared" si="124"/>
        <v>0</v>
      </c>
      <c r="AD243" s="486">
        <f t="shared" si="124"/>
        <v>35506</v>
      </c>
      <c r="AE243" s="483">
        <f t="shared" si="124"/>
        <v>25365</v>
      </c>
      <c r="AF243" s="483">
        <f t="shared" si="124"/>
        <v>0</v>
      </c>
      <c r="AG243" s="487">
        <f t="shared" si="124"/>
        <v>25365</v>
      </c>
      <c r="AH243" s="478">
        <f t="shared" si="73"/>
        <v>0</v>
      </c>
    </row>
    <row r="244" spans="1:66" x14ac:dyDescent="0.25">
      <c r="A244" s="71">
        <v>26</v>
      </c>
      <c r="B244" s="447" t="str">
        <f t="shared" ref="B244:AG244" si="125">B122</f>
        <v>Produit CORRECTION CAF/FAB</v>
      </c>
      <c r="C244" s="277" t="str">
        <f t="shared" si="125"/>
        <v>PCAFAB</v>
      </c>
      <c r="D244" s="448">
        <f t="shared" si="125"/>
        <v>0</v>
      </c>
      <c r="E244" s="449">
        <f t="shared" si="125"/>
        <v>-12871</v>
      </c>
      <c r="F244" s="449">
        <f t="shared" si="125"/>
        <v>0</v>
      </c>
      <c r="G244" s="449">
        <f t="shared" si="125"/>
        <v>12871</v>
      </c>
      <c r="H244" s="450">
        <f t="shared" si="125"/>
        <v>0</v>
      </c>
      <c r="I244" s="448">
        <f t="shared" si="125"/>
        <v>0</v>
      </c>
      <c r="J244" s="449">
        <f t="shared" si="125"/>
        <v>0</v>
      </c>
      <c r="K244" s="449">
        <f t="shared" si="125"/>
        <v>0</v>
      </c>
      <c r="L244" s="449">
        <f t="shared" si="125"/>
        <v>0</v>
      </c>
      <c r="M244" s="451">
        <f t="shared" si="125"/>
        <v>0</v>
      </c>
      <c r="N244" s="450">
        <f t="shared" si="125"/>
        <v>0</v>
      </c>
      <c r="O244" s="449">
        <f t="shared" si="125"/>
        <v>0</v>
      </c>
      <c r="P244" s="449">
        <f t="shared" si="125"/>
        <v>0</v>
      </c>
      <c r="Q244" s="449">
        <f t="shared" si="125"/>
        <v>0</v>
      </c>
      <c r="R244" s="449">
        <f t="shared" si="125"/>
        <v>0</v>
      </c>
      <c r="S244" s="449">
        <f t="shared" si="125"/>
        <v>0</v>
      </c>
      <c r="T244" s="450">
        <f t="shared" si="125"/>
        <v>0</v>
      </c>
      <c r="U244" s="449">
        <f t="shared" si="125"/>
        <v>0</v>
      </c>
      <c r="V244" s="449">
        <f t="shared" si="125"/>
        <v>0</v>
      </c>
      <c r="W244" s="449">
        <f t="shared" si="125"/>
        <v>0</v>
      </c>
      <c r="X244" s="449">
        <f t="shared" si="125"/>
        <v>0</v>
      </c>
      <c r="Y244" s="449">
        <f t="shared" si="125"/>
        <v>0</v>
      </c>
      <c r="Z244" s="450">
        <f t="shared" si="125"/>
        <v>0</v>
      </c>
      <c r="AA244" s="452">
        <f t="shared" si="125"/>
        <v>0</v>
      </c>
      <c r="AB244" s="452">
        <f t="shared" si="125"/>
        <v>0</v>
      </c>
      <c r="AC244" s="452">
        <f t="shared" si="125"/>
        <v>0</v>
      </c>
      <c r="AD244" s="452">
        <f t="shared" si="125"/>
        <v>0</v>
      </c>
      <c r="AE244" s="450">
        <f t="shared" si="125"/>
        <v>0</v>
      </c>
      <c r="AF244" s="279">
        <f t="shared" si="125"/>
        <v>0</v>
      </c>
      <c r="AG244" s="283">
        <f t="shared" si="125"/>
        <v>0</v>
      </c>
      <c r="AH244" s="71">
        <f t="shared" si="73"/>
        <v>0</v>
      </c>
    </row>
    <row r="245" spans="1:66" x14ac:dyDescent="0.25">
      <c r="A245" s="71">
        <v>27</v>
      </c>
      <c r="B245" s="447" t="str">
        <f t="shared" ref="B245:AG245" si="126">B123</f>
        <v>Total des produits</v>
      </c>
      <c r="C245" s="453" t="str">
        <f t="shared" si="126"/>
        <v>TOTAL</v>
      </c>
      <c r="D245" s="454">
        <f t="shared" si="126"/>
        <v>3276084</v>
      </c>
      <c r="E245" s="226">
        <f t="shared" si="126"/>
        <v>415740</v>
      </c>
      <c r="F245" s="226">
        <f t="shared" si="126"/>
        <v>91565</v>
      </c>
      <c r="G245" s="226">
        <f t="shared" si="126"/>
        <v>0</v>
      </c>
      <c r="H245" s="455">
        <f t="shared" si="126"/>
        <v>3783389</v>
      </c>
      <c r="I245" s="454">
        <f t="shared" si="126"/>
        <v>0</v>
      </c>
      <c r="J245" s="226">
        <f t="shared" si="126"/>
        <v>0</v>
      </c>
      <c r="K245" s="226">
        <f t="shared" si="126"/>
        <v>204741</v>
      </c>
      <c r="L245" s="226">
        <f t="shared" si="126"/>
        <v>131017</v>
      </c>
      <c r="M245" s="456">
        <f t="shared" si="126"/>
        <v>-11982</v>
      </c>
      <c r="N245" s="455">
        <f t="shared" si="126"/>
        <v>3976148</v>
      </c>
      <c r="O245" s="457">
        <f t="shared" si="126"/>
        <v>1002014</v>
      </c>
      <c r="P245" s="457">
        <f t="shared" si="126"/>
        <v>146868</v>
      </c>
      <c r="Q245" s="457">
        <f t="shared" si="126"/>
        <v>275709</v>
      </c>
      <c r="R245" s="457">
        <f t="shared" si="126"/>
        <v>422577</v>
      </c>
      <c r="S245" s="457">
        <f t="shared" si="126"/>
        <v>23726</v>
      </c>
      <c r="T245" s="450">
        <f t="shared" si="126"/>
        <v>1448317</v>
      </c>
      <c r="U245" s="457">
        <f t="shared" si="126"/>
        <v>192772</v>
      </c>
      <c r="V245" s="457">
        <f t="shared" si="126"/>
        <v>107135</v>
      </c>
      <c r="W245" s="457">
        <f t="shared" si="126"/>
        <v>15529</v>
      </c>
      <c r="X245" s="457">
        <f t="shared" si="126"/>
        <v>58205</v>
      </c>
      <c r="Y245" s="457">
        <f t="shared" si="126"/>
        <v>2396</v>
      </c>
      <c r="Z245" s="450">
        <f t="shared" si="126"/>
        <v>376037</v>
      </c>
      <c r="AA245" s="450">
        <f t="shared" si="126"/>
        <v>806</v>
      </c>
      <c r="AB245" s="450">
        <f t="shared" si="126"/>
        <v>5062</v>
      </c>
      <c r="AC245" s="450">
        <f t="shared" si="126"/>
        <v>381905</v>
      </c>
      <c r="AD245" s="450">
        <f t="shared" si="126"/>
        <v>484545</v>
      </c>
      <c r="AE245" s="450">
        <f t="shared" si="126"/>
        <v>2314767</v>
      </c>
      <c r="AF245" s="228">
        <f t="shared" si="126"/>
        <v>1661381</v>
      </c>
      <c r="AG245" s="228">
        <f t="shared" si="126"/>
        <v>3976148</v>
      </c>
      <c r="AH245" s="71">
        <f t="shared" si="73"/>
        <v>0</v>
      </c>
      <c r="AL245" s="95" t="s">
        <v>747</v>
      </c>
      <c r="AM245" s="95" t="s">
        <v>750</v>
      </c>
      <c r="AN245" s="95" t="s">
        <v>748</v>
      </c>
    </row>
    <row r="246" spans="1:66" s="493" customFormat="1" x14ac:dyDescent="0.25">
      <c r="A246" s="119">
        <v>22</v>
      </c>
      <c r="B246" s="489" t="s">
        <v>744</v>
      </c>
      <c r="C246" s="490"/>
      <c r="D246" s="491">
        <f>D194+$AN$246*D191</f>
        <v>50376.336478262776</v>
      </c>
      <c r="E246" s="491">
        <f t="shared" ref="E246:AG246" si="127">E194+$AN$246*E191</f>
        <v>49515.781708331509</v>
      </c>
      <c r="F246" s="491">
        <f t="shared" si="127"/>
        <v>0</v>
      </c>
      <c r="G246" s="491">
        <f t="shared" si="127"/>
        <v>0</v>
      </c>
      <c r="H246" s="491">
        <f t="shared" si="127"/>
        <v>99892.118186594278</v>
      </c>
      <c r="I246" s="491">
        <f t="shared" si="127"/>
        <v>13219.039380937787</v>
      </c>
      <c r="J246" s="491">
        <f t="shared" si="127"/>
        <v>2504.9516439735562</v>
      </c>
      <c r="K246" s="491">
        <f t="shared" si="127"/>
        <v>34321.258723348365</v>
      </c>
      <c r="L246" s="491">
        <f t="shared" si="127"/>
        <v>9330</v>
      </c>
      <c r="M246" s="491">
        <f t="shared" si="127"/>
        <v>0</v>
      </c>
      <c r="N246" s="491">
        <f t="shared" si="127"/>
        <v>149937.367934854</v>
      </c>
      <c r="O246" s="491">
        <f t="shared" si="127"/>
        <v>43742</v>
      </c>
      <c r="P246" s="491">
        <f t="shared" si="127"/>
        <v>0</v>
      </c>
      <c r="Q246" s="491">
        <f t="shared" si="127"/>
        <v>0</v>
      </c>
      <c r="R246" s="491">
        <f t="shared" si="127"/>
        <v>0</v>
      </c>
      <c r="S246" s="491">
        <f t="shared" si="127"/>
        <v>0</v>
      </c>
      <c r="T246" s="491">
        <f t="shared" si="127"/>
        <v>43742</v>
      </c>
      <c r="U246" s="491">
        <f t="shared" si="127"/>
        <v>0</v>
      </c>
      <c r="V246" s="491">
        <f t="shared" si="127"/>
        <v>0</v>
      </c>
      <c r="W246" s="491">
        <f t="shared" si="127"/>
        <v>0</v>
      </c>
      <c r="X246" s="491">
        <f t="shared" si="127"/>
        <v>0</v>
      </c>
      <c r="Y246" s="491">
        <f t="shared" si="127"/>
        <v>0</v>
      </c>
      <c r="Z246" s="491">
        <f t="shared" si="127"/>
        <v>0</v>
      </c>
      <c r="AA246" s="491">
        <f t="shared" si="127"/>
        <v>0</v>
      </c>
      <c r="AB246" s="491">
        <f t="shared" si="127"/>
        <v>-215.65129591524013</v>
      </c>
      <c r="AC246" s="491">
        <f t="shared" si="127"/>
        <v>-215.65129591524013</v>
      </c>
      <c r="AD246" s="491">
        <f t="shared" si="127"/>
        <v>14197.783361061249</v>
      </c>
      <c r="AE246" s="491">
        <f t="shared" si="127"/>
        <v>57724.132065146012</v>
      </c>
      <c r="AF246" s="492">
        <f t="shared" si="127"/>
        <v>92213.235869707976</v>
      </c>
      <c r="AG246" s="492">
        <f t="shared" si="127"/>
        <v>149937.367934854</v>
      </c>
      <c r="AH246" s="119"/>
      <c r="AJ246" s="493" t="str">
        <f>B194</f>
        <v>RAFFINAGE DE PETROLE</v>
      </c>
      <c r="AK246" s="493" t="str">
        <f>C194</f>
        <v xml:space="preserve">GG15 </v>
      </c>
      <c r="AL246" s="493">
        <f>H194</f>
        <v>67521</v>
      </c>
      <c r="AM246" s="493">
        <f>AL246/SUM(AL$246:AL$247)</f>
        <v>0.7390328794711265</v>
      </c>
      <c r="AN246" s="119">
        <f>AM246</f>
        <v>0.7390328794711265</v>
      </c>
      <c r="AO246" s="73"/>
      <c r="AP246" s="73"/>
      <c r="AQ246" s="73"/>
      <c r="AR246" s="73"/>
      <c r="AS246" s="73"/>
      <c r="AT246" s="73"/>
      <c r="AU246" s="73"/>
      <c r="AV246" s="73"/>
      <c r="AW246" s="73"/>
      <c r="AX246" s="73"/>
      <c r="AY246" s="73"/>
      <c r="AZ246" s="73"/>
      <c r="BA246" s="73"/>
      <c r="BB246" s="73"/>
      <c r="BC246" s="73"/>
      <c r="BD246" s="73"/>
      <c r="BE246" s="73"/>
      <c r="BF246" s="73"/>
      <c r="BG246" s="73"/>
      <c r="BH246" s="73"/>
      <c r="BI246" s="73"/>
      <c r="BJ246" s="73"/>
      <c r="BK246" s="73"/>
      <c r="BL246" s="73"/>
      <c r="BM246" s="73"/>
      <c r="BN246" s="73"/>
    </row>
    <row r="247" spans="1:66" s="499" customFormat="1" x14ac:dyDescent="0.25">
      <c r="A247" s="494">
        <v>24</v>
      </c>
      <c r="B247" s="495" t="s">
        <v>745</v>
      </c>
      <c r="C247" s="496"/>
      <c r="D247" s="497">
        <f>D196+$AN$247*D191</f>
        <v>23989.663521737228</v>
      </c>
      <c r="E247" s="497">
        <f t="shared" ref="E247:AG247" si="128">E196+$AN$247*E191</f>
        <v>11284.218291668491</v>
      </c>
      <c r="F247" s="497">
        <f t="shared" si="128"/>
        <v>0</v>
      </c>
      <c r="G247" s="497">
        <f t="shared" si="128"/>
        <v>0</v>
      </c>
      <c r="H247" s="497">
        <f t="shared" si="128"/>
        <v>35273.881813405715</v>
      </c>
      <c r="I247" s="497">
        <f t="shared" si="128"/>
        <v>10.960619062212686</v>
      </c>
      <c r="J247" s="497">
        <f t="shared" si="128"/>
        <v>1639.0483560264436</v>
      </c>
      <c r="K247" s="497">
        <f t="shared" si="128"/>
        <v>2039.7412766516352</v>
      </c>
      <c r="L247" s="497">
        <f t="shared" si="128"/>
        <v>1827</v>
      </c>
      <c r="M247" s="497">
        <f t="shared" si="128"/>
        <v>0</v>
      </c>
      <c r="N247" s="497">
        <f t="shared" si="128"/>
        <v>38963.632065146012</v>
      </c>
      <c r="O247" s="497">
        <f t="shared" si="128"/>
        <v>10467</v>
      </c>
      <c r="P247" s="497">
        <f t="shared" si="128"/>
        <v>0</v>
      </c>
      <c r="Q247" s="497">
        <f t="shared" si="128"/>
        <v>5</v>
      </c>
      <c r="R247" s="497">
        <f t="shared" si="128"/>
        <v>5</v>
      </c>
      <c r="S247" s="497">
        <f t="shared" si="128"/>
        <v>0</v>
      </c>
      <c r="T247" s="497">
        <f t="shared" si="128"/>
        <v>10472</v>
      </c>
      <c r="U247" s="497">
        <f t="shared" si="128"/>
        <v>0</v>
      </c>
      <c r="V247" s="497">
        <f t="shared" si="128"/>
        <v>0</v>
      </c>
      <c r="W247" s="497">
        <f t="shared" si="128"/>
        <v>0</v>
      </c>
      <c r="X247" s="497">
        <f t="shared" si="128"/>
        <v>0</v>
      </c>
      <c r="Y247" s="497">
        <f t="shared" si="128"/>
        <v>0</v>
      </c>
      <c r="Z247" s="497">
        <f t="shared" si="128"/>
        <v>0</v>
      </c>
      <c r="AA247" s="497">
        <f t="shared" si="128"/>
        <v>0</v>
      </c>
      <c r="AB247" s="497">
        <f t="shared" si="128"/>
        <v>-2.3487040847598615</v>
      </c>
      <c r="AC247" s="497">
        <f t="shared" si="128"/>
        <v>-2.3487040847598615</v>
      </c>
      <c r="AD247" s="497">
        <f t="shared" si="128"/>
        <v>463.21663893875046</v>
      </c>
      <c r="AE247" s="497">
        <f t="shared" si="128"/>
        <v>10932.86793485399</v>
      </c>
      <c r="AF247" s="498">
        <f t="shared" si="128"/>
        <v>28030.764130292016</v>
      </c>
      <c r="AG247" s="498">
        <f t="shared" si="128"/>
        <v>38963.632065146012</v>
      </c>
      <c r="AH247" s="494"/>
      <c r="AJ247" s="499" t="str">
        <f>B196</f>
        <v>PRODUCTION ET DISTRIBUTION DE COMBUSTIBLE GAZEUX</v>
      </c>
      <c r="AK247" s="499" t="str">
        <f>C196</f>
        <v xml:space="preserve">GG2B </v>
      </c>
      <c r="AL247" s="499">
        <f>H196</f>
        <v>23843</v>
      </c>
      <c r="AM247" s="499">
        <f>AL247/SUM(AL$246:AL$247)</f>
        <v>0.2609671205288735</v>
      </c>
      <c r="AN247" s="494">
        <f>AM247</f>
        <v>0.2609671205288735</v>
      </c>
      <c r="AQ247" s="73"/>
      <c r="AR247" s="500" t="s">
        <v>747</v>
      </c>
      <c r="AS247" s="500" t="s">
        <v>750</v>
      </c>
      <c r="AT247" s="653" t="s">
        <v>751</v>
      </c>
      <c r="AU247" s="500" t="s">
        <v>752</v>
      </c>
      <c r="AV247" s="500" t="s">
        <v>753</v>
      </c>
      <c r="AW247" s="73"/>
      <c r="AZ247" s="73"/>
      <c r="BA247" s="73"/>
      <c r="BB247" s="73"/>
      <c r="BC247" s="73"/>
      <c r="BD247" s="73"/>
      <c r="BE247" s="73"/>
      <c r="BF247" s="73"/>
      <c r="BG247" s="73"/>
      <c r="BH247" s="73"/>
      <c r="BI247" s="73"/>
      <c r="BJ247" s="73"/>
      <c r="BK247" s="73"/>
      <c r="BL247" s="73"/>
      <c r="BM247" s="73"/>
      <c r="BN247" s="73"/>
    </row>
    <row r="248" spans="1:66" x14ac:dyDescent="0.25">
      <c r="A248" s="71">
        <v>14</v>
      </c>
      <c r="B248" s="501" t="s">
        <v>152</v>
      </c>
      <c r="C248" s="502"/>
      <c r="D248" s="503">
        <f t="shared" ref="D248:AG248" si="129">D203+$AV248*D$210</f>
        <v>10144.709689341518</v>
      </c>
      <c r="E248" s="503">
        <f t="shared" si="129"/>
        <v>0</v>
      </c>
      <c r="F248" s="503">
        <f t="shared" si="129"/>
        <v>1038.7094018848941</v>
      </c>
      <c r="G248" s="503">
        <f t="shared" si="129"/>
        <v>-119</v>
      </c>
      <c r="H248" s="503">
        <f t="shared" si="129"/>
        <v>11064.419091226413</v>
      </c>
      <c r="I248" s="503">
        <f t="shared" si="129"/>
        <v>0</v>
      </c>
      <c r="J248" s="503">
        <f t="shared" si="129"/>
        <v>-1632.5393712912962</v>
      </c>
      <c r="K248" s="503">
        <f t="shared" si="129"/>
        <v>291.27117426031253</v>
      </c>
      <c r="L248" s="503">
        <f t="shared" si="129"/>
        <v>291.27117426031253</v>
      </c>
      <c r="M248" s="503">
        <f t="shared" si="129"/>
        <v>-1794</v>
      </c>
      <c r="N248" s="503">
        <f t="shared" si="129"/>
        <v>7929.1508941954298</v>
      </c>
      <c r="O248" s="503">
        <f t="shared" si="129"/>
        <v>4179.7052337638343</v>
      </c>
      <c r="P248" s="503">
        <f t="shared" si="129"/>
        <v>0</v>
      </c>
      <c r="Q248" s="503">
        <f t="shared" si="129"/>
        <v>190</v>
      </c>
      <c r="R248" s="503">
        <f t="shared" si="129"/>
        <v>190</v>
      </c>
      <c r="S248" s="503">
        <f t="shared" si="129"/>
        <v>0</v>
      </c>
      <c r="T248" s="503">
        <f t="shared" si="129"/>
        <v>4369.7052337638343</v>
      </c>
      <c r="U248" s="503">
        <f t="shared" si="129"/>
        <v>0</v>
      </c>
      <c r="V248" s="503">
        <f t="shared" si="129"/>
        <v>0</v>
      </c>
      <c r="W248" s="503">
        <f t="shared" si="129"/>
        <v>0</v>
      </c>
      <c r="X248" s="503">
        <f t="shared" si="129"/>
        <v>0</v>
      </c>
      <c r="Y248" s="503">
        <f t="shared" si="129"/>
        <v>0</v>
      </c>
      <c r="Z248" s="503">
        <f t="shared" si="129"/>
        <v>0</v>
      </c>
      <c r="AA248" s="503">
        <f t="shared" si="129"/>
        <v>0</v>
      </c>
      <c r="AB248" s="503">
        <f t="shared" si="129"/>
        <v>-4.4956162864710594</v>
      </c>
      <c r="AC248" s="503">
        <f t="shared" si="129"/>
        <v>-4.4956162864710594</v>
      </c>
      <c r="AD248" s="503">
        <f t="shared" si="129"/>
        <v>1351.3973677186211</v>
      </c>
      <c r="AE248" s="503">
        <f t="shared" si="129"/>
        <v>5716.6069851959837</v>
      </c>
      <c r="AF248" s="503">
        <f t="shared" si="129"/>
        <v>2212.5439089994456</v>
      </c>
      <c r="AG248" s="503">
        <f t="shared" si="129"/>
        <v>7929.1508941954298</v>
      </c>
      <c r="AM248" s="65">
        <f>SUM(AM246:AM247)</f>
        <v>1</v>
      </c>
      <c r="AN248" s="65">
        <f>SUM(AN246:AN247)</f>
        <v>1</v>
      </c>
      <c r="AP248" s="652" t="str">
        <f>B203</f>
        <v>TRANSPORTS FERROVIAIRES</v>
      </c>
      <c r="AQ248" s="504" t="str">
        <f>C203</f>
        <v xml:space="preserve">GK01 </v>
      </c>
      <c r="AR248" s="505">
        <f>SUM(D203:F203)</f>
        <v>10570</v>
      </c>
      <c r="AS248" s="656">
        <f>AR248/SUM(AR$248:AR$251)</f>
        <v>0.10847589823585554</v>
      </c>
      <c r="AT248" s="654">
        <v>0.2</v>
      </c>
      <c r="AU248" s="505">
        <f>AT248*AR248</f>
        <v>2114</v>
      </c>
      <c r="AV248" s="655">
        <f>AU248/SUM(AU$248:AU$251)</f>
        <v>3.1004250251524548E-2</v>
      </c>
      <c r="AZ248" s="73"/>
      <c r="BA248" s="73"/>
      <c r="BB248" s="73"/>
      <c r="BC248" s="73"/>
      <c r="BD248" s="73"/>
      <c r="BE248" s="73"/>
      <c r="BF248" s="73"/>
      <c r="BG248" s="73"/>
      <c r="BH248" s="73"/>
      <c r="BI248" s="73"/>
      <c r="BJ248" s="73"/>
      <c r="BK248" s="73"/>
      <c r="BL248" s="73"/>
      <c r="BM248" s="73"/>
      <c r="BN248" s="73"/>
    </row>
    <row r="249" spans="1:66" x14ac:dyDescent="0.25">
      <c r="A249" s="71">
        <v>16</v>
      </c>
      <c r="B249" s="501" t="s">
        <v>749</v>
      </c>
      <c r="C249" s="502"/>
      <c r="D249" s="503">
        <f t="shared" ref="D249:AG249" si="130">D205+$AV249*D$210</f>
        <v>51998.142604885004</v>
      </c>
      <c r="E249" s="503">
        <f t="shared" si="130"/>
        <v>0</v>
      </c>
      <c r="F249" s="503">
        <f t="shared" si="130"/>
        <v>8981.7359886894628</v>
      </c>
      <c r="G249" s="503">
        <f t="shared" si="130"/>
        <v>-3788</v>
      </c>
      <c r="H249" s="503">
        <f t="shared" si="130"/>
        <v>57191.878593574467</v>
      </c>
      <c r="I249" s="503">
        <f t="shared" si="130"/>
        <v>0</v>
      </c>
      <c r="J249" s="503">
        <f t="shared" si="130"/>
        <v>-33066.79393759845</v>
      </c>
      <c r="K249" s="503">
        <f t="shared" si="130"/>
        <v>243.4210271587846</v>
      </c>
      <c r="L249" s="503">
        <f t="shared" si="130"/>
        <v>243.4210271587846</v>
      </c>
      <c r="M249" s="503">
        <f t="shared" si="130"/>
        <v>0</v>
      </c>
      <c r="N249" s="503">
        <f t="shared" si="130"/>
        <v>24368.505683134805</v>
      </c>
      <c r="O249" s="503">
        <f t="shared" si="130"/>
        <v>678.12576813983299</v>
      </c>
      <c r="P249" s="503">
        <f t="shared" si="130"/>
        <v>0</v>
      </c>
      <c r="Q249" s="503">
        <f t="shared" si="130"/>
        <v>4</v>
      </c>
      <c r="R249" s="503">
        <f t="shared" si="130"/>
        <v>4</v>
      </c>
      <c r="S249" s="503">
        <f t="shared" si="130"/>
        <v>0</v>
      </c>
      <c r="T249" s="503">
        <f t="shared" si="130"/>
        <v>682.12576813983299</v>
      </c>
      <c r="U249" s="503">
        <f t="shared" si="130"/>
        <v>0</v>
      </c>
      <c r="V249" s="503">
        <f t="shared" si="130"/>
        <v>0</v>
      </c>
      <c r="W249" s="503">
        <f t="shared" si="130"/>
        <v>0</v>
      </c>
      <c r="X249" s="503">
        <f t="shared" si="130"/>
        <v>0</v>
      </c>
      <c r="Y249" s="503">
        <f t="shared" si="130"/>
        <v>0</v>
      </c>
      <c r="Z249" s="503">
        <f t="shared" si="130"/>
        <v>0</v>
      </c>
      <c r="AA249" s="503">
        <f t="shared" si="130"/>
        <v>0</v>
      </c>
      <c r="AB249" s="503">
        <f t="shared" si="130"/>
        <v>-100.51338873228696</v>
      </c>
      <c r="AC249" s="503">
        <f t="shared" si="130"/>
        <v>-100.51338873228696</v>
      </c>
      <c r="AD249" s="503">
        <f t="shared" si="130"/>
        <v>4060.4969655726695</v>
      </c>
      <c r="AE249" s="503">
        <f t="shared" si="130"/>
        <v>4642.1093449802156</v>
      </c>
      <c r="AF249" s="503">
        <f t="shared" si="130"/>
        <v>19726.396338154587</v>
      </c>
      <c r="AG249" s="503">
        <f t="shared" si="130"/>
        <v>24368.505683134805</v>
      </c>
      <c r="AP249" s="652" t="str">
        <f t="shared" ref="AP249:AQ251" si="131">B205</f>
        <v>TRANSPORT ROUTIER (OU PAR CONDUITES) DE marchandises</v>
      </c>
      <c r="AQ249" s="504" t="str">
        <f t="shared" si="131"/>
        <v xml:space="preserve">GK03 </v>
      </c>
      <c r="AR249" s="505">
        <f>SUM(D205:F205)</f>
        <v>47265</v>
      </c>
      <c r="AS249" s="656">
        <f>AR249/SUM(AR$248:AR$251)</f>
        <v>0.48506275592409764</v>
      </c>
      <c r="AT249" s="654">
        <v>1</v>
      </c>
      <c r="AU249" s="505">
        <f>AT249*AR249</f>
        <v>47265</v>
      </c>
      <c r="AV249" s="655">
        <f>AU249/SUM(AU$248:AU$251)</f>
        <v>0.6931957843605997</v>
      </c>
      <c r="AZ249" s="73"/>
      <c r="BA249" s="73"/>
      <c r="BB249" s="73"/>
      <c r="BC249" s="73"/>
      <c r="BD249" s="73"/>
      <c r="BE249" s="73"/>
      <c r="BF249" s="73"/>
      <c r="BG249" s="73"/>
      <c r="BH249" s="73"/>
      <c r="BI249" s="73"/>
      <c r="BJ249" s="73"/>
      <c r="BK249" s="73"/>
      <c r="BL249" s="73"/>
      <c r="BM249" s="73"/>
      <c r="BN249" s="73"/>
    </row>
    <row r="250" spans="1:66" x14ac:dyDescent="0.25">
      <c r="A250" s="71">
        <v>17</v>
      </c>
      <c r="B250" s="501" t="s">
        <v>155</v>
      </c>
      <c r="C250" s="502"/>
      <c r="D250" s="503">
        <f t="shared" ref="D250:AG250" si="132">D206+$AV250*D$210</f>
        <v>12381.120558721816</v>
      </c>
      <c r="E250" s="503">
        <f t="shared" si="132"/>
        <v>0</v>
      </c>
      <c r="F250" s="503">
        <f t="shared" si="132"/>
        <v>6131.2772460482047</v>
      </c>
      <c r="G250" s="503">
        <f t="shared" si="132"/>
        <v>-6704</v>
      </c>
      <c r="H250" s="503">
        <f t="shared" si="132"/>
        <v>11808.39780477002</v>
      </c>
      <c r="I250" s="503">
        <f t="shared" si="132"/>
        <v>0</v>
      </c>
      <c r="J250" s="503">
        <f t="shared" si="132"/>
        <v>-2539.100656750391</v>
      </c>
      <c r="K250" s="503">
        <f t="shared" si="132"/>
        <v>13.289932271699309</v>
      </c>
      <c r="L250" s="503">
        <f t="shared" si="132"/>
        <v>13.289932271699309</v>
      </c>
      <c r="M250" s="503">
        <f t="shared" si="132"/>
        <v>-130</v>
      </c>
      <c r="N250" s="503">
        <f t="shared" si="132"/>
        <v>9152.5870802913287</v>
      </c>
      <c r="O250" s="503">
        <f t="shared" si="132"/>
        <v>359.12064085227956</v>
      </c>
      <c r="P250" s="503">
        <f t="shared" si="132"/>
        <v>0</v>
      </c>
      <c r="Q250" s="503">
        <f t="shared" si="132"/>
        <v>0</v>
      </c>
      <c r="R250" s="503">
        <f t="shared" si="132"/>
        <v>0</v>
      </c>
      <c r="S250" s="503">
        <f t="shared" si="132"/>
        <v>0</v>
      </c>
      <c r="T250" s="503">
        <f t="shared" si="132"/>
        <v>359.12064085227956</v>
      </c>
      <c r="U250" s="503">
        <f t="shared" si="132"/>
        <v>0</v>
      </c>
      <c r="V250" s="503">
        <f t="shared" si="132"/>
        <v>0</v>
      </c>
      <c r="W250" s="503">
        <f t="shared" si="132"/>
        <v>0</v>
      </c>
      <c r="X250" s="503">
        <f t="shared" si="132"/>
        <v>0</v>
      </c>
      <c r="Y250" s="503">
        <f t="shared" si="132"/>
        <v>0</v>
      </c>
      <c r="Z250" s="503">
        <f t="shared" si="132"/>
        <v>0</v>
      </c>
      <c r="AA250" s="503">
        <f t="shared" si="132"/>
        <v>0</v>
      </c>
      <c r="AB250" s="503">
        <f t="shared" si="132"/>
        <v>-29.31805315600975</v>
      </c>
      <c r="AC250" s="503">
        <f t="shared" si="132"/>
        <v>-29.31805315600975</v>
      </c>
      <c r="AD250" s="503">
        <f t="shared" si="132"/>
        <v>4431.6470531296109</v>
      </c>
      <c r="AE250" s="503">
        <f t="shared" si="132"/>
        <v>4761.4496408258801</v>
      </c>
      <c r="AF250" s="503">
        <f t="shared" si="132"/>
        <v>4391.1374394654486</v>
      </c>
      <c r="AG250" s="503">
        <f t="shared" si="132"/>
        <v>9152.5870802913287</v>
      </c>
      <c r="AP250" s="652" t="str">
        <f t="shared" si="131"/>
        <v>TRANSPORTS PAR EAU</v>
      </c>
      <c r="AQ250" s="504" t="str">
        <f t="shared" si="131"/>
        <v xml:space="preserve">GK04 </v>
      </c>
      <c r="AR250" s="505">
        <f>SUM(D206:F206)</f>
        <v>14512</v>
      </c>
      <c r="AS250" s="656">
        <f>AR250/SUM(AR$248:AR$251)</f>
        <v>0.14893114807935059</v>
      </c>
      <c r="AT250" s="654">
        <v>0.95</v>
      </c>
      <c r="AU250" s="505">
        <f>AT250*AR250</f>
        <v>13786.4</v>
      </c>
      <c r="AV250" s="655">
        <f>AU250/SUM(AU$248:AU$251)</f>
        <v>0.20219347004144655</v>
      </c>
      <c r="AZ250" s="73"/>
      <c r="BA250" s="73"/>
      <c r="BB250" s="73"/>
      <c r="BC250" s="73"/>
      <c r="BD250" s="73"/>
      <c r="BE250" s="73"/>
      <c r="BF250" s="73"/>
      <c r="BG250" s="73"/>
      <c r="BH250" s="73"/>
      <c r="BI250" s="73"/>
      <c r="BJ250" s="73"/>
      <c r="BK250" s="73"/>
      <c r="BL250" s="73"/>
      <c r="BM250" s="73"/>
      <c r="BN250" s="73"/>
    </row>
    <row r="251" spans="1:66" x14ac:dyDescent="0.25">
      <c r="A251" s="71">
        <v>18</v>
      </c>
      <c r="B251" s="501" t="s">
        <v>156</v>
      </c>
      <c r="C251" s="502"/>
      <c r="D251" s="503">
        <f t="shared" ref="D251:AG251" si="133">D207+$AV251*D$210</f>
        <v>18849.027147051664</v>
      </c>
      <c r="E251" s="503">
        <f t="shared" si="133"/>
        <v>0</v>
      </c>
      <c r="F251" s="503">
        <f t="shared" si="133"/>
        <v>7701.2773633774395</v>
      </c>
      <c r="G251" s="503">
        <f t="shared" si="133"/>
        <v>-2151</v>
      </c>
      <c r="H251" s="503">
        <f t="shared" si="133"/>
        <v>24399.304510429101</v>
      </c>
      <c r="I251" s="503">
        <f t="shared" si="133"/>
        <v>0</v>
      </c>
      <c r="J251" s="503">
        <f t="shared" si="133"/>
        <v>-634.56603435986642</v>
      </c>
      <c r="K251" s="503">
        <f t="shared" si="133"/>
        <v>543.01786630920355</v>
      </c>
      <c r="L251" s="503">
        <f t="shared" si="133"/>
        <v>158.01786630920361</v>
      </c>
      <c r="M251" s="503">
        <f t="shared" si="133"/>
        <v>-67</v>
      </c>
      <c r="N251" s="503">
        <f t="shared" si="133"/>
        <v>24240.756342378441</v>
      </c>
      <c r="O251" s="503">
        <f t="shared" si="133"/>
        <v>7336.0483572440535</v>
      </c>
      <c r="P251" s="503">
        <f t="shared" si="133"/>
        <v>0</v>
      </c>
      <c r="Q251" s="503">
        <f t="shared" si="133"/>
        <v>0</v>
      </c>
      <c r="R251" s="503">
        <f t="shared" si="133"/>
        <v>0</v>
      </c>
      <c r="S251" s="503">
        <f t="shared" si="133"/>
        <v>0</v>
      </c>
      <c r="T251" s="503">
        <f t="shared" si="133"/>
        <v>7336.0483572440535</v>
      </c>
      <c r="U251" s="503">
        <f t="shared" si="133"/>
        <v>0</v>
      </c>
      <c r="V251" s="503">
        <f t="shared" si="133"/>
        <v>0</v>
      </c>
      <c r="W251" s="503">
        <f t="shared" si="133"/>
        <v>0</v>
      </c>
      <c r="X251" s="503">
        <f t="shared" si="133"/>
        <v>0</v>
      </c>
      <c r="Y251" s="503">
        <f t="shared" si="133"/>
        <v>0</v>
      </c>
      <c r="Z251" s="503">
        <f t="shared" si="133"/>
        <v>0</v>
      </c>
      <c r="AA251" s="503">
        <f t="shared" si="133"/>
        <v>0</v>
      </c>
      <c r="AB251" s="503">
        <f t="shared" si="133"/>
        <v>-10.67294182523224</v>
      </c>
      <c r="AC251" s="503">
        <f t="shared" si="133"/>
        <v>-10.67294182523224</v>
      </c>
      <c r="AD251" s="503">
        <f t="shared" si="133"/>
        <v>7626.4586135790987</v>
      </c>
      <c r="AE251" s="503">
        <f t="shared" si="133"/>
        <v>14951.834028997921</v>
      </c>
      <c r="AF251" s="503">
        <f t="shared" si="133"/>
        <v>9288.922313380519</v>
      </c>
      <c r="AG251" s="503">
        <f t="shared" si="133"/>
        <v>24240.756342378441</v>
      </c>
      <c r="AP251" s="652" t="str">
        <f t="shared" si="131"/>
        <v>TRANSPORTS AERIENS</v>
      </c>
      <c r="AQ251" s="504" t="str">
        <f t="shared" si="131"/>
        <v xml:space="preserve">GK05 </v>
      </c>
      <c r="AR251" s="505">
        <f>SUM(D207:F207)</f>
        <v>25094</v>
      </c>
      <c r="AS251" s="656">
        <f>AR251/SUM(AR$248:AR$251)</f>
        <v>0.25753019776069619</v>
      </c>
      <c r="AT251" s="654">
        <v>0.2</v>
      </c>
      <c r="AU251" s="505">
        <f>AT251*AR251</f>
        <v>5018.8</v>
      </c>
      <c r="AV251" s="655">
        <f>AU251/SUM(AU$248:AU$251)</f>
        <v>7.360649534642924E-2</v>
      </c>
      <c r="AZ251" s="73"/>
      <c r="BA251" s="73"/>
      <c r="BB251" s="73"/>
      <c r="BC251" s="73"/>
      <c r="BD251" s="73"/>
      <c r="BE251" s="73"/>
      <c r="BF251" s="73"/>
      <c r="BG251" s="73"/>
      <c r="BH251" s="73"/>
      <c r="BI251" s="73"/>
      <c r="BJ251" s="73"/>
      <c r="BK251" s="73"/>
      <c r="BL251" s="73"/>
      <c r="BM251" s="73"/>
      <c r="BN251" s="73"/>
    </row>
    <row r="252" spans="1:66" x14ac:dyDescent="0.25">
      <c r="A252" s="71">
        <v>3</v>
      </c>
      <c r="B252" s="506" t="s">
        <v>755</v>
      </c>
      <c r="C252" s="502"/>
      <c r="D252" s="503">
        <f>SUM(D147:D148)+D152-D253</f>
        <v>89440.2</v>
      </c>
      <c r="E252" s="503">
        <f t="shared" ref="E252:AG252" si="134">SUM(E147:E148)+E152-E253</f>
        <v>46716.800000000003</v>
      </c>
      <c r="F252" s="503">
        <f t="shared" si="134"/>
        <v>0</v>
      </c>
      <c r="G252" s="503">
        <f t="shared" si="134"/>
        <v>0</v>
      </c>
      <c r="H252" s="503">
        <f t="shared" si="134"/>
        <v>136157</v>
      </c>
      <c r="I252" s="503">
        <f t="shared" si="134"/>
        <v>20279.599999999999</v>
      </c>
      <c r="J252" s="503">
        <f t="shared" si="134"/>
        <v>2348</v>
      </c>
      <c r="K252" s="503">
        <f t="shared" si="134"/>
        <v>11161.3</v>
      </c>
      <c r="L252" s="503">
        <f t="shared" si="134"/>
        <v>10776.4</v>
      </c>
      <c r="M252" s="503">
        <f t="shared" si="134"/>
        <v>0</v>
      </c>
      <c r="N252" s="503">
        <f t="shared" si="134"/>
        <v>169945.9</v>
      </c>
      <c r="O252" s="503">
        <f t="shared" si="134"/>
        <v>58603.4</v>
      </c>
      <c r="P252" s="503">
        <f t="shared" si="134"/>
        <v>0</v>
      </c>
      <c r="Q252" s="503">
        <f t="shared" si="134"/>
        <v>88.2</v>
      </c>
      <c r="R252" s="503">
        <f t="shared" si="134"/>
        <v>88.2</v>
      </c>
      <c r="S252" s="503">
        <f t="shared" si="134"/>
        <v>0</v>
      </c>
      <c r="T252" s="503">
        <f t="shared" si="134"/>
        <v>58691.6</v>
      </c>
      <c r="U252" s="503">
        <f t="shared" si="134"/>
        <v>21352.5</v>
      </c>
      <c r="V252" s="503">
        <f t="shared" si="134"/>
        <v>0</v>
      </c>
      <c r="W252" s="503">
        <f t="shared" si="134"/>
        <v>242</v>
      </c>
      <c r="X252" s="503">
        <f t="shared" si="134"/>
        <v>2198.3000000000002</v>
      </c>
      <c r="Y252" s="503">
        <f t="shared" si="134"/>
        <v>267</v>
      </c>
      <c r="Z252" s="503">
        <f t="shared" si="134"/>
        <v>24059.8</v>
      </c>
      <c r="AA252" s="503">
        <f t="shared" si="134"/>
        <v>0</v>
      </c>
      <c r="AB252" s="503">
        <f t="shared" si="134"/>
        <v>-215.3</v>
      </c>
      <c r="AC252" s="503">
        <f t="shared" si="134"/>
        <v>23844.5</v>
      </c>
      <c r="AD252" s="503">
        <f t="shared" si="134"/>
        <v>51651.9</v>
      </c>
      <c r="AE252" s="503">
        <f t="shared" si="134"/>
        <v>134188</v>
      </c>
      <c r="AF252" s="503">
        <f t="shared" si="134"/>
        <v>35757.9</v>
      </c>
      <c r="AG252" s="503">
        <f t="shared" si="134"/>
        <v>169945.9</v>
      </c>
      <c r="AK252" s="95" t="s">
        <v>757</v>
      </c>
      <c r="AV252" s="507">
        <f>SUM(AV248:AV251)</f>
        <v>1</v>
      </c>
    </row>
    <row r="253" spans="1:66" x14ac:dyDescent="0.25">
      <c r="A253" s="71">
        <v>12</v>
      </c>
      <c r="B253" s="506" t="s">
        <v>756</v>
      </c>
      <c r="C253" s="502"/>
      <c r="D253" s="503">
        <f>D152*$AK$253</f>
        <v>304.8</v>
      </c>
      <c r="E253" s="503">
        <f t="shared" ref="E253:AG253" si="135">E152*$AK$253</f>
        <v>577.19999999999993</v>
      </c>
      <c r="F253" s="503">
        <f t="shared" si="135"/>
        <v>0</v>
      </c>
      <c r="G253" s="503">
        <f t="shared" si="135"/>
        <v>0</v>
      </c>
      <c r="H253" s="503">
        <f t="shared" si="135"/>
        <v>882</v>
      </c>
      <c r="I253" s="503">
        <f t="shared" si="135"/>
        <v>263.39999999999998</v>
      </c>
      <c r="J253" s="503">
        <f t="shared" si="135"/>
        <v>3</v>
      </c>
      <c r="K253" s="503">
        <f t="shared" si="135"/>
        <v>170.7</v>
      </c>
      <c r="L253" s="503">
        <f t="shared" si="135"/>
        <v>159.6</v>
      </c>
      <c r="M253" s="503">
        <f t="shared" si="135"/>
        <v>0</v>
      </c>
      <c r="N253" s="503">
        <f t="shared" si="135"/>
        <v>1319.1</v>
      </c>
      <c r="O253" s="503">
        <f t="shared" si="135"/>
        <v>939.59999999999991</v>
      </c>
      <c r="P253" s="503">
        <f t="shared" si="135"/>
        <v>0</v>
      </c>
      <c r="Q253" s="503">
        <f t="shared" si="135"/>
        <v>37.799999999999997</v>
      </c>
      <c r="R253" s="503">
        <f t="shared" si="135"/>
        <v>37.799999999999997</v>
      </c>
      <c r="S253" s="503">
        <f t="shared" si="135"/>
        <v>0</v>
      </c>
      <c r="T253" s="503">
        <f t="shared" si="135"/>
        <v>977.4</v>
      </c>
      <c r="U253" s="503">
        <f t="shared" si="135"/>
        <v>7.5</v>
      </c>
      <c r="V253" s="503">
        <f t="shared" si="135"/>
        <v>0</v>
      </c>
      <c r="W253" s="503">
        <f t="shared" si="135"/>
        <v>0</v>
      </c>
      <c r="X253" s="503">
        <f t="shared" si="135"/>
        <v>59.699999999999996</v>
      </c>
      <c r="Y253" s="503">
        <f t="shared" si="135"/>
        <v>0</v>
      </c>
      <c r="Z253" s="503">
        <f t="shared" si="135"/>
        <v>67.2</v>
      </c>
      <c r="AA253" s="503">
        <f t="shared" si="135"/>
        <v>0</v>
      </c>
      <c r="AB253" s="503">
        <f t="shared" si="135"/>
        <v>-59.699999999999996</v>
      </c>
      <c r="AC253" s="503">
        <f t="shared" si="135"/>
        <v>7.5</v>
      </c>
      <c r="AD253" s="503">
        <f t="shared" si="135"/>
        <v>260.09999999999997</v>
      </c>
      <c r="AE253" s="503">
        <f t="shared" si="135"/>
        <v>1245</v>
      </c>
      <c r="AF253" s="503">
        <f t="shared" si="135"/>
        <v>74.099999999999994</v>
      </c>
      <c r="AG253" s="503">
        <f t="shared" si="135"/>
        <v>1319.1</v>
      </c>
      <c r="AJ253" s="493" t="str">
        <f>B253</f>
        <v>FABRICATION CYCLE</v>
      </c>
      <c r="AK253" s="119">
        <v>0.3</v>
      </c>
      <c r="AP253" s="95"/>
    </row>
    <row r="254" spans="1:66" x14ac:dyDescent="0.25">
      <c r="A254" s="71">
        <v>100</v>
      </c>
      <c r="B254" s="501"/>
      <c r="C254" s="502"/>
      <c r="D254" s="503"/>
      <c r="E254" s="503"/>
      <c r="F254" s="503"/>
      <c r="G254" s="503"/>
      <c r="H254" s="503"/>
      <c r="I254" s="503"/>
      <c r="J254" s="503"/>
      <c r="K254" s="503"/>
      <c r="L254" s="503"/>
      <c r="M254" s="503"/>
      <c r="N254" s="503"/>
      <c r="O254" s="503"/>
      <c r="P254" s="503"/>
      <c r="Q254" s="503"/>
      <c r="R254" s="503"/>
      <c r="S254" s="503"/>
      <c r="T254" s="503"/>
      <c r="U254" s="503"/>
      <c r="V254" s="503"/>
      <c r="W254" s="503"/>
      <c r="X254" s="503"/>
      <c r="Y254" s="503"/>
      <c r="Z254" s="503"/>
      <c r="AA254" s="503"/>
      <c r="AB254" s="503"/>
      <c r="AC254" s="503"/>
      <c r="AD254" s="503"/>
      <c r="AE254" s="503"/>
      <c r="AF254" s="503"/>
      <c r="AG254" s="503"/>
    </row>
    <row r="255" spans="1:66" x14ac:dyDescent="0.25">
      <c r="A255" s="71">
        <v>100</v>
      </c>
      <c r="B255" s="501"/>
      <c r="C255" s="502"/>
      <c r="D255" s="503"/>
      <c r="E255" s="503"/>
      <c r="F255" s="503"/>
      <c r="G255" s="503"/>
      <c r="H255" s="503"/>
      <c r="I255" s="503"/>
      <c r="J255" s="503"/>
      <c r="K255" s="503"/>
      <c r="L255" s="503"/>
      <c r="M255" s="503"/>
      <c r="N255" s="503"/>
      <c r="O255" s="503"/>
      <c r="P255" s="503"/>
      <c r="Q255" s="503"/>
      <c r="R255" s="503"/>
      <c r="S255" s="503"/>
      <c r="T255" s="503"/>
      <c r="U255" s="503"/>
      <c r="V255" s="503"/>
      <c r="W255" s="503"/>
      <c r="X255" s="503"/>
      <c r="Y255" s="503"/>
      <c r="Z255" s="503"/>
      <c r="AA255" s="503"/>
      <c r="AB255" s="503"/>
      <c r="AC255" s="503"/>
      <c r="AD255" s="503"/>
      <c r="AE255" s="503"/>
      <c r="AF255" s="228"/>
      <c r="AG255" s="228"/>
    </row>
    <row r="256" spans="1:66" x14ac:dyDescent="0.25">
      <c r="A256" s="71">
        <v>100</v>
      </c>
      <c r="B256" s="501"/>
      <c r="C256" s="502"/>
      <c r="D256" s="503"/>
      <c r="E256" s="503"/>
      <c r="F256" s="503"/>
      <c r="G256" s="503"/>
      <c r="H256" s="503"/>
      <c r="I256" s="503"/>
      <c r="J256" s="503"/>
      <c r="K256" s="503"/>
      <c r="L256" s="503"/>
      <c r="M256" s="503"/>
      <c r="N256" s="503"/>
      <c r="O256" s="503"/>
      <c r="P256" s="503"/>
      <c r="Q256" s="503"/>
      <c r="R256" s="503"/>
      <c r="S256" s="503"/>
      <c r="T256" s="503"/>
      <c r="U256" s="503"/>
      <c r="V256" s="503"/>
      <c r="W256" s="503"/>
      <c r="X256" s="503"/>
      <c r="Y256" s="503"/>
      <c r="Z256" s="503"/>
      <c r="AA256" s="503"/>
      <c r="AB256" s="503"/>
      <c r="AC256" s="503"/>
      <c r="AD256" s="503"/>
      <c r="AE256" s="503"/>
      <c r="AF256" s="228"/>
      <c r="AG256" s="228"/>
    </row>
    <row r="257" spans="1:33" x14ac:dyDescent="0.25">
      <c r="A257" s="71">
        <v>100</v>
      </c>
      <c r="B257" s="501"/>
      <c r="C257" s="502"/>
      <c r="D257" s="503"/>
      <c r="E257" s="503"/>
      <c r="F257" s="503"/>
      <c r="G257" s="503"/>
      <c r="H257" s="503"/>
      <c r="I257" s="503"/>
      <c r="J257" s="503"/>
      <c r="K257" s="503"/>
      <c r="L257" s="503"/>
      <c r="M257" s="503"/>
      <c r="N257" s="503"/>
      <c r="O257" s="503"/>
      <c r="P257" s="503"/>
      <c r="Q257" s="503"/>
      <c r="R257" s="503"/>
      <c r="S257" s="503"/>
      <c r="T257" s="503"/>
      <c r="U257" s="503"/>
      <c r="V257" s="503"/>
      <c r="W257" s="503"/>
      <c r="X257" s="503"/>
      <c r="Y257" s="503"/>
      <c r="Z257" s="503"/>
      <c r="AA257" s="503"/>
      <c r="AB257" s="503"/>
      <c r="AC257" s="503"/>
      <c r="AD257" s="503"/>
      <c r="AE257" s="503"/>
      <c r="AF257" s="228"/>
      <c r="AG257" s="228"/>
    </row>
    <row r="258" spans="1:33" x14ac:dyDescent="0.25">
      <c r="A258" s="71">
        <v>100</v>
      </c>
      <c r="B258" s="501"/>
      <c r="C258" s="502"/>
      <c r="D258" s="503"/>
      <c r="E258" s="503"/>
      <c r="F258" s="503"/>
      <c r="G258" s="503"/>
      <c r="H258" s="503"/>
      <c r="I258" s="503"/>
      <c r="J258" s="503"/>
      <c r="K258" s="503"/>
      <c r="L258" s="503"/>
      <c r="M258" s="503"/>
      <c r="N258" s="503"/>
      <c r="O258" s="503"/>
      <c r="P258" s="503"/>
      <c r="Q258" s="503"/>
      <c r="R258" s="503"/>
      <c r="S258" s="503"/>
      <c r="T258" s="503"/>
      <c r="U258" s="503"/>
      <c r="V258" s="503"/>
      <c r="W258" s="503"/>
      <c r="X258" s="503"/>
      <c r="Y258" s="503"/>
      <c r="Z258" s="503"/>
      <c r="AA258" s="503"/>
      <c r="AB258" s="503"/>
      <c r="AC258" s="503"/>
      <c r="AD258" s="503"/>
      <c r="AE258" s="503"/>
      <c r="AF258" s="228"/>
      <c r="AG258" s="228"/>
    </row>
    <row r="259" spans="1:33" x14ac:dyDescent="0.25">
      <c r="A259" s="71">
        <v>100</v>
      </c>
      <c r="B259" s="501"/>
      <c r="C259" s="502"/>
      <c r="D259" s="503"/>
      <c r="E259" s="503"/>
      <c r="F259" s="503"/>
      <c r="G259" s="503"/>
      <c r="H259" s="503"/>
      <c r="I259" s="503"/>
      <c r="J259" s="503"/>
      <c r="K259" s="503"/>
      <c r="L259" s="503"/>
      <c r="M259" s="503"/>
      <c r="N259" s="503"/>
      <c r="O259" s="503"/>
      <c r="P259" s="503"/>
      <c r="Q259" s="503"/>
      <c r="R259" s="503"/>
      <c r="S259" s="503"/>
      <c r="T259" s="503"/>
      <c r="U259" s="503"/>
      <c r="V259" s="503"/>
      <c r="W259" s="503"/>
      <c r="X259" s="503"/>
      <c r="Y259" s="503"/>
      <c r="Z259" s="503"/>
      <c r="AA259" s="503"/>
      <c r="AB259" s="503"/>
      <c r="AC259" s="503"/>
      <c r="AD259" s="503"/>
      <c r="AE259" s="503"/>
      <c r="AF259" s="228"/>
      <c r="AG259" s="228"/>
    </row>
    <row r="260" spans="1:33" x14ac:dyDescent="0.25">
      <c r="A260" s="71">
        <v>100</v>
      </c>
      <c r="B260" s="501"/>
      <c r="C260" s="502"/>
      <c r="D260" s="503"/>
      <c r="E260" s="503"/>
      <c r="F260" s="503"/>
      <c r="G260" s="503"/>
      <c r="H260" s="503"/>
      <c r="I260" s="503"/>
      <c r="J260" s="503"/>
      <c r="K260" s="503"/>
      <c r="L260" s="503"/>
      <c r="M260" s="503"/>
      <c r="N260" s="503"/>
      <c r="O260" s="503"/>
      <c r="P260" s="503"/>
      <c r="Q260" s="503"/>
      <c r="R260" s="503"/>
      <c r="S260" s="503"/>
      <c r="T260" s="503"/>
      <c r="U260" s="503"/>
      <c r="V260" s="503"/>
      <c r="W260" s="503"/>
      <c r="X260" s="503"/>
      <c r="Y260" s="503"/>
      <c r="Z260" s="503"/>
      <c r="AA260" s="503"/>
      <c r="AB260" s="503"/>
      <c r="AC260" s="503"/>
      <c r="AD260" s="503"/>
      <c r="AE260" s="503"/>
      <c r="AF260" s="228"/>
      <c r="AG260" s="228"/>
    </row>
    <row r="261" spans="1:33" x14ac:dyDescent="0.25">
      <c r="A261" s="71">
        <v>100</v>
      </c>
      <c r="B261" s="501"/>
      <c r="C261" s="502"/>
      <c r="D261" s="503"/>
      <c r="E261" s="503"/>
      <c r="F261" s="503"/>
      <c r="G261" s="503"/>
      <c r="H261" s="503"/>
      <c r="I261" s="503"/>
      <c r="J261" s="503"/>
      <c r="K261" s="503"/>
      <c r="L261" s="503"/>
      <c r="M261" s="503"/>
      <c r="N261" s="503"/>
      <c r="O261" s="503"/>
      <c r="P261" s="503"/>
      <c r="Q261" s="503"/>
      <c r="R261" s="503"/>
      <c r="S261" s="503"/>
      <c r="T261" s="503"/>
      <c r="U261" s="503"/>
      <c r="V261" s="503"/>
      <c r="W261" s="503"/>
      <c r="X261" s="503"/>
      <c r="Y261" s="503"/>
      <c r="Z261" s="503"/>
      <c r="AA261" s="503"/>
      <c r="AB261" s="503"/>
      <c r="AC261" s="503"/>
      <c r="AD261" s="503"/>
      <c r="AE261" s="503"/>
      <c r="AF261" s="228"/>
      <c r="AG261" s="228"/>
    </row>
    <row r="262" spans="1:33" x14ac:dyDescent="0.25">
      <c r="A262" s="71">
        <v>100</v>
      </c>
      <c r="B262" s="501"/>
      <c r="C262" s="502"/>
      <c r="D262" s="503"/>
      <c r="E262" s="503"/>
      <c r="F262" s="503"/>
      <c r="G262" s="503"/>
      <c r="H262" s="503"/>
      <c r="I262" s="503"/>
      <c r="J262" s="503"/>
      <c r="K262" s="503"/>
      <c r="L262" s="503"/>
      <c r="M262" s="503"/>
      <c r="N262" s="503"/>
      <c r="O262" s="503"/>
      <c r="P262" s="503"/>
      <c r="Q262" s="503"/>
      <c r="R262" s="503"/>
      <c r="S262" s="503"/>
      <c r="T262" s="503"/>
      <c r="U262" s="503"/>
      <c r="V262" s="503"/>
      <c r="W262" s="503"/>
      <c r="X262" s="503"/>
      <c r="Y262" s="503"/>
      <c r="Z262" s="503"/>
      <c r="AA262" s="503"/>
      <c r="AB262" s="503"/>
      <c r="AC262" s="503"/>
      <c r="AD262" s="503"/>
      <c r="AE262" s="503"/>
      <c r="AF262" s="228"/>
      <c r="AG262" s="228"/>
    </row>
    <row r="263" spans="1:33" x14ac:dyDescent="0.25">
      <c r="A263" s="71">
        <v>100</v>
      </c>
      <c r="B263" s="501"/>
      <c r="C263" s="502"/>
      <c r="D263" s="503"/>
      <c r="E263" s="503"/>
      <c r="F263" s="503"/>
      <c r="G263" s="503"/>
      <c r="H263" s="503"/>
      <c r="I263" s="503"/>
      <c r="J263" s="503"/>
      <c r="K263" s="503"/>
      <c r="L263" s="503"/>
      <c r="M263" s="503"/>
      <c r="N263" s="503"/>
      <c r="O263" s="503"/>
      <c r="P263" s="503"/>
      <c r="Q263" s="503"/>
      <c r="R263" s="503"/>
      <c r="S263" s="503"/>
      <c r="T263" s="503"/>
      <c r="U263" s="503"/>
      <c r="V263" s="503"/>
      <c r="W263" s="503"/>
      <c r="X263" s="503"/>
      <c r="Y263" s="503"/>
      <c r="Z263" s="503"/>
      <c r="AA263" s="503"/>
      <c r="AB263" s="503"/>
      <c r="AC263" s="503"/>
      <c r="AD263" s="503"/>
      <c r="AE263" s="503"/>
      <c r="AF263" s="228"/>
      <c r="AG263" s="228"/>
    </row>
    <row r="264" spans="1:33" x14ac:dyDescent="0.25">
      <c r="A264" s="71">
        <v>100</v>
      </c>
      <c r="B264" s="501"/>
      <c r="C264" s="502"/>
      <c r="D264" s="503"/>
      <c r="E264" s="503"/>
      <c r="F264" s="503"/>
      <c r="G264" s="503"/>
      <c r="H264" s="503"/>
      <c r="I264" s="503"/>
      <c r="J264" s="503"/>
      <c r="K264" s="503"/>
      <c r="L264" s="503"/>
      <c r="M264" s="503"/>
      <c r="N264" s="503"/>
      <c r="O264" s="503"/>
      <c r="P264" s="503"/>
      <c r="Q264" s="503"/>
      <c r="R264" s="503"/>
      <c r="S264" s="503"/>
      <c r="T264" s="503"/>
      <c r="U264" s="503"/>
      <c r="V264" s="503"/>
      <c r="W264" s="503"/>
      <c r="X264" s="503"/>
      <c r="Y264" s="503"/>
      <c r="Z264" s="503"/>
      <c r="AA264" s="503"/>
      <c r="AB264" s="503"/>
      <c r="AC264" s="503"/>
      <c r="AD264" s="503"/>
      <c r="AE264" s="503"/>
      <c r="AF264" s="228"/>
      <c r="AG264" s="228"/>
    </row>
    <row r="265" spans="1:33" x14ac:dyDescent="0.25">
      <c r="A265" s="71">
        <v>100</v>
      </c>
      <c r="B265" s="501"/>
      <c r="C265" s="502"/>
      <c r="D265" s="503"/>
      <c r="E265" s="503"/>
      <c r="F265" s="503"/>
      <c r="G265" s="503"/>
      <c r="H265" s="503"/>
      <c r="I265" s="503"/>
      <c r="J265" s="503"/>
      <c r="K265" s="503"/>
      <c r="L265" s="503"/>
      <c r="M265" s="503"/>
      <c r="N265" s="503"/>
      <c r="O265" s="503"/>
      <c r="P265" s="503"/>
      <c r="Q265" s="503"/>
      <c r="R265" s="503"/>
      <c r="S265" s="503"/>
      <c r="T265" s="503"/>
      <c r="U265" s="503"/>
      <c r="V265" s="503"/>
      <c r="W265" s="503"/>
      <c r="X265" s="503"/>
      <c r="Y265" s="503"/>
      <c r="Z265" s="503"/>
      <c r="AA265" s="503"/>
      <c r="AB265" s="503"/>
      <c r="AC265" s="503"/>
      <c r="AD265" s="503"/>
      <c r="AE265" s="503"/>
      <c r="AF265" s="228"/>
      <c r="AG265" s="228"/>
    </row>
    <row r="266" spans="1:33" x14ac:dyDescent="0.25">
      <c r="A266" s="71">
        <v>100</v>
      </c>
      <c r="B266" s="501"/>
      <c r="C266" s="502"/>
      <c r="D266" s="503"/>
      <c r="E266" s="503"/>
      <c r="F266" s="503"/>
      <c r="G266" s="503"/>
      <c r="H266" s="503"/>
      <c r="I266" s="503"/>
      <c r="J266" s="503"/>
      <c r="K266" s="503"/>
      <c r="L266" s="503"/>
      <c r="M266" s="503"/>
      <c r="N266" s="503"/>
      <c r="O266" s="503"/>
      <c r="P266" s="503"/>
      <c r="Q266" s="503"/>
      <c r="R266" s="503"/>
      <c r="S266" s="503"/>
      <c r="T266" s="503"/>
      <c r="U266" s="503"/>
      <c r="V266" s="503"/>
      <c r="W266" s="503"/>
      <c r="X266" s="503"/>
      <c r="Y266" s="503"/>
      <c r="Z266" s="503"/>
      <c r="AA266" s="503"/>
      <c r="AB266" s="503"/>
      <c r="AC266" s="503"/>
      <c r="AD266" s="503"/>
      <c r="AE266" s="503"/>
      <c r="AF266" s="228"/>
      <c r="AG266" s="228"/>
    </row>
    <row r="267" spans="1:33" x14ac:dyDescent="0.25">
      <c r="A267" s="71">
        <v>100</v>
      </c>
      <c r="B267" s="501"/>
      <c r="C267" s="502"/>
      <c r="D267" s="503"/>
      <c r="E267" s="503"/>
      <c r="F267" s="503"/>
      <c r="G267" s="503"/>
      <c r="H267" s="503"/>
      <c r="I267" s="503"/>
      <c r="J267" s="503"/>
      <c r="K267" s="503"/>
      <c r="L267" s="503"/>
      <c r="M267" s="503"/>
      <c r="N267" s="503"/>
      <c r="O267" s="503"/>
      <c r="P267" s="503"/>
      <c r="Q267" s="503"/>
      <c r="R267" s="503"/>
      <c r="S267" s="503"/>
      <c r="T267" s="503"/>
      <c r="U267" s="503"/>
      <c r="V267" s="503"/>
      <c r="W267" s="503"/>
      <c r="X267" s="503"/>
      <c r="Y267" s="503"/>
      <c r="Z267" s="503"/>
      <c r="AA267" s="503"/>
      <c r="AB267" s="503"/>
      <c r="AC267" s="503"/>
      <c r="AD267" s="503"/>
      <c r="AE267" s="503"/>
      <c r="AF267" s="228"/>
      <c r="AG267" s="228"/>
    </row>
    <row r="268" spans="1:33" x14ac:dyDescent="0.25">
      <c r="A268" s="71">
        <v>100</v>
      </c>
      <c r="B268" s="501"/>
      <c r="C268" s="502"/>
      <c r="D268" s="503"/>
      <c r="E268" s="503"/>
      <c r="F268" s="503"/>
      <c r="G268" s="503"/>
      <c r="H268" s="503"/>
      <c r="I268" s="503"/>
      <c r="J268" s="503"/>
      <c r="K268" s="503"/>
      <c r="L268" s="503"/>
      <c r="M268" s="503"/>
      <c r="N268" s="503"/>
      <c r="O268" s="503"/>
      <c r="P268" s="503"/>
      <c r="Q268" s="503"/>
      <c r="R268" s="503"/>
      <c r="S268" s="503"/>
      <c r="T268" s="503"/>
      <c r="U268" s="503"/>
      <c r="V268" s="503"/>
      <c r="W268" s="503"/>
      <c r="X268" s="503"/>
      <c r="Y268" s="503"/>
      <c r="Z268" s="503"/>
      <c r="AA268" s="503"/>
      <c r="AB268" s="503"/>
      <c r="AC268" s="503"/>
      <c r="AD268" s="503"/>
      <c r="AE268" s="503"/>
      <c r="AF268" s="228"/>
      <c r="AG268" s="228"/>
    </row>
    <row r="269" spans="1:33" x14ac:dyDescent="0.25">
      <c r="A269" s="71">
        <v>100</v>
      </c>
      <c r="B269" s="501"/>
      <c r="C269" s="502"/>
      <c r="D269" s="503"/>
      <c r="E269" s="503"/>
      <c r="F269" s="503"/>
      <c r="G269" s="503"/>
      <c r="H269" s="503"/>
      <c r="I269" s="503"/>
      <c r="J269" s="503"/>
      <c r="K269" s="503"/>
      <c r="L269" s="503"/>
      <c r="M269" s="503"/>
      <c r="N269" s="503"/>
      <c r="O269" s="503"/>
      <c r="P269" s="503"/>
      <c r="Q269" s="503"/>
      <c r="R269" s="503"/>
      <c r="S269" s="503"/>
      <c r="T269" s="503"/>
      <c r="U269" s="503"/>
      <c r="V269" s="503"/>
      <c r="W269" s="503"/>
      <c r="X269" s="503"/>
      <c r="Y269" s="503"/>
      <c r="Z269" s="503"/>
      <c r="AA269" s="503"/>
      <c r="AB269" s="503"/>
      <c r="AC269" s="503"/>
      <c r="AD269" s="503"/>
      <c r="AE269" s="503"/>
      <c r="AF269" s="228"/>
      <c r="AG269" s="228"/>
    </row>
    <row r="270" spans="1:33" x14ac:dyDescent="0.25">
      <c r="A270" s="71">
        <v>100</v>
      </c>
      <c r="B270" s="501"/>
      <c r="C270" s="502"/>
      <c r="D270" s="503"/>
      <c r="E270" s="503"/>
      <c r="F270" s="503"/>
      <c r="G270" s="503"/>
      <c r="H270" s="503"/>
      <c r="I270" s="503"/>
      <c r="J270" s="503"/>
      <c r="K270" s="503"/>
      <c r="L270" s="503"/>
      <c r="M270" s="503"/>
      <c r="N270" s="503"/>
      <c r="O270" s="503"/>
      <c r="P270" s="503"/>
      <c r="Q270" s="503"/>
      <c r="R270" s="503"/>
      <c r="S270" s="503"/>
      <c r="T270" s="503"/>
      <c r="U270" s="503"/>
      <c r="V270" s="503"/>
      <c r="W270" s="503"/>
      <c r="X270" s="503"/>
      <c r="Y270" s="503"/>
      <c r="Z270" s="503"/>
      <c r="AA270" s="503"/>
      <c r="AB270" s="503"/>
      <c r="AC270" s="503"/>
      <c r="AD270" s="503"/>
      <c r="AE270" s="503"/>
      <c r="AF270" s="228"/>
      <c r="AG270" s="228"/>
    </row>
    <row r="271" spans="1:33" x14ac:dyDescent="0.25">
      <c r="A271" s="71">
        <v>100</v>
      </c>
      <c r="B271" s="501"/>
      <c r="C271" s="502"/>
      <c r="D271" s="503"/>
      <c r="E271" s="503"/>
      <c r="F271" s="503"/>
      <c r="G271" s="503"/>
      <c r="H271" s="503"/>
      <c r="I271" s="503"/>
      <c r="J271" s="503"/>
      <c r="K271" s="503"/>
      <c r="L271" s="503"/>
      <c r="M271" s="503"/>
      <c r="N271" s="503"/>
      <c r="O271" s="503"/>
      <c r="P271" s="503"/>
      <c r="Q271" s="503"/>
      <c r="R271" s="503"/>
      <c r="S271" s="503"/>
      <c r="T271" s="503"/>
      <c r="U271" s="503"/>
      <c r="V271" s="503"/>
      <c r="W271" s="503"/>
      <c r="X271" s="503"/>
      <c r="Y271" s="503"/>
      <c r="Z271" s="503"/>
      <c r="AA271" s="503"/>
      <c r="AB271" s="503"/>
      <c r="AC271" s="503"/>
      <c r="AD271" s="503"/>
      <c r="AE271" s="503"/>
      <c r="AF271" s="228"/>
      <c r="AG271" s="228"/>
    </row>
    <row r="272" spans="1:33" x14ac:dyDescent="0.25">
      <c r="A272" s="71">
        <v>100</v>
      </c>
      <c r="B272" s="501"/>
      <c r="C272" s="502"/>
      <c r="D272" s="503"/>
      <c r="E272" s="503"/>
      <c r="F272" s="503"/>
      <c r="G272" s="503"/>
      <c r="H272" s="503"/>
      <c r="I272" s="503"/>
      <c r="J272" s="503"/>
      <c r="K272" s="503"/>
      <c r="L272" s="503"/>
      <c r="M272" s="503"/>
      <c r="N272" s="503"/>
      <c r="O272" s="503"/>
      <c r="P272" s="503"/>
      <c r="Q272" s="503"/>
      <c r="R272" s="503"/>
      <c r="S272" s="503"/>
      <c r="T272" s="503"/>
      <c r="U272" s="503"/>
      <c r="V272" s="503"/>
      <c r="W272" s="503"/>
      <c r="X272" s="503"/>
      <c r="Y272" s="503"/>
      <c r="Z272" s="503"/>
      <c r="AA272" s="503"/>
      <c r="AB272" s="503"/>
      <c r="AC272" s="503"/>
      <c r="AD272" s="503"/>
      <c r="AE272" s="503"/>
      <c r="AF272" s="228"/>
      <c r="AG272" s="228"/>
    </row>
    <row r="273" spans="1:33" x14ac:dyDescent="0.25">
      <c r="A273" s="71">
        <v>100</v>
      </c>
      <c r="B273" s="501"/>
      <c r="C273" s="502"/>
      <c r="D273" s="503"/>
      <c r="E273" s="503"/>
      <c r="F273" s="503"/>
      <c r="G273" s="503"/>
      <c r="H273" s="503"/>
      <c r="I273" s="503"/>
      <c r="J273" s="503"/>
      <c r="K273" s="503"/>
      <c r="L273" s="503"/>
      <c r="M273" s="503"/>
      <c r="N273" s="503"/>
      <c r="O273" s="503"/>
      <c r="P273" s="503"/>
      <c r="Q273" s="503"/>
      <c r="R273" s="503"/>
      <c r="S273" s="503"/>
      <c r="T273" s="503"/>
      <c r="U273" s="503"/>
      <c r="V273" s="503"/>
      <c r="W273" s="503"/>
      <c r="X273" s="503"/>
      <c r="Y273" s="503"/>
      <c r="Z273" s="503"/>
      <c r="AA273" s="503"/>
      <c r="AB273" s="503"/>
      <c r="AC273" s="503"/>
      <c r="AD273" s="503"/>
      <c r="AE273" s="503"/>
      <c r="AF273" s="228"/>
      <c r="AG273" s="228"/>
    </row>
    <row r="274" spans="1:33" x14ac:dyDescent="0.25">
      <c r="A274" s="71">
        <v>100</v>
      </c>
      <c r="B274" s="501"/>
      <c r="C274" s="502"/>
      <c r="D274" s="503"/>
      <c r="E274" s="503"/>
      <c r="F274" s="503"/>
      <c r="G274" s="503"/>
      <c r="H274" s="503"/>
      <c r="I274" s="503"/>
      <c r="J274" s="503"/>
      <c r="K274" s="503"/>
      <c r="L274" s="503"/>
      <c r="M274" s="503"/>
      <c r="N274" s="503"/>
      <c r="O274" s="503"/>
      <c r="P274" s="503"/>
      <c r="Q274" s="503"/>
      <c r="R274" s="503"/>
      <c r="S274" s="503"/>
      <c r="T274" s="503"/>
      <c r="U274" s="503"/>
      <c r="V274" s="503"/>
      <c r="W274" s="503"/>
      <c r="X274" s="503"/>
      <c r="Y274" s="503"/>
      <c r="Z274" s="503"/>
      <c r="AA274" s="503"/>
      <c r="AB274" s="503"/>
      <c r="AC274" s="503"/>
      <c r="AD274" s="503"/>
      <c r="AE274" s="503"/>
      <c r="AF274" s="228"/>
      <c r="AG274" s="228"/>
    </row>
    <row r="275" spans="1:33" x14ac:dyDescent="0.25">
      <c r="A275" s="71">
        <v>100</v>
      </c>
      <c r="B275" s="501"/>
      <c r="C275" s="502"/>
      <c r="D275" s="503"/>
      <c r="E275" s="503"/>
      <c r="F275" s="503"/>
      <c r="G275" s="503"/>
      <c r="H275" s="503"/>
      <c r="I275" s="503"/>
      <c r="J275" s="503"/>
      <c r="K275" s="503"/>
      <c r="L275" s="503"/>
      <c r="M275" s="503"/>
      <c r="N275" s="503"/>
      <c r="O275" s="503"/>
      <c r="P275" s="503"/>
      <c r="Q275" s="503"/>
      <c r="R275" s="503"/>
      <c r="S275" s="503"/>
      <c r="T275" s="503"/>
      <c r="U275" s="503"/>
      <c r="V275" s="503"/>
      <c r="W275" s="503"/>
      <c r="X275" s="503"/>
      <c r="Y275" s="503"/>
      <c r="Z275" s="503"/>
      <c r="AA275" s="503"/>
      <c r="AB275" s="503"/>
      <c r="AC275" s="503"/>
      <c r="AD275" s="503"/>
      <c r="AE275" s="503"/>
      <c r="AF275" s="228"/>
      <c r="AG275" s="228"/>
    </row>
    <row r="276" spans="1:33" x14ac:dyDescent="0.25">
      <c r="A276" s="71">
        <v>100</v>
      </c>
      <c r="B276" s="501"/>
      <c r="C276" s="502"/>
      <c r="D276" s="503"/>
      <c r="E276" s="503"/>
      <c r="F276" s="503"/>
      <c r="G276" s="503"/>
      <c r="H276" s="503"/>
      <c r="I276" s="503"/>
      <c r="J276" s="503"/>
      <c r="K276" s="503"/>
      <c r="L276" s="503"/>
      <c r="M276" s="503"/>
      <c r="N276" s="503"/>
      <c r="O276" s="503"/>
      <c r="P276" s="503"/>
      <c r="Q276" s="503"/>
      <c r="R276" s="503"/>
      <c r="S276" s="503"/>
      <c r="T276" s="503"/>
      <c r="U276" s="503"/>
      <c r="V276" s="503"/>
      <c r="W276" s="503"/>
      <c r="X276" s="503"/>
      <c r="Y276" s="503"/>
      <c r="Z276" s="503"/>
      <c r="AA276" s="503"/>
      <c r="AB276" s="503"/>
      <c r="AC276" s="503"/>
      <c r="AD276" s="503"/>
      <c r="AE276" s="503"/>
      <c r="AF276" s="228"/>
      <c r="AG276" s="228"/>
    </row>
    <row r="277" spans="1:33" x14ac:dyDescent="0.25">
      <c r="A277" s="71">
        <v>100</v>
      </c>
      <c r="B277" s="501"/>
      <c r="C277" s="502"/>
      <c r="D277" s="503"/>
      <c r="E277" s="503"/>
      <c r="F277" s="503"/>
      <c r="G277" s="503"/>
      <c r="H277" s="503"/>
      <c r="I277" s="503"/>
      <c r="J277" s="503"/>
      <c r="K277" s="503"/>
      <c r="L277" s="503"/>
      <c r="M277" s="503"/>
      <c r="N277" s="503"/>
      <c r="O277" s="503"/>
      <c r="P277" s="503"/>
      <c r="Q277" s="503"/>
      <c r="R277" s="503"/>
      <c r="S277" s="503"/>
      <c r="T277" s="503"/>
      <c r="U277" s="503"/>
      <c r="V277" s="503"/>
      <c r="W277" s="503"/>
      <c r="X277" s="503"/>
      <c r="Y277" s="503"/>
      <c r="Z277" s="503"/>
      <c r="AA277" s="503"/>
      <c r="AB277" s="503"/>
      <c r="AC277" s="503"/>
      <c r="AD277" s="503"/>
      <c r="AE277" s="503"/>
      <c r="AF277" s="228"/>
      <c r="AG277" s="228"/>
    </row>
    <row r="278" spans="1:33" x14ac:dyDescent="0.25">
      <c r="A278" s="71">
        <v>100</v>
      </c>
      <c r="B278" s="501"/>
      <c r="C278" s="502"/>
      <c r="D278" s="503"/>
      <c r="E278" s="503"/>
      <c r="F278" s="503"/>
      <c r="G278" s="503"/>
      <c r="H278" s="503"/>
      <c r="I278" s="503"/>
      <c r="J278" s="503"/>
      <c r="K278" s="503"/>
      <c r="L278" s="503"/>
      <c r="M278" s="503"/>
      <c r="N278" s="503"/>
      <c r="O278" s="503"/>
      <c r="P278" s="503"/>
      <c r="Q278" s="503"/>
      <c r="R278" s="503"/>
      <c r="S278" s="503"/>
      <c r="T278" s="503"/>
      <c r="U278" s="503"/>
      <c r="V278" s="503"/>
      <c r="W278" s="503"/>
      <c r="X278" s="503"/>
      <c r="Y278" s="503"/>
      <c r="Z278" s="503"/>
      <c r="AA278" s="503"/>
      <c r="AB278" s="503"/>
      <c r="AC278" s="503"/>
      <c r="AD278" s="503"/>
      <c r="AE278" s="503"/>
      <c r="AF278" s="228"/>
      <c r="AG278" s="228"/>
    </row>
    <row r="279" spans="1:33" x14ac:dyDescent="0.25">
      <c r="A279" s="71">
        <v>100</v>
      </c>
      <c r="B279" s="501"/>
      <c r="C279" s="502"/>
      <c r="D279" s="503"/>
      <c r="E279" s="503"/>
      <c r="F279" s="503"/>
      <c r="G279" s="503"/>
      <c r="H279" s="503"/>
      <c r="I279" s="503"/>
      <c r="J279" s="503"/>
      <c r="K279" s="503"/>
      <c r="L279" s="503"/>
      <c r="M279" s="503"/>
      <c r="N279" s="503"/>
      <c r="O279" s="503"/>
      <c r="P279" s="503"/>
      <c r="Q279" s="503"/>
      <c r="R279" s="503"/>
      <c r="S279" s="503"/>
      <c r="T279" s="503"/>
      <c r="U279" s="503"/>
      <c r="V279" s="503"/>
      <c r="W279" s="503"/>
      <c r="X279" s="503"/>
      <c r="Y279" s="503"/>
      <c r="Z279" s="503"/>
      <c r="AA279" s="503"/>
      <c r="AB279" s="503"/>
      <c r="AC279" s="503"/>
      <c r="AD279" s="503"/>
      <c r="AE279" s="503"/>
      <c r="AF279" s="228"/>
      <c r="AG279" s="228"/>
    </row>
    <row r="280" spans="1:33" x14ac:dyDescent="0.25">
      <c r="A280" s="71">
        <v>100</v>
      </c>
      <c r="B280" s="501"/>
      <c r="C280" s="502"/>
      <c r="D280" s="503"/>
      <c r="E280" s="503"/>
      <c r="F280" s="503"/>
      <c r="G280" s="503"/>
      <c r="H280" s="503"/>
      <c r="I280" s="503"/>
      <c r="J280" s="503"/>
      <c r="K280" s="503"/>
      <c r="L280" s="503"/>
      <c r="M280" s="503"/>
      <c r="N280" s="503"/>
      <c r="O280" s="503"/>
      <c r="P280" s="503"/>
      <c r="Q280" s="503"/>
      <c r="R280" s="503"/>
      <c r="S280" s="503"/>
      <c r="T280" s="503"/>
      <c r="U280" s="503"/>
      <c r="V280" s="503"/>
      <c r="W280" s="503"/>
      <c r="X280" s="503"/>
      <c r="Y280" s="503"/>
      <c r="Z280" s="503"/>
      <c r="AA280" s="503"/>
      <c r="AB280" s="503"/>
      <c r="AC280" s="503"/>
      <c r="AD280" s="503"/>
      <c r="AE280" s="503"/>
      <c r="AF280" s="228"/>
      <c r="AG280" s="228"/>
    </row>
    <row r="281" spans="1:33" x14ac:dyDescent="0.25">
      <c r="A281" s="71">
        <v>100</v>
      </c>
      <c r="B281" s="501"/>
      <c r="C281" s="502"/>
      <c r="D281" s="503"/>
      <c r="E281" s="503"/>
      <c r="F281" s="503"/>
      <c r="G281" s="503"/>
      <c r="H281" s="503"/>
      <c r="I281" s="503"/>
      <c r="J281" s="503"/>
      <c r="K281" s="503"/>
      <c r="L281" s="503"/>
      <c r="M281" s="503"/>
      <c r="N281" s="503"/>
      <c r="O281" s="503"/>
      <c r="P281" s="503"/>
      <c r="Q281" s="503"/>
      <c r="R281" s="503"/>
      <c r="S281" s="503"/>
      <c r="T281" s="503"/>
      <c r="U281" s="503"/>
      <c r="V281" s="503"/>
      <c r="W281" s="503"/>
      <c r="X281" s="503"/>
      <c r="Y281" s="503"/>
      <c r="Z281" s="503"/>
      <c r="AA281" s="503"/>
      <c r="AB281" s="503"/>
      <c r="AC281" s="503"/>
      <c r="AD281" s="503"/>
      <c r="AE281" s="503"/>
      <c r="AF281" s="228"/>
      <c r="AG281" s="228"/>
    </row>
    <row r="282" spans="1:33" x14ac:dyDescent="0.25">
      <c r="A282" s="71">
        <v>100</v>
      </c>
      <c r="B282" s="501"/>
      <c r="C282" s="502"/>
      <c r="D282" s="503"/>
      <c r="E282" s="503"/>
      <c r="F282" s="503"/>
      <c r="G282" s="503"/>
      <c r="H282" s="503"/>
      <c r="I282" s="503"/>
      <c r="J282" s="503"/>
      <c r="K282" s="503"/>
      <c r="L282" s="503"/>
      <c r="M282" s="503"/>
      <c r="N282" s="503"/>
      <c r="O282" s="503"/>
      <c r="P282" s="503"/>
      <c r="Q282" s="503"/>
      <c r="R282" s="503"/>
      <c r="S282" s="503"/>
      <c r="T282" s="503"/>
      <c r="U282" s="503"/>
      <c r="V282" s="503"/>
      <c r="W282" s="503"/>
      <c r="X282" s="503"/>
      <c r="Y282" s="503"/>
      <c r="Z282" s="503"/>
      <c r="AA282" s="503"/>
      <c r="AB282" s="503"/>
      <c r="AC282" s="503"/>
      <c r="AD282" s="503"/>
      <c r="AE282" s="503"/>
      <c r="AF282" s="228"/>
      <c r="AG282" s="228"/>
    </row>
    <row r="283" spans="1:33" x14ac:dyDescent="0.25">
      <c r="A283" s="71">
        <v>100</v>
      </c>
      <c r="B283" s="501"/>
      <c r="C283" s="502"/>
      <c r="D283" s="503"/>
      <c r="E283" s="503"/>
      <c r="F283" s="503"/>
      <c r="G283" s="503"/>
      <c r="H283" s="503"/>
      <c r="I283" s="503"/>
      <c r="J283" s="503"/>
      <c r="K283" s="503"/>
      <c r="L283" s="503"/>
      <c r="M283" s="503"/>
      <c r="N283" s="503"/>
      <c r="O283" s="503"/>
      <c r="P283" s="503"/>
      <c r="Q283" s="503"/>
      <c r="R283" s="503"/>
      <c r="S283" s="503"/>
      <c r="T283" s="503"/>
      <c r="U283" s="503"/>
      <c r="V283" s="503"/>
      <c r="W283" s="503"/>
      <c r="X283" s="503"/>
      <c r="Y283" s="503"/>
      <c r="Z283" s="503"/>
      <c r="AA283" s="503"/>
      <c r="AB283" s="503"/>
      <c r="AC283" s="503"/>
      <c r="AD283" s="503"/>
      <c r="AE283" s="503"/>
      <c r="AF283" s="228"/>
      <c r="AG283" s="228"/>
    </row>
    <row r="284" spans="1:33" x14ac:dyDescent="0.25">
      <c r="A284" s="71">
        <v>100</v>
      </c>
      <c r="B284" s="501"/>
      <c r="C284" s="502"/>
      <c r="D284" s="503"/>
      <c r="E284" s="503"/>
      <c r="F284" s="503"/>
      <c r="G284" s="503"/>
      <c r="H284" s="503"/>
      <c r="I284" s="503"/>
      <c r="J284" s="503"/>
      <c r="K284" s="503"/>
      <c r="L284" s="503"/>
      <c r="M284" s="503"/>
      <c r="N284" s="503"/>
      <c r="O284" s="503"/>
      <c r="P284" s="503"/>
      <c r="Q284" s="503"/>
      <c r="R284" s="503"/>
      <c r="S284" s="503"/>
      <c r="T284" s="503"/>
      <c r="U284" s="503"/>
      <c r="V284" s="503"/>
      <c r="W284" s="503"/>
      <c r="X284" s="503"/>
      <c r="Y284" s="503"/>
      <c r="Z284" s="503"/>
      <c r="AA284" s="503"/>
      <c r="AB284" s="503"/>
      <c r="AC284" s="503"/>
      <c r="AD284" s="503"/>
      <c r="AE284" s="503"/>
      <c r="AF284" s="228"/>
      <c r="AG284" s="228"/>
    </row>
    <row r="285" spans="1:33" x14ac:dyDescent="0.25">
      <c r="A285" s="71">
        <v>100</v>
      </c>
      <c r="B285" s="501"/>
      <c r="C285" s="502"/>
      <c r="D285" s="503"/>
      <c r="E285" s="503"/>
      <c r="F285" s="503"/>
      <c r="G285" s="503"/>
      <c r="H285" s="503"/>
      <c r="I285" s="503"/>
      <c r="J285" s="503"/>
      <c r="K285" s="503"/>
      <c r="L285" s="503"/>
      <c r="M285" s="503"/>
      <c r="N285" s="503"/>
      <c r="O285" s="503"/>
      <c r="P285" s="503"/>
      <c r="Q285" s="503"/>
      <c r="R285" s="503"/>
      <c r="S285" s="503"/>
      <c r="T285" s="503"/>
      <c r="U285" s="503"/>
      <c r="V285" s="503"/>
      <c r="W285" s="503"/>
      <c r="X285" s="503"/>
      <c r="Y285" s="503"/>
      <c r="Z285" s="503"/>
      <c r="AA285" s="503"/>
      <c r="AB285" s="503"/>
      <c r="AC285" s="503"/>
      <c r="AD285" s="503"/>
      <c r="AE285" s="503"/>
      <c r="AF285" s="228"/>
      <c r="AG285" s="228"/>
    </row>
    <row r="286" spans="1:33" x14ac:dyDescent="0.25">
      <c r="A286" s="71">
        <v>100</v>
      </c>
      <c r="B286" s="501"/>
      <c r="C286" s="502"/>
      <c r="D286" s="503"/>
      <c r="E286" s="503"/>
      <c r="F286" s="503"/>
      <c r="G286" s="503"/>
      <c r="H286" s="503"/>
      <c r="I286" s="503"/>
      <c r="J286" s="503"/>
      <c r="K286" s="503"/>
      <c r="L286" s="503"/>
      <c r="M286" s="503"/>
      <c r="N286" s="503"/>
      <c r="O286" s="503"/>
      <c r="P286" s="503"/>
      <c r="Q286" s="503"/>
      <c r="R286" s="503"/>
      <c r="S286" s="503"/>
      <c r="T286" s="503"/>
      <c r="U286" s="503"/>
      <c r="V286" s="503"/>
      <c r="W286" s="503"/>
      <c r="X286" s="503"/>
      <c r="Y286" s="503"/>
      <c r="Z286" s="503"/>
      <c r="AA286" s="503"/>
      <c r="AB286" s="503"/>
      <c r="AC286" s="503"/>
      <c r="AD286" s="503"/>
      <c r="AE286" s="503"/>
      <c r="AF286" s="228"/>
      <c r="AG286" s="228"/>
    </row>
    <row r="287" spans="1:33" x14ac:dyDescent="0.25">
      <c r="A287" s="71">
        <v>100</v>
      </c>
      <c r="B287" s="501"/>
      <c r="C287" s="502"/>
      <c r="D287" s="503"/>
      <c r="E287" s="503"/>
      <c r="F287" s="503"/>
      <c r="G287" s="503"/>
      <c r="H287" s="503"/>
      <c r="I287" s="503"/>
      <c r="J287" s="503"/>
      <c r="K287" s="503"/>
      <c r="L287" s="503"/>
      <c r="M287" s="503"/>
      <c r="N287" s="503"/>
      <c r="O287" s="503"/>
      <c r="P287" s="503"/>
      <c r="Q287" s="503"/>
      <c r="R287" s="503"/>
      <c r="S287" s="503"/>
      <c r="T287" s="503"/>
      <c r="U287" s="503"/>
      <c r="V287" s="503"/>
      <c r="W287" s="503"/>
      <c r="X287" s="503"/>
      <c r="Y287" s="503"/>
      <c r="Z287" s="503"/>
      <c r="AA287" s="503"/>
      <c r="AB287" s="503"/>
      <c r="AC287" s="503"/>
      <c r="AD287" s="503"/>
      <c r="AE287" s="503"/>
      <c r="AF287" s="228"/>
      <c r="AG287" s="228"/>
    </row>
    <row r="288" spans="1:33" x14ac:dyDescent="0.25">
      <c r="A288" s="71">
        <v>100</v>
      </c>
      <c r="B288" s="501"/>
      <c r="C288" s="502"/>
      <c r="D288" s="503"/>
      <c r="E288" s="503"/>
      <c r="F288" s="503"/>
      <c r="G288" s="503"/>
      <c r="H288" s="503"/>
      <c r="I288" s="503"/>
      <c r="J288" s="503"/>
      <c r="K288" s="503"/>
      <c r="L288" s="503"/>
      <c r="M288" s="503"/>
      <c r="N288" s="503"/>
      <c r="O288" s="503"/>
      <c r="P288" s="503"/>
      <c r="Q288" s="503"/>
      <c r="R288" s="503"/>
      <c r="S288" s="503"/>
      <c r="T288" s="503"/>
      <c r="U288" s="503"/>
      <c r="V288" s="503"/>
      <c r="W288" s="503"/>
      <c r="X288" s="503"/>
      <c r="Y288" s="503"/>
      <c r="Z288" s="503"/>
      <c r="AA288" s="503"/>
      <c r="AB288" s="503"/>
      <c r="AC288" s="503"/>
      <c r="AD288" s="503"/>
      <c r="AE288" s="503"/>
      <c r="AF288" s="228"/>
      <c r="AG288" s="228"/>
    </row>
    <row r="289" spans="1:33" x14ac:dyDescent="0.25">
      <c r="A289" s="71">
        <v>100</v>
      </c>
      <c r="B289" s="501"/>
      <c r="C289" s="502"/>
      <c r="D289" s="503"/>
      <c r="E289" s="503"/>
      <c r="F289" s="503"/>
      <c r="G289" s="503"/>
      <c r="H289" s="503"/>
      <c r="I289" s="503"/>
      <c r="J289" s="503"/>
      <c r="K289" s="503"/>
      <c r="L289" s="503"/>
      <c r="M289" s="503"/>
      <c r="N289" s="503"/>
      <c r="O289" s="503"/>
      <c r="P289" s="503"/>
      <c r="Q289" s="503"/>
      <c r="R289" s="503"/>
      <c r="S289" s="503"/>
      <c r="T289" s="503"/>
      <c r="U289" s="503"/>
      <c r="V289" s="503"/>
      <c r="W289" s="503"/>
      <c r="X289" s="503"/>
      <c r="Y289" s="503"/>
      <c r="Z289" s="503"/>
      <c r="AA289" s="503"/>
      <c r="AB289" s="503"/>
      <c r="AC289" s="503"/>
      <c r="AD289" s="503"/>
      <c r="AE289" s="503"/>
      <c r="AF289" s="228"/>
      <c r="AG289" s="228"/>
    </row>
    <row r="290" spans="1:33" x14ac:dyDescent="0.25">
      <c r="A290" s="71">
        <v>100</v>
      </c>
      <c r="B290" s="501"/>
      <c r="C290" s="502"/>
      <c r="D290" s="503"/>
      <c r="E290" s="503"/>
      <c r="F290" s="503"/>
      <c r="G290" s="503"/>
      <c r="H290" s="503"/>
      <c r="I290" s="503"/>
      <c r="J290" s="503"/>
      <c r="K290" s="503"/>
      <c r="L290" s="503"/>
      <c r="M290" s="503"/>
      <c r="N290" s="503"/>
      <c r="O290" s="503"/>
      <c r="P290" s="503"/>
      <c r="Q290" s="503"/>
      <c r="R290" s="503"/>
      <c r="S290" s="503"/>
      <c r="T290" s="503"/>
      <c r="U290" s="503"/>
      <c r="V290" s="503"/>
      <c r="W290" s="503"/>
      <c r="X290" s="503"/>
      <c r="Y290" s="503"/>
      <c r="Z290" s="503"/>
      <c r="AA290" s="503"/>
      <c r="AB290" s="503"/>
      <c r="AC290" s="503"/>
      <c r="AD290" s="503"/>
      <c r="AE290" s="503"/>
      <c r="AF290" s="228"/>
      <c r="AG290" s="228"/>
    </row>
    <row r="291" spans="1:33" x14ac:dyDescent="0.25">
      <c r="A291" s="71">
        <v>100</v>
      </c>
      <c r="B291" s="501"/>
      <c r="C291" s="502"/>
      <c r="D291" s="503"/>
      <c r="E291" s="503"/>
      <c r="F291" s="503"/>
      <c r="G291" s="503"/>
      <c r="H291" s="503"/>
      <c r="I291" s="503"/>
      <c r="J291" s="503"/>
      <c r="K291" s="503"/>
      <c r="L291" s="503"/>
      <c r="M291" s="503"/>
      <c r="N291" s="503"/>
      <c r="O291" s="503"/>
      <c r="P291" s="503"/>
      <c r="Q291" s="503"/>
      <c r="R291" s="503"/>
      <c r="S291" s="503"/>
      <c r="T291" s="503"/>
      <c r="U291" s="503"/>
      <c r="V291" s="503"/>
      <c r="W291" s="503"/>
      <c r="X291" s="503"/>
      <c r="Y291" s="503"/>
      <c r="Z291" s="503"/>
      <c r="AA291" s="503"/>
      <c r="AB291" s="503"/>
      <c r="AC291" s="503"/>
      <c r="AD291" s="503"/>
      <c r="AE291" s="503"/>
      <c r="AF291" s="228"/>
      <c r="AG291" s="228"/>
    </row>
    <row r="292" spans="1:33" x14ac:dyDescent="0.25">
      <c r="A292" s="71">
        <v>100</v>
      </c>
      <c r="B292" s="501"/>
      <c r="C292" s="502"/>
      <c r="D292" s="503"/>
      <c r="E292" s="503"/>
      <c r="F292" s="503"/>
      <c r="G292" s="503"/>
      <c r="H292" s="503"/>
      <c r="I292" s="503"/>
      <c r="J292" s="503"/>
      <c r="K292" s="503"/>
      <c r="L292" s="503"/>
      <c r="M292" s="503"/>
      <c r="N292" s="503"/>
      <c r="O292" s="503"/>
      <c r="P292" s="503"/>
      <c r="Q292" s="503"/>
      <c r="R292" s="503"/>
      <c r="S292" s="503"/>
      <c r="T292" s="503"/>
      <c r="U292" s="503"/>
      <c r="V292" s="503"/>
      <c r="W292" s="503"/>
      <c r="X292" s="503"/>
      <c r="Y292" s="503"/>
      <c r="Z292" s="503"/>
      <c r="AA292" s="503"/>
      <c r="AB292" s="503"/>
      <c r="AC292" s="503"/>
      <c r="AD292" s="503"/>
      <c r="AE292" s="503"/>
      <c r="AF292" s="228"/>
      <c r="AG292" s="228"/>
    </row>
    <row r="293" spans="1:33" x14ac:dyDescent="0.25">
      <c r="A293" s="71">
        <v>100</v>
      </c>
      <c r="B293" s="501"/>
      <c r="C293" s="502"/>
      <c r="D293" s="503"/>
      <c r="E293" s="503"/>
      <c r="F293" s="503"/>
      <c r="G293" s="503"/>
      <c r="H293" s="503"/>
      <c r="I293" s="503"/>
      <c r="J293" s="503"/>
      <c r="K293" s="503"/>
      <c r="L293" s="503"/>
      <c r="M293" s="503"/>
      <c r="N293" s="503"/>
      <c r="O293" s="503"/>
      <c r="P293" s="503"/>
      <c r="Q293" s="503"/>
      <c r="R293" s="503"/>
      <c r="S293" s="503"/>
      <c r="T293" s="503"/>
      <c r="U293" s="503"/>
      <c r="V293" s="503"/>
      <c r="W293" s="503"/>
      <c r="X293" s="503"/>
      <c r="Y293" s="503"/>
      <c r="Z293" s="503"/>
      <c r="AA293" s="503"/>
      <c r="AB293" s="503"/>
      <c r="AC293" s="503"/>
      <c r="AD293" s="503"/>
      <c r="AE293" s="503"/>
      <c r="AF293" s="228"/>
      <c r="AG293" s="228"/>
    </row>
    <row r="294" spans="1:33" x14ac:dyDescent="0.25">
      <c r="A294" s="71">
        <v>100</v>
      </c>
      <c r="B294" s="501"/>
      <c r="C294" s="502"/>
      <c r="D294" s="503"/>
      <c r="E294" s="503"/>
      <c r="F294" s="503"/>
      <c r="G294" s="503"/>
      <c r="H294" s="503"/>
      <c r="I294" s="503"/>
      <c r="J294" s="503"/>
      <c r="K294" s="503"/>
      <c r="L294" s="503"/>
      <c r="M294" s="503"/>
      <c r="N294" s="503"/>
      <c r="O294" s="503"/>
      <c r="P294" s="503"/>
      <c r="Q294" s="503"/>
      <c r="R294" s="503"/>
      <c r="S294" s="503"/>
      <c r="T294" s="503"/>
      <c r="U294" s="503"/>
      <c r="V294" s="503"/>
      <c r="W294" s="503"/>
      <c r="X294" s="503"/>
      <c r="Y294" s="503"/>
      <c r="Z294" s="503"/>
      <c r="AA294" s="503"/>
      <c r="AB294" s="503"/>
      <c r="AC294" s="503"/>
      <c r="AD294" s="503"/>
      <c r="AE294" s="503"/>
      <c r="AF294" s="228"/>
      <c r="AG294" s="228"/>
    </row>
    <row r="295" spans="1:33" x14ac:dyDescent="0.25">
      <c r="A295" s="71">
        <v>100</v>
      </c>
      <c r="B295" s="501"/>
      <c r="C295" s="502"/>
      <c r="D295" s="503"/>
      <c r="E295" s="503"/>
      <c r="F295" s="503"/>
      <c r="G295" s="503"/>
      <c r="H295" s="503"/>
      <c r="I295" s="503"/>
      <c r="J295" s="503"/>
      <c r="K295" s="503"/>
      <c r="L295" s="503"/>
      <c r="M295" s="503"/>
      <c r="N295" s="503"/>
      <c r="O295" s="503"/>
      <c r="P295" s="503"/>
      <c r="Q295" s="503"/>
      <c r="R295" s="503"/>
      <c r="S295" s="503"/>
      <c r="T295" s="503"/>
      <c r="U295" s="503"/>
      <c r="V295" s="503"/>
      <c r="W295" s="503"/>
      <c r="X295" s="503"/>
      <c r="Y295" s="503"/>
      <c r="Z295" s="503"/>
      <c r="AA295" s="503"/>
      <c r="AB295" s="503"/>
      <c r="AC295" s="503"/>
      <c r="AD295" s="503"/>
      <c r="AE295" s="503"/>
      <c r="AF295" s="228"/>
      <c r="AG295" s="228"/>
    </row>
    <row r="296" spans="1:33" x14ac:dyDescent="0.25">
      <c r="A296" s="71">
        <v>100</v>
      </c>
      <c r="B296" s="501"/>
      <c r="C296" s="502"/>
      <c r="D296" s="503"/>
      <c r="E296" s="503"/>
      <c r="F296" s="503"/>
      <c r="G296" s="503"/>
      <c r="H296" s="503"/>
      <c r="I296" s="503"/>
      <c r="J296" s="503"/>
      <c r="K296" s="503"/>
      <c r="L296" s="503"/>
      <c r="M296" s="503"/>
      <c r="N296" s="503"/>
      <c r="O296" s="503"/>
      <c r="P296" s="503"/>
      <c r="Q296" s="503"/>
      <c r="R296" s="503"/>
      <c r="S296" s="503"/>
      <c r="T296" s="503"/>
      <c r="U296" s="503"/>
      <c r="V296" s="503"/>
      <c r="W296" s="503"/>
      <c r="X296" s="503"/>
      <c r="Y296" s="503"/>
      <c r="Z296" s="503"/>
      <c r="AA296" s="503"/>
      <c r="AB296" s="503"/>
      <c r="AC296" s="503"/>
      <c r="AD296" s="503"/>
      <c r="AE296" s="503"/>
      <c r="AF296" s="228"/>
      <c r="AG296" s="228"/>
    </row>
    <row r="297" spans="1:33" x14ac:dyDescent="0.25">
      <c r="A297" s="71">
        <v>100</v>
      </c>
      <c r="B297" s="501"/>
      <c r="C297" s="502"/>
      <c r="D297" s="503"/>
      <c r="E297" s="503"/>
      <c r="F297" s="503"/>
      <c r="G297" s="503"/>
      <c r="H297" s="503"/>
      <c r="I297" s="503"/>
      <c r="J297" s="503"/>
      <c r="K297" s="503"/>
      <c r="L297" s="503"/>
      <c r="M297" s="503"/>
      <c r="N297" s="503"/>
      <c r="O297" s="503"/>
      <c r="P297" s="503"/>
      <c r="Q297" s="503"/>
      <c r="R297" s="503"/>
      <c r="S297" s="503"/>
      <c r="T297" s="503"/>
      <c r="U297" s="503"/>
      <c r="V297" s="503"/>
      <c r="W297" s="503"/>
      <c r="X297" s="503"/>
      <c r="Y297" s="503"/>
      <c r="Z297" s="503"/>
      <c r="AA297" s="503"/>
      <c r="AB297" s="503"/>
      <c r="AC297" s="503"/>
      <c r="AD297" s="503"/>
      <c r="AE297" s="503"/>
      <c r="AF297" s="228"/>
      <c r="AG297" s="228"/>
    </row>
    <row r="298" spans="1:33" x14ac:dyDescent="0.25">
      <c r="A298" s="71">
        <v>100</v>
      </c>
      <c r="B298" s="501"/>
      <c r="C298" s="502"/>
      <c r="D298" s="503"/>
      <c r="E298" s="503"/>
      <c r="F298" s="503"/>
      <c r="G298" s="503"/>
      <c r="H298" s="503"/>
      <c r="I298" s="503"/>
      <c r="J298" s="503"/>
      <c r="K298" s="503"/>
      <c r="L298" s="503"/>
      <c r="M298" s="503"/>
      <c r="N298" s="503"/>
      <c r="O298" s="503"/>
      <c r="P298" s="503"/>
      <c r="Q298" s="503"/>
      <c r="R298" s="503"/>
      <c r="S298" s="503"/>
      <c r="T298" s="503"/>
      <c r="U298" s="503"/>
      <c r="V298" s="503"/>
      <c r="W298" s="503"/>
      <c r="X298" s="503"/>
      <c r="Y298" s="503"/>
      <c r="Z298" s="503"/>
      <c r="AA298" s="503"/>
      <c r="AB298" s="503"/>
      <c r="AC298" s="503"/>
      <c r="AD298" s="503"/>
      <c r="AE298" s="503"/>
      <c r="AF298" s="228"/>
      <c r="AG298" s="228"/>
    </row>
    <row r="299" spans="1:33" x14ac:dyDescent="0.25">
      <c r="A299" s="71">
        <v>100</v>
      </c>
      <c r="B299" s="501"/>
      <c r="C299" s="502"/>
      <c r="D299" s="503"/>
      <c r="E299" s="503"/>
      <c r="F299" s="503"/>
      <c r="G299" s="503"/>
      <c r="H299" s="503"/>
      <c r="I299" s="503"/>
      <c r="J299" s="503"/>
      <c r="K299" s="503"/>
      <c r="L299" s="503"/>
      <c r="M299" s="503"/>
      <c r="N299" s="503"/>
      <c r="O299" s="503"/>
      <c r="P299" s="503"/>
      <c r="Q299" s="503"/>
      <c r="R299" s="503"/>
      <c r="S299" s="503"/>
      <c r="T299" s="503"/>
      <c r="U299" s="503"/>
      <c r="V299" s="503"/>
      <c r="W299" s="503"/>
      <c r="X299" s="503"/>
      <c r="Y299" s="503"/>
      <c r="Z299" s="503"/>
      <c r="AA299" s="503"/>
      <c r="AB299" s="503"/>
      <c r="AC299" s="503"/>
      <c r="AD299" s="503"/>
      <c r="AE299" s="503"/>
      <c r="AF299" s="228"/>
      <c r="AG299" s="228"/>
    </row>
    <row r="300" spans="1:33" x14ac:dyDescent="0.25">
      <c r="A300" s="71">
        <v>100</v>
      </c>
      <c r="B300" s="501"/>
      <c r="C300" s="502"/>
      <c r="D300" s="503"/>
      <c r="E300" s="503"/>
      <c r="F300" s="503"/>
      <c r="G300" s="503"/>
      <c r="H300" s="503"/>
      <c r="I300" s="503"/>
      <c r="J300" s="503"/>
      <c r="K300" s="503"/>
      <c r="L300" s="503"/>
      <c r="M300" s="503"/>
      <c r="N300" s="503"/>
      <c r="O300" s="503"/>
      <c r="P300" s="503"/>
      <c r="Q300" s="503"/>
      <c r="R300" s="503"/>
      <c r="S300" s="503"/>
      <c r="T300" s="503"/>
      <c r="U300" s="503"/>
      <c r="V300" s="503"/>
      <c r="W300" s="503"/>
      <c r="X300" s="503"/>
      <c r="Y300" s="503"/>
      <c r="Z300" s="503"/>
      <c r="AA300" s="503"/>
      <c r="AB300" s="503"/>
      <c r="AC300" s="503"/>
      <c r="AD300" s="503"/>
      <c r="AE300" s="503"/>
      <c r="AF300" s="228"/>
      <c r="AG300" s="228"/>
    </row>
    <row r="301" spans="1:33" x14ac:dyDescent="0.25">
      <c r="A301" s="71">
        <v>100</v>
      </c>
      <c r="B301" s="501"/>
      <c r="C301" s="502"/>
      <c r="D301" s="503"/>
      <c r="E301" s="503"/>
      <c r="F301" s="503"/>
      <c r="G301" s="503"/>
      <c r="H301" s="503"/>
      <c r="I301" s="503"/>
      <c r="J301" s="503"/>
      <c r="K301" s="503"/>
      <c r="L301" s="503"/>
      <c r="M301" s="503"/>
      <c r="N301" s="503"/>
      <c r="O301" s="503"/>
      <c r="P301" s="503"/>
      <c r="Q301" s="503"/>
      <c r="R301" s="503"/>
      <c r="S301" s="503"/>
      <c r="T301" s="503"/>
      <c r="U301" s="503"/>
      <c r="V301" s="503"/>
      <c r="W301" s="503"/>
      <c r="X301" s="503"/>
      <c r="Y301" s="503"/>
      <c r="Z301" s="503"/>
      <c r="AA301" s="503"/>
      <c r="AB301" s="503"/>
      <c r="AC301" s="503"/>
      <c r="AD301" s="503"/>
      <c r="AE301" s="503"/>
      <c r="AF301" s="228"/>
      <c r="AG301" s="228"/>
    </row>
    <row r="302" spans="1:33" x14ac:dyDescent="0.25">
      <c r="A302" s="71">
        <v>100</v>
      </c>
      <c r="B302" s="501"/>
      <c r="C302" s="502"/>
      <c r="D302" s="503"/>
      <c r="E302" s="503"/>
      <c r="F302" s="503"/>
      <c r="G302" s="503"/>
      <c r="H302" s="503"/>
      <c r="I302" s="503"/>
      <c r="J302" s="503"/>
      <c r="K302" s="503"/>
      <c r="L302" s="503"/>
      <c r="M302" s="503"/>
      <c r="N302" s="503"/>
      <c r="O302" s="503"/>
      <c r="P302" s="503"/>
      <c r="Q302" s="503"/>
      <c r="R302" s="503"/>
      <c r="S302" s="503"/>
      <c r="T302" s="503"/>
      <c r="U302" s="503"/>
      <c r="V302" s="503"/>
      <c r="W302" s="503"/>
      <c r="X302" s="503"/>
      <c r="Y302" s="503"/>
      <c r="Z302" s="503"/>
      <c r="AA302" s="503"/>
      <c r="AB302" s="503"/>
      <c r="AC302" s="503"/>
      <c r="AD302" s="503"/>
      <c r="AE302" s="503"/>
      <c r="AF302" s="228"/>
      <c r="AG302" s="228"/>
    </row>
    <row r="303" spans="1:33" x14ac:dyDescent="0.25">
      <c r="A303" s="71">
        <v>100</v>
      </c>
      <c r="B303" s="501"/>
      <c r="C303" s="502"/>
      <c r="D303" s="503"/>
      <c r="E303" s="503"/>
      <c r="F303" s="503"/>
      <c r="G303" s="503"/>
      <c r="H303" s="503"/>
      <c r="I303" s="503"/>
      <c r="J303" s="503"/>
      <c r="K303" s="503"/>
      <c r="L303" s="503"/>
      <c r="M303" s="503"/>
      <c r="N303" s="503"/>
      <c r="O303" s="503"/>
      <c r="P303" s="503"/>
      <c r="Q303" s="503"/>
      <c r="R303" s="503"/>
      <c r="S303" s="503"/>
      <c r="T303" s="503"/>
      <c r="U303" s="503"/>
      <c r="V303" s="503"/>
      <c r="W303" s="503"/>
      <c r="X303" s="503"/>
      <c r="Y303" s="503"/>
      <c r="Z303" s="503"/>
      <c r="AA303" s="503"/>
      <c r="AB303" s="503"/>
      <c r="AC303" s="503"/>
      <c r="AD303" s="503"/>
      <c r="AE303" s="503"/>
      <c r="AF303" s="228"/>
      <c r="AG303" s="228"/>
    </row>
    <row r="304" spans="1:33" x14ac:dyDescent="0.25">
      <c r="A304" s="71">
        <v>100</v>
      </c>
      <c r="B304" s="501"/>
      <c r="C304" s="502"/>
      <c r="D304" s="503"/>
      <c r="E304" s="503"/>
      <c r="F304" s="503"/>
      <c r="G304" s="503"/>
      <c r="H304" s="503"/>
      <c r="I304" s="503"/>
      <c r="J304" s="503"/>
      <c r="K304" s="503"/>
      <c r="L304" s="503"/>
      <c r="M304" s="503"/>
      <c r="N304" s="503"/>
      <c r="O304" s="503"/>
      <c r="P304" s="503"/>
      <c r="Q304" s="503"/>
      <c r="R304" s="503"/>
      <c r="S304" s="503"/>
      <c r="T304" s="503"/>
      <c r="U304" s="503"/>
      <c r="V304" s="503"/>
      <c r="W304" s="503"/>
      <c r="X304" s="503"/>
      <c r="Y304" s="503"/>
      <c r="Z304" s="503"/>
      <c r="AA304" s="503"/>
      <c r="AB304" s="503"/>
      <c r="AC304" s="503"/>
      <c r="AD304" s="503"/>
      <c r="AE304" s="503"/>
      <c r="AF304" s="228"/>
      <c r="AG304" s="228"/>
    </row>
    <row r="305" spans="1:35" x14ac:dyDescent="0.25">
      <c r="A305" s="71">
        <v>100</v>
      </c>
      <c r="B305" s="501"/>
      <c r="C305" s="502"/>
      <c r="D305" s="503"/>
      <c r="E305" s="503"/>
      <c r="F305" s="503"/>
      <c r="G305" s="503"/>
      <c r="H305" s="503"/>
      <c r="I305" s="503"/>
      <c r="J305" s="503"/>
      <c r="K305" s="503"/>
      <c r="L305" s="503"/>
      <c r="M305" s="503"/>
      <c r="N305" s="503"/>
      <c r="O305" s="503"/>
      <c r="P305" s="503"/>
      <c r="Q305" s="503"/>
      <c r="R305" s="503"/>
      <c r="S305" s="503"/>
      <c r="T305" s="503"/>
      <c r="U305" s="503"/>
      <c r="V305" s="503"/>
      <c r="W305" s="503"/>
      <c r="X305" s="503"/>
      <c r="Y305" s="503"/>
      <c r="Z305" s="503"/>
      <c r="AA305" s="503"/>
      <c r="AB305" s="503"/>
      <c r="AC305" s="503"/>
      <c r="AD305" s="503"/>
      <c r="AE305" s="503"/>
      <c r="AF305" s="228"/>
      <c r="AG305" s="228"/>
    </row>
    <row r="306" spans="1:35" x14ac:dyDescent="0.25">
      <c r="A306" s="71">
        <v>100</v>
      </c>
      <c r="B306" s="501"/>
      <c r="C306" s="502"/>
      <c r="D306" s="503"/>
      <c r="E306" s="503"/>
      <c r="F306" s="503"/>
      <c r="G306" s="503"/>
      <c r="H306" s="503"/>
      <c r="I306" s="503"/>
      <c r="J306" s="503"/>
      <c r="K306" s="503"/>
      <c r="L306" s="503"/>
      <c r="M306" s="503"/>
      <c r="N306" s="503"/>
      <c r="O306" s="503"/>
      <c r="P306" s="503"/>
      <c r="Q306" s="503"/>
      <c r="R306" s="503"/>
      <c r="S306" s="503"/>
      <c r="T306" s="503"/>
      <c r="U306" s="503"/>
      <c r="V306" s="503"/>
      <c r="W306" s="503"/>
      <c r="X306" s="503"/>
      <c r="Y306" s="503"/>
      <c r="Z306" s="503"/>
      <c r="AA306" s="503"/>
      <c r="AB306" s="503"/>
      <c r="AC306" s="503"/>
      <c r="AD306" s="503"/>
      <c r="AE306" s="503"/>
      <c r="AF306" s="228"/>
      <c r="AG306" s="228"/>
    </row>
    <row r="307" spans="1:35" x14ac:dyDescent="0.25">
      <c r="A307" s="71">
        <v>100</v>
      </c>
      <c r="B307" s="501"/>
      <c r="C307" s="502"/>
      <c r="D307" s="503"/>
      <c r="E307" s="503"/>
      <c r="F307" s="503"/>
      <c r="G307" s="503"/>
      <c r="H307" s="503"/>
      <c r="I307" s="503"/>
      <c r="J307" s="503"/>
      <c r="K307" s="503"/>
      <c r="L307" s="503"/>
      <c r="M307" s="503"/>
      <c r="N307" s="503"/>
      <c r="O307" s="503"/>
      <c r="P307" s="503"/>
      <c r="Q307" s="503"/>
      <c r="R307" s="503"/>
      <c r="S307" s="503"/>
      <c r="T307" s="503"/>
      <c r="U307" s="503"/>
      <c r="V307" s="503"/>
      <c r="W307" s="503"/>
      <c r="X307" s="503"/>
      <c r="Y307" s="503"/>
      <c r="Z307" s="503"/>
      <c r="AA307" s="503"/>
      <c r="AB307" s="503"/>
      <c r="AC307" s="503"/>
      <c r="AD307" s="503"/>
      <c r="AE307" s="503"/>
      <c r="AF307" s="228"/>
      <c r="AG307" s="228"/>
    </row>
    <row r="308" spans="1:35" x14ac:dyDescent="0.25">
      <c r="A308" s="71">
        <v>100</v>
      </c>
      <c r="B308" s="501"/>
      <c r="C308" s="502"/>
      <c r="D308" s="503"/>
      <c r="E308" s="503"/>
      <c r="F308" s="503"/>
      <c r="G308" s="503"/>
      <c r="H308" s="503"/>
      <c r="I308" s="503"/>
      <c r="J308" s="503"/>
      <c r="K308" s="503"/>
      <c r="L308" s="503"/>
      <c r="M308" s="503"/>
      <c r="N308" s="503"/>
      <c r="O308" s="503"/>
      <c r="P308" s="503"/>
      <c r="Q308" s="503"/>
      <c r="R308" s="503"/>
      <c r="S308" s="503"/>
      <c r="T308" s="503"/>
      <c r="U308" s="503"/>
      <c r="V308" s="503"/>
      <c r="W308" s="503"/>
      <c r="X308" s="503"/>
      <c r="Y308" s="503"/>
      <c r="Z308" s="503"/>
      <c r="AA308" s="503"/>
      <c r="AB308" s="503"/>
      <c r="AC308" s="503"/>
      <c r="AD308" s="503"/>
      <c r="AE308" s="503"/>
      <c r="AF308" s="228"/>
      <c r="AG308" s="228"/>
    </row>
    <row r="309" spans="1:35" x14ac:dyDescent="0.25">
      <c r="A309" s="71">
        <v>100</v>
      </c>
      <c r="B309" s="501"/>
      <c r="C309" s="502"/>
      <c r="D309" s="503"/>
      <c r="E309" s="503"/>
      <c r="F309" s="503"/>
      <c r="G309" s="503"/>
      <c r="H309" s="503"/>
      <c r="I309" s="503"/>
      <c r="J309" s="503"/>
      <c r="K309" s="503"/>
      <c r="L309" s="503"/>
      <c r="M309" s="503"/>
      <c r="N309" s="503"/>
      <c r="O309" s="503"/>
      <c r="P309" s="503"/>
      <c r="Q309" s="503"/>
      <c r="R309" s="503"/>
      <c r="S309" s="503"/>
      <c r="T309" s="503"/>
      <c r="U309" s="503"/>
      <c r="V309" s="503"/>
      <c r="W309" s="503"/>
      <c r="X309" s="503"/>
      <c r="Y309" s="503"/>
      <c r="Z309" s="503"/>
      <c r="AA309" s="503"/>
      <c r="AB309" s="503"/>
      <c r="AC309" s="503"/>
      <c r="AD309" s="503"/>
      <c r="AE309" s="503"/>
      <c r="AF309" s="228"/>
      <c r="AG309" s="228"/>
    </row>
    <row r="310" spans="1:35" x14ac:dyDescent="0.25">
      <c r="A310" s="71">
        <v>100</v>
      </c>
      <c r="B310" s="501"/>
      <c r="C310" s="502"/>
      <c r="D310" s="503"/>
      <c r="E310" s="503"/>
      <c r="F310" s="503"/>
      <c r="G310" s="503"/>
      <c r="H310" s="503"/>
      <c r="I310" s="503"/>
      <c r="J310" s="503"/>
      <c r="K310" s="503"/>
      <c r="L310" s="503"/>
      <c r="M310" s="503"/>
      <c r="N310" s="503"/>
      <c r="O310" s="503"/>
      <c r="P310" s="503"/>
      <c r="Q310" s="503"/>
      <c r="R310" s="503"/>
      <c r="S310" s="503"/>
      <c r="T310" s="503"/>
      <c r="U310" s="503"/>
      <c r="V310" s="503"/>
      <c r="W310" s="503"/>
      <c r="X310" s="503"/>
      <c r="Y310" s="503"/>
      <c r="Z310" s="503"/>
      <c r="AA310" s="503"/>
      <c r="AB310" s="503"/>
      <c r="AC310" s="503"/>
      <c r="AD310" s="503"/>
      <c r="AE310" s="503"/>
      <c r="AF310" s="228"/>
      <c r="AG310" s="228"/>
    </row>
    <row r="311" spans="1:35" x14ac:dyDescent="0.25">
      <c r="A311" s="71">
        <v>100</v>
      </c>
      <c r="B311" s="501"/>
      <c r="C311" s="502"/>
      <c r="D311" s="503"/>
      <c r="E311" s="503"/>
      <c r="F311" s="503"/>
      <c r="G311" s="503"/>
      <c r="H311" s="503"/>
      <c r="I311" s="503"/>
      <c r="J311" s="503"/>
      <c r="K311" s="503"/>
      <c r="L311" s="503"/>
      <c r="M311" s="503"/>
      <c r="N311" s="503"/>
      <c r="O311" s="503"/>
      <c r="P311" s="503"/>
      <c r="Q311" s="503"/>
      <c r="R311" s="503"/>
      <c r="S311" s="503"/>
      <c r="T311" s="503"/>
      <c r="U311" s="503"/>
      <c r="V311" s="503"/>
      <c r="W311" s="503"/>
      <c r="X311" s="503"/>
      <c r="Y311" s="503"/>
      <c r="Z311" s="503"/>
      <c r="AA311" s="503"/>
      <c r="AB311" s="503"/>
      <c r="AC311" s="503"/>
      <c r="AD311" s="503"/>
      <c r="AE311" s="503"/>
      <c r="AF311" s="228"/>
      <c r="AG311" s="228"/>
    </row>
    <row r="312" spans="1:35" x14ac:dyDescent="0.25">
      <c r="A312" s="71">
        <v>100</v>
      </c>
      <c r="B312" s="501"/>
      <c r="C312" s="502"/>
      <c r="D312" s="503"/>
      <c r="E312" s="503"/>
      <c r="F312" s="503"/>
      <c r="G312" s="503"/>
      <c r="H312" s="503"/>
      <c r="I312" s="503"/>
      <c r="J312" s="503"/>
      <c r="K312" s="503"/>
      <c r="L312" s="503"/>
      <c r="M312" s="503"/>
      <c r="N312" s="503"/>
      <c r="O312" s="503"/>
      <c r="P312" s="503"/>
      <c r="Q312" s="503"/>
      <c r="R312" s="503"/>
      <c r="S312" s="503"/>
      <c r="T312" s="503"/>
      <c r="U312" s="503"/>
      <c r="V312" s="503"/>
      <c r="W312" s="503"/>
      <c r="X312" s="503"/>
      <c r="Y312" s="503"/>
      <c r="Z312" s="503"/>
      <c r="AA312" s="503"/>
      <c r="AB312" s="503"/>
      <c r="AC312" s="503"/>
      <c r="AD312" s="503"/>
      <c r="AE312" s="503"/>
      <c r="AF312" s="228"/>
      <c r="AG312" s="228"/>
    </row>
    <row r="313" spans="1:35" x14ac:dyDescent="0.25">
      <c r="A313" s="71">
        <v>100</v>
      </c>
      <c r="B313" s="501"/>
      <c r="C313" s="502"/>
      <c r="D313" s="503"/>
      <c r="E313" s="503"/>
      <c r="F313" s="503"/>
      <c r="G313" s="503"/>
      <c r="H313" s="503"/>
      <c r="I313" s="503"/>
      <c r="J313" s="503"/>
      <c r="K313" s="503"/>
      <c r="L313" s="503"/>
      <c r="M313" s="503"/>
      <c r="N313" s="503"/>
      <c r="O313" s="503"/>
      <c r="P313" s="503"/>
      <c r="Q313" s="503"/>
      <c r="R313" s="503"/>
      <c r="S313" s="503"/>
      <c r="T313" s="503"/>
      <c r="U313" s="503"/>
      <c r="V313" s="503"/>
      <c r="W313" s="503"/>
      <c r="X313" s="503"/>
      <c r="Y313" s="503"/>
      <c r="Z313" s="503"/>
      <c r="AA313" s="503"/>
      <c r="AB313" s="503"/>
      <c r="AC313" s="503"/>
      <c r="AD313" s="503"/>
      <c r="AE313" s="503"/>
      <c r="AF313" s="228"/>
      <c r="AG313" s="228"/>
    </row>
    <row r="314" spans="1:35" x14ac:dyDescent="0.25">
      <c r="A314" s="71">
        <v>100</v>
      </c>
      <c r="B314" s="501"/>
      <c r="C314" s="502"/>
      <c r="D314" s="503"/>
      <c r="E314" s="503"/>
      <c r="F314" s="503"/>
      <c r="G314" s="503"/>
      <c r="H314" s="503"/>
      <c r="I314" s="503"/>
      <c r="J314" s="503"/>
      <c r="K314" s="503"/>
      <c r="L314" s="503"/>
      <c r="M314" s="503"/>
      <c r="N314" s="503"/>
      <c r="O314" s="503"/>
      <c r="P314" s="503"/>
      <c r="Q314" s="503"/>
      <c r="R314" s="503"/>
      <c r="S314" s="503"/>
      <c r="T314" s="503"/>
      <c r="U314" s="503"/>
      <c r="V314" s="503"/>
      <c r="W314" s="503"/>
      <c r="X314" s="503"/>
      <c r="Y314" s="503"/>
      <c r="Z314" s="503"/>
      <c r="AA314" s="503"/>
      <c r="AB314" s="503"/>
      <c r="AC314" s="503"/>
      <c r="AD314" s="503"/>
      <c r="AE314" s="503"/>
      <c r="AF314" s="228"/>
      <c r="AG314" s="228"/>
    </row>
    <row r="315" spans="1:35" x14ac:dyDescent="0.25">
      <c r="A315" s="71"/>
      <c r="B315" s="501"/>
      <c r="C315" s="502"/>
      <c r="D315" s="503"/>
      <c r="E315" s="503"/>
      <c r="F315" s="503"/>
      <c r="G315" s="503"/>
      <c r="H315" s="503"/>
      <c r="I315" s="503"/>
      <c r="J315" s="503"/>
      <c r="K315" s="503"/>
      <c r="L315" s="503"/>
      <c r="M315" s="503"/>
      <c r="N315" s="503"/>
      <c r="O315" s="503"/>
      <c r="P315" s="503"/>
      <c r="Q315" s="503"/>
      <c r="R315" s="503"/>
      <c r="S315" s="503"/>
      <c r="T315" s="503"/>
      <c r="U315" s="503"/>
      <c r="V315" s="503"/>
      <c r="W315" s="503"/>
      <c r="X315" s="503"/>
      <c r="Y315" s="503"/>
      <c r="Z315" s="503"/>
      <c r="AA315" s="503"/>
      <c r="AB315" s="503"/>
      <c r="AC315" s="503"/>
      <c r="AD315" s="503"/>
      <c r="AE315" s="503"/>
      <c r="AF315" s="228"/>
      <c r="AG315" s="228"/>
    </row>
    <row r="316" spans="1:35" x14ac:dyDescent="0.25">
      <c r="A316" s="71"/>
      <c r="B316" s="501"/>
      <c r="C316" s="502"/>
      <c r="D316" s="503"/>
      <c r="E316" s="503"/>
      <c r="F316" s="503"/>
      <c r="G316" s="503"/>
      <c r="H316" s="503"/>
      <c r="I316" s="503"/>
      <c r="J316" s="503"/>
      <c r="K316" s="503"/>
      <c r="L316" s="503"/>
      <c r="M316" s="503"/>
      <c r="N316" s="503"/>
      <c r="O316" s="503"/>
      <c r="P316" s="503"/>
      <c r="Q316" s="503"/>
      <c r="R316" s="503"/>
      <c r="S316" s="503"/>
      <c r="T316" s="503"/>
      <c r="U316" s="503"/>
      <c r="V316" s="503"/>
      <c r="W316" s="503"/>
      <c r="X316" s="503"/>
      <c r="Y316" s="503"/>
      <c r="Z316" s="503"/>
      <c r="AA316" s="503"/>
      <c r="AB316" s="503"/>
      <c r="AC316" s="503"/>
      <c r="AD316" s="503"/>
      <c r="AE316" s="503"/>
      <c r="AF316" s="228"/>
      <c r="AG316" s="228"/>
    </row>
    <row r="317" spans="1:35" x14ac:dyDescent="0.25">
      <c r="A317" s="71"/>
      <c r="B317" s="501"/>
      <c r="C317" s="502"/>
      <c r="D317" s="503"/>
      <c r="E317" s="503"/>
      <c r="F317" s="503"/>
      <c r="G317" s="503"/>
      <c r="H317" s="503"/>
      <c r="I317" s="503"/>
      <c r="J317" s="503"/>
      <c r="K317" s="503"/>
      <c r="L317" s="503"/>
      <c r="M317" s="503"/>
      <c r="N317" s="503"/>
      <c r="O317" s="503"/>
      <c r="P317" s="503"/>
      <c r="Q317" s="503"/>
      <c r="R317" s="503"/>
      <c r="S317" s="503"/>
      <c r="T317" s="503"/>
      <c r="U317" s="503"/>
      <c r="V317" s="503"/>
      <c r="W317" s="503"/>
      <c r="X317" s="503"/>
      <c r="Y317" s="503"/>
      <c r="Z317" s="503"/>
      <c r="AA317" s="503"/>
      <c r="AB317" s="503"/>
      <c r="AC317" s="503"/>
      <c r="AD317" s="503"/>
      <c r="AE317" s="503"/>
      <c r="AF317" s="228"/>
      <c r="AG317" s="228"/>
    </row>
    <row r="318" spans="1:35" s="191" customFormat="1" x14ac:dyDescent="0.25">
      <c r="AH318" s="118"/>
    </row>
    <row r="319" spans="1:35" s="276" customFormat="1" x14ac:dyDescent="0.25">
      <c r="B319" s="508"/>
      <c r="C319" s="509"/>
      <c r="D319" s="510"/>
      <c r="E319" s="510"/>
      <c r="F319" s="510"/>
      <c r="G319" s="510"/>
      <c r="H319" s="510"/>
      <c r="I319" s="510"/>
      <c r="J319" s="510"/>
      <c r="K319" s="510"/>
      <c r="L319" s="510"/>
      <c r="M319" s="510"/>
      <c r="N319" s="510"/>
      <c r="O319" s="510"/>
      <c r="P319" s="510"/>
      <c r="Q319" s="510"/>
      <c r="R319" s="510"/>
      <c r="S319" s="510"/>
      <c r="T319" s="510"/>
      <c r="U319" s="510"/>
      <c r="V319" s="510"/>
      <c r="W319" s="510"/>
      <c r="X319" s="510"/>
      <c r="Y319" s="510"/>
      <c r="Z319" s="510"/>
      <c r="AA319" s="510"/>
      <c r="AB319" s="510"/>
      <c r="AC319" s="510"/>
      <c r="AD319" s="510"/>
      <c r="AE319" s="510"/>
      <c r="AF319" s="510"/>
      <c r="AG319" s="510"/>
      <c r="AH319" s="476"/>
      <c r="AI319" s="476"/>
    </row>
    <row r="320" spans="1:35" s="276" customFormat="1" x14ac:dyDescent="0.25">
      <c r="B320" s="508"/>
      <c r="C320" s="509"/>
      <c r="D320" s="511"/>
      <c r="E320" s="511"/>
      <c r="F320" s="511"/>
      <c r="G320" s="511"/>
      <c r="H320" s="511"/>
      <c r="I320" s="511"/>
      <c r="J320" s="511"/>
      <c r="K320" s="511"/>
      <c r="L320" s="511"/>
      <c r="M320" s="511"/>
      <c r="N320" s="511"/>
      <c r="O320" s="511"/>
      <c r="P320" s="511"/>
      <c r="Q320" s="511"/>
      <c r="R320" s="511"/>
      <c r="S320" s="511"/>
      <c r="T320" s="511"/>
      <c r="U320" s="511"/>
      <c r="V320" s="511"/>
      <c r="W320" s="511"/>
      <c r="X320" s="511"/>
      <c r="Y320" s="511"/>
      <c r="Z320" s="511"/>
      <c r="AA320" s="511"/>
      <c r="AB320" s="511"/>
      <c r="AC320" s="511"/>
      <c r="AD320" s="511"/>
      <c r="AE320" s="511"/>
      <c r="AF320" s="511"/>
      <c r="AG320" s="511"/>
      <c r="AH320" s="476"/>
      <c r="AI320" s="476"/>
    </row>
    <row r="321" spans="2:35" s="276" customFormat="1" x14ac:dyDescent="0.25">
      <c r="B321" s="512"/>
      <c r="C321" s="509"/>
      <c r="D321" s="511"/>
      <c r="E321" s="511"/>
      <c r="F321" s="511"/>
      <c r="G321" s="511"/>
      <c r="H321" s="511"/>
      <c r="I321" s="511"/>
      <c r="J321" s="511"/>
      <c r="K321" s="511"/>
      <c r="L321" s="511"/>
      <c r="M321" s="511"/>
      <c r="N321" s="511"/>
      <c r="O321" s="511"/>
      <c r="P321" s="511"/>
      <c r="Q321" s="511"/>
      <c r="R321" s="511"/>
      <c r="S321" s="511"/>
      <c r="T321" s="511"/>
      <c r="U321" s="511"/>
      <c r="V321" s="511"/>
      <c r="W321" s="511"/>
      <c r="X321" s="511"/>
      <c r="Y321" s="511"/>
      <c r="Z321" s="511"/>
      <c r="AA321" s="511"/>
      <c r="AB321" s="511"/>
      <c r="AC321" s="511"/>
      <c r="AD321" s="511"/>
      <c r="AE321" s="511"/>
      <c r="AF321" s="511"/>
      <c r="AG321" s="511"/>
      <c r="AH321" s="476"/>
      <c r="AI321" s="476"/>
    </row>
    <row r="322" spans="2:35" s="276" customFormat="1" x14ac:dyDescent="0.25">
      <c r="B322" s="513"/>
      <c r="C322" s="509"/>
      <c r="D322" s="511"/>
      <c r="E322" s="511"/>
      <c r="F322" s="511"/>
      <c r="G322" s="511"/>
      <c r="H322" s="510"/>
      <c r="I322" s="511"/>
      <c r="J322" s="511"/>
      <c r="K322" s="511"/>
      <c r="L322" s="511"/>
      <c r="M322" s="511"/>
      <c r="N322" s="510"/>
      <c r="O322" s="511"/>
      <c r="P322" s="511"/>
      <c r="Q322" s="511"/>
      <c r="R322" s="511"/>
      <c r="S322" s="511"/>
      <c r="T322" s="510"/>
      <c r="U322" s="511"/>
      <c r="V322" s="511"/>
      <c r="W322" s="511"/>
      <c r="X322" s="511"/>
      <c r="Y322" s="511"/>
      <c r="Z322" s="510"/>
      <c r="AA322" s="511"/>
      <c r="AB322" s="511"/>
      <c r="AC322" s="511"/>
      <c r="AD322" s="511"/>
      <c r="AE322" s="510"/>
      <c r="AF322" s="510"/>
      <c r="AH322" s="476"/>
      <c r="AI322" s="476"/>
    </row>
    <row r="323" spans="2:35" s="276" customFormat="1" x14ac:dyDescent="0.25">
      <c r="B323" s="513"/>
      <c r="C323" s="509"/>
      <c r="D323" s="511"/>
      <c r="E323" s="511"/>
      <c r="F323" s="511"/>
      <c r="G323" s="511"/>
      <c r="H323" s="510"/>
      <c r="I323" s="511"/>
      <c r="J323" s="511"/>
      <c r="K323" s="511"/>
      <c r="L323" s="511"/>
      <c r="M323" s="511"/>
      <c r="N323" s="510"/>
      <c r="O323" s="511"/>
      <c r="P323" s="511"/>
      <c r="Q323" s="511"/>
      <c r="R323" s="511"/>
      <c r="S323" s="511"/>
      <c r="T323" s="510"/>
      <c r="U323" s="511"/>
      <c r="V323" s="511"/>
      <c r="W323" s="511"/>
      <c r="X323" s="511"/>
      <c r="Y323" s="511"/>
      <c r="Z323" s="510"/>
      <c r="AA323" s="511"/>
      <c r="AB323" s="511"/>
      <c r="AC323" s="511"/>
      <c r="AD323" s="511"/>
      <c r="AE323" s="510"/>
      <c r="AF323" s="510"/>
      <c r="AH323" s="476"/>
      <c r="AI323" s="476"/>
    </row>
    <row r="324" spans="2:35" s="276" customFormat="1" x14ac:dyDescent="0.25">
      <c r="B324" s="514"/>
      <c r="C324" s="509"/>
      <c r="D324" s="511"/>
      <c r="E324" s="511"/>
      <c r="F324" s="511"/>
      <c r="G324" s="511"/>
      <c r="H324" s="511"/>
      <c r="I324" s="511"/>
      <c r="J324" s="511"/>
      <c r="K324" s="511"/>
      <c r="L324" s="511"/>
      <c r="M324" s="511"/>
      <c r="N324" s="511"/>
      <c r="O324" s="511"/>
      <c r="P324" s="511"/>
      <c r="Q324" s="511"/>
      <c r="R324" s="511"/>
      <c r="S324" s="511"/>
      <c r="T324" s="511"/>
      <c r="U324" s="511"/>
      <c r="V324" s="511"/>
      <c r="W324" s="511"/>
      <c r="X324" s="511"/>
      <c r="Y324" s="511"/>
      <c r="Z324" s="511"/>
      <c r="AA324" s="511"/>
      <c r="AB324" s="511"/>
      <c r="AC324" s="511"/>
      <c r="AD324" s="511"/>
      <c r="AE324" s="511"/>
      <c r="AF324" s="511"/>
      <c r="AG324" s="511"/>
      <c r="AH324" s="476"/>
      <c r="AI324" s="476"/>
    </row>
    <row r="325" spans="2:35" s="276" customFormat="1" x14ac:dyDescent="0.25">
      <c r="B325" s="513"/>
      <c r="C325" s="509"/>
      <c r="D325" s="511"/>
      <c r="E325" s="511"/>
      <c r="F325" s="511"/>
      <c r="G325" s="511"/>
      <c r="H325" s="510"/>
      <c r="I325" s="511"/>
      <c r="J325" s="511"/>
      <c r="K325" s="511"/>
      <c r="L325" s="511"/>
      <c r="M325" s="511"/>
      <c r="N325" s="510"/>
      <c r="O325" s="511"/>
      <c r="P325" s="511"/>
      <c r="Q325" s="511"/>
      <c r="R325" s="511"/>
      <c r="S325" s="511"/>
      <c r="T325" s="510"/>
      <c r="U325" s="511"/>
      <c r="V325" s="511"/>
      <c r="W325" s="511"/>
      <c r="X325" s="511"/>
      <c r="Y325" s="511"/>
      <c r="Z325" s="510"/>
      <c r="AA325" s="511"/>
      <c r="AB325" s="511"/>
      <c r="AC325" s="511"/>
      <c r="AD325" s="511"/>
      <c r="AE325" s="510"/>
      <c r="AF325" s="510"/>
      <c r="AH325" s="476"/>
      <c r="AI325" s="476"/>
    </row>
    <row r="326" spans="2:35" s="276" customFormat="1" x14ac:dyDescent="0.25">
      <c r="B326" s="513"/>
      <c r="C326" s="509"/>
      <c r="D326" s="511"/>
      <c r="E326" s="511"/>
      <c r="F326" s="511"/>
      <c r="G326" s="511"/>
      <c r="H326" s="510"/>
      <c r="I326" s="511"/>
      <c r="J326" s="511"/>
      <c r="K326" s="511"/>
      <c r="L326" s="511"/>
      <c r="M326" s="511"/>
      <c r="N326" s="510"/>
      <c r="O326" s="511"/>
      <c r="P326" s="511"/>
      <c r="Q326" s="511"/>
      <c r="R326" s="511"/>
      <c r="S326" s="511"/>
      <c r="T326" s="510"/>
      <c r="U326" s="511"/>
      <c r="V326" s="511"/>
      <c r="W326" s="511"/>
      <c r="X326" s="511"/>
      <c r="Y326" s="511"/>
      <c r="Z326" s="510"/>
      <c r="AA326" s="511"/>
      <c r="AB326" s="511"/>
      <c r="AC326" s="511"/>
      <c r="AD326" s="511"/>
      <c r="AE326" s="510"/>
      <c r="AF326" s="510"/>
      <c r="AH326" s="476"/>
      <c r="AI326" s="476"/>
    </row>
    <row r="327" spans="2:35" s="276" customFormat="1" x14ac:dyDescent="0.25">
      <c r="B327" s="513"/>
      <c r="C327" s="509"/>
      <c r="D327" s="511"/>
      <c r="E327" s="511"/>
      <c r="F327" s="511"/>
      <c r="G327" s="511"/>
      <c r="H327" s="510"/>
      <c r="I327" s="511"/>
      <c r="J327" s="511"/>
      <c r="K327" s="511"/>
      <c r="L327" s="511"/>
      <c r="M327" s="511"/>
      <c r="N327" s="510"/>
      <c r="O327" s="511"/>
      <c r="P327" s="511"/>
      <c r="Q327" s="511"/>
      <c r="R327" s="511"/>
      <c r="S327" s="511"/>
      <c r="T327" s="510"/>
      <c r="U327" s="511"/>
      <c r="V327" s="511"/>
      <c r="W327" s="511"/>
      <c r="X327" s="511"/>
      <c r="Y327" s="511"/>
      <c r="Z327" s="510"/>
      <c r="AA327" s="511"/>
      <c r="AB327" s="511"/>
      <c r="AC327" s="511"/>
      <c r="AD327" s="511"/>
      <c r="AE327" s="510"/>
      <c r="AF327" s="510"/>
      <c r="AH327" s="476"/>
      <c r="AI327" s="476"/>
    </row>
    <row r="328" spans="2:35" s="276" customFormat="1" x14ac:dyDescent="0.25">
      <c r="B328" s="513"/>
      <c r="C328" s="509"/>
      <c r="D328" s="511"/>
      <c r="E328" s="511"/>
      <c r="F328" s="511"/>
      <c r="G328" s="511"/>
      <c r="H328" s="510"/>
      <c r="I328" s="511"/>
      <c r="J328" s="511"/>
      <c r="K328" s="511"/>
      <c r="L328" s="511"/>
      <c r="M328" s="511"/>
      <c r="N328" s="510"/>
      <c r="O328" s="511"/>
      <c r="P328" s="511"/>
      <c r="Q328" s="511"/>
      <c r="R328" s="511"/>
      <c r="S328" s="511"/>
      <c r="T328" s="510"/>
      <c r="U328" s="511"/>
      <c r="V328" s="511"/>
      <c r="W328" s="511"/>
      <c r="X328" s="511"/>
      <c r="Y328" s="511"/>
      <c r="Z328" s="510"/>
      <c r="AA328" s="511"/>
      <c r="AB328" s="511"/>
      <c r="AC328" s="511"/>
      <c r="AD328" s="511"/>
      <c r="AE328" s="510"/>
      <c r="AF328" s="510"/>
      <c r="AH328" s="476"/>
      <c r="AI328" s="476"/>
    </row>
    <row r="329" spans="2:35" s="276" customFormat="1" x14ac:dyDescent="0.25">
      <c r="B329" s="513"/>
      <c r="C329" s="509"/>
      <c r="D329" s="511"/>
      <c r="E329" s="511"/>
      <c r="F329" s="511"/>
      <c r="G329" s="511"/>
      <c r="H329" s="510"/>
      <c r="I329" s="511"/>
      <c r="J329" s="511"/>
      <c r="K329" s="511"/>
      <c r="L329" s="511"/>
      <c r="M329" s="511"/>
      <c r="N329" s="510"/>
      <c r="O329" s="511"/>
      <c r="P329" s="511"/>
      <c r="Q329" s="511"/>
      <c r="R329" s="511"/>
      <c r="S329" s="511"/>
      <c r="T329" s="510"/>
      <c r="U329" s="511"/>
      <c r="V329" s="511"/>
      <c r="W329" s="511"/>
      <c r="X329" s="511"/>
      <c r="Y329" s="511"/>
      <c r="Z329" s="510"/>
      <c r="AA329" s="511"/>
      <c r="AB329" s="511"/>
      <c r="AC329" s="511"/>
      <c r="AD329" s="511"/>
      <c r="AE329" s="510"/>
      <c r="AF329" s="510"/>
      <c r="AH329" s="476"/>
      <c r="AI329" s="476"/>
    </row>
    <row r="330" spans="2:35" s="276" customFormat="1" x14ac:dyDescent="0.25">
      <c r="B330" s="515"/>
      <c r="C330" s="509"/>
      <c r="D330" s="511"/>
      <c r="E330" s="511"/>
      <c r="F330" s="511"/>
      <c r="G330" s="511"/>
      <c r="H330" s="511"/>
      <c r="I330" s="511"/>
      <c r="J330" s="511"/>
      <c r="K330" s="511"/>
      <c r="L330" s="511"/>
      <c r="M330" s="511"/>
      <c r="N330" s="511"/>
      <c r="O330" s="511"/>
      <c r="P330" s="511"/>
      <c r="Q330" s="511"/>
      <c r="R330" s="511"/>
      <c r="S330" s="511"/>
      <c r="T330" s="511"/>
      <c r="U330" s="511"/>
      <c r="V330" s="511"/>
      <c r="W330" s="511"/>
      <c r="X330" s="511"/>
      <c r="Y330" s="511"/>
      <c r="Z330" s="511"/>
      <c r="AA330" s="511"/>
      <c r="AB330" s="511"/>
      <c r="AC330" s="511"/>
      <c r="AD330" s="511"/>
      <c r="AE330" s="511"/>
      <c r="AF330" s="511"/>
      <c r="AG330" s="511"/>
      <c r="AH330" s="476"/>
      <c r="AI330" s="476"/>
    </row>
    <row r="331" spans="2:35" s="276" customFormat="1" x14ac:dyDescent="0.25">
      <c r="B331" s="514"/>
      <c r="C331" s="509"/>
      <c r="D331" s="511"/>
      <c r="E331" s="511"/>
      <c r="F331" s="511"/>
      <c r="G331" s="511"/>
      <c r="H331" s="511"/>
      <c r="I331" s="511"/>
      <c r="J331" s="511"/>
      <c r="K331" s="511"/>
      <c r="L331" s="511"/>
      <c r="M331" s="511"/>
      <c r="N331" s="511"/>
      <c r="O331" s="511"/>
      <c r="P331" s="511"/>
      <c r="Q331" s="511"/>
      <c r="R331" s="511"/>
      <c r="S331" s="511"/>
      <c r="T331" s="511"/>
      <c r="U331" s="511"/>
      <c r="V331" s="511"/>
      <c r="W331" s="511"/>
      <c r="X331" s="511"/>
      <c r="Y331" s="511"/>
      <c r="Z331" s="511"/>
      <c r="AA331" s="511"/>
      <c r="AB331" s="511"/>
      <c r="AC331" s="511"/>
      <c r="AD331" s="511"/>
      <c r="AE331" s="511"/>
      <c r="AF331" s="511"/>
      <c r="AG331" s="511"/>
      <c r="AH331" s="476"/>
      <c r="AI331" s="476"/>
    </row>
    <row r="332" spans="2:35" s="276" customFormat="1" x14ac:dyDescent="0.25">
      <c r="B332" s="513"/>
      <c r="C332" s="509"/>
      <c r="D332" s="511"/>
      <c r="E332" s="511"/>
      <c r="F332" s="511"/>
      <c r="G332" s="511"/>
      <c r="H332" s="510"/>
      <c r="I332" s="511"/>
      <c r="J332" s="511"/>
      <c r="K332" s="511"/>
      <c r="L332" s="511"/>
      <c r="M332" s="511"/>
      <c r="N332" s="510"/>
      <c r="O332" s="511"/>
      <c r="P332" s="511"/>
      <c r="Q332" s="511"/>
      <c r="R332" s="511"/>
      <c r="S332" s="511"/>
      <c r="T332" s="510"/>
      <c r="U332" s="511"/>
      <c r="V332" s="511"/>
      <c r="W332" s="511"/>
      <c r="X332" s="511"/>
      <c r="Y332" s="511"/>
      <c r="Z332" s="510"/>
      <c r="AA332" s="511"/>
      <c r="AB332" s="511"/>
      <c r="AC332" s="511"/>
      <c r="AD332" s="511"/>
      <c r="AE332" s="510"/>
      <c r="AF332" s="510"/>
      <c r="AH332" s="476"/>
      <c r="AI332" s="476"/>
    </row>
    <row r="333" spans="2:35" s="276" customFormat="1" x14ac:dyDescent="0.25">
      <c r="B333" s="513"/>
      <c r="C333" s="509"/>
      <c r="D333" s="511"/>
      <c r="E333" s="511"/>
      <c r="F333" s="511"/>
      <c r="G333" s="511"/>
      <c r="H333" s="510"/>
      <c r="I333" s="511"/>
      <c r="J333" s="511"/>
      <c r="K333" s="511"/>
      <c r="L333" s="511"/>
      <c r="M333" s="511"/>
      <c r="N333" s="510"/>
      <c r="O333" s="511"/>
      <c r="P333" s="511"/>
      <c r="Q333" s="511"/>
      <c r="R333" s="511"/>
      <c r="S333" s="511"/>
      <c r="T333" s="510"/>
      <c r="U333" s="511"/>
      <c r="V333" s="511"/>
      <c r="W333" s="511"/>
      <c r="X333" s="511"/>
      <c r="Y333" s="511"/>
      <c r="Z333" s="510"/>
      <c r="AA333" s="511"/>
      <c r="AB333" s="511"/>
      <c r="AC333" s="511"/>
      <c r="AD333" s="511"/>
      <c r="AE333" s="510"/>
      <c r="AF333" s="510"/>
      <c r="AH333" s="476"/>
      <c r="AI333" s="476"/>
    </row>
    <row r="334" spans="2:35" s="276" customFormat="1" x14ac:dyDescent="0.25">
      <c r="B334" s="513"/>
      <c r="C334" s="509"/>
      <c r="D334" s="511"/>
      <c r="E334" s="511"/>
      <c r="F334" s="511"/>
      <c r="G334" s="511"/>
      <c r="H334" s="510"/>
      <c r="I334" s="511"/>
      <c r="J334" s="511"/>
      <c r="K334" s="511"/>
      <c r="L334" s="511"/>
      <c r="M334" s="511"/>
      <c r="N334" s="510"/>
      <c r="O334" s="511"/>
      <c r="P334" s="511"/>
      <c r="Q334" s="511"/>
      <c r="R334" s="511"/>
      <c r="S334" s="511"/>
      <c r="T334" s="510"/>
      <c r="U334" s="511"/>
      <c r="V334" s="511"/>
      <c r="W334" s="511"/>
      <c r="X334" s="511"/>
      <c r="Y334" s="511"/>
      <c r="Z334" s="510"/>
      <c r="AA334" s="511"/>
      <c r="AB334" s="511"/>
      <c r="AC334" s="511"/>
      <c r="AD334" s="511"/>
      <c r="AE334" s="510"/>
      <c r="AF334" s="510"/>
      <c r="AH334" s="476"/>
      <c r="AI334" s="476"/>
    </row>
    <row r="335" spans="2:35" s="276" customFormat="1" x14ac:dyDescent="0.25">
      <c r="B335" s="513"/>
      <c r="C335" s="509"/>
      <c r="D335" s="511"/>
      <c r="E335" s="511"/>
      <c r="F335" s="511"/>
      <c r="G335" s="511"/>
      <c r="H335" s="510"/>
      <c r="I335" s="511"/>
      <c r="J335" s="511"/>
      <c r="K335" s="511"/>
      <c r="L335" s="511"/>
      <c r="M335" s="511"/>
      <c r="N335" s="510"/>
      <c r="O335" s="511"/>
      <c r="P335" s="511"/>
      <c r="Q335" s="511"/>
      <c r="R335" s="511"/>
      <c r="S335" s="511"/>
      <c r="T335" s="510"/>
      <c r="U335" s="511"/>
      <c r="V335" s="511"/>
      <c r="W335" s="511"/>
      <c r="X335" s="511"/>
      <c r="Y335" s="511"/>
      <c r="Z335" s="510"/>
      <c r="AA335" s="511"/>
      <c r="AB335" s="511"/>
      <c r="AC335" s="511"/>
      <c r="AD335" s="511"/>
      <c r="AE335" s="510"/>
      <c r="AF335" s="510"/>
      <c r="AH335" s="476"/>
      <c r="AI335" s="476"/>
    </row>
    <row r="336" spans="2:35" s="276" customFormat="1" x14ac:dyDescent="0.25">
      <c r="B336" s="513"/>
      <c r="C336" s="509"/>
      <c r="D336" s="511"/>
      <c r="E336" s="511"/>
      <c r="F336" s="511"/>
      <c r="G336" s="511"/>
      <c r="H336" s="510"/>
      <c r="I336" s="511"/>
      <c r="J336" s="511"/>
      <c r="K336" s="511"/>
      <c r="L336" s="511"/>
      <c r="M336" s="511"/>
      <c r="N336" s="510"/>
      <c r="O336" s="511"/>
      <c r="P336" s="511"/>
      <c r="Q336" s="511"/>
      <c r="R336" s="511"/>
      <c r="S336" s="511"/>
      <c r="T336" s="510"/>
      <c r="U336" s="511"/>
      <c r="V336" s="511"/>
      <c r="W336" s="511"/>
      <c r="X336" s="511"/>
      <c r="Y336" s="511"/>
      <c r="Z336" s="510"/>
      <c r="AA336" s="511"/>
      <c r="AB336" s="511"/>
      <c r="AC336" s="511"/>
      <c r="AD336" s="511"/>
      <c r="AE336" s="510"/>
      <c r="AF336" s="510"/>
      <c r="AH336" s="476"/>
      <c r="AI336" s="476"/>
    </row>
    <row r="337" spans="2:35" s="276" customFormat="1" x14ac:dyDescent="0.25">
      <c r="B337" s="514"/>
      <c r="C337" s="509"/>
      <c r="D337" s="511"/>
      <c r="E337" s="511"/>
      <c r="F337" s="516"/>
      <c r="G337" s="511"/>
      <c r="H337" s="511"/>
      <c r="I337" s="511"/>
      <c r="J337" s="511"/>
      <c r="K337" s="511"/>
      <c r="L337" s="511"/>
      <c r="M337" s="511"/>
      <c r="N337" s="511"/>
      <c r="O337" s="516"/>
      <c r="P337" s="511"/>
      <c r="Q337" s="511"/>
      <c r="R337" s="511"/>
      <c r="S337" s="511"/>
      <c r="T337" s="511"/>
      <c r="U337" s="511"/>
      <c r="V337" s="511"/>
      <c r="W337" s="511"/>
      <c r="X337" s="511"/>
      <c r="Y337" s="511"/>
      <c r="Z337" s="511"/>
      <c r="AA337" s="511"/>
      <c r="AB337" s="511"/>
      <c r="AC337" s="511"/>
      <c r="AD337" s="516"/>
      <c r="AE337" s="511"/>
      <c r="AF337" s="511"/>
      <c r="AG337" s="511"/>
      <c r="AH337" s="476"/>
      <c r="AI337" s="476"/>
    </row>
    <row r="338" spans="2:35" s="276" customFormat="1" x14ac:dyDescent="0.25">
      <c r="B338" s="514"/>
      <c r="C338" s="509"/>
      <c r="D338" s="511"/>
      <c r="E338" s="511"/>
      <c r="F338" s="511"/>
      <c r="G338" s="511"/>
      <c r="H338" s="511"/>
      <c r="I338" s="511"/>
      <c r="J338" s="511"/>
      <c r="K338" s="511"/>
      <c r="L338" s="511"/>
      <c r="M338" s="511"/>
      <c r="N338" s="511"/>
      <c r="O338" s="511"/>
      <c r="P338" s="511"/>
      <c r="Q338" s="511"/>
      <c r="R338" s="511"/>
      <c r="S338" s="511"/>
      <c r="T338" s="511"/>
      <c r="U338" s="511"/>
      <c r="V338" s="511"/>
      <c r="W338" s="511"/>
      <c r="X338" s="511"/>
      <c r="Y338" s="511"/>
      <c r="Z338" s="511"/>
      <c r="AA338" s="511"/>
      <c r="AB338" s="511"/>
      <c r="AC338" s="511"/>
      <c r="AD338" s="511"/>
      <c r="AE338" s="511"/>
      <c r="AF338" s="511"/>
      <c r="AG338" s="511"/>
      <c r="AH338" s="476"/>
      <c r="AI338" s="476"/>
    </row>
    <row r="339" spans="2:35" s="276" customFormat="1" x14ac:dyDescent="0.25">
      <c r="B339" s="513"/>
      <c r="C339" s="509"/>
      <c r="D339" s="511"/>
      <c r="E339" s="511"/>
      <c r="F339" s="511"/>
      <c r="G339" s="511"/>
      <c r="H339" s="510"/>
      <c r="I339" s="511"/>
      <c r="J339" s="511"/>
      <c r="K339" s="511"/>
      <c r="L339" s="511"/>
      <c r="M339" s="511"/>
      <c r="N339" s="510"/>
      <c r="O339" s="511"/>
      <c r="P339" s="511"/>
      <c r="Q339" s="511"/>
      <c r="R339" s="511"/>
      <c r="S339" s="511"/>
      <c r="T339" s="510"/>
      <c r="U339" s="511"/>
      <c r="V339" s="511"/>
      <c r="W339" s="511"/>
      <c r="X339" s="511"/>
      <c r="Y339" s="511"/>
      <c r="Z339" s="510"/>
      <c r="AA339" s="511"/>
      <c r="AB339" s="511"/>
      <c r="AC339" s="511"/>
      <c r="AD339" s="511"/>
      <c r="AE339" s="510"/>
      <c r="AF339" s="510"/>
      <c r="AH339" s="476"/>
      <c r="AI339" s="476"/>
    </row>
    <row r="340" spans="2:35" s="276" customFormat="1" x14ac:dyDescent="0.25">
      <c r="B340" s="513"/>
      <c r="C340" s="509"/>
      <c r="D340" s="511"/>
      <c r="E340" s="511"/>
      <c r="F340" s="511"/>
      <c r="G340" s="511"/>
      <c r="H340" s="510"/>
      <c r="I340" s="511"/>
      <c r="J340" s="511"/>
      <c r="K340" s="511"/>
      <c r="L340" s="511"/>
      <c r="M340" s="511"/>
      <c r="N340" s="510"/>
      <c r="O340" s="511"/>
      <c r="P340" s="511"/>
      <c r="Q340" s="511"/>
      <c r="R340" s="511"/>
      <c r="S340" s="511"/>
      <c r="T340" s="510"/>
      <c r="U340" s="511"/>
      <c r="V340" s="511"/>
      <c r="W340" s="511"/>
      <c r="X340" s="511"/>
      <c r="Y340" s="511"/>
      <c r="Z340" s="510"/>
      <c r="AA340" s="511"/>
      <c r="AB340" s="511"/>
      <c r="AC340" s="511"/>
      <c r="AD340" s="511"/>
      <c r="AE340" s="510"/>
      <c r="AF340" s="510"/>
      <c r="AH340" s="476"/>
      <c r="AI340" s="476"/>
    </row>
    <row r="341" spans="2:35" s="276" customFormat="1" x14ac:dyDescent="0.25">
      <c r="B341" s="513"/>
      <c r="C341" s="509"/>
      <c r="D341" s="511"/>
      <c r="E341" s="511"/>
      <c r="F341" s="511"/>
      <c r="G341" s="511"/>
      <c r="H341" s="510"/>
      <c r="I341" s="511"/>
      <c r="J341" s="511"/>
      <c r="K341" s="511"/>
      <c r="L341" s="511"/>
      <c r="M341" s="511"/>
      <c r="N341" s="510"/>
      <c r="O341" s="511"/>
      <c r="P341" s="511"/>
      <c r="Q341" s="511"/>
      <c r="R341" s="511"/>
      <c r="S341" s="511"/>
      <c r="T341" s="510"/>
      <c r="U341" s="511"/>
      <c r="V341" s="511"/>
      <c r="W341" s="511"/>
      <c r="X341" s="511"/>
      <c r="Y341" s="511"/>
      <c r="Z341" s="510"/>
      <c r="AA341" s="511"/>
      <c r="AB341" s="511"/>
      <c r="AC341" s="511"/>
      <c r="AD341" s="511"/>
      <c r="AE341" s="510"/>
      <c r="AF341" s="510"/>
      <c r="AH341" s="476"/>
      <c r="AI341" s="476"/>
    </row>
    <row r="342" spans="2:35" s="276" customFormat="1" x14ac:dyDescent="0.25">
      <c r="B342" s="513"/>
      <c r="C342" s="509"/>
      <c r="D342" s="511"/>
      <c r="E342" s="511"/>
      <c r="F342" s="511"/>
      <c r="G342" s="511"/>
      <c r="H342" s="510"/>
      <c r="I342" s="511"/>
      <c r="J342" s="511"/>
      <c r="K342" s="511"/>
      <c r="L342" s="511"/>
      <c r="M342" s="511"/>
      <c r="N342" s="510"/>
      <c r="O342" s="511"/>
      <c r="P342" s="511"/>
      <c r="Q342" s="511"/>
      <c r="R342" s="511"/>
      <c r="S342" s="511"/>
      <c r="T342" s="510"/>
      <c r="U342" s="511"/>
      <c r="V342" s="511"/>
      <c r="W342" s="511"/>
      <c r="X342" s="511"/>
      <c r="Y342" s="511"/>
      <c r="Z342" s="510"/>
      <c r="AA342" s="511"/>
      <c r="AB342" s="511"/>
      <c r="AC342" s="511"/>
      <c r="AD342" s="511"/>
      <c r="AE342" s="510"/>
      <c r="AF342" s="510"/>
      <c r="AH342" s="476"/>
      <c r="AI342" s="476"/>
    </row>
    <row r="343" spans="2:35" s="191" customFormat="1" x14ac:dyDescent="0.25">
      <c r="B343" s="513"/>
      <c r="C343" s="509"/>
      <c r="D343" s="511"/>
      <c r="E343" s="511"/>
      <c r="F343" s="511"/>
      <c r="G343" s="511"/>
      <c r="H343" s="510"/>
      <c r="I343" s="511"/>
      <c r="J343" s="511"/>
      <c r="K343" s="511"/>
      <c r="L343" s="511"/>
      <c r="M343" s="511"/>
      <c r="N343" s="510"/>
      <c r="O343" s="511"/>
      <c r="P343" s="511"/>
      <c r="Q343" s="511"/>
      <c r="R343" s="511"/>
      <c r="S343" s="511"/>
      <c r="T343" s="510"/>
      <c r="U343" s="511"/>
      <c r="V343" s="511"/>
      <c r="W343" s="511"/>
      <c r="X343" s="511"/>
      <c r="Y343" s="511"/>
      <c r="Z343" s="510"/>
      <c r="AA343" s="511"/>
      <c r="AB343" s="511"/>
      <c r="AC343" s="511"/>
      <c r="AD343" s="511"/>
      <c r="AE343" s="510"/>
      <c r="AF343" s="510"/>
      <c r="AG343" s="276"/>
      <c r="AH343" s="118"/>
      <c r="AI343" s="118"/>
    </row>
    <row r="344" spans="2:35" s="191" customFormat="1" x14ac:dyDescent="0.25">
      <c r="B344" s="513"/>
      <c r="C344" s="509"/>
      <c r="D344" s="511"/>
      <c r="E344" s="511"/>
      <c r="F344" s="511"/>
      <c r="G344" s="511"/>
      <c r="H344" s="510"/>
      <c r="I344" s="511"/>
      <c r="J344" s="511"/>
      <c r="K344" s="511"/>
      <c r="L344" s="511"/>
      <c r="M344" s="511"/>
      <c r="N344" s="510"/>
      <c r="O344" s="511"/>
      <c r="P344" s="511"/>
      <c r="Q344" s="511"/>
      <c r="R344" s="511"/>
      <c r="S344" s="511"/>
      <c r="T344" s="510"/>
      <c r="U344" s="511"/>
      <c r="V344" s="511"/>
      <c r="W344" s="511"/>
      <c r="X344" s="511"/>
      <c r="Y344" s="511"/>
      <c r="Z344" s="510"/>
      <c r="AA344" s="511"/>
      <c r="AB344" s="511"/>
      <c r="AC344" s="511"/>
      <c r="AD344" s="511"/>
      <c r="AE344" s="510"/>
      <c r="AF344" s="510"/>
      <c r="AG344" s="276"/>
      <c r="AH344" s="118"/>
    </row>
    <row r="345" spans="2:35" s="191" customFormat="1" x14ac:dyDescent="0.25">
      <c r="B345" s="513"/>
      <c r="C345" s="509"/>
      <c r="D345" s="510"/>
      <c r="E345" s="510"/>
      <c r="F345" s="510"/>
      <c r="G345" s="510"/>
      <c r="H345" s="510"/>
      <c r="I345" s="510"/>
      <c r="J345" s="510"/>
      <c r="K345" s="510"/>
      <c r="L345" s="510"/>
      <c r="M345" s="510"/>
      <c r="N345" s="510"/>
      <c r="O345" s="510"/>
      <c r="P345" s="510"/>
      <c r="Q345" s="510"/>
      <c r="R345" s="510"/>
      <c r="S345" s="510"/>
      <c r="T345" s="510"/>
      <c r="U345" s="510"/>
      <c r="V345" s="510"/>
      <c r="W345" s="510"/>
      <c r="X345" s="510"/>
      <c r="Y345" s="510"/>
      <c r="Z345" s="510"/>
      <c r="AA345" s="510"/>
      <c r="AB345" s="510"/>
      <c r="AC345" s="510"/>
      <c r="AD345" s="510"/>
      <c r="AE345" s="510"/>
      <c r="AF345" s="118"/>
      <c r="AG345" s="118"/>
      <c r="AH345" s="118"/>
    </row>
    <row r="346" spans="2:35" s="191" customFormat="1" x14ac:dyDescent="0.25">
      <c r="B346" s="517"/>
      <c r="C346" s="518"/>
      <c r="D346" s="519"/>
      <c r="E346" s="519"/>
      <c r="F346" s="519"/>
      <c r="G346" s="519"/>
      <c r="H346" s="519"/>
      <c r="I346" s="519"/>
      <c r="J346" s="519"/>
      <c r="K346" s="519"/>
      <c r="L346" s="519"/>
      <c r="M346" s="519"/>
      <c r="N346" s="519"/>
      <c r="O346" s="519"/>
      <c r="P346" s="519"/>
      <c r="Q346" s="519"/>
      <c r="R346" s="519"/>
      <c r="S346" s="519"/>
      <c r="T346" s="519"/>
      <c r="U346" s="519"/>
      <c r="V346" s="519"/>
      <c r="W346" s="519"/>
      <c r="X346" s="519"/>
      <c r="Y346" s="519"/>
      <c r="Z346" s="519"/>
      <c r="AA346" s="519"/>
      <c r="AB346" s="519"/>
      <c r="AC346" s="519"/>
      <c r="AD346" s="519"/>
      <c r="AE346" s="519"/>
      <c r="AF346" s="519"/>
      <c r="AG346" s="519"/>
      <c r="AH346" s="118"/>
    </row>
    <row r="347" spans="2:35" s="191" customFormat="1" x14ac:dyDescent="0.25">
      <c r="C347" s="518"/>
      <c r="D347" s="118"/>
      <c r="E347" s="118"/>
      <c r="F347" s="118"/>
      <c r="G347" s="118"/>
      <c r="H347" s="118"/>
      <c r="I347" s="118"/>
      <c r="J347" s="118"/>
      <c r="K347" s="118"/>
      <c r="L347" s="118"/>
      <c r="M347" s="118"/>
      <c r="N347" s="118"/>
      <c r="O347" s="118"/>
      <c r="P347" s="118"/>
      <c r="Q347" s="118"/>
      <c r="R347" s="118"/>
      <c r="S347" s="118"/>
      <c r="T347" s="118"/>
      <c r="U347" s="118"/>
      <c r="V347" s="118"/>
      <c r="W347" s="118"/>
      <c r="X347" s="118"/>
      <c r="Y347" s="118"/>
      <c r="Z347" s="118"/>
      <c r="AA347" s="118"/>
      <c r="AB347" s="118"/>
      <c r="AC347" s="118"/>
      <c r="AD347" s="118"/>
      <c r="AE347" s="118"/>
      <c r="AF347" s="118"/>
      <c r="AG347" s="118"/>
      <c r="AH347" s="118"/>
    </row>
    <row r="348" spans="2:35" s="191" customFormat="1" x14ac:dyDescent="0.25">
      <c r="AH348" s="118"/>
    </row>
  </sheetData>
  <mergeCells count="7">
    <mergeCell ref="B4:C4"/>
    <mergeCell ref="O1:AE1"/>
    <mergeCell ref="D2:N2"/>
    <mergeCell ref="O2:AE2"/>
    <mergeCell ref="D3:N3"/>
    <mergeCell ref="O3:T3"/>
    <mergeCell ref="U3:Z3"/>
  </mergeCells>
  <pageMargins left="0" right="0" top="0" bottom="0" header="0.51181102362204722" footer="0.51181102362204722"/>
  <pageSetup paperSize="9" scale="80" orientation="landscape"/>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54"/>
  <sheetViews>
    <sheetView workbookViewId="0">
      <pane xSplit="2" ySplit="1" topLeftCell="C29" activePane="bottomRight" state="frozen"/>
      <selection pane="topRight" activeCell="C1" sqref="C1"/>
      <selection pane="bottomLeft" activeCell="A2" sqref="A2"/>
      <selection pane="bottomRight" activeCell="E38" sqref="E38"/>
    </sheetView>
  </sheetViews>
  <sheetFormatPr baseColWidth="10" defaultColWidth="11.453125" defaultRowHeight="12.5" x14ac:dyDescent="0.25"/>
  <cols>
    <col min="1" max="1" width="7" customWidth="1"/>
    <col min="2" max="2" width="54.1796875" customWidth="1"/>
    <col min="3" max="3" width="21.1796875" customWidth="1"/>
    <col min="4" max="4" width="34.81640625" customWidth="1"/>
    <col min="5" max="5" width="39.453125" customWidth="1"/>
  </cols>
  <sheetData>
    <row r="1" spans="1:6" x14ac:dyDescent="0.25">
      <c r="C1" t="s">
        <v>577</v>
      </c>
      <c r="D1" t="s">
        <v>574</v>
      </c>
    </row>
    <row r="2" spans="1:6" ht="13" x14ac:dyDescent="0.3">
      <c r="A2" s="2">
        <v>1</v>
      </c>
      <c r="B2" s="4" t="s">
        <v>313</v>
      </c>
      <c r="C2" s="283">
        <v>6417.5</v>
      </c>
      <c r="D2" s="283">
        <v>1288.4000000000001</v>
      </c>
    </row>
    <row r="3" spans="1:6" ht="13" x14ac:dyDescent="0.3">
      <c r="A3" s="2">
        <v>2</v>
      </c>
      <c r="B3" s="4" t="s">
        <v>314</v>
      </c>
      <c r="C3" s="794">
        <f>14224.519</f>
        <v>14224.519</v>
      </c>
      <c r="D3" s="794">
        <v>5793.13</v>
      </c>
    </row>
    <row r="4" spans="1:6" ht="13" x14ac:dyDescent="0.3">
      <c r="A4" s="2">
        <v>3</v>
      </c>
      <c r="B4" s="4" t="s">
        <v>307</v>
      </c>
      <c r="C4" s="794">
        <v>9430.64</v>
      </c>
      <c r="D4" s="794">
        <v>3840.607</v>
      </c>
    </row>
    <row r="5" spans="1:6" ht="13" x14ac:dyDescent="0.3">
      <c r="A5" s="2">
        <v>4</v>
      </c>
      <c r="B5" s="4" t="s">
        <v>122</v>
      </c>
      <c r="C5" s="794">
        <v>1429.0229999999999</v>
      </c>
      <c r="D5" s="794">
        <v>589.01199999999994</v>
      </c>
    </row>
    <row r="6" spans="1:6" ht="13" x14ac:dyDescent="0.3">
      <c r="A6" s="2">
        <v>5</v>
      </c>
      <c r="B6" s="4" t="s">
        <v>123</v>
      </c>
      <c r="C6" s="794">
        <v>2733.3119999999999</v>
      </c>
      <c r="D6" s="794">
        <v>1211.5050000000001</v>
      </c>
    </row>
    <row r="7" spans="1:6" ht="13" x14ac:dyDescent="0.3">
      <c r="A7" s="2">
        <v>6</v>
      </c>
      <c r="B7" s="4" t="s">
        <v>308</v>
      </c>
      <c r="C7" s="795">
        <f>805.495+1609.846</f>
        <v>2415.3409999999999</v>
      </c>
      <c r="D7" s="795">
        <f>357.634+664.162</f>
        <v>1021.796</v>
      </c>
    </row>
    <row r="8" spans="1:6" ht="13" x14ac:dyDescent="0.3">
      <c r="A8" s="2">
        <v>7</v>
      </c>
      <c r="B8" s="4" t="s">
        <v>130</v>
      </c>
      <c r="C8" s="794">
        <v>968.31600000000003</v>
      </c>
      <c r="D8" s="794">
        <f>534.088</f>
        <v>534.08799999999997</v>
      </c>
    </row>
    <row r="9" spans="1:6" ht="13" x14ac:dyDescent="0.3">
      <c r="A9" s="2">
        <v>8</v>
      </c>
      <c r="B9" s="4" t="s">
        <v>131</v>
      </c>
      <c r="C9" s="794">
        <v>1672.4079999999999</v>
      </c>
      <c r="D9" s="794">
        <v>831.67100000000005</v>
      </c>
    </row>
    <row r="10" spans="1:6" ht="13" x14ac:dyDescent="0.3">
      <c r="A10" s="2">
        <v>9</v>
      </c>
      <c r="B10" s="4" t="s">
        <v>135</v>
      </c>
      <c r="C10" s="794">
        <v>4385.3590000000004</v>
      </c>
      <c r="D10" s="794">
        <v>1769.1869999999999</v>
      </c>
    </row>
    <row r="11" spans="1:6" ht="13" x14ac:dyDescent="0.3">
      <c r="A11" s="2">
        <v>10</v>
      </c>
      <c r="B11" s="4" t="s">
        <v>136</v>
      </c>
      <c r="C11" s="794">
        <v>1837.6579999999999</v>
      </c>
      <c r="D11" s="794">
        <v>810.16399999999999</v>
      </c>
    </row>
    <row r="12" spans="1:6" ht="13" x14ac:dyDescent="0.3">
      <c r="A12" s="2">
        <v>11</v>
      </c>
      <c r="B12" s="4" t="s">
        <v>137</v>
      </c>
      <c r="C12" s="794">
        <v>676.71199999999999</v>
      </c>
      <c r="D12" s="794">
        <v>316.738</v>
      </c>
    </row>
    <row r="13" spans="1:6" ht="13" x14ac:dyDescent="0.3">
      <c r="A13" s="2">
        <v>12</v>
      </c>
      <c r="B13" s="4" t="s">
        <v>309</v>
      </c>
      <c r="C13" s="795">
        <f>20141.891+26178.268+6.621+799.73+1902.9+1966.358+1864.566+52.285+1962.163+788.574+5344.681+2483.588+735.244+5993.047+131.925+0.29+552.338+1177.282</f>
        <v>72081.751000000018</v>
      </c>
      <c r="D13" s="795">
        <f>8599.785+11489.291+1.944+353.293+720.475+792.186+839.893+25.047+803+325.253+2170.074+1032.551+308.838+2588.822+63.441+0.473+297.178+616.579</f>
        <v>31028.123000000003</v>
      </c>
    </row>
    <row r="14" spans="1:6" ht="13" x14ac:dyDescent="0.3">
      <c r="A14" s="2">
        <v>13</v>
      </c>
      <c r="B14" s="4" t="s">
        <v>310</v>
      </c>
      <c r="C14" s="794">
        <v>36013.146000000001</v>
      </c>
      <c r="D14" s="794">
        <v>19441.457999999999</v>
      </c>
    </row>
    <row r="15" spans="1:6" ht="13" x14ac:dyDescent="0.3">
      <c r="A15" s="2">
        <v>14</v>
      </c>
      <c r="B15" s="4" t="s">
        <v>152</v>
      </c>
      <c r="C15" s="65"/>
      <c r="D15" s="65"/>
      <c r="E15" s="832">
        <v>31368.656999999999</v>
      </c>
      <c r="F15" s="832">
        <v>12883.837</v>
      </c>
    </row>
    <row r="16" spans="1:6" ht="13" x14ac:dyDescent="0.3">
      <c r="A16" s="2">
        <v>15</v>
      </c>
      <c r="B16" s="4" t="s">
        <v>153</v>
      </c>
      <c r="C16" s="794">
        <v>4885.6289999999999</v>
      </c>
      <c r="D16" s="794">
        <v>2156.9479999999999</v>
      </c>
      <c r="E16" s="833"/>
      <c r="F16" s="833"/>
    </row>
    <row r="17" spans="1:6" ht="13" x14ac:dyDescent="0.3">
      <c r="A17" s="2">
        <v>16</v>
      </c>
      <c r="B17" s="4" t="s">
        <v>154</v>
      </c>
      <c r="C17" s="794">
        <v>8467.9110000000001</v>
      </c>
      <c r="D17" s="794">
        <v>3100.319</v>
      </c>
      <c r="E17" s="833"/>
      <c r="F17" s="833"/>
    </row>
    <row r="18" spans="1:6" ht="13" x14ac:dyDescent="0.3">
      <c r="A18" s="2">
        <v>17</v>
      </c>
      <c r="B18" s="4" t="s">
        <v>155</v>
      </c>
      <c r="C18" s="794">
        <v>647.95799999999997</v>
      </c>
      <c r="D18" s="794">
        <v>193.16800000000001</v>
      </c>
      <c r="E18" s="833"/>
      <c r="F18" s="833"/>
    </row>
    <row r="19" spans="1:6" ht="13" x14ac:dyDescent="0.3">
      <c r="A19" s="2">
        <v>18</v>
      </c>
      <c r="B19" s="4" t="s">
        <v>156</v>
      </c>
      <c r="C19" s="794">
        <v>3404.99</v>
      </c>
      <c r="D19" s="794">
        <v>1452.3979999999999</v>
      </c>
      <c r="E19" s="833"/>
      <c r="F19" s="833"/>
    </row>
    <row r="20" spans="1:6" ht="13" x14ac:dyDescent="0.3">
      <c r="A20" s="2">
        <v>19</v>
      </c>
      <c r="B20" s="4" t="s">
        <v>311</v>
      </c>
      <c r="C20" s="795">
        <f>77694.146+8130.466+101331.046+26676.804</f>
        <v>213832.462</v>
      </c>
      <c r="D20" s="795">
        <f>30969.17+3316.17+41584.675+10024.081</f>
        <v>85894.096000000005</v>
      </c>
    </row>
    <row r="21" spans="1:6" ht="13" x14ac:dyDescent="0.3">
      <c r="A21" s="2">
        <v>20</v>
      </c>
      <c r="B21" s="4" t="s">
        <v>312</v>
      </c>
      <c r="C21" s="9">
        <v>161000</v>
      </c>
      <c r="D21" s="9">
        <v>41500</v>
      </c>
    </row>
    <row r="22" spans="1:6" ht="13" x14ac:dyDescent="0.3">
      <c r="A22" s="2">
        <v>21</v>
      </c>
      <c r="B22" s="4" t="s">
        <v>144</v>
      </c>
      <c r="C22" s="794">
        <v>218.27</v>
      </c>
      <c r="D22" s="794">
        <v>84.725999999999999</v>
      </c>
    </row>
    <row r="23" spans="1:6" ht="13" x14ac:dyDescent="0.3">
      <c r="A23" s="2">
        <v>22</v>
      </c>
      <c r="B23" s="4" t="s">
        <v>148</v>
      </c>
      <c r="C23" s="794">
        <v>918.67600000000004</v>
      </c>
      <c r="D23" s="794">
        <v>537.04100000000005</v>
      </c>
    </row>
    <row r="24" spans="1:6" ht="13" x14ac:dyDescent="0.3">
      <c r="A24" s="2">
        <v>23</v>
      </c>
      <c r="B24" s="4" t="s">
        <v>149</v>
      </c>
      <c r="C24" s="836">
        <v>6677.0550000000003</v>
      </c>
      <c r="D24" s="836">
        <v>3634.4319999999998</v>
      </c>
    </row>
    <row r="25" spans="1:6" ht="13" x14ac:dyDescent="0.3">
      <c r="A25" s="2">
        <v>24</v>
      </c>
      <c r="B25" s="4" t="s">
        <v>150</v>
      </c>
      <c r="C25" s="836"/>
      <c r="D25" s="836"/>
    </row>
    <row r="26" spans="1:6" x14ac:dyDescent="0.25">
      <c r="C26" s="5"/>
      <c r="D26" s="5"/>
    </row>
    <row r="29" spans="1:6" ht="13" x14ac:dyDescent="0.3">
      <c r="C29" s="7" t="s">
        <v>577</v>
      </c>
      <c r="D29" s="6" t="s">
        <v>575</v>
      </c>
      <c r="E29" s="6" t="s">
        <v>576</v>
      </c>
    </row>
    <row r="30" spans="1:6" ht="13" x14ac:dyDescent="0.3">
      <c r="A30" s="2">
        <v>1</v>
      </c>
      <c r="B30" s="4" t="s">
        <v>313</v>
      </c>
      <c r="C30" s="9">
        <f t="shared" ref="C30:D42" si="0">C2</f>
        <v>6417.5</v>
      </c>
      <c r="D30" s="9">
        <f t="shared" si="0"/>
        <v>1288.4000000000001</v>
      </c>
      <c r="E30">
        <f>D30/C30</f>
        <v>0.20076353720296067</v>
      </c>
    </row>
    <row r="31" spans="1:6" ht="13" x14ac:dyDescent="0.3">
      <c r="A31" s="2">
        <v>2</v>
      </c>
      <c r="B31" s="4" t="s">
        <v>314</v>
      </c>
      <c r="C31" s="9">
        <f t="shared" si="0"/>
        <v>14224.519</v>
      </c>
      <c r="D31" s="9">
        <f t="shared" si="0"/>
        <v>5793.13</v>
      </c>
      <c r="E31">
        <f t="shared" ref="E31:E51" si="1">D31/C31</f>
        <v>0.4072636832219072</v>
      </c>
    </row>
    <row r="32" spans="1:6" ht="13" x14ac:dyDescent="0.3">
      <c r="A32" s="2">
        <v>3</v>
      </c>
      <c r="B32" s="4" t="s">
        <v>307</v>
      </c>
      <c r="C32" s="9">
        <f t="shared" si="0"/>
        <v>9430.64</v>
      </c>
      <c r="D32" s="9">
        <f t="shared" si="0"/>
        <v>3840.607</v>
      </c>
      <c r="E32">
        <f t="shared" si="1"/>
        <v>0.4072477583705878</v>
      </c>
    </row>
    <row r="33" spans="1:5" ht="13" x14ac:dyDescent="0.3">
      <c r="A33" s="2">
        <v>4</v>
      </c>
      <c r="B33" s="4" t="s">
        <v>122</v>
      </c>
      <c r="C33" s="9">
        <f t="shared" si="0"/>
        <v>1429.0229999999999</v>
      </c>
      <c r="D33" s="9">
        <f t="shared" si="0"/>
        <v>589.01199999999994</v>
      </c>
      <c r="E33">
        <f t="shared" si="1"/>
        <v>0.41217811049927117</v>
      </c>
    </row>
    <row r="34" spans="1:5" ht="13" x14ac:dyDescent="0.3">
      <c r="A34" s="2">
        <v>5</v>
      </c>
      <c r="B34" s="4" t="s">
        <v>123</v>
      </c>
      <c r="C34" s="9">
        <f t="shared" si="0"/>
        <v>2733.3119999999999</v>
      </c>
      <c r="D34" s="9">
        <f t="shared" si="0"/>
        <v>1211.5050000000001</v>
      </c>
      <c r="E34">
        <f t="shared" si="1"/>
        <v>0.44323699599606636</v>
      </c>
    </row>
    <row r="35" spans="1:5" ht="13" x14ac:dyDescent="0.3">
      <c r="A35" s="2">
        <v>6</v>
      </c>
      <c r="B35" s="4" t="s">
        <v>308</v>
      </c>
      <c r="C35" s="9">
        <f t="shared" si="0"/>
        <v>2415.3409999999999</v>
      </c>
      <c r="D35" s="9">
        <f t="shared" si="0"/>
        <v>1021.796</v>
      </c>
      <c r="E35">
        <f t="shared" si="1"/>
        <v>0.42304419955608757</v>
      </c>
    </row>
    <row r="36" spans="1:5" ht="13" x14ac:dyDescent="0.3">
      <c r="A36" s="2">
        <v>7</v>
      </c>
      <c r="B36" s="4" t="s">
        <v>130</v>
      </c>
      <c r="C36" s="9">
        <f t="shared" si="0"/>
        <v>968.31600000000003</v>
      </c>
      <c r="D36" s="9">
        <f t="shared" si="0"/>
        <v>534.08799999999997</v>
      </c>
      <c r="E36">
        <f t="shared" si="1"/>
        <v>0.5515637457193725</v>
      </c>
    </row>
    <row r="37" spans="1:5" ht="13" x14ac:dyDescent="0.3">
      <c r="A37" s="2">
        <v>8</v>
      </c>
      <c r="B37" s="4" t="s">
        <v>131</v>
      </c>
      <c r="C37" s="9">
        <f t="shared" si="0"/>
        <v>1672.4079999999999</v>
      </c>
      <c r="D37" s="9">
        <f t="shared" si="0"/>
        <v>831.67100000000005</v>
      </c>
      <c r="E37">
        <f t="shared" si="1"/>
        <v>0.49728953700293238</v>
      </c>
    </row>
    <row r="38" spans="1:5" ht="13" x14ac:dyDescent="0.3">
      <c r="A38" s="2">
        <v>9</v>
      </c>
      <c r="B38" s="4" t="s">
        <v>135</v>
      </c>
      <c r="C38" s="9">
        <f t="shared" si="0"/>
        <v>4385.3590000000004</v>
      </c>
      <c r="D38" s="9">
        <f t="shared" si="0"/>
        <v>1769.1869999999999</v>
      </c>
      <c r="E38">
        <f t="shared" si="1"/>
        <v>0.40343036909863017</v>
      </c>
    </row>
    <row r="39" spans="1:5" ht="13" x14ac:dyDescent="0.3">
      <c r="A39" s="2">
        <v>10</v>
      </c>
      <c r="B39" s="4" t="s">
        <v>136</v>
      </c>
      <c r="C39" s="9">
        <f t="shared" si="0"/>
        <v>1837.6579999999999</v>
      </c>
      <c r="D39" s="9">
        <f t="shared" si="0"/>
        <v>810.16399999999999</v>
      </c>
      <c r="E39">
        <f t="shared" si="1"/>
        <v>0.44086766960990564</v>
      </c>
    </row>
    <row r="40" spans="1:5" ht="13" x14ac:dyDescent="0.3">
      <c r="A40" s="2">
        <v>11</v>
      </c>
      <c r="B40" s="4" t="s">
        <v>137</v>
      </c>
      <c r="C40" s="9">
        <f t="shared" si="0"/>
        <v>676.71199999999999</v>
      </c>
      <c r="D40" s="9">
        <f t="shared" si="0"/>
        <v>316.738</v>
      </c>
      <c r="E40">
        <f t="shared" si="1"/>
        <v>0.46805435694948516</v>
      </c>
    </row>
    <row r="41" spans="1:5" ht="13" x14ac:dyDescent="0.3">
      <c r="A41" s="2">
        <v>12</v>
      </c>
      <c r="B41" s="4" t="s">
        <v>309</v>
      </c>
      <c r="C41" s="9">
        <f t="shared" si="0"/>
        <v>72081.751000000018</v>
      </c>
      <c r="D41" s="9">
        <f t="shared" si="0"/>
        <v>31028.123000000003</v>
      </c>
      <c r="E41">
        <f t="shared" si="1"/>
        <v>0.43045739829488877</v>
      </c>
    </row>
    <row r="42" spans="1:5" ht="13" x14ac:dyDescent="0.3">
      <c r="A42" s="2">
        <v>13</v>
      </c>
      <c r="B42" s="4" t="s">
        <v>310</v>
      </c>
      <c r="C42" s="9">
        <f t="shared" si="0"/>
        <v>36013.146000000001</v>
      </c>
      <c r="D42" s="9">
        <f t="shared" si="0"/>
        <v>19441.457999999999</v>
      </c>
      <c r="E42">
        <f t="shared" si="1"/>
        <v>0.53984336719707848</v>
      </c>
    </row>
    <row r="43" spans="1:5" ht="13" x14ac:dyDescent="0.3">
      <c r="A43" s="2">
        <v>14</v>
      </c>
      <c r="B43" s="4" t="s">
        <v>152</v>
      </c>
      <c r="C43" s="796">
        <f>E15-SUM(C44:C47)</f>
        <v>13962.168999999998</v>
      </c>
      <c r="D43" s="796">
        <f>F15-SUM(D44:D47)</f>
        <v>5981.0039999999999</v>
      </c>
      <c r="E43">
        <f t="shared" si="1"/>
        <v>0.42837212470354719</v>
      </c>
    </row>
    <row r="44" spans="1:5" ht="13" x14ac:dyDescent="0.3">
      <c r="A44" s="2">
        <v>15</v>
      </c>
      <c r="B44" s="4" t="s">
        <v>153</v>
      </c>
      <c r="C44" s="9">
        <f t="shared" ref="C44:D52" si="2">C16</f>
        <v>4885.6289999999999</v>
      </c>
      <c r="D44" s="9">
        <f t="shared" si="2"/>
        <v>2156.9479999999999</v>
      </c>
      <c r="E44">
        <f t="shared" si="1"/>
        <v>0.44148829147690088</v>
      </c>
    </row>
    <row r="45" spans="1:5" ht="13" x14ac:dyDescent="0.3">
      <c r="A45" s="2">
        <v>16</v>
      </c>
      <c r="B45" s="4" t="s">
        <v>154</v>
      </c>
      <c r="C45" s="9">
        <f t="shared" si="2"/>
        <v>8467.9110000000001</v>
      </c>
      <c r="D45" s="9">
        <f t="shared" si="2"/>
        <v>3100.319</v>
      </c>
      <c r="E45">
        <f t="shared" si="1"/>
        <v>0.36612560051705784</v>
      </c>
    </row>
    <row r="46" spans="1:5" ht="13" x14ac:dyDescent="0.3">
      <c r="A46" s="2">
        <v>17</v>
      </c>
      <c r="B46" s="4" t="s">
        <v>155</v>
      </c>
      <c r="C46" s="9">
        <f t="shared" si="2"/>
        <v>647.95799999999997</v>
      </c>
      <c r="D46" s="9">
        <f t="shared" si="2"/>
        <v>193.16800000000001</v>
      </c>
      <c r="E46">
        <f t="shared" si="1"/>
        <v>0.298118087900759</v>
      </c>
    </row>
    <row r="47" spans="1:5" ht="13" x14ac:dyDescent="0.3">
      <c r="A47" s="2">
        <v>18</v>
      </c>
      <c r="B47" s="4" t="s">
        <v>156</v>
      </c>
      <c r="C47" s="9">
        <f t="shared" si="2"/>
        <v>3404.99</v>
      </c>
      <c r="D47" s="9">
        <f t="shared" si="2"/>
        <v>1452.3979999999999</v>
      </c>
      <c r="E47">
        <f t="shared" si="1"/>
        <v>0.42654985770883319</v>
      </c>
    </row>
    <row r="48" spans="1:5" ht="17.25" customHeight="1" x14ac:dyDescent="0.3">
      <c r="A48" s="2">
        <v>19</v>
      </c>
      <c r="B48" s="4" t="s">
        <v>311</v>
      </c>
      <c r="C48" s="9">
        <f t="shared" si="2"/>
        <v>213832.462</v>
      </c>
      <c r="D48" s="9">
        <f t="shared" si="2"/>
        <v>85894.096000000005</v>
      </c>
      <c r="E48">
        <f t="shared" si="1"/>
        <v>0.40168875762184325</v>
      </c>
    </row>
    <row r="49" spans="1:5" ht="13" x14ac:dyDescent="0.3">
      <c r="A49" s="2">
        <v>20</v>
      </c>
      <c r="B49" s="4" t="s">
        <v>312</v>
      </c>
      <c r="C49" s="9">
        <f t="shared" si="2"/>
        <v>161000</v>
      </c>
      <c r="D49" s="9">
        <f t="shared" si="2"/>
        <v>41500</v>
      </c>
      <c r="E49">
        <f t="shared" si="1"/>
        <v>0.25776397515527949</v>
      </c>
    </row>
    <row r="50" spans="1:5" ht="13" x14ac:dyDescent="0.3">
      <c r="A50" s="2">
        <v>21</v>
      </c>
      <c r="B50" s="4" t="s">
        <v>144</v>
      </c>
      <c r="C50" s="9">
        <f t="shared" si="2"/>
        <v>218.27</v>
      </c>
      <c r="D50" s="9">
        <f t="shared" si="2"/>
        <v>84.725999999999999</v>
      </c>
      <c r="E50">
        <f t="shared" si="1"/>
        <v>0.38817061437668937</v>
      </c>
    </row>
    <row r="51" spans="1:5" ht="13" x14ac:dyDescent="0.3">
      <c r="A51" s="2">
        <v>22</v>
      </c>
      <c r="B51" s="4" t="s">
        <v>148</v>
      </c>
      <c r="C51" s="9">
        <f t="shared" si="2"/>
        <v>918.67600000000004</v>
      </c>
      <c r="D51" s="9">
        <f t="shared" si="2"/>
        <v>537.04100000000005</v>
      </c>
      <c r="E51">
        <f t="shared" si="1"/>
        <v>0.58458150642881712</v>
      </c>
    </row>
    <row r="52" spans="1:5" ht="13" x14ac:dyDescent="0.3">
      <c r="A52" s="2">
        <v>23</v>
      </c>
      <c r="B52" s="4" t="s">
        <v>149</v>
      </c>
      <c r="C52" s="834">
        <f t="shared" si="2"/>
        <v>6677.0550000000003</v>
      </c>
      <c r="D52" s="834">
        <f t="shared" si="2"/>
        <v>3634.4319999999998</v>
      </c>
      <c r="E52" s="835">
        <f>D52/C52</f>
        <v>0.54431661862902125</v>
      </c>
    </row>
    <row r="53" spans="1:5" ht="13" x14ac:dyDescent="0.3">
      <c r="A53" s="2">
        <v>24</v>
      </c>
      <c r="B53" s="4" t="s">
        <v>150</v>
      </c>
      <c r="C53" s="834"/>
      <c r="D53" s="834"/>
      <c r="E53" s="835"/>
    </row>
    <row r="54" spans="1:5" ht="13" x14ac:dyDescent="0.3">
      <c r="B54" s="4" t="s">
        <v>65</v>
      </c>
      <c r="C54" s="783">
        <f>SUM(C30:C53)</f>
        <v>568300.80500000005</v>
      </c>
      <c r="D54" s="783">
        <f>SUM(D30:D53)</f>
        <v>213010.01100000003</v>
      </c>
      <c r="E54">
        <f>D54/C54</f>
        <v>0.37481912593806727</v>
      </c>
    </row>
  </sheetData>
  <mergeCells count="7">
    <mergeCell ref="E15:E19"/>
    <mergeCell ref="F15:F19"/>
    <mergeCell ref="C52:C53"/>
    <mergeCell ref="D52:D53"/>
    <mergeCell ref="E52:E53"/>
    <mergeCell ref="C24:C25"/>
    <mergeCell ref="D24:D25"/>
  </mergeCells>
  <phoneticPr fontId="12" type="noConversion"/>
  <pageMargins left="0.78740157499999996" right="0.78740157499999996" top="0.984251969" bottom="0.984251969" header="0.4921259845" footer="0.4921259845"/>
  <pageSetup paperSize="9" orientation="portrait" verticalDpi="0"/>
  <headerFooter alignWithMargins="0"/>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T64"/>
  <sheetViews>
    <sheetView zoomScaleNormal="100" workbookViewId="0">
      <pane xSplit="1" ySplit="3" topLeftCell="B41" activePane="bottomRight" state="frozen"/>
      <selection pane="topRight" activeCell="B1" sqref="B1"/>
      <selection pane="bottomLeft" activeCell="A4" sqref="A4"/>
      <selection pane="bottomRight" activeCell="D60" sqref="D60"/>
    </sheetView>
  </sheetViews>
  <sheetFormatPr baseColWidth="10" defaultColWidth="8.81640625" defaultRowHeight="12.5" outlineLevelRow="1" x14ac:dyDescent="0.25"/>
  <cols>
    <col min="1" max="1" width="10.54296875" customWidth="1"/>
    <col min="2" max="2" width="19.453125" customWidth="1"/>
    <col min="3" max="3" width="12.54296875" customWidth="1"/>
    <col min="4" max="4" width="23.1796875" customWidth="1"/>
    <col min="5" max="6" width="12" customWidth="1"/>
    <col min="7" max="7" width="12" bestFit="1" customWidth="1"/>
    <col min="8" max="8" width="12" customWidth="1"/>
    <col min="9" max="9" width="12" bestFit="1" customWidth="1"/>
    <col min="10" max="10" width="12.54296875" bestFit="1" customWidth="1"/>
    <col min="11" max="11" width="13.81640625" style="776" customWidth="1"/>
    <col min="12" max="12" width="24.453125" bestFit="1" customWidth="1"/>
    <col min="13" max="13" width="24.453125" customWidth="1"/>
    <col min="14" max="14" width="12.81640625" customWidth="1"/>
    <col min="15" max="15" width="13.81640625" bestFit="1" customWidth="1"/>
    <col min="16" max="16" width="12" bestFit="1" customWidth="1"/>
    <col min="17" max="17" width="13.54296875" bestFit="1" customWidth="1"/>
    <col min="18" max="18" width="12.81640625" customWidth="1"/>
    <col min="19" max="19" width="13.1796875" bestFit="1" customWidth="1"/>
    <col min="20" max="20" width="18" bestFit="1" customWidth="1"/>
  </cols>
  <sheetData>
    <row r="2" spans="1:20" x14ac:dyDescent="0.25">
      <c r="A2" s="199"/>
      <c r="B2" s="205" t="s">
        <v>779</v>
      </c>
      <c r="C2" s="200"/>
      <c r="D2" s="200"/>
      <c r="E2" s="200"/>
      <c r="F2" s="200"/>
      <c r="G2" s="200"/>
      <c r="H2" s="200"/>
      <c r="I2" s="200"/>
      <c r="J2" s="200"/>
      <c r="K2" s="201"/>
    </row>
    <row r="3" spans="1:20" x14ac:dyDescent="0.25">
      <c r="A3" s="205" t="s">
        <v>325</v>
      </c>
      <c r="B3" s="199" t="s">
        <v>797</v>
      </c>
      <c r="C3" s="202" t="s">
        <v>798</v>
      </c>
      <c r="D3" s="642" t="s">
        <v>795</v>
      </c>
      <c r="E3" s="202" t="s">
        <v>735</v>
      </c>
      <c r="F3" s="202" t="s">
        <v>796</v>
      </c>
      <c r="G3" s="647" t="s">
        <v>799</v>
      </c>
      <c r="H3" s="647" t="s">
        <v>800</v>
      </c>
      <c r="I3" s="647" t="s">
        <v>801</v>
      </c>
      <c r="J3" s="647" t="s">
        <v>802</v>
      </c>
      <c r="K3" s="791" t="s">
        <v>898</v>
      </c>
      <c r="L3" s="797" t="s">
        <v>905</v>
      </c>
      <c r="M3" s="783" t="s">
        <v>901</v>
      </c>
      <c r="N3" s="783" t="s">
        <v>891</v>
      </c>
      <c r="O3" s="783" t="s">
        <v>892</v>
      </c>
      <c r="P3" s="783" t="s">
        <v>893</v>
      </c>
      <c r="Q3" s="783" t="s">
        <v>894</v>
      </c>
      <c r="R3" s="783" t="s">
        <v>895</v>
      </c>
      <c r="S3" s="783" t="s">
        <v>899</v>
      </c>
      <c r="T3" s="783" t="s">
        <v>900</v>
      </c>
    </row>
    <row r="4" spans="1:20" outlineLevel="1" x14ac:dyDescent="0.25">
      <c r="A4" s="199">
        <v>1</v>
      </c>
      <c r="B4" s="58">
        <v>69531</v>
      </c>
      <c r="C4" s="64">
        <v>-7901</v>
      </c>
      <c r="D4" s="643">
        <v>77432</v>
      </c>
      <c r="E4" s="64">
        <v>44173</v>
      </c>
      <c r="F4" s="64">
        <v>33259</v>
      </c>
      <c r="G4" s="648">
        <v>8891</v>
      </c>
      <c r="H4" s="648">
        <v>30234</v>
      </c>
      <c r="I4" s="648">
        <v>1475</v>
      </c>
      <c r="J4" s="648">
        <v>-7341</v>
      </c>
      <c r="K4" s="59">
        <v>390.18899999999996</v>
      </c>
      <c r="L4" s="8"/>
    </row>
    <row r="5" spans="1:20" outlineLevel="1" x14ac:dyDescent="0.25">
      <c r="A5" s="203">
        <v>2</v>
      </c>
      <c r="B5" s="60">
        <v>129616</v>
      </c>
      <c r="C5" s="65">
        <v>8274</v>
      </c>
      <c r="D5" s="644">
        <v>121342</v>
      </c>
      <c r="E5" s="65">
        <v>92650</v>
      </c>
      <c r="F5" s="65">
        <v>28692</v>
      </c>
      <c r="G5" s="649">
        <v>16563</v>
      </c>
      <c r="H5" s="649">
        <v>10232</v>
      </c>
      <c r="I5" s="649">
        <v>2111</v>
      </c>
      <c r="J5" s="649">
        <v>-214</v>
      </c>
      <c r="K5" s="61">
        <v>484.06599999999997</v>
      </c>
      <c r="L5" s="8"/>
    </row>
    <row r="6" spans="1:20" outlineLevel="1" x14ac:dyDescent="0.25">
      <c r="A6" s="203">
        <v>3</v>
      </c>
      <c r="B6" s="60">
        <v>89440.2</v>
      </c>
      <c r="C6" s="65">
        <v>189</v>
      </c>
      <c r="D6" s="644">
        <v>89251.199999999997</v>
      </c>
      <c r="E6" s="65">
        <v>75884</v>
      </c>
      <c r="F6" s="65">
        <v>13367.2</v>
      </c>
      <c r="G6" s="649">
        <v>9884.6</v>
      </c>
      <c r="H6" s="649">
        <v>2534.1999999999998</v>
      </c>
      <c r="I6" s="649">
        <v>1070.0999999999999</v>
      </c>
      <c r="J6" s="649">
        <v>-121.7</v>
      </c>
      <c r="K6" s="61">
        <v>213.88260000000002</v>
      </c>
      <c r="L6" s="8"/>
    </row>
    <row r="7" spans="1:20" outlineLevel="1" x14ac:dyDescent="0.25">
      <c r="A7" s="203">
        <v>4</v>
      </c>
      <c r="B7" s="60">
        <v>6754</v>
      </c>
      <c r="C7" s="65">
        <v>102</v>
      </c>
      <c r="D7" s="644">
        <v>6652</v>
      </c>
      <c r="E7" s="65">
        <v>4189</v>
      </c>
      <c r="F7" s="65">
        <v>2463</v>
      </c>
      <c r="G7" s="649">
        <v>1728</v>
      </c>
      <c r="H7" s="649">
        <v>557</v>
      </c>
      <c r="I7" s="649">
        <v>195</v>
      </c>
      <c r="J7" s="649">
        <v>-17</v>
      </c>
      <c r="K7" s="61">
        <v>37.597000000000001</v>
      </c>
      <c r="L7" s="8"/>
    </row>
    <row r="8" spans="1:20" outlineLevel="1" x14ac:dyDescent="0.25">
      <c r="A8" s="203">
        <v>5</v>
      </c>
      <c r="B8" s="60">
        <v>19667</v>
      </c>
      <c r="C8" s="65">
        <v>46</v>
      </c>
      <c r="D8" s="644">
        <v>19621</v>
      </c>
      <c r="E8" s="65">
        <v>13183</v>
      </c>
      <c r="F8" s="65">
        <v>6438</v>
      </c>
      <c r="G8" s="649">
        <v>3761</v>
      </c>
      <c r="H8" s="649">
        <v>2204</v>
      </c>
      <c r="I8" s="649">
        <v>502</v>
      </c>
      <c r="J8" s="649">
        <v>-29</v>
      </c>
      <c r="K8" s="61">
        <v>84.48</v>
      </c>
      <c r="L8" s="8"/>
    </row>
    <row r="9" spans="1:20" outlineLevel="1" x14ac:dyDescent="0.25">
      <c r="A9" s="203">
        <v>6</v>
      </c>
      <c r="B9" s="60">
        <v>19908</v>
      </c>
      <c r="C9" s="65">
        <v>652</v>
      </c>
      <c r="D9" s="644">
        <v>19256</v>
      </c>
      <c r="E9" s="65">
        <v>14701</v>
      </c>
      <c r="F9" s="65">
        <v>4555</v>
      </c>
      <c r="G9" s="649">
        <v>3275</v>
      </c>
      <c r="H9" s="649">
        <v>855</v>
      </c>
      <c r="I9" s="649">
        <v>446</v>
      </c>
      <c r="J9" s="649">
        <v>-21</v>
      </c>
      <c r="K9" s="61">
        <v>72.926999999999992</v>
      </c>
      <c r="L9" s="8"/>
    </row>
    <row r="10" spans="1:20" outlineLevel="1" x14ac:dyDescent="0.25">
      <c r="A10" s="203">
        <v>7</v>
      </c>
      <c r="B10" s="60">
        <v>5993</v>
      </c>
      <c r="C10" s="65">
        <v>18</v>
      </c>
      <c r="D10" s="644">
        <v>5975</v>
      </c>
      <c r="E10" s="65">
        <v>5150</v>
      </c>
      <c r="F10" s="65">
        <v>825</v>
      </c>
      <c r="G10" s="649">
        <v>1054</v>
      </c>
      <c r="H10" s="649">
        <v>-362</v>
      </c>
      <c r="I10" s="649">
        <v>148</v>
      </c>
      <c r="J10" s="649">
        <v>-15</v>
      </c>
      <c r="K10" s="61">
        <v>13.672000000000001</v>
      </c>
      <c r="L10" s="8"/>
    </row>
    <row r="11" spans="1:20" outlineLevel="1" x14ac:dyDescent="0.25">
      <c r="A11" s="203">
        <v>8</v>
      </c>
      <c r="B11" s="60">
        <v>23764</v>
      </c>
      <c r="C11" s="65">
        <v>496</v>
      </c>
      <c r="D11" s="644">
        <v>23268</v>
      </c>
      <c r="E11" s="65">
        <v>19416</v>
      </c>
      <c r="F11" s="65">
        <v>3852</v>
      </c>
      <c r="G11" s="649">
        <v>1763</v>
      </c>
      <c r="H11" s="649">
        <v>1625</v>
      </c>
      <c r="I11" s="649">
        <v>490</v>
      </c>
      <c r="J11" s="649">
        <v>-26</v>
      </c>
      <c r="K11" s="61">
        <v>18.657</v>
      </c>
      <c r="L11" s="8"/>
    </row>
    <row r="12" spans="1:20" outlineLevel="1" x14ac:dyDescent="0.25">
      <c r="A12" s="203">
        <v>9</v>
      </c>
      <c r="B12" s="60">
        <v>25169</v>
      </c>
      <c r="C12" s="65">
        <v>0</v>
      </c>
      <c r="D12" s="644">
        <v>25169</v>
      </c>
      <c r="E12" s="65">
        <v>17661</v>
      </c>
      <c r="F12" s="65">
        <v>7508</v>
      </c>
      <c r="G12" s="649">
        <v>5672</v>
      </c>
      <c r="H12" s="649">
        <v>1299</v>
      </c>
      <c r="I12" s="649">
        <v>579</v>
      </c>
      <c r="J12" s="649">
        <v>-42</v>
      </c>
      <c r="K12" s="61">
        <v>153.96899999999999</v>
      </c>
      <c r="L12" s="8"/>
    </row>
    <row r="13" spans="1:20" outlineLevel="1" x14ac:dyDescent="0.25">
      <c r="A13" s="203">
        <v>10</v>
      </c>
      <c r="B13" s="60">
        <v>27396</v>
      </c>
      <c r="C13" s="65">
        <v>3200</v>
      </c>
      <c r="D13" s="644">
        <v>24196</v>
      </c>
      <c r="E13" s="65">
        <v>19545</v>
      </c>
      <c r="F13" s="65">
        <v>4651</v>
      </c>
      <c r="G13" s="649">
        <v>2233</v>
      </c>
      <c r="H13" s="649">
        <v>2073</v>
      </c>
      <c r="I13" s="649">
        <v>364</v>
      </c>
      <c r="J13" s="649">
        <v>-19</v>
      </c>
      <c r="K13" s="61">
        <v>37.598999999999997</v>
      </c>
      <c r="L13" s="8"/>
    </row>
    <row r="14" spans="1:20" outlineLevel="1" x14ac:dyDescent="0.25">
      <c r="A14" s="203">
        <v>11</v>
      </c>
      <c r="B14" s="60">
        <v>12661</v>
      </c>
      <c r="C14" s="65">
        <v>1155</v>
      </c>
      <c r="D14" s="644">
        <v>11506</v>
      </c>
      <c r="E14" s="65">
        <v>9493</v>
      </c>
      <c r="F14" s="65">
        <v>2013</v>
      </c>
      <c r="G14" s="649">
        <v>905</v>
      </c>
      <c r="H14" s="649">
        <v>954</v>
      </c>
      <c r="I14" s="649">
        <v>163</v>
      </c>
      <c r="J14" s="649">
        <v>-9</v>
      </c>
      <c r="K14" s="61">
        <v>14.268000000000001</v>
      </c>
      <c r="L14" s="8"/>
    </row>
    <row r="15" spans="1:20" outlineLevel="1" x14ac:dyDescent="0.25">
      <c r="A15" s="203">
        <v>12</v>
      </c>
      <c r="B15" s="60">
        <v>434957.8</v>
      </c>
      <c r="C15" s="65">
        <v>-7940</v>
      </c>
      <c r="D15" s="644">
        <v>442897.8</v>
      </c>
      <c r="E15" s="65">
        <v>310003</v>
      </c>
      <c r="F15" s="65">
        <v>132894.79999999999</v>
      </c>
      <c r="G15" s="649">
        <v>93138.4</v>
      </c>
      <c r="H15" s="649">
        <v>33081.800000000003</v>
      </c>
      <c r="I15" s="649">
        <v>8284.9</v>
      </c>
      <c r="J15" s="649">
        <v>-1610.3</v>
      </c>
      <c r="K15" s="61">
        <v>2030.9644000000001</v>
      </c>
      <c r="L15" s="8"/>
    </row>
    <row r="16" spans="1:20" outlineLevel="1" x14ac:dyDescent="0.25">
      <c r="A16" s="203">
        <v>13</v>
      </c>
      <c r="B16" s="60">
        <v>229731</v>
      </c>
      <c r="C16" s="65">
        <v>1057</v>
      </c>
      <c r="D16" s="644">
        <v>228674</v>
      </c>
      <c r="E16" s="65">
        <v>129106</v>
      </c>
      <c r="F16" s="65">
        <v>99568</v>
      </c>
      <c r="G16" s="649">
        <v>54178</v>
      </c>
      <c r="H16" s="649">
        <v>43001</v>
      </c>
      <c r="I16" s="649">
        <v>2829</v>
      </c>
      <c r="J16" s="649">
        <v>-440</v>
      </c>
      <c r="K16" s="61">
        <v>1498.4110000000001</v>
      </c>
      <c r="L16" s="8"/>
    </row>
    <row r="17" spans="1:12" outlineLevel="1" x14ac:dyDescent="0.25">
      <c r="A17" s="203">
        <v>14</v>
      </c>
      <c r="B17" s="60">
        <v>10144.709689341518</v>
      </c>
      <c r="C17" s="65">
        <v>-7</v>
      </c>
      <c r="D17" s="644">
        <v>10151.709689341518</v>
      </c>
      <c r="E17" s="65">
        <v>3760.0358088824096</v>
      </c>
      <c r="F17" s="65">
        <v>6391.6738804591096</v>
      </c>
      <c r="G17" s="649">
        <v>5077.1439131059687</v>
      </c>
      <c r="H17" s="649">
        <v>982.74048826560988</v>
      </c>
      <c r="I17" s="649">
        <v>427.90563209658541</v>
      </c>
      <c r="J17" s="649">
        <v>-96.116153009054884</v>
      </c>
      <c r="K17" s="61">
        <v>100.57338324127878</v>
      </c>
      <c r="L17" s="8"/>
    </row>
    <row r="18" spans="1:12" outlineLevel="1" x14ac:dyDescent="0.25">
      <c r="A18" s="203">
        <v>15</v>
      </c>
      <c r="B18" s="60">
        <v>17708</v>
      </c>
      <c r="C18" s="65">
        <v>504</v>
      </c>
      <c r="D18" s="644">
        <v>17204</v>
      </c>
      <c r="E18" s="65">
        <v>5528</v>
      </c>
      <c r="F18" s="65">
        <v>11676</v>
      </c>
      <c r="G18" s="649">
        <v>7674</v>
      </c>
      <c r="H18" s="649">
        <v>3636</v>
      </c>
      <c r="I18" s="649">
        <v>774</v>
      </c>
      <c r="J18" s="649">
        <v>-408</v>
      </c>
      <c r="K18" s="61">
        <v>184.85</v>
      </c>
      <c r="L18" s="8"/>
    </row>
    <row r="19" spans="1:12" outlineLevel="1" x14ac:dyDescent="0.25">
      <c r="A19" s="203">
        <v>16</v>
      </c>
      <c r="B19" s="60">
        <v>51998.142604885004</v>
      </c>
      <c r="C19" s="65">
        <v>0</v>
      </c>
      <c r="D19" s="644">
        <v>51998.142604885004</v>
      </c>
      <c r="E19" s="65">
        <v>29253.877250154728</v>
      </c>
      <c r="F19" s="65">
        <v>22744.265354730276</v>
      </c>
      <c r="G19" s="649">
        <v>15212.018473487993</v>
      </c>
      <c r="H19" s="649">
        <v>6554.0147482847933</v>
      </c>
      <c r="I19" s="649">
        <v>1099.1871811944702</v>
      </c>
      <c r="J19" s="649">
        <v>-120.95504823698158</v>
      </c>
      <c r="K19" s="61">
        <v>422.87549427579995</v>
      </c>
      <c r="L19" s="8"/>
    </row>
    <row r="20" spans="1:12" outlineLevel="1" x14ac:dyDescent="0.25">
      <c r="A20" s="203">
        <v>17</v>
      </c>
      <c r="B20" s="60">
        <v>12381.120558721816</v>
      </c>
      <c r="C20" s="65">
        <v>2</v>
      </c>
      <c r="D20" s="644">
        <v>12379.120558721816</v>
      </c>
      <c r="E20" s="65">
        <v>9039.2159297901853</v>
      </c>
      <c r="F20" s="65">
        <v>3339.9046289316293</v>
      </c>
      <c r="G20" s="649">
        <v>1855.0249969934384</v>
      </c>
      <c r="H20" s="649">
        <v>1342.5163043637676</v>
      </c>
      <c r="I20" s="649">
        <v>156.64229249591548</v>
      </c>
      <c r="J20" s="649">
        <v>-14.278964921492076</v>
      </c>
      <c r="K20" s="61">
        <v>44.388734871128499</v>
      </c>
      <c r="L20" s="8"/>
    </row>
    <row r="21" spans="1:12" outlineLevel="1" x14ac:dyDescent="0.25">
      <c r="A21" s="203">
        <v>18</v>
      </c>
      <c r="B21" s="60">
        <v>18849.027147051664</v>
      </c>
      <c r="C21" s="65">
        <v>2</v>
      </c>
      <c r="D21" s="644">
        <v>18847.027147051664</v>
      </c>
      <c r="E21" s="65">
        <v>11713.871011172676</v>
      </c>
      <c r="F21" s="65">
        <v>7133.1561358789868</v>
      </c>
      <c r="G21" s="649">
        <v>5300.8126164125997</v>
      </c>
      <c r="H21" s="649">
        <v>1627.7284590858292</v>
      </c>
      <c r="I21" s="649">
        <v>277.26489421302881</v>
      </c>
      <c r="J21" s="649">
        <v>-72.649833832471458</v>
      </c>
      <c r="K21" s="61">
        <v>76.275387611792766</v>
      </c>
      <c r="L21" s="8"/>
    </row>
    <row r="22" spans="1:12" outlineLevel="1" x14ac:dyDescent="0.25">
      <c r="A22" s="203">
        <v>19</v>
      </c>
      <c r="B22" s="60">
        <v>1606209</v>
      </c>
      <c r="C22" s="65">
        <v>33229</v>
      </c>
      <c r="D22" s="644">
        <v>1572980</v>
      </c>
      <c r="E22" s="65">
        <v>661524</v>
      </c>
      <c r="F22" s="65">
        <v>911456</v>
      </c>
      <c r="G22" s="649">
        <v>445232</v>
      </c>
      <c r="H22" s="649">
        <v>431699</v>
      </c>
      <c r="I22" s="649">
        <v>43449</v>
      </c>
      <c r="J22" s="649">
        <v>-8924</v>
      </c>
      <c r="K22" s="61">
        <v>10534.573999999999</v>
      </c>
      <c r="L22" s="8"/>
    </row>
    <row r="23" spans="1:12" outlineLevel="1" x14ac:dyDescent="0.25">
      <c r="A23" s="203">
        <v>20</v>
      </c>
      <c r="B23" s="60">
        <v>343672</v>
      </c>
      <c r="C23" s="65">
        <v>-33070</v>
      </c>
      <c r="D23" s="644">
        <v>376742</v>
      </c>
      <c r="E23" s="65">
        <v>91546</v>
      </c>
      <c r="F23" s="65">
        <v>285196</v>
      </c>
      <c r="G23" s="649">
        <v>242625</v>
      </c>
      <c r="H23" s="649">
        <v>38303</v>
      </c>
      <c r="I23" s="649">
        <v>7632</v>
      </c>
      <c r="J23" s="649">
        <v>-3364</v>
      </c>
      <c r="K23" s="61">
        <v>5922.5259999999998</v>
      </c>
      <c r="L23" s="8"/>
    </row>
    <row r="24" spans="1:12" outlineLevel="1" x14ac:dyDescent="0.25">
      <c r="A24" s="203">
        <v>21</v>
      </c>
      <c r="B24" s="60">
        <v>131</v>
      </c>
      <c r="C24" s="65">
        <v>96</v>
      </c>
      <c r="D24" s="644">
        <v>35</v>
      </c>
      <c r="E24" s="65">
        <v>35</v>
      </c>
      <c r="F24" s="65">
        <v>0</v>
      </c>
      <c r="G24" s="649">
        <v>21</v>
      </c>
      <c r="H24" s="649">
        <v>-22</v>
      </c>
      <c r="I24" s="649">
        <v>1</v>
      </c>
      <c r="J24" s="649">
        <v>0</v>
      </c>
      <c r="K24" s="61">
        <v>0.59899999999999998</v>
      </c>
      <c r="L24" s="8"/>
    </row>
    <row r="25" spans="1:12" outlineLevel="1" x14ac:dyDescent="0.25">
      <c r="A25" s="203">
        <v>22</v>
      </c>
      <c r="B25" s="60">
        <v>50376.336478262776</v>
      </c>
      <c r="C25" s="65">
        <v>-582.56131517884501</v>
      </c>
      <c r="D25" s="644">
        <v>50958.897793441618</v>
      </c>
      <c r="E25" s="65">
        <v>48264.545608773697</v>
      </c>
      <c r="F25" s="65">
        <v>2694.3521846679218</v>
      </c>
      <c r="G25" s="649">
        <v>707.25199203187253</v>
      </c>
      <c r="H25" s="649">
        <v>1554.5343899128759</v>
      </c>
      <c r="I25" s="649">
        <v>470.47806575894225</v>
      </c>
      <c r="J25" s="649">
        <v>-37.912263035769016</v>
      </c>
      <c r="K25" s="61">
        <v>15.081853147848168</v>
      </c>
      <c r="L25" s="8"/>
    </row>
    <row r="26" spans="1:12" outlineLevel="1" x14ac:dyDescent="0.25">
      <c r="A26" s="203">
        <v>23</v>
      </c>
      <c r="B26" s="60">
        <v>46037</v>
      </c>
      <c r="C26" s="65">
        <v>2</v>
      </c>
      <c r="D26" s="644">
        <v>46035</v>
      </c>
      <c r="E26" s="65">
        <v>27203</v>
      </c>
      <c r="F26" s="65">
        <v>18832</v>
      </c>
      <c r="G26" s="649">
        <v>6901</v>
      </c>
      <c r="H26" s="649">
        <v>9892</v>
      </c>
      <c r="I26" s="649">
        <v>2082</v>
      </c>
      <c r="J26" s="649">
        <v>-43</v>
      </c>
      <c r="K26" s="61">
        <v>95.290999999999997</v>
      </c>
      <c r="L26" s="8"/>
    </row>
    <row r="27" spans="1:12" outlineLevel="1" x14ac:dyDescent="0.25">
      <c r="A27" s="203">
        <v>24</v>
      </c>
      <c r="B27" s="60">
        <v>23989.663521737228</v>
      </c>
      <c r="C27" s="65">
        <v>476.56131517884506</v>
      </c>
      <c r="D27" s="644">
        <v>23513.102206558382</v>
      </c>
      <c r="E27" s="65">
        <v>18359.454391226303</v>
      </c>
      <c r="F27" s="65">
        <v>5153.6478153320786</v>
      </c>
      <c r="G27" s="649">
        <v>2019.7480079681275</v>
      </c>
      <c r="H27" s="649">
        <v>2829.4656100871239</v>
      </c>
      <c r="I27" s="649">
        <v>328.52193424105775</v>
      </c>
      <c r="J27" s="649">
        <v>-24.087736964230988</v>
      </c>
      <c r="K27" s="61">
        <v>28.467146852151831</v>
      </c>
      <c r="L27" s="8"/>
    </row>
    <row r="28" spans="1:12" outlineLevel="1" x14ac:dyDescent="0.25">
      <c r="A28" s="203">
        <v>27</v>
      </c>
      <c r="B28" s="60">
        <v>3276084</v>
      </c>
      <c r="C28" s="65">
        <v>0</v>
      </c>
      <c r="D28" s="644">
        <v>3276084</v>
      </c>
      <c r="E28" s="65">
        <v>1661381</v>
      </c>
      <c r="F28" s="65">
        <v>1614703</v>
      </c>
      <c r="G28" s="649">
        <v>935671</v>
      </c>
      <c r="H28" s="649">
        <v>626687</v>
      </c>
      <c r="I28" s="649">
        <v>75355</v>
      </c>
      <c r="J28" s="649">
        <v>-23010</v>
      </c>
      <c r="K28" s="61">
        <v>22476.184000000001</v>
      </c>
      <c r="L28" s="8"/>
    </row>
    <row r="29" spans="1:12" outlineLevel="1" x14ac:dyDescent="0.25">
      <c r="A29" s="204" t="s">
        <v>896</v>
      </c>
      <c r="B29" s="62">
        <v>6552168</v>
      </c>
      <c r="C29" s="66">
        <v>5.6843418860808015E-14</v>
      </c>
      <c r="D29" s="645">
        <v>6552168</v>
      </c>
      <c r="E29" s="66">
        <v>3322762</v>
      </c>
      <c r="F29" s="66">
        <v>3229406</v>
      </c>
      <c r="G29" s="650">
        <v>1871342</v>
      </c>
      <c r="H29" s="650">
        <v>1253374</v>
      </c>
      <c r="I29" s="650">
        <v>150710</v>
      </c>
      <c r="J29" s="650">
        <v>-46020</v>
      </c>
      <c r="K29" s="63">
        <v>44952.367999999995</v>
      </c>
      <c r="L29" s="8"/>
    </row>
    <row r="30" spans="1:12" outlineLevel="1" x14ac:dyDescent="0.25">
      <c r="D30" s="646"/>
      <c r="G30" s="651"/>
      <c r="H30" s="651"/>
      <c r="I30" s="651"/>
      <c r="J30" s="651"/>
      <c r="L30" s="8"/>
    </row>
    <row r="31" spans="1:12" x14ac:dyDescent="0.25">
      <c r="D31" s="646"/>
      <c r="G31" s="651"/>
      <c r="H31" s="651"/>
      <c r="I31" s="651"/>
      <c r="J31" s="651"/>
      <c r="L31" s="8"/>
    </row>
    <row r="32" spans="1:12" ht="13" x14ac:dyDescent="0.3">
      <c r="A32" s="26" t="s">
        <v>737</v>
      </c>
      <c r="D32" s="646"/>
      <c r="G32" s="651"/>
      <c r="H32" s="651"/>
      <c r="I32" s="651"/>
      <c r="J32" s="651"/>
      <c r="L32" s="8"/>
    </row>
    <row r="33" spans="1:20" x14ac:dyDescent="0.25">
      <c r="D33" s="646"/>
      <c r="G33" s="651"/>
      <c r="H33" s="651"/>
      <c r="I33" s="651"/>
      <c r="J33" s="651"/>
      <c r="L33" s="8"/>
    </row>
    <row r="34" spans="1:20" x14ac:dyDescent="0.25">
      <c r="A34">
        <f>A4</f>
        <v>1</v>
      </c>
      <c r="B34">
        <f t="shared" ref="B34:K43" si="0">GETPIVOTDATA(CONCATENATE(B$3),$A$2,"L",$A34)</f>
        <v>69531</v>
      </c>
      <c r="C34">
        <f t="shared" si="0"/>
        <v>-7901</v>
      </c>
      <c r="D34" s="646">
        <f t="shared" si="0"/>
        <v>77432</v>
      </c>
      <c r="E34">
        <f t="shared" si="0"/>
        <v>44173</v>
      </c>
      <c r="F34">
        <f t="shared" si="0"/>
        <v>33259</v>
      </c>
      <c r="G34" s="651">
        <f t="shared" si="0"/>
        <v>8891</v>
      </c>
      <c r="H34" s="651">
        <f t="shared" si="0"/>
        <v>30234</v>
      </c>
      <c r="I34" s="651">
        <f t="shared" si="0"/>
        <v>1475</v>
      </c>
      <c r="J34" s="651">
        <f t="shared" si="0"/>
        <v>-7341</v>
      </c>
      <c r="K34" s="776">
        <f t="shared" si="0"/>
        <v>390.18899999999996</v>
      </c>
      <c r="L34" s="691">
        <f>charges_soc!E30</f>
        <v>0.20076353720296067</v>
      </c>
      <c r="M34" s="776">
        <f t="shared" ref="M34:M57" si="1">L34*M$64</f>
        <v>0.19316134750204339</v>
      </c>
      <c r="N34">
        <f>N$59</f>
        <v>0.13968182729215076</v>
      </c>
      <c r="O34" s="776">
        <f>G34/(1+M34)</f>
        <v>7451.6326049396876</v>
      </c>
      <c r="P34">
        <f t="shared" ref="P34:P57" si="2">O34*(1-N34)</f>
        <v>6410.7749463719429</v>
      </c>
      <c r="Q34">
        <f>G34-O34</f>
        <v>1439.3673950603124</v>
      </c>
      <c r="R34">
        <f>O34-P34</f>
        <v>1040.8576585677447</v>
      </c>
      <c r="S34">
        <f>I34/$D34</f>
        <v>1.9048972001239797E-2</v>
      </c>
      <c r="T34">
        <f>J34/$D34</f>
        <v>-9.4805765058373792E-2</v>
      </c>
    </row>
    <row r="35" spans="1:20" x14ac:dyDescent="0.25">
      <c r="A35">
        <f t="shared" ref="A35:A57" si="3">A5</f>
        <v>2</v>
      </c>
      <c r="B35">
        <f t="shared" si="0"/>
        <v>129616</v>
      </c>
      <c r="C35">
        <f t="shared" si="0"/>
        <v>8274</v>
      </c>
      <c r="D35" s="646">
        <f t="shared" si="0"/>
        <v>121342</v>
      </c>
      <c r="E35">
        <f t="shared" si="0"/>
        <v>92650</v>
      </c>
      <c r="F35">
        <f t="shared" si="0"/>
        <v>28692</v>
      </c>
      <c r="G35" s="651">
        <f t="shared" si="0"/>
        <v>16563</v>
      </c>
      <c r="H35" s="651">
        <f t="shared" si="0"/>
        <v>10232</v>
      </c>
      <c r="I35" s="651">
        <f t="shared" si="0"/>
        <v>2111</v>
      </c>
      <c r="J35" s="651">
        <f t="shared" si="0"/>
        <v>-214</v>
      </c>
      <c r="K35" s="776">
        <f t="shared" si="0"/>
        <v>484.06599999999997</v>
      </c>
      <c r="L35" s="691">
        <f>charges_soc!E31</f>
        <v>0.4072636832219072</v>
      </c>
      <c r="M35" s="776">
        <f t="shared" si="1"/>
        <v>0.39184207917327341</v>
      </c>
      <c r="N35">
        <f t="shared" ref="N35:N57" si="4">N$59</f>
        <v>0.13968182729215076</v>
      </c>
      <c r="O35" s="776">
        <f t="shared" ref="O35:O57" si="5">G35/(1+M35)</f>
        <v>11900.056944562342</v>
      </c>
      <c r="P35">
        <f t="shared" si="2"/>
        <v>10237.835245665226</v>
      </c>
      <c r="Q35">
        <f t="shared" ref="Q35:Q57" si="6">G35-O35</f>
        <v>4662.9430554376577</v>
      </c>
      <c r="R35">
        <f t="shared" ref="R35:R57" si="7">O35-P35</f>
        <v>1662.2216988971159</v>
      </c>
      <c r="S35">
        <f t="shared" ref="S35:S57" si="8">I35/$D35</f>
        <v>1.7397108997708955E-2</v>
      </c>
      <c r="T35">
        <f t="shared" ref="T35:T57" si="9">J35/$D35</f>
        <v>-1.76361029157258E-3</v>
      </c>
    </row>
    <row r="36" spans="1:20" x14ac:dyDescent="0.25">
      <c r="A36">
        <f t="shared" si="3"/>
        <v>3</v>
      </c>
      <c r="B36">
        <f t="shared" si="0"/>
        <v>89440.2</v>
      </c>
      <c r="C36">
        <f t="shared" si="0"/>
        <v>189</v>
      </c>
      <c r="D36" s="646">
        <f t="shared" si="0"/>
        <v>89251.199999999997</v>
      </c>
      <c r="E36">
        <f t="shared" si="0"/>
        <v>75884</v>
      </c>
      <c r="F36">
        <f t="shared" si="0"/>
        <v>13367.2</v>
      </c>
      <c r="G36" s="651">
        <f t="shared" si="0"/>
        <v>9884.6</v>
      </c>
      <c r="H36" s="651">
        <f t="shared" si="0"/>
        <v>2534.1999999999998</v>
      </c>
      <c r="I36" s="651">
        <f t="shared" si="0"/>
        <v>1070.0999999999999</v>
      </c>
      <c r="J36" s="651">
        <f t="shared" si="0"/>
        <v>-121.7</v>
      </c>
      <c r="K36" s="776">
        <f t="shared" si="0"/>
        <v>213.88260000000002</v>
      </c>
      <c r="L36" s="691">
        <f>charges_soc!E32</f>
        <v>0.4072477583705878</v>
      </c>
      <c r="M36" s="776">
        <f t="shared" si="1"/>
        <v>0.39182675733852951</v>
      </c>
      <c r="N36">
        <f t="shared" si="4"/>
        <v>0.13968182729215076</v>
      </c>
      <c r="O36" s="776">
        <f t="shared" si="5"/>
        <v>7101.8896194390391</v>
      </c>
      <c r="P36">
        <f t="shared" si="2"/>
        <v>6109.8847001686372</v>
      </c>
      <c r="Q36">
        <f t="shared" si="6"/>
        <v>2782.7103805609613</v>
      </c>
      <c r="R36">
        <f t="shared" si="7"/>
        <v>992.00491927040184</v>
      </c>
      <c r="S36">
        <f t="shared" si="8"/>
        <v>1.1989754759599871E-2</v>
      </c>
      <c r="T36">
        <f t="shared" si="9"/>
        <v>-1.3635671004983687E-3</v>
      </c>
    </row>
    <row r="37" spans="1:20" x14ac:dyDescent="0.25">
      <c r="A37">
        <f t="shared" si="3"/>
        <v>4</v>
      </c>
      <c r="B37">
        <f t="shared" si="0"/>
        <v>6754</v>
      </c>
      <c r="C37">
        <f t="shared" si="0"/>
        <v>102</v>
      </c>
      <c r="D37" s="646">
        <f t="shared" si="0"/>
        <v>6652</v>
      </c>
      <c r="E37">
        <f t="shared" si="0"/>
        <v>4189</v>
      </c>
      <c r="F37">
        <f t="shared" si="0"/>
        <v>2463</v>
      </c>
      <c r="G37" s="651">
        <f t="shared" si="0"/>
        <v>1728</v>
      </c>
      <c r="H37" s="651">
        <f t="shared" si="0"/>
        <v>557</v>
      </c>
      <c r="I37" s="651">
        <f t="shared" si="0"/>
        <v>195</v>
      </c>
      <c r="J37" s="651">
        <f t="shared" si="0"/>
        <v>-17</v>
      </c>
      <c r="K37" s="776">
        <f t="shared" si="0"/>
        <v>37.597000000000001</v>
      </c>
      <c r="L37" s="691">
        <f>charges_soc!E33</f>
        <v>0.41217811049927117</v>
      </c>
      <c r="M37" s="776">
        <f t="shared" si="1"/>
        <v>0.39657041484777766</v>
      </c>
      <c r="N37">
        <f t="shared" si="4"/>
        <v>0.13968182729215076</v>
      </c>
      <c r="O37" s="776">
        <f t="shared" si="5"/>
        <v>1237.3167737398671</v>
      </c>
      <c r="P37">
        <f t="shared" si="2"/>
        <v>1064.4861058446538</v>
      </c>
      <c r="Q37">
        <f t="shared" si="6"/>
        <v>490.68322626013287</v>
      </c>
      <c r="R37">
        <f t="shared" si="7"/>
        <v>172.83066789521331</v>
      </c>
      <c r="S37">
        <f t="shared" si="8"/>
        <v>2.9314491882140709E-2</v>
      </c>
      <c r="T37">
        <f t="shared" si="9"/>
        <v>-2.5556223692122671E-3</v>
      </c>
    </row>
    <row r="38" spans="1:20" x14ac:dyDescent="0.25">
      <c r="A38">
        <f t="shared" si="3"/>
        <v>5</v>
      </c>
      <c r="B38">
        <f t="shared" si="0"/>
        <v>19667</v>
      </c>
      <c r="C38">
        <f t="shared" si="0"/>
        <v>46</v>
      </c>
      <c r="D38" s="646">
        <f t="shared" si="0"/>
        <v>19621</v>
      </c>
      <c r="E38">
        <f t="shared" si="0"/>
        <v>13183</v>
      </c>
      <c r="F38">
        <f t="shared" si="0"/>
        <v>6438</v>
      </c>
      <c r="G38" s="651">
        <f t="shared" si="0"/>
        <v>3761</v>
      </c>
      <c r="H38" s="651">
        <f t="shared" si="0"/>
        <v>2204</v>
      </c>
      <c r="I38" s="651">
        <f t="shared" si="0"/>
        <v>502</v>
      </c>
      <c r="J38" s="651">
        <f t="shared" si="0"/>
        <v>-29</v>
      </c>
      <c r="K38" s="776">
        <f t="shared" si="0"/>
        <v>84.48</v>
      </c>
      <c r="L38" s="691">
        <f>charges_soc!E34</f>
        <v>0.44323699599606636</v>
      </c>
      <c r="M38" s="776">
        <f t="shared" si="1"/>
        <v>0.42645321258115093</v>
      </c>
      <c r="N38">
        <f t="shared" si="4"/>
        <v>0.13968182729215076</v>
      </c>
      <c r="O38" s="776">
        <f t="shared" si="5"/>
        <v>2636.6094357869006</v>
      </c>
      <c r="P38">
        <f t="shared" si="2"/>
        <v>2268.3230119404598</v>
      </c>
      <c r="Q38">
        <f t="shared" si="6"/>
        <v>1124.3905642130994</v>
      </c>
      <c r="R38">
        <f t="shared" si="7"/>
        <v>368.28642384644081</v>
      </c>
      <c r="S38">
        <f t="shared" si="8"/>
        <v>2.5584832577340604E-2</v>
      </c>
      <c r="T38">
        <f t="shared" si="9"/>
        <v>-1.4780082564599154E-3</v>
      </c>
    </row>
    <row r="39" spans="1:20" x14ac:dyDescent="0.25">
      <c r="A39">
        <f t="shared" si="3"/>
        <v>6</v>
      </c>
      <c r="B39">
        <f t="shared" si="0"/>
        <v>19908</v>
      </c>
      <c r="C39">
        <f t="shared" si="0"/>
        <v>652</v>
      </c>
      <c r="D39" s="646">
        <f t="shared" si="0"/>
        <v>19256</v>
      </c>
      <c r="E39">
        <f t="shared" si="0"/>
        <v>14701</v>
      </c>
      <c r="F39">
        <f t="shared" si="0"/>
        <v>4555</v>
      </c>
      <c r="G39" s="651">
        <f t="shared" si="0"/>
        <v>3275</v>
      </c>
      <c r="H39" s="651">
        <f t="shared" si="0"/>
        <v>855</v>
      </c>
      <c r="I39" s="651">
        <f t="shared" si="0"/>
        <v>446</v>
      </c>
      <c r="J39" s="651">
        <f t="shared" si="0"/>
        <v>-21</v>
      </c>
      <c r="K39" s="776">
        <f t="shared" si="0"/>
        <v>72.926999999999992</v>
      </c>
      <c r="L39" s="691">
        <f>charges_soc!E35</f>
        <v>0.42304419955608757</v>
      </c>
      <c r="M39" s="776">
        <f t="shared" si="1"/>
        <v>0.40702504437629605</v>
      </c>
      <c r="N39">
        <f t="shared" si="4"/>
        <v>0.13968182729215076</v>
      </c>
      <c r="O39" s="776">
        <f t="shared" si="5"/>
        <v>2327.606045883666</v>
      </c>
      <c r="P39">
        <f t="shared" si="2"/>
        <v>2002.4817801783779</v>
      </c>
      <c r="Q39">
        <f t="shared" si="6"/>
        <v>947.39395411633404</v>
      </c>
      <c r="R39">
        <f t="shared" si="7"/>
        <v>325.12426570528805</v>
      </c>
      <c r="S39">
        <f t="shared" si="8"/>
        <v>2.3161611965101785E-2</v>
      </c>
      <c r="T39">
        <f t="shared" si="9"/>
        <v>-1.0905691732447029E-3</v>
      </c>
    </row>
    <row r="40" spans="1:20" x14ac:dyDescent="0.25">
      <c r="A40">
        <f t="shared" si="3"/>
        <v>7</v>
      </c>
      <c r="B40">
        <f t="shared" si="0"/>
        <v>5993</v>
      </c>
      <c r="C40">
        <f t="shared" si="0"/>
        <v>18</v>
      </c>
      <c r="D40" s="646">
        <f t="shared" si="0"/>
        <v>5975</v>
      </c>
      <c r="E40">
        <f t="shared" si="0"/>
        <v>5150</v>
      </c>
      <c r="F40">
        <f t="shared" si="0"/>
        <v>825</v>
      </c>
      <c r="G40" s="651">
        <f t="shared" si="0"/>
        <v>1054</v>
      </c>
      <c r="H40" s="651">
        <f t="shared" si="0"/>
        <v>-362</v>
      </c>
      <c r="I40" s="651">
        <f t="shared" si="0"/>
        <v>148</v>
      </c>
      <c r="J40" s="651">
        <f t="shared" si="0"/>
        <v>-15</v>
      </c>
      <c r="K40" s="776">
        <f t="shared" si="0"/>
        <v>13.672000000000001</v>
      </c>
      <c r="L40" s="691">
        <f>charges_soc!E36</f>
        <v>0.5515637457193725</v>
      </c>
      <c r="M40" s="776">
        <f t="shared" si="1"/>
        <v>0.53067801972786344</v>
      </c>
      <c r="N40">
        <f t="shared" si="4"/>
        <v>0.13968182729215076</v>
      </c>
      <c r="O40" s="776">
        <f t="shared" si="5"/>
        <v>688.5837429006715</v>
      </c>
      <c r="P40">
        <f t="shared" si="2"/>
        <v>592.40110744863716</v>
      </c>
      <c r="Q40">
        <f t="shared" si="6"/>
        <v>365.4162570993285</v>
      </c>
      <c r="R40">
        <f t="shared" si="7"/>
        <v>96.182635452034333</v>
      </c>
      <c r="S40">
        <f t="shared" si="8"/>
        <v>2.4769874476987447E-2</v>
      </c>
      <c r="T40">
        <f t="shared" si="9"/>
        <v>-2.5104602510460251E-3</v>
      </c>
    </row>
    <row r="41" spans="1:20" x14ac:dyDescent="0.25">
      <c r="A41">
        <f t="shared" si="3"/>
        <v>8</v>
      </c>
      <c r="B41">
        <f t="shared" si="0"/>
        <v>23764</v>
      </c>
      <c r="C41">
        <f t="shared" si="0"/>
        <v>496</v>
      </c>
      <c r="D41" s="646">
        <f t="shared" si="0"/>
        <v>23268</v>
      </c>
      <c r="E41">
        <f t="shared" si="0"/>
        <v>19416</v>
      </c>
      <c r="F41">
        <f t="shared" si="0"/>
        <v>3852</v>
      </c>
      <c r="G41" s="651">
        <f t="shared" si="0"/>
        <v>1763</v>
      </c>
      <c r="H41" s="651">
        <f t="shared" si="0"/>
        <v>1625</v>
      </c>
      <c r="I41" s="651">
        <f t="shared" si="0"/>
        <v>490</v>
      </c>
      <c r="J41" s="651">
        <f t="shared" si="0"/>
        <v>-26</v>
      </c>
      <c r="K41" s="776">
        <f t="shared" si="0"/>
        <v>18.657</v>
      </c>
      <c r="L41" s="691">
        <f>charges_soc!E37</f>
        <v>0.49728953700293238</v>
      </c>
      <c r="M41" s="776">
        <f t="shared" si="1"/>
        <v>0.47845897917730618</v>
      </c>
      <c r="N41">
        <f t="shared" si="4"/>
        <v>0.13968182729215076</v>
      </c>
      <c r="O41" s="776">
        <f t="shared" si="5"/>
        <v>1192.4578394329396</v>
      </c>
      <c r="P41">
        <f t="shared" si="2"/>
        <v>1025.8931494520966</v>
      </c>
      <c r="Q41">
        <f t="shared" si="6"/>
        <v>570.54216056706036</v>
      </c>
      <c r="R41">
        <f t="shared" si="7"/>
        <v>166.56468998084301</v>
      </c>
      <c r="S41">
        <f t="shared" si="8"/>
        <v>2.1058965102286401E-2</v>
      </c>
      <c r="T41">
        <f t="shared" si="9"/>
        <v>-1.1174144748151969E-3</v>
      </c>
    </row>
    <row r="42" spans="1:20" x14ac:dyDescent="0.25">
      <c r="A42">
        <f t="shared" si="3"/>
        <v>9</v>
      </c>
      <c r="B42">
        <f t="shared" si="0"/>
        <v>25169</v>
      </c>
      <c r="C42">
        <f t="shared" si="0"/>
        <v>0</v>
      </c>
      <c r="D42" s="646">
        <f t="shared" si="0"/>
        <v>25169</v>
      </c>
      <c r="E42">
        <f t="shared" si="0"/>
        <v>17661</v>
      </c>
      <c r="F42">
        <f t="shared" si="0"/>
        <v>7508</v>
      </c>
      <c r="G42" s="651">
        <f t="shared" si="0"/>
        <v>5672</v>
      </c>
      <c r="H42" s="651">
        <f t="shared" si="0"/>
        <v>1299</v>
      </c>
      <c r="I42" s="651">
        <f t="shared" si="0"/>
        <v>579</v>
      </c>
      <c r="J42" s="651">
        <f t="shared" si="0"/>
        <v>-42</v>
      </c>
      <c r="K42" s="776">
        <f t="shared" si="0"/>
        <v>153.96899999999999</v>
      </c>
      <c r="L42" s="691">
        <f>charges_soc!E38</f>
        <v>0.40343036909863017</v>
      </c>
      <c r="M42" s="776">
        <f t="shared" si="1"/>
        <v>0.38815391880428046</v>
      </c>
      <c r="N42">
        <f t="shared" si="4"/>
        <v>0.13968182729215076</v>
      </c>
      <c r="O42" s="776">
        <f t="shared" si="5"/>
        <v>4086.0022243683993</v>
      </c>
      <c r="P42">
        <f t="shared" si="2"/>
        <v>3515.2619673488289</v>
      </c>
      <c r="Q42">
        <f t="shared" si="6"/>
        <v>1585.9977756316007</v>
      </c>
      <c r="R42">
        <f t="shared" si="7"/>
        <v>570.74025701957044</v>
      </c>
      <c r="S42">
        <f t="shared" si="8"/>
        <v>2.300448964996623E-2</v>
      </c>
      <c r="T42">
        <f t="shared" si="9"/>
        <v>-1.6687194564742342E-3</v>
      </c>
    </row>
    <row r="43" spans="1:20" x14ac:dyDescent="0.25">
      <c r="A43">
        <f t="shared" si="3"/>
        <v>10</v>
      </c>
      <c r="B43">
        <f t="shared" si="0"/>
        <v>27396</v>
      </c>
      <c r="C43">
        <f t="shared" si="0"/>
        <v>3200</v>
      </c>
      <c r="D43" s="646">
        <f t="shared" si="0"/>
        <v>24196</v>
      </c>
      <c r="E43">
        <f t="shared" si="0"/>
        <v>19545</v>
      </c>
      <c r="F43">
        <f t="shared" si="0"/>
        <v>4651</v>
      </c>
      <c r="G43" s="651">
        <f t="shared" si="0"/>
        <v>2233</v>
      </c>
      <c r="H43" s="651">
        <f t="shared" si="0"/>
        <v>2073</v>
      </c>
      <c r="I43" s="651">
        <f t="shared" si="0"/>
        <v>364</v>
      </c>
      <c r="J43" s="651">
        <f t="shared" si="0"/>
        <v>-19</v>
      </c>
      <c r="K43" s="776">
        <f t="shared" si="0"/>
        <v>37.598999999999997</v>
      </c>
      <c r="L43" s="691">
        <f>charges_soc!E39</f>
        <v>0.44086766960990564</v>
      </c>
      <c r="M43" s="776">
        <f t="shared" si="1"/>
        <v>0.42417360402374504</v>
      </c>
      <c r="N43">
        <f t="shared" si="4"/>
        <v>0.13968182729215076</v>
      </c>
      <c r="O43" s="776">
        <f t="shared" si="5"/>
        <v>1567.9268269620097</v>
      </c>
      <c r="P43">
        <f t="shared" si="2"/>
        <v>1348.9159427115724</v>
      </c>
      <c r="Q43">
        <f t="shared" si="6"/>
        <v>665.07317303799027</v>
      </c>
      <c r="R43">
        <f t="shared" si="7"/>
        <v>219.01088425043736</v>
      </c>
      <c r="S43">
        <f t="shared" si="8"/>
        <v>1.5043808894032071E-2</v>
      </c>
      <c r="T43">
        <f t="shared" si="9"/>
        <v>-7.8525376095222351E-4</v>
      </c>
    </row>
    <row r="44" spans="1:20" x14ac:dyDescent="0.25">
      <c r="A44">
        <f t="shared" si="3"/>
        <v>11</v>
      </c>
      <c r="B44">
        <f t="shared" ref="B44:K57" si="10">GETPIVOTDATA(CONCATENATE(B$3),$A$2,"L",$A44)</f>
        <v>12661</v>
      </c>
      <c r="C44">
        <f t="shared" si="10"/>
        <v>1155</v>
      </c>
      <c r="D44" s="646">
        <f t="shared" si="10"/>
        <v>11506</v>
      </c>
      <c r="E44">
        <f t="shared" si="10"/>
        <v>9493</v>
      </c>
      <c r="F44">
        <f t="shared" si="10"/>
        <v>2013</v>
      </c>
      <c r="G44" s="651">
        <f t="shared" si="10"/>
        <v>905</v>
      </c>
      <c r="H44" s="651">
        <f t="shared" si="10"/>
        <v>954</v>
      </c>
      <c r="I44" s="651">
        <f t="shared" si="10"/>
        <v>163</v>
      </c>
      <c r="J44" s="651">
        <f t="shared" si="10"/>
        <v>-9</v>
      </c>
      <c r="K44" s="776">
        <f t="shared" si="10"/>
        <v>14.268000000000001</v>
      </c>
      <c r="L44" s="691">
        <f>charges_soc!E40</f>
        <v>0.46805435694948516</v>
      </c>
      <c r="M44" s="776">
        <f t="shared" si="1"/>
        <v>0.45033082975204564</v>
      </c>
      <c r="N44">
        <f t="shared" si="4"/>
        <v>0.13968182729215076</v>
      </c>
      <c r="O44" s="776">
        <f t="shared" si="5"/>
        <v>623.99556117463385</v>
      </c>
      <c r="P44">
        <f t="shared" si="2"/>
        <v>536.83472096756998</v>
      </c>
      <c r="Q44">
        <f t="shared" si="6"/>
        <v>281.00443882536615</v>
      </c>
      <c r="R44">
        <f t="shared" si="7"/>
        <v>87.16084020706387</v>
      </c>
      <c r="S44">
        <f t="shared" si="8"/>
        <v>1.4166521814705371E-2</v>
      </c>
      <c r="T44">
        <f t="shared" si="9"/>
        <v>-7.8220059099600207E-4</v>
      </c>
    </row>
    <row r="45" spans="1:20" x14ac:dyDescent="0.25">
      <c r="A45">
        <f t="shared" si="3"/>
        <v>12</v>
      </c>
      <c r="B45">
        <f t="shared" si="10"/>
        <v>434957.8</v>
      </c>
      <c r="C45">
        <f t="shared" si="10"/>
        <v>-7940</v>
      </c>
      <c r="D45" s="646">
        <f t="shared" si="10"/>
        <v>442897.8</v>
      </c>
      <c r="E45">
        <f t="shared" si="10"/>
        <v>310003</v>
      </c>
      <c r="F45">
        <f t="shared" si="10"/>
        <v>132894.79999999999</v>
      </c>
      <c r="G45" s="651">
        <f t="shared" si="10"/>
        <v>93138.4</v>
      </c>
      <c r="H45" s="651">
        <f t="shared" si="10"/>
        <v>33081.800000000003</v>
      </c>
      <c r="I45" s="651">
        <f t="shared" si="10"/>
        <v>8284.9</v>
      </c>
      <c r="J45" s="651">
        <f t="shared" si="10"/>
        <v>-1610.3</v>
      </c>
      <c r="K45" s="776">
        <f t="shared" si="10"/>
        <v>2030.9644000000001</v>
      </c>
      <c r="L45" s="691">
        <f>charges_soc!E41</f>
        <v>0.43045739829488877</v>
      </c>
      <c r="M45" s="776">
        <f t="shared" si="1"/>
        <v>0.41415753206622785</v>
      </c>
      <c r="N45">
        <f t="shared" si="4"/>
        <v>0.13968182729215076</v>
      </c>
      <c r="O45" s="776">
        <f t="shared" si="5"/>
        <v>65861.403618814191</v>
      </c>
      <c r="P45">
        <f t="shared" si="2"/>
        <v>56661.762413312354</v>
      </c>
      <c r="Q45">
        <f t="shared" si="6"/>
        <v>27276.996381185803</v>
      </c>
      <c r="R45">
        <f t="shared" si="7"/>
        <v>9199.6412055018372</v>
      </c>
      <c r="S45">
        <f t="shared" si="8"/>
        <v>1.870612136705127E-2</v>
      </c>
      <c r="T45">
        <f t="shared" si="9"/>
        <v>-3.6358274979013216E-3</v>
      </c>
    </row>
    <row r="46" spans="1:20" x14ac:dyDescent="0.25">
      <c r="A46">
        <f t="shared" si="3"/>
        <v>13</v>
      </c>
      <c r="B46">
        <f t="shared" si="10"/>
        <v>229731</v>
      </c>
      <c r="C46">
        <f t="shared" si="10"/>
        <v>1057</v>
      </c>
      <c r="D46" s="646">
        <f t="shared" si="10"/>
        <v>228674</v>
      </c>
      <c r="E46">
        <f t="shared" si="10"/>
        <v>129106</v>
      </c>
      <c r="F46">
        <f t="shared" si="10"/>
        <v>99568</v>
      </c>
      <c r="G46" s="651">
        <f t="shared" si="10"/>
        <v>54178</v>
      </c>
      <c r="H46" s="651">
        <f t="shared" si="10"/>
        <v>43001</v>
      </c>
      <c r="I46" s="651">
        <f t="shared" si="10"/>
        <v>2829</v>
      </c>
      <c r="J46" s="651">
        <f t="shared" si="10"/>
        <v>-440</v>
      </c>
      <c r="K46" s="776">
        <f t="shared" si="10"/>
        <v>1498.4110000000001</v>
      </c>
      <c r="L46" s="691">
        <f>charges_soc!E42</f>
        <v>0.53984336719707848</v>
      </c>
      <c r="M46" s="776">
        <f t="shared" si="1"/>
        <v>0.51940144958897605</v>
      </c>
      <c r="N46">
        <f t="shared" si="4"/>
        <v>0.13968182729215076</v>
      </c>
      <c r="O46" s="776">
        <f t="shared" si="5"/>
        <v>35657.462361021222</v>
      </c>
      <c r="P46">
        <f t="shared" si="2"/>
        <v>30676.762861832689</v>
      </c>
      <c r="Q46">
        <f t="shared" si="6"/>
        <v>18520.537638978778</v>
      </c>
      <c r="R46">
        <f t="shared" si="7"/>
        <v>4980.6994991885331</v>
      </c>
      <c r="S46">
        <f t="shared" si="8"/>
        <v>1.2371323368638323E-2</v>
      </c>
      <c r="T46">
        <f t="shared" si="9"/>
        <v>-1.9241365437260029E-3</v>
      </c>
    </row>
    <row r="47" spans="1:20" x14ac:dyDescent="0.25">
      <c r="A47">
        <f t="shared" si="3"/>
        <v>14</v>
      </c>
      <c r="B47">
        <f t="shared" si="10"/>
        <v>10144.709689341518</v>
      </c>
      <c r="C47">
        <f t="shared" si="10"/>
        <v>-7</v>
      </c>
      <c r="D47" s="646">
        <f t="shared" si="10"/>
        <v>10151.709689341518</v>
      </c>
      <c r="E47">
        <f t="shared" si="10"/>
        <v>3760.0358088824096</v>
      </c>
      <c r="F47">
        <f t="shared" si="10"/>
        <v>6391.6738804591096</v>
      </c>
      <c r="G47" s="651">
        <f t="shared" si="10"/>
        <v>5077.1439131059687</v>
      </c>
      <c r="H47" s="651">
        <f t="shared" si="10"/>
        <v>982.74048826560988</v>
      </c>
      <c r="I47" s="651">
        <f t="shared" si="10"/>
        <v>427.90563209658541</v>
      </c>
      <c r="J47" s="651">
        <f t="shared" si="10"/>
        <v>-96.116153009054884</v>
      </c>
      <c r="K47" s="776">
        <f t="shared" si="10"/>
        <v>100.57338324127878</v>
      </c>
      <c r="L47" s="691">
        <f>charges_soc!E43</f>
        <v>0.42837212470354719</v>
      </c>
      <c r="M47" s="776">
        <f t="shared" si="1"/>
        <v>0.41215122025071743</v>
      </c>
      <c r="N47">
        <f t="shared" si="4"/>
        <v>0.13968182729215076</v>
      </c>
      <c r="O47" s="776">
        <f t="shared" si="5"/>
        <v>3595.3259398129885</v>
      </c>
      <c r="P47">
        <f t="shared" si="2"/>
        <v>3093.1242428290411</v>
      </c>
      <c r="Q47">
        <f t="shared" si="6"/>
        <v>1481.8179732929802</v>
      </c>
      <c r="R47">
        <f t="shared" si="7"/>
        <v>502.20169698394739</v>
      </c>
      <c r="S47">
        <f t="shared" si="8"/>
        <v>4.2151090327755533E-2</v>
      </c>
      <c r="T47">
        <f t="shared" si="9"/>
        <v>-9.467976917225002E-3</v>
      </c>
    </row>
    <row r="48" spans="1:20" x14ac:dyDescent="0.25">
      <c r="A48">
        <f t="shared" si="3"/>
        <v>15</v>
      </c>
      <c r="B48">
        <f t="shared" si="10"/>
        <v>17708</v>
      </c>
      <c r="C48">
        <f t="shared" si="10"/>
        <v>504</v>
      </c>
      <c r="D48" s="646">
        <f t="shared" si="10"/>
        <v>17204</v>
      </c>
      <c r="E48">
        <f t="shared" si="10"/>
        <v>5528</v>
      </c>
      <c r="F48">
        <f t="shared" si="10"/>
        <v>11676</v>
      </c>
      <c r="G48" s="651">
        <f t="shared" si="10"/>
        <v>7674</v>
      </c>
      <c r="H48" s="651">
        <f t="shared" si="10"/>
        <v>3636</v>
      </c>
      <c r="I48" s="651">
        <f t="shared" si="10"/>
        <v>774</v>
      </c>
      <c r="J48" s="651">
        <f t="shared" si="10"/>
        <v>-408</v>
      </c>
      <c r="K48" s="776">
        <f t="shared" si="10"/>
        <v>184.85</v>
      </c>
      <c r="L48" s="691">
        <f>charges_soc!E44</f>
        <v>0.44148829147690088</v>
      </c>
      <c r="M48" s="776">
        <f t="shared" si="1"/>
        <v>0.42477072518323544</v>
      </c>
      <c r="N48">
        <f t="shared" si="4"/>
        <v>0.13968182729215076</v>
      </c>
      <c r="O48" s="776">
        <f t="shared" si="5"/>
        <v>5386.1297571320265</v>
      </c>
      <c r="P48">
        <f t="shared" si="2"/>
        <v>4633.7853106231969</v>
      </c>
      <c r="Q48">
        <f t="shared" si="6"/>
        <v>2287.8702428679735</v>
      </c>
      <c r="R48">
        <f t="shared" si="7"/>
        <v>752.34444650882961</v>
      </c>
      <c r="S48">
        <f t="shared" si="8"/>
        <v>4.4989537316903049E-2</v>
      </c>
      <c r="T48">
        <f t="shared" si="9"/>
        <v>-2.3715415019762844E-2</v>
      </c>
    </row>
    <row r="49" spans="1:20" x14ac:dyDescent="0.25">
      <c r="A49">
        <f t="shared" si="3"/>
        <v>16</v>
      </c>
      <c r="B49">
        <f t="shared" si="10"/>
        <v>51998.142604885004</v>
      </c>
      <c r="C49">
        <f t="shared" si="10"/>
        <v>0</v>
      </c>
      <c r="D49" s="646">
        <f t="shared" si="10"/>
        <v>51998.142604885004</v>
      </c>
      <c r="E49">
        <f t="shared" si="10"/>
        <v>29253.877250154728</v>
      </c>
      <c r="F49">
        <f t="shared" si="10"/>
        <v>22744.265354730276</v>
      </c>
      <c r="G49" s="651">
        <f t="shared" si="10"/>
        <v>15212.018473487993</v>
      </c>
      <c r="H49" s="651">
        <f t="shared" si="10"/>
        <v>6554.0147482847933</v>
      </c>
      <c r="I49" s="651">
        <f t="shared" si="10"/>
        <v>1099.1871811944702</v>
      </c>
      <c r="J49" s="651">
        <f t="shared" si="10"/>
        <v>-120.95504823698158</v>
      </c>
      <c r="K49" s="776">
        <f t="shared" si="10"/>
        <v>422.87549427579995</v>
      </c>
      <c r="L49" s="691">
        <f>charges_soc!E45</f>
        <v>0.36612560051705784</v>
      </c>
      <c r="M49" s="776">
        <f t="shared" si="1"/>
        <v>0.35226174700924129</v>
      </c>
      <c r="N49">
        <f t="shared" si="4"/>
        <v>0.13968182729215076</v>
      </c>
      <c r="O49" s="776">
        <f t="shared" si="5"/>
        <v>11249.31508794949</v>
      </c>
      <c r="P49">
        <f t="shared" si="2"/>
        <v>9677.9902006795437</v>
      </c>
      <c r="Q49">
        <f t="shared" si="6"/>
        <v>3962.7033855385034</v>
      </c>
      <c r="R49">
        <f t="shared" si="7"/>
        <v>1571.324887269946</v>
      </c>
      <c r="S49">
        <f t="shared" si="8"/>
        <v>2.1138970088735561E-2</v>
      </c>
      <c r="T49">
        <f t="shared" si="9"/>
        <v>-2.3261417077158901E-3</v>
      </c>
    </row>
    <row r="50" spans="1:20" x14ac:dyDescent="0.25">
      <c r="A50">
        <f t="shared" si="3"/>
        <v>17</v>
      </c>
      <c r="B50">
        <f t="shared" si="10"/>
        <v>12381.120558721816</v>
      </c>
      <c r="C50">
        <f t="shared" si="10"/>
        <v>2</v>
      </c>
      <c r="D50" s="646">
        <f t="shared" si="10"/>
        <v>12379.120558721816</v>
      </c>
      <c r="E50">
        <f t="shared" si="10"/>
        <v>9039.2159297901853</v>
      </c>
      <c r="F50">
        <f t="shared" si="10"/>
        <v>3339.9046289316293</v>
      </c>
      <c r="G50" s="651">
        <f t="shared" si="10"/>
        <v>1855.0249969934384</v>
      </c>
      <c r="H50" s="651">
        <f t="shared" si="10"/>
        <v>1342.5163043637676</v>
      </c>
      <c r="I50" s="651">
        <f t="shared" si="10"/>
        <v>156.64229249591548</v>
      </c>
      <c r="J50" s="651">
        <f t="shared" si="10"/>
        <v>-14.278964921492076</v>
      </c>
      <c r="K50" s="776">
        <f t="shared" si="10"/>
        <v>44.388734871128499</v>
      </c>
      <c r="L50" s="691">
        <f>charges_soc!E46</f>
        <v>0.298118087900759</v>
      </c>
      <c r="M50" s="776">
        <f t="shared" si="1"/>
        <v>0.28682943315263537</v>
      </c>
      <c r="N50">
        <f t="shared" si="4"/>
        <v>0.13968182729215076</v>
      </c>
      <c r="O50" s="776">
        <f t="shared" si="5"/>
        <v>1441.546913058063</v>
      </c>
      <c r="P50">
        <f t="shared" si="2"/>
        <v>1240.1890061147535</v>
      </c>
      <c r="Q50">
        <f t="shared" si="6"/>
        <v>413.47808393537548</v>
      </c>
      <c r="R50">
        <f t="shared" si="7"/>
        <v>201.35790694330944</v>
      </c>
      <c r="S50">
        <f t="shared" si="8"/>
        <v>1.2653749654740361E-2</v>
      </c>
      <c r="T50">
        <f t="shared" si="9"/>
        <v>-1.1534716746442629E-3</v>
      </c>
    </row>
    <row r="51" spans="1:20" x14ac:dyDescent="0.25">
      <c r="A51">
        <f t="shared" si="3"/>
        <v>18</v>
      </c>
      <c r="B51">
        <f t="shared" si="10"/>
        <v>18849.027147051664</v>
      </c>
      <c r="C51">
        <f t="shared" si="10"/>
        <v>2</v>
      </c>
      <c r="D51" s="646">
        <f t="shared" si="10"/>
        <v>18847.027147051664</v>
      </c>
      <c r="E51">
        <f t="shared" si="10"/>
        <v>11713.871011172676</v>
      </c>
      <c r="F51">
        <f t="shared" si="10"/>
        <v>7133.1561358789868</v>
      </c>
      <c r="G51" s="651">
        <f t="shared" si="10"/>
        <v>5300.8126164125997</v>
      </c>
      <c r="H51" s="651">
        <f t="shared" si="10"/>
        <v>1627.7284590858292</v>
      </c>
      <c r="I51" s="651">
        <f t="shared" si="10"/>
        <v>277.26489421302881</v>
      </c>
      <c r="J51" s="651">
        <f t="shared" si="10"/>
        <v>-72.649833832471458</v>
      </c>
      <c r="K51" s="776">
        <f t="shared" si="10"/>
        <v>76.275387611792766</v>
      </c>
      <c r="L51" s="691">
        <f>charges_soc!E47</f>
        <v>0.42654985770883319</v>
      </c>
      <c r="M51" s="776">
        <f t="shared" si="1"/>
        <v>0.4103979559223867</v>
      </c>
      <c r="N51">
        <f t="shared" si="4"/>
        <v>0.13968182729215076</v>
      </c>
      <c r="O51" s="776">
        <f t="shared" si="5"/>
        <v>3758.3808131272563</v>
      </c>
      <c r="P51">
        <f t="shared" si="2"/>
        <v>3233.4033134898818</v>
      </c>
      <c r="Q51">
        <f t="shared" si="6"/>
        <v>1542.4318032853434</v>
      </c>
      <c r="R51">
        <f t="shared" si="7"/>
        <v>524.97749963737442</v>
      </c>
      <c r="S51">
        <f t="shared" si="8"/>
        <v>1.4711333095119076E-2</v>
      </c>
      <c r="T51">
        <f t="shared" si="9"/>
        <v>-3.8547105209553669E-3</v>
      </c>
    </row>
    <row r="52" spans="1:20" x14ac:dyDescent="0.25">
      <c r="A52">
        <f t="shared" si="3"/>
        <v>19</v>
      </c>
      <c r="B52">
        <f t="shared" si="10"/>
        <v>1606209</v>
      </c>
      <c r="C52">
        <f t="shared" si="10"/>
        <v>33229</v>
      </c>
      <c r="D52" s="646">
        <f t="shared" si="10"/>
        <v>1572980</v>
      </c>
      <c r="E52">
        <f t="shared" si="10"/>
        <v>661524</v>
      </c>
      <c r="F52">
        <f t="shared" si="10"/>
        <v>911456</v>
      </c>
      <c r="G52" s="651">
        <f t="shared" si="10"/>
        <v>445232</v>
      </c>
      <c r="H52" s="651">
        <f t="shared" si="10"/>
        <v>431699</v>
      </c>
      <c r="I52" s="651">
        <f t="shared" si="10"/>
        <v>43449</v>
      </c>
      <c r="J52" s="651">
        <f t="shared" si="10"/>
        <v>-8924</v>
      </c>
      <c r="K52" s="776">
        <f t="shared" si="10"/>
        <v>10534.573999999999</v>
      </c>
      <c r="L52" s="691">
        <f>charges_soc!E48</f>
        <v>0.40168875762184325</v>
      </c>
      <c r="M52" s="776">
        <f t="shared" si="1"/>
        <v>0.38647825586085915</v>
      </c>
      <c r="N52">
        <f t="shared" si="4"/>
        <v>0.13968182729215076</v>
      </c>
      <c r="O52" s="776">
        <f t="shared" si="5"/>
        <v>321124.40142348799</v>
      </c>
      <c r="P52">
        <f t="shared" si="2"/>
        <v>276269.15824455704</v>
      </c>
      <c r="Q52">
        <f t="shared" si="6"/>
        <v>124107.59857651201</v>
      </c>
      <c r="R52">
        <f t="shared" si="7"/>
        <v>44855.243178930948</v>
      </c>
      <c r="S52">
        <f t="shared" si="8"/>
        <v>2.7622093097178602E-2</v>
      </c>
      <c r="T52">
        <f t="shared" si="9"/>
        <v>-5.67330798865847E-3</v>
      </c>
    </row>
    <row r="53" spans="1:20" x14ac:dyDescent="0.25">
      <c r="A53">
        <f t="shared" si="3"/>
        <v>20</v>
      </c>
      <c r="B53">
        <f t="shared" si="10"/>
        <v>343672</v>
      </c>
      <c r="C53">
        <f t="shared" si="10"/>
        <v>-33070</v>
      </c>
      <c r="D53" s="646">
        <f t="shared" si="10"/>
        <v>376742</v>
      </c>
      <c r="E53">
        <f t="shared" si="10"/>
        <v>91546</v>
      </c>
      <c r="F53">
        <f t="shared" si="10"/>
        <v>285196</v>
      </c>
      <c r="G53" s="651">
        <f t="shared" si="10"/>
        <v>242625</v>
      </c>
      <c r="H53" s="651">
        <f t="shared" si="10"/>
        <v>38303</v>
      </c>
      <c r="I53" s="651">
        <f t="shared" si="10"/>
        <v>7632</v>
      </c>
      <c r="J53" s="651">
        <f t="shared" si="10"/>
        <v>-3364</v>
      </c>
      <c r="K53" s="776">
        <f t="shared" si="10"/>
        <v>5922.5259999999998</v>
      </c>
      <c r="L53" s="691">
        <f>charges_soc!E49</f>
        <v>0.25776397515527949</v>
      </c>
      <c r="M53" s="776">
        <f t="shared" si="1"/>
        <v>0.24800338483846343</v>
      </c>
      <c r="N53">
        <f t="shared" si="4"/>
        <v>0.13968182729215076</v>
      </c>
      <c r="O53" s="776">
        <f t="shared" si="5"/>
        <v>194410.53041006328</v>
      </c>
      <c r="P53">
        <f t="shared" si="2"/>
        <v>167254.91227754939</v>
      </c>
      <c r="Q53">
        <f t="shared" si="6"/>
        <v>48214.469589936722</v>
      </c>
      <c r="R53">
        <f t="shared" si="7"/>
        <v>27155.61813251389</v>
      </c>
      <c r="S53">
        <f t="shared" si="8"/>
        <v>2.0257895323590149E-2</v>
      </c>
      <c r="T53">
        <f t="shared" si="9"/>
        <v>-8.9291876138046719E-3</v>
      </c>
    </row>
    <row r="54" spans="1:20" x14ac:dyDescent="0.25">
      <c r="A54">
        <f t="shared" si="3"/>
        <v>21</v>
      </c>
      <c r="B54">
        <f t="shared" si="10"/>
        <v>131</v>
      </c>
      <c r="C54">
        <f t="shared" si="10"/>
        <v>96</v>
      </c>
      <c r="D54" s="646">
        <f t="shared" si="10"/>
        <v>35</v>
      </c>
      <c r="E54">
        <f t="shared" si="10"/>
        <v>35</v>
      </c>
      <c r="F54">
        <f t="shared" si="10"/>
        <v>0</v>
      </c>
      <c r="G54" s="651">
        <f t="shared" si="10"/>
        <v>21</v>
      </c>
      <c r="H54" s="651">
        <f t="shared" si="10"/>
        <v>-22</v>
      </c>
      <c r="I54" s="651">
        <f t="shared" si="10"/>
        <v>1</v>
      </c>
      <c r="J54" s="651">
        <f t="shared" si="10"/>
        <v>0</v>
      </c>
      <c r="K54" s="776">
        <f t="shared" si="10"/>
        <v>0.59899999999999998</v>
      </c>
      <c r="L54" s="691">
        <f>charges_soc!E50</f>
        <v>0.38817061437668937</v>
      </c>
      <c r="M54" s="776">
        <f t="shared" si="1"/>
        <v>0.37347199585299823</v>
      </c>
      <c r="N54">
        <f t="shared" si="4"/>
        <v>0.13968182729215076</v>
      </c>
      <c r="O54" s="776">
        <f t="shared" si="5"/>
        <v>15.289718365868755</v>
      </c>
      <c r="P54">
        <f t="shared" si="2"/>
        <v>13.154022565741849</v>
      </c>
      <c r="Q54">
        <f t="shared" si="6"/>
        <v>5.7102816341312455</v>
      </c>
      <c r="R54">
        <f t="shared" si="7"/>
        <v>2.1356958001269053</v>
      </c>
      <c r="S54">
        <f t="shared" si="8"/>
        <v>2.8571428571428571E-2</v>
      </c>
      <c r="T54">
        <f t="shared" si="9"/>
        <v>0</v>
      </c>
    </row>
    <row r="55" spans="1:20" x14ac:dyDescent="0.25">
      <c r="A55">
        <f t="shared" si="3"/>
        <v>22</v>
      </c>
      <c r="B55">
        <f t="shared" si="10"/>
        <v>50376.336478262776</v>
      </c>
      <c r="C55">
        <f t="shared" si="10"/>
        <v>-582.56131517884501</v>
      </c>
      <c r="D55" s="646">
        <f t="shared" si="10"/>
        <v>50958.897793441618</v>
      </c>
      <c r="E55">
        <f t="shared" si="10"/>
        <v>48264.545608773697</v>
      </c>
      <c r="F55">
        <f t="shared" si="10"/>
        <v>2694.3521846679218</v>
      </c>
      <c r="G55" s="651">
        <f t="shared" si="10"/>
        <v>707.25199203187253</v>
      </c>
      <c r="H55" s="651">
        <f t="shared" si="10"/>
        <v>1554.5343899128759</v>
      </c>
      <c r="I55" s="651">
        <f t="shared" si="10"/>
        <v>470.47806575894225</v>
      </c>
      <c r="J55" s="651">
        <f t="shared" si="10"/>
        <v>-37.912263035769016</v>
      </c>
      <c r="K55" s="776">
        <f t="shared" si="10"/>
        <v>15.081853147848168</v>
      </c>
      <c r="L55" s="691">
        <f>charges_soc!E51</f>
        <v>0.58458150642881712</v>
      </c>
      <c r="M55" s="776">
        <f t="shared" si="1"/>
        <v>0.56244551714791935</v>
      </c>
      <c r="N55">
        <f t="shared" si="4"/>
        <v>0.13968182729215076</v>
      </c>
      <c r="O55" s="776">
        <f t="shared" si="5"/>
        <v>452.6570586108416</v>
      </c>
      <c r="P55">
        <f t="shared" si="2"/>
        <v>389.42909352738906</v>
      </c>
      <c r="Q55">
        <f t="shared" si="6"/>
        <v>254.59493342103093</v>
      </c>
      <c r="R55">
        <f t="shared" si="7"/>
        <v>63.227965083452546</v>
      </c>
      <c r="S55">
        <f t="shared" si="8"/>
        <v>9.2325008218582874E-3</v>
      </c>
      <c r="T55">
        <f t="shared" si="9"/>
        <v>-7.4397729694711538E-4</v>
      </c>
    </row>
    <row r="56" spans="1:20" x14ac:dyDescent="0.25">
      <c r="A56">
        <f t="shared" si="3"/>
        <v>23</v>
      </c>
      <c r="B56">
        <f t="shared" si="10"/>
        <v>46037</v>
      </c>
      <c r="C56">
        <f t="shared" si="10"/>
        <v>2</v>
      </c>
      <c r="D56" s="646">
        <f t="shared" si="10"/>
        <v>46035</v>
      </c>
      <c r="E56">
        <f t="shared" si="10"/>
        <v>27203</v>
      </c>
      <c r="F56">
        <f t="shared" si="10"/>
        <v>18832</v>
      </c>
      <c r="G56" s="651">
        <f t="shared" si="10"/>
        <v>6901</v>
      </c>
      <c r="H56" s="651">
        <f t="shared" si="10"/>
        <v>9892</v>
      </c>
      <c r="I56" s="651">
        <f t="shared" si="10"/>
        <v>2082</v>
      </c>
      <c r="J56" s="651">
        <f t="shared" si="10"/>
        <v>-43</v>
      </c>
      <c r="K56" s="776">
        <f t="shared" si="10"/>
        <v>95.290999999999997</v>
      </c>
      <c r="L56" s="798">
        <f>charges_soc!E$52</f>
        <v>0.54431661862902125</v>
      </c>
      <c r="M56" s="776">
        <f t="shared" si="1"/>
        <v>0.52370531515314966</v>
      </c>
      <c r="N56">
        <f t="shared" si="4"/>
        <v>0.13968182729215076</v>
      </c>
      <c r="O56" s="776">
        <f t="shared" si="5"/>
        <v>4529.0909806312329</v>
      </c>
      <c r="P56">
        <f t="shared" si="2"/>
        <v>3896.4592764842637</v>
      </c>
      <c r="Q56">
        <f t="shared" si="6"/>
        <v>2371.9090193687671</v>
      </c>
      <c r="R56">
        <f t="shared" si="7"/>
        <v>632.63170414696924</v>
      </c>
      <c r="S56">
        <f t="shared" si="8"/>
        <v>4.5226458129683934E-2</v>
      </c>
      <c r="T56">
        <f t="shared" si="9"/>
        <v>-9.3407190181383733E-4</v>
      </c>
    </row>
    <row r="57" spans="1:20" x14ac:dyDescent="0.25">
      <c r="A57">
        <f t="shared" si="3"/>
        <v>24</v>
      </c>
      <c r="B57">
        <f t="shared" si="10"/>
        <v>23989.663521737228</v>
      </c>
      <c r="C57">
        <f t="shared" si="10"/>
        <v>476.56131517884506</v>
      </c>
      <c r="D57" s="646">
        <f t="shared" si="10"/>
        <v>23513.102206558382</v>
      </c>
      <c r="E57">
        <f t="shared" si="10"/>
        <v>18359.454391226303</v>
      </c>
      <c r="F57">
        <f t="shared" si="10"/>
        <v>5153.6478153320786</v>
      </c>
      <c r="G57" s="651">
        <f t="shared" si="10"/>
        <v>2019.7480079681275</v>
      </c>
      <c r="H57" s="651">
        <f t="shared" si="10"/>
        <v>2829.4656100871239</v>
      </c>
      <c r="I57" s="651">
        <f t="shared" si="10"/>
        <v>328.52193424105775</v>
      </c>
      <c r="J57" s="651">
        <f t="shared" si="10"/>
        <v>-24.087736964230988</v>
      </c>
      <c r="K57" s="776">
        <f t="shared" si="10"/>
        <v>28.467146852151831</v>
      </c>
      <c r="L57" s="798">
        <f>charges_soc!E$52</f>
        <v>0.54431661862902125</v>
      </c>
      <c r="M57" s="776">
        <f t="shared" si="1"/>
        <v>0.52370531515314966</v>
      </c>
      <c r="N57">
        <f t="shared" si="4"/>
        <v>0.13968182729215076</v>
      </c>
      <c r="O57" s="776">
        <f t="shared" si="5"/>
        <v>1325.5502805443189</v>
      </c>
      <c r="P57">
        <f t="shared" si="2"/>
        <v>1140.3949951902653</v>
      </c>
      <c r="Q57">
        <f t="shared" si="6"/>
        <v>694.1977274238086</v>
      </c>
      <c r="R57">
        <f t="shared" si="7"/>
        <v>185.1552853540536</v>
      </c>
      <c r="S57">
        <f t="shared" si="8"/>
        <v>1.3971866891703677E-2</v>
      </c>
      <c r="T57">
        <f t="shared" si="9"/>
        <v>-1.0244389171885761E-3</v>
      </c>
    </row>
    <row r="58" spans="1:20" s="639" customFormat="1" x14ac:dyDescent="0.25">
      <c r="A58" s="638" t="s">
        <v>65</v>
      </c>
      <c r="B58" s="639">
        <f>SUM(B34:B57)</f>
        <v>3276084</v>
      </c>
      <c r="C58" s="639">
        <f t="shared" ref="C58:R58" si="11">SUM(C34:C57)</f>
        <v>0</v>
      </c>
      <c r="D58" s="646">
        <f t="shared" si="11"/>
        <v>3276084</v>
      </c>
      <c r="E58" s="639">
        <f t="shared" si="11"/>
        <v>1661381</v>
      </c>
      <c r="F58" s="639">
        <f t="shared" si="11"/>
        <v>1614703</v>
      </c>
      <c r="G58" s="639">
        <f t="shared" si="11"/>
        <v>935671</v>
      </c>
      <c r="H58" s="639">
        <f t="shared" si="11"/>
        <v>626687</v>
      </c>
      <c r="I58" s="639">
        <f t="shared" si="11"/>
        <v>75355</v>
      </c>
      <c r="J58" s="639">
        <f t="shared" si="11"/>
        <v>-23010</v>
      </c>
      <c r="K58" s="639">
        <f t="shared" si="11"/>
        <v>22476.183999999994</v>
      </c>
      <c r="M58" s="639">
        <f>Q58/O58</f>
        <v>0.35678986026342607</v>
      </c>
      <c r="N58" s="639">
        <f>R58/O58</f>
        <v>0.13968182729215078</v>
      </c>
      <c r="O58" s="639">
        <f t="shared" si="11"/>
        <v>689621.16198180884</v>
      </c>
      <c r="P58" s="639">
        <f t="shared" si="11"/>
        <v>593293.61793685344</v>
      </c>
      <c r="Q58" s="639">
        <f t="shared" si="11"/>
        <v>246049.83801819108</v>
      </c>
      <c r="R58" s="639">
        <f t="shared" si="11"/>
        <v>96327.544044955372</v>
      </c>
    </row>
    <row r="59" spans="1:20" x14ac:dyDescent="0.25">
      <c r="G59" s="691">
        <f>[2]TEE_2006_COMPLET!$AO$3*1000</f>
        <v>935671</v>
      </c>
      <c r="M59" s="691">
        <f>[2]TEE_2006_COMPLET!$AO$29</f>
        <v>0.35678986026342602</v>
      </c>
      <c r="N59" s="691">
        <f>[2]TEE_2006_COMPLET!$AO$30</f>
        <v>0.13968182729215076</v>
      </c>
      <c r="O59" s="691">
        <f>[2]TEE_2006_COMPLET!$AO$4*1000</f>
        <v>689621.16198180884</v>
      </c>
      <c r="Q59" s="691">
        <f>[2]TEE_2006_COMPLET!$AO$5*1000</f>
        <v>246049.83801819108</v>
      </c>
      <c r="R59" s="691">
        <f>-[2]TEE_2006_COMPLET!$AO$8*1000</f>
        <v>96327.544044955343</v>
      </c>
    </row>
    <row r="60" spans="1:20" x14ac:dyDescent="0.25">
      <c r="G60" s="8">
        <f>G58-G59</f>
        <v>0</v>
      </c>
      <c r="M60" s="8">
        <f>M58-M59</f>
        <v>0</v>
      </c>
      <c r="N60" s="8">
        <f>N58-N59</f>
        <v>0</v>
      </c>
      <c r="O60" s="8">
        <f>O58-O59</f>
        <v>0</v>
      </c>
      <c r="Q60" s="8">
        <f>Q58-Q59</f>
        <v>0</v>
      </c>
      <c r="R60" s="8">
        <f>R58-R59</f>
        <v>0</v>
      </c>
    </row>
    <row r="62" spans="1:20" x14ac:dyDescent="0.25">
      <c r="F62" s="8"/>
      <c r="G62" s="8"/>
      <c r="L62" s="799" t="s">
        <v>903</v>
      </c>
      <c r="M62" s="800">
        <f>M59</f>
        <v>0.35678986026342602</v>
      </c>
      <c r="N62" s="8"/>
      <c r="O62" s="8"/>
      <c r="P62" s="8"/>
      <c r="Q62" s="8"/>
    </row>
    <row r="63" spans="1:20" ht="13" x14ac:dyDescent="0.3">
      <c r="F63" s="8"/>
      <c r="G63" s="801"/>
      <c r="L63" s="802" t="s">
        <v>904</v>
      </c>
      <c r="M63" s="26">
        <f>M60</f>
        <v>0</v>
      </c>
      <c r="N63" s="8"/>
      <c r="O63" s="801"/>
      <c r="Q63" s="801"/>
    </row>
    <row r="64" spans="1:20" ht="13" x14ac:dyDescent="0.3">
      <c r="L64" s="803" t="s">
        <v>902</v>
      </c>
      <c r="M64" s="804">
        <v>0.9621336134697015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dimension ref="A1:DP219"/>
  <sheetViews>
    <sheetView workbookViewId="0">
      <pane xSplit="3" ySplit="29" topLeftCell="K60" activePane="bottomRight" state="frozen"/>
      <selection pane="topRight" activeCell="D1" sqref="D1"/>
      <selection pane="bottomLeft" activeCell="A30" sqref="A30"/>
      <selection pane="bottomRight" activeCell="K69" sqref="K69:K70"/>
    </sheetView>
  </sheetViews>
  <sheetFormatPr baseColWidth="10" defaultColWidth="11.453125" defaultRowHeight="12.5" outlineLevelRow="1" x14ac:dyDescent="0.25"/>
  <cols>
    <col min="1" max="1" width="9.453125" style="73" customWidth="1"/>
    <col min="2" max="2" width="28" style="73" customWidth="1"/>
    <col min="3" max="3" width="12.81640625" style="73" bestFit="1" customWidth="1"/>
    <col min="4" max="5" width="8" style="75" bestFit="1" customWidth="1"/>
    <col min="6" max="6" width="16.453125" style="75" bestFit="1" customWidth="1"/>
    <col min="7" max="7" width="5.453125" style="75" bestFit="1" customWidth="1"/>
    <col min="8" max="8" width="5.54296875" style="75" bestFit="1" customWidth="1"/>
    <col min="9" max="10" width="6.453125" style="75" bestFit="1" customWidth="1"/>
    <col min="11" max="11" width="12.453125" style="75" bestFit="1" customWidth="1"/>
    <col min="12" max="12" width="7" style="75" bestFit="1" customWidth="1"/>
    <col min="13" max="13" width="7" style="73" bestFit="1" customWidth="1"/>
    <col min="14" max="14" width="6" style="73" bestFit="1" customWidth="1"/>
    <col min="15" max="17" width="6.453125" style="73" bestFit="1" customWidth="1"/>
    <col min="18" max="18" width="7" style="73" bestFit="1" customWidth="1"/>
    <col min="19" max="19" width="6.453125" style="73" bestFit="1" customWidth="1"/>
    <col min="20" max="21" width="5.453125" style="73" bestFit="1" customWidth="1"/>
    <col min="22" max="22" width="5" style="73" bestFit="1" customWidth="1"/>
    <col min="23" max="23" width="5.453125" style="73" bestFit="1" customWidth="1"/>
    <col min="24" max="24" width="7.453125" style="75" customWidth="1"/>
    <col min="25" max="25" width="5" style="75" bestFit="1" customWidth="1"/>
    <col min="26" max="28" width="5.453125" style="73" bestFit="1" customWidth="1"/>
    <col min="29" max="31" width="5" style="73" bestFit="1" customWidth="1"/>
    <col min="32" max="32" width="5.453125" style="73" bestFit="1" customWidth="1"/>
    <col min="33" max="33" width="5" style="73" bestFit="1" customWidth="1"/>
    <col min="34" max="35" width="5.453125" style="73" bestFit="1" customWidth="1"/>
    <col min="36" max="40" width="5" style="73" bestFit="1" customWidth="1"/>
    <col min="41" max="41" width="5.1796875" style="73" bestFit="1" customWidth="1"/>
    <col min="42" max="42" width="5" style="73" bestFit="1" customWidth="1"/>
    <col min="43" max="43" width="5.453125" style="73" bestFit="1" customWidth="1"/>
    <col min="44" max="44" width="5.453125" style="73" customWidth="1"/>
    <col min="45" max="46" width="5.453125" style="75" customWidth="1"/>
    <col min="47" max="50" width="5.453125" style="73" customWidth="1"/>
    <col min="51" max="54" width="5.453125" style="75" customWidth="1"/>
    <col min="55" max="57" width="5.453125" style="73" customWidth="1"/>
    <col min="58" max="60" width="5.453125" style="75" customWidth="1"/>
    <col min="61" max="65" width="5.453125" style="73" customWidth="1"/>
    <col min="66" max="66" width="7.453125" style="73" customWidth="1"/>
    <col min="67" max="67" width="7.81640625" style="75" customWidth="1"/>
    <col min="68" max="70" width="5.453125" style="73" customWidth="1"/>
    <col min="71" max="71" width="5.453125" style="75" customWidth="1"/>
    <col min="72" max="72" width="7.54296875" style="75" customWidth="1"/>
    <col min="73" max="73" width="5.453125" style="75" customWidth="1"/>
    <col min="74" max="74" width="5.453125" style="73" customWidth="1"/>
    <col min="75" max="75" width="6.453125" style="75" customWidth="1"/>
    <col min="76" max="76" width="8" style="75" customWidth="1"/>
    <col min="77" max="77" width="7.81640625" style="73" customWidth="1"/>
    <col min="78" max="78" width="9.1796875" style="73" customWidth="1"/>
    <col min="79" max="79" width="10" style="73" customWidth="1"/>
    <col min="80" max="81" width="5.453125" style="75" customWidth="1"/>
    <col min="82" max="82" width="7.453125" style="75" customWidth="1"/>
    <col min="83" max="84" width="5.453125" style="75" customWidth="1"/>
    <col min="85" max="87" width="5.453125" style="73" customWidth="1"/>
    <col min="88" max="88" width="8.54296875" style="73" customWidth="1"/>
    <col min="89" max="89" width="7.453125" style="73" customWidth="1"/>
    <col min="90" max="90" width="5.453125" style="73" customWidth="1"/>
    <col min="91" max="91" width="7.81640625" style="73" customWidth="1"/>
    <col min="92" max="92" width="7.1796875" style="73" customWidth="1"/>
    <col min="93" max="93" width="6.81640625" style="73" customWidth="1"/>
    <col min="94" max="94" width="7.453125" style="73" customWidth="1"/>
    <col min="95" max="95" width="8.453125" style="73" customWidth="1"/>
    <col min="96" max="96" width="6.54296875" style="73" customWidth="1"/>
    <col min="97" max="97" width="5.453125" style="73" customWidth="1"/>
    <col min="98" max="98" width="7.81640625" style="73" customWidth="1"/>
    <col min="99" max="99" width="5.453125" style="73" customWidth="1"/>
    <col min="100" max="100" width="7.54296875" style="73" customWidth="1"/>
    <col min="101" max="101" width="6.453125" style="73" customWidth="1"/>
    <col min="102" max="102" width="5.453125" style="73" customWidth="1"/>
    <col min="103" max="103" width="7.1796875" style="73" customWidth="1"/>
    <col min="104" max="104" width="5.453125" style="73" customWidth="1"/>
    <col min="105" max="105" width="11.81640625" style="73" customWidth="1"/>
    <col min="106" max="107" width="5.453125" style="73" customWidth="1"/>
    <col min="108" max="108" width="8.1796875" style="73" customWidth="1"/>
    <col min="109" max="111" width="5.453125" style="73" customWidth="1"/>
    <col min="112" max="112" width="9.54296875" style="73" customWidth="1"/>
    <col min="113" max="113" width="9.81640625" style="73" customWidth="1"/>
    <col min="114" max="114" width="8.54296875" style="73" customWidth="1"/>
    <col min="115" max="115" width="5.453125" style="73" customWidth="1"/>
    <col min="116" max="116" width="7.1796875" style="73" customWidth="1"/>
    <col min="117" max="117" width="7.453125" style="73" customWidth="1"/>
    <col min="118" max="119" width="5.54296875" style="73" customWidth="1"/>
    <col min="120" max="120" width="8.1796875" style="73" customWidth="1"/>
    <col min="121" max="16384" width="11.453125" style="73"/>
  </cols>
  <sheetData>
    <row r="1" spans="1:120" s="65" customFormat="1" ht="13" x14ac:dyDescent="0.3">
      <c r="A1" s="206" t="s">
        <v>34</v>
      </c>
      <c r="B1" s="207"/>
      <c r="D1" s="520"/>
      <c r="E1" s="520"/>
      <c r="F1" s="520"/>
      <c r="G1" s="521"/>
      <c r="H1" s="521"/>
      <c r="I1" s="521"/>
      <c r="J1" s="521"/>
      <c r="K1" s="521"/>
      <c r="L1" s="521"/>
      <c r="M1" s="207"/>
      <c r="N1" s="207"/>
      <c r="O1" s="207"/>
      <c r="P1" s="207"/>
      <c r="Q1" s="207"/>
      <c r="R1" s="207"/>
      <c r="S1" s="207"/>
      <c r="T1" s="207"/>
      <c r="U1" s="207"/>
      <c r="V1" s="207"/>
      <c r="W1" s="207"/>
      <c r="X1" s="522"/>
      <c r="Y1" s="522"/>
      <c r="Z1" s="207"/>
      <c r="AA1" s="207"/>
      <c r="AB1" s="207"/>
      <c r="AC1" s="207"/>
      <c r="AD1" s="207"/>
      <c r="AE1" s="207"/>
      <c r="AF1" s="207"/>
      <c r="AG1" s="207"/>
      <c r="AH1" s="207"/>
      <c r="AI1" s="207"/>
      <c r="AJ1" s="207"/>
      <c r="AK1" s="207"/>
      <c r="AL1" s="207"/>
      <c r="AM1" s="207"/>
      <c r="AN1" s="207"/>
      <c r="AO1" s="207"/>
      <c r="AP1" s="207"/>
      <c r="AQ1" s="207"/>
      <c r="AR1" s="207"/>
      <c r="AS1" s="522"/>
      <c r="AT1" s="523"/>
      <c r="AU1" s="207"/>
      <c r="AV1" s="207"/>
      <c r="AW1" s="207"/>
      <c r="AX1" s="207"/>
      <c r="AY1" s="523"/>
      <c r="AZ1" s="523"/>
      <c r="BA1" s="520"/>
      <c r="BB1" s="523"/>
      <c r="BC1" s="207"/>
      <c r="BD1" s="207"/>
      <c r="BE1" s="207"/>
      <c r="BF1" s="524"/>
      <c r="BG1" s="525"/>
      <c r="BH1" s="526"/>
      <c r="BI1" s="207"/>
      <c r="BJ1" s="207"/>
      <c r="BK1" s="207"/>
      <c r="BL1" s="207"/>
      <c r="BM1" s="207"/>
      <c r="BN1" s="207"/>
      <c r="BO1" s="524"/>
      <c r="BP1" s="207"/>
      <c r="BQ1" s="207"/>
      <c r="BR1" s="207"/>
      <c r="BS1" s="527"/>
      <c r="BT1" s="521"/>
      <c r="BU1" s="526"/>
      <c r="BV1" s="207"/>
      <c r="BW1" s="526"/>
      <c r="BX1" s="526"/>
      <c r="BY1" s="207"/>
      <c r="BZ1" s="207"/>
      <c r="CA1" s="207"/>
      <c r="CB1" s="526"/>
      <c r="CC1" s="525"/>
      <c r="CD1" s="528"/>
      <c r="CE1" s="524"/>
      <c r="CF1" s="523"/>
      <c r="CG1" s="207"/>
      <c r="CH1" s="207"/>
      <c r="CI1" s="207"/>
      <c r="CJ1" s="207"/>
      <c r="CK1" s="207"/>
      <c r="CL1" s="207"/>
      <c r="CM1" s="207"/>
      <c r="CN1" s="207"/>
      <c r="CO1" s="207"/>
      <c r="CP1" s="207"/>
      <c r="CQ1" s="207"/>
      <c r="CR1" s="207"/>
      <c r="CS1" s="207"/>
      <c r="CT1" s="207"/>
      <c r="CU1" s="207"/>
      <c r="CV1" s="207"/>
      <c r="CW1" s="207"/>
      <c r="CX1" s="207"/>
      <c r="CY1" s="207"/>
      <c r="CZ1" s="207"/>
      <c r="DA1" s="207"/>
      <c r="DB1" s="207"/>
      <c r="DC1" s="207"/>
      <c r="DD1" s="207"/>
      <c r="DE1" s="207"/>
      <c r="DF1" s="207"/>
      <c r="DG1" s="207"/>
      <c r="DH1" s="207"/>
      <c r="DI1" s="207"/>
      <c r="DJ1" s="207"/>
      <c r="DK1" s="207"/>
      <c r="DL1" s="207"/>
      <c r="DM1" s="207"/>
      <c r="DN1" s="207"/>
      <c r="DO1" s="207"/>
      <c r="DP1" s="529"/>
    </row>
    <row r="2" spans="1:120" s="65" customFormat="1" x14ac:dyDescent="0.25">
      <c r="A2" s="837" t="s">
        <v>304</v>
      </c>
      <c r="B2" s="838"/>
      <c r="C2" s="838"/>
      <c r="D2" s="838"/>
      <c r="E2" s="838"/>
      <c r="F2" s="838"/>
      <c r="G2" s="838"/>
      <c r="H2" s="838"/>
      <c r="I2" s="838"/>
      <c r="J2" s="838"/>
      <c r="K2" s="838"/>
      <c r="L2" s="838"/>
      <c r="M2" s="838"/>
      <c r="N2" s="838"/>
      <c r="O2" s="838"/>
      <c r="P2" s="838"/>
      <c r="Q2" s="838"/>
      <c r="R2" s="838"/>
      <c r="S2" s="838"/>
      <c r="T2" s="838"/>
      <c r="U2" s="838"/>
      <c r="V2" s="838"/>
      <c r="W2" s="838"/>
      <c r="X2" s="838"/>
      <c r="Y2" s="838"/>
      <c r="Z2" s="838"/>
      <c r="AA2" s="838"/>
      <c r="AB2" s="838"/>
      <c r="AC2" s="838"/>
      <c r="AD2" s="838"/>
      <c r="AE2" s="838"/>
      <c r="AF2" s="838"/>
      <c r="AG2" s="838"/>
      <c r="AH2" s="838"/>
      <c r="AI2" s="838"/>
      <c r="AJ2" s="838"/>
      <c r="AK2" s="838"/>
      <c r="AL2" s="838"/>
      <c r="AM2" s="838"/>
      <c r="AN2" s="838"/>
      <c r="AO2" s="838"/>
      <c r="AP2" s="838"/>
      <c r="AQ2" s="838"/>
      <c r="AR2" s="838"/>
      <c r="AS2" s="838"/>
      <c r="AT2" s="838"/>
      <c r="AU2" s="838"/>
      <c r="AV2" s="838"/>
      <c r="AW2" s="838"/>
      <c r="AX2" s="838"/>
      <c r="AY2" s="838"/>
      <c r="AZ2" s="838"/>
      <c r="BA2" s="838"/>
      <c r="BB2" s="838"/>
      <c r="BC2" s="838"/>
      <c r="BD2" s="838"/>
      <c r="BE2" s="838"/>
      <c r="BF2" s="838"/>
      <c r="BG2" s="838"/>
      <c r="BH2" s="838"/>
      <c r="BI2" s="838"/>
      <c r="BJ2" s="838"/>
      <c r="BK2" s="838"/>
      <c r="BL2" s="838"/>
      <c r="BM2" s="838"/>
      <c r="BN2" s="838"/>
      <c r="BO2" s="838"/>
      <c r="BP2" s="838"/>
      <c r="BQ2" s="838"/>
      <c r="BR2" s="838"/>
      <c r="BS2" s="838"/>
      <c r="BT2" s="838"/>
      <c r="BU2" s="838"/>
      <c r="BV2" s="838"/>
      <c r="BW2" s="838"/>
      <c r="BX2" s="838"/>
      <c r="BY2" s="838"/>
      <c r="BZ2" s="838"/>
      <c r="CA2" s="838"/>
      <c r="CB2" s="838"/>
      <c r="CC2" s="838"/>
      <c r="CD2" s="838"/>
      <c r="CE2" s="838"/>
      <c r="CF2" s="838"/>
      <c r="CG2" s="838"/>
      <c r="CH2" s="838"/>
      <c r="CI2" s="838"/>
      <c r="CJ2" s="838"/>
      <c r="CK2" s="838"/>
      <c r="CL2" s="838"/>
      <c r="CM2" s="838"/>
      <c r="CN2" s="838"/>
      <c r="CO2" s="838"/>
      <c r="CP2" s="838"/>
      <c r="CQ2" s="838"/>
      <c r="CR2" s="838"/>
      <c r="CS2" s="838"/>
      <c r="CT2" s="838"/>
      <c r="CU2" s="838"/>
      <c r="CV2" s="838"/>
      <c r="CW2" s="838"/>
      <c r="CX2" s="838"/>
      <c r="CY2" s="838"/>
      <c r="CZ2" s="838"/>
      <c r="DA2" s="838"/>
      <c r="DB2" s="838"/>
      <c r="DC2" s="838"/>
      <c r="DD2" s="838"/>
      <c r="DE2" s="838"/>
      <c r="DF2" s="838"/>
      <c r="DG2" s="838"/>
      <c r="DH2" s="838"/>
      <c r="DI2" s="838"/>
      <c r="DJ2" s="838"/>
      <c r="DK2" s="838"/>
      <c r="DL2" s="838"/>
      <c r="DM2" s="838"/>
      <c r="DN2" s="838"/>
      <c r="DO2" s="838"/>
      <c r="DP2" s="839"/>
    </row>
    <row r="3" spans="1:120" s="65" customFormat="1" outlineLevel="1" x14ac:dyDescent="0.25">
      <c r="A3" s="209"/>
      <c r="B3" s="210"/>
      <c r="C3" s="629"/>
      <c r="D3" s="210">
        <f t="array" ref="D3:DP3">TRANSPOSE(C30:C146)</f>
        <v>1</v>
      </c>
      <c r="E3" s="210">
        <v>1</v>
      </c>
      <c r="F3" s="210">
        <v>1</v>
      </c>
      <c r="G3" s="210">
        <v>2</v>
      </c>
      <c r="H3" s="210">
        <v>2</v>
      </c>
      <c r="I3" s="210">
        <v>2</v>
      </c>
      <c r="J3" s="210">
        <v>2</v>
      </c>
      <c r="K3" s="210">
        <v>2</v>
      </c>
      <c r="L3" s="210">
        <v>2</v>
      </c>
      <c r="M3" s="210">
        <v>12</v>
      </c>
      <c r="N3" s="210">
        <v>12</v>
      </c>
      <c r="O3" s="210">
        <v>12</v>
      </c>
      <c r="P3" s="210">
        <v>12</v>
      </c>
      <c r="Q3" s="210">
        <v>12</v>
      </c>
      <c r="R3" s="210">
        <v>12</v>
      </c>
      <c r="S3" s="210">
        <v>12</v>
      </c>
      <c r="T3" s="210">
        <v>12</v>
      </c>
      <c r="U3" s="210">
        <v>12</v>
      </c>
      <c r="V3" s="210">
        <v>12</v>
      </c>
      <c r="W3" s="210">
        <v>12</v>
      </c>
      <c r="X3" s="210">
        <v>103</v>
      </c>
      <c r="Y3" s="210">
        <v>103</v>
      </c>
      <c r="Z3" s="210">
        <v>12</v>
      </c>
      <c r="AA3" s="210">
        <v>12</v>
      </c>
      <c r="AB3" s="210">
        <v>12</v>
      </c>
      <c r="AC3" s="210" t="str">
        <v>112-3</v>
      </c>
      <c r="AD3" s="210">
        <v>12</v>
      </c>
      <c r="AE3" s="210">
        <v>12</v>
      </c>
      <c r="AF3" s="210">
        <v>12</v>
      </c>
      <c r="AG3" s="210">
        <v>12</v>
      </c>
      <c r="AH3" s="210">
        <v>12</v>
      </c>
      <c r="AI3" s="210">
        <v>12</v>
      </c>
      <c r="AJ3" s="210">
        <v>12</v>
      </c>
      <c r="AK3" s="210">
        <v>12</v>
      </c>
      <c r="AL3" s="210">
        <v>12</v>
      </c>
      <c r="AM3" s="210">
        <v>12</v>
      </c>
      <c r="AN3" s="210">
        <v>12</v>
      </c>
      <c r="AO3" s="210">
        <v>12</v>
      </c>
      <c r="AP3" s="210">
        <v>12</v>
      </c>
      <c r="AQ3" s="210">
        <v>12</v>
      </c>
      <c r="AR3" s="210">
        <v>12</v>
      </c>
      <c r="AS3" s="210">
        <v>4</v>
      </c>
      <c r="AT3" s="210">
        <v>5</v>
      </c>
      <c r="AU3" s="210">
        <v>12</v>
      </c>
      <c r="AV3" s="210">
        <v>12</v>
      </c>
      <c r="AW3" s="210">
        <v>12</v>
      </c>
      <c r="AX3" s="210">
        <v>12</v>
      </c>
      <c r="AY3" s="210">
        <v>6</v>
      </c>
      <c r="AZ3" s="210">
        <v>6</v>
      </c>
      <c r="BA3" s="210">
        <v>7</v>
      </c>
      <c r="BB3" s="210">
        <v>8</v>
      </c>
      <c r="BC3" s="210">
        <v>12</v>
      </c>
      <c r="BD3" s="210">
        <v>12</v>
      </c>
      <c r="BE3" s="210">
        <v>12</v>
      </c>
      <c r="BF3" s="210">
        <v>9</v>
      </c>
      <c r="BG3" s="210">
        <v>10</v>
      </c>
      <c r="BH3" s="210">
        <v>11</v>
      </c>
      <c r="BI3" s="210">
        <v>12</v>
      </c>
      <c r="BJ3" s="210">
        <v>12</v>
      </c>
      <c r="BK3" s="210">
        <v>12</v>
      </c>
      <c r="BL3" s="210">
        <v>12</v>
      </c>
      <c r="BM3" s="210">
        <v>12</v>
      </c>
      <c r="BN3" s="210">
        <v>12</v>
      </c>
      <c r="BO3" s="210">
        <v>21</v>
      </c>
      <c r="BP3" s="210" t="str">
        <v>122-24</v>
      </c>
      <c r="BQ3" s="210">
        <v>12</v>
      </c>
      <c r="BR3" s="210">
        <v>12</v>
      </c>
      <c r="BS3" s="210">
        <v>122</v>
      </c>
      <c r="BT3" s="210">
        <v>23</v>
      </c>
      <c r="BU3" s="210">
        <v>124</v>
      </c>
      <c r="BV3" s="210">
        <v>12</v>
      </c>
      <c r="BW3" s="210">
        <v>13</v>
      </c>
      <c r="BX3" s="210">
        <v>13</v>
      </c>
      <c r="BY3" s="210">
        <v>19</v>
      </c>
      <c r="BZ3" s="210">
        <v>19</v>
      </c>
      <c r="CA3" s="210">
        <v>19</v>
      </c>
      <c r="CB3" s="210">
        <v>114</v>
      </c>
      <c r="CC3" s="210">
        <v>15</v>
      </c>
      <c r="CD3" s="210">
        <v>116</v>
      </c>
      <c r="CE3" s="210">
        <v>117</v>
      </c>
      <c r="CF3" s="210">
        <v>118</v>
      </c>
      <c r="CG3" s="210">
        <v>19</v>
      </c>
      <c r="CH3" s="210">
        <v>19</v>
      </c>
      <c r="CI3" s="210" t="str">
        <v>114-16-17-18</v>
      </c>
      <c r="CJ3" s="210">
        <v>19</v>
      </c>
      <c r="CK3" s="210">
        <v>19</v>
      </c>
      <c r="CL3" s="210">
        <v>19</v>
      </c>
      <c r="CM3" s="210">
        <v>19</v>
      </c>
      <c r="CN3" s="210">
        <v>19</v>
      </c>
      <c r="CO3" s="210">
        <v>19</v>
      </c>
      <c r="CP3" s="210">
        <v>19</v>
      </c>
      <c r="CQ3" s="210">
        <v>19</v>
      </c>
      <c r="CR3" s="210">
        <v>19</v>
      </c>
      <c r="CS3" s="210">
        <v>19</v>
      </c>
      <c r="CT3" s="210">
        <v>19</v>
      </c>
      <c r="CU3" s="210">
        <v>19</v>
      </c>
      <c r="CV3" s="210">
        <v>19</v>
      </c>
      <c r="CW3" s="210">
        <v>19</v>
      </c>
      <c r="CX3" s="210">
        <v>19</v>
      </c>
      <c r="CY3" s="210">
        <v>19</v>
      </c>
      <c r="CZ3" s="210">
        <v>20</v>
      </c>
      <c r="DA3" s="210">
        <v>19</v>
      </c>
      <c r="DB3" s="210">
        <v>19</v>
      </c>
      <c r="DC3" s="210">
        <v>19</v>
      </c>
      <c r="DD3" s="210">
        <v>19</v>
      </c>
      <c r="DE3" s="210">
        <v>19</v>
      </c>
      <c r="DF3" s="210">
        <v>19</v>
      </c>
      <c r="DG3" s="210">
        <v>19</v>
      </c>
      <c r="DH3" s="210">
        <v>20</v>
      </c>
      <c r="DI3" s="210">
        <v>19</v>
      </c>
      <c r="DJ3" s="210">
        <v>20</v>
      </c>
      <c r="DK3" s="210">
        <v>19</v>
      </c>
      <c r="DL3" s="210">
        <v>19</v>
      </c>
      <c r="DM3" s="210">
        <v>20</v>
      </c>
      <c r="DN3" s="210">
        <v>20</v>
      </c>
      <c r="DO3" s="210">
        <v>20</v>
      </c>
      <c r="DP3" s="211">
        <v>27</v>
      </c>
    </row>
    <row r="4" spans="1:120" s="65" customFormat="1" outlineLevel="1" x14ac:dyDescent="0.25">
      <c r="A4" s="530"/>
      <c r="B4" s="530"/>
      <c r="D4" s="531" t="s">
        <v>184</v>
      </c>
      <c r="E4" s="531" t="s">
        <v>185</v>
      </c>
      <c r="F4" s="531" t="s">
        <v>186</v>
      </c>
      <c r="G4" s="532" t="s">
        <v>187</v>
      </c>
      <c r="H4" s="532" t="s">
        <v>188</v>
      </c>
      <c r="I4" s="532" t="s">
        <v>189</v>
      </c>
      <c r="J4" s="532" t="s">
        <v>190</v>
      </c>
      <c r="K4" s="532" t="s">
        <v>191</v>
      </c>
      <c r="L4" s="532" t="s">
        <v>192</v>
      </c>
      <c r="M4" s="216" t="s">
        <v>193</v>
      </c>
      <c r="N4" s="216" t="s">
        <v>194</v>
      </c>
      <c r="O4" s="216" t="s">
        <v>195</v>
      </c>
      <c r="P4" s="216" t="s">
        <v>196</v>
      </c>
      <c r="Q4" s="216" t="s">
        <v>197</v>
      </c>
      <c r="R4" s="216" t="s">
        <v>198</v>
      </c>
      <c r="S4" s="216" t="s">
        <v>199</v>
      </c>
      <c r="T4" s="216" t="s">
        <v>200</v>
      </c>
      <c r="U4" s="216" t="s">
        <v>201</v>
      </c>
      <c r="V4" s="216" t="s">
        <v>202</v>
      </c>
      <c r="W4" s="216" t="s">
        <v>203</v>
      </c>
      <c r="X4" s="533" t="s">
        <v>204</v>
      </c>
      <c r="Y4" s="533" t="s">
        <v>205</v>
      </c>
      <c r="Z4" s="216" t="s">
        <v>206</v>
      </c>
      <c r="AA4" s="216" t="s">
        <v>207</v>
      </c>
      <c r="AB4" s="216" t="s">
        <v>208</v>
      </c>
      <c r="AC4" s="216" t="s">
        <v>209</v>
      </c>
      <c r="AD4" s="216" t="s">
        <v>210</v>
      </c>
      <c r="AE4" s="216" t="s">
        <v>211</v>
      </c>
      <c r="AF4" s="216" t="s">
        <v>212</v>
      </c>
      <c r="AG4" s="216" t="s">
        <v>213</v>
      </c>
      <c r="AH4" s="216" t="s">
        <v>214</v>
      </c>
      <c r="AI4" s="216" t="s">
        <v>215</v>
      </c>
      <c r="AJ4" s="216" t="s">
        <v>216</v>
      </c>
      <c r="AK4" s="216" t="s">
        <v>217</v>
      </c>
      <c r="AL4" s="216" t="s">
        <v>218</v>
      </c>
      <c r="AM4" s="216" t="s">
        <v>219</v>
      </c>
      <c r="AN4" s="216" t="s">
        <v>220</v>
      </c>
      <c r="AO4" s="216" t="s">
        <v>221</v>
      </c>
      <c r="AP4" s="216" t="s">
        <v>222</v>
      </c>
      <c r="AQ4" s="216" t="s">
        <v>223</v>
      </c>
      <c r="AR4" s="216" t="s">
        <v>224</v>
      </c>
      <c r="AS4" s="533" t="s">
        <v>225</v>
      </c>
      <c r="AT4" s="534" t="s">
        <v>226</v>
      </c>
      <c r="AU4" s="216" t="s">
        <v>227</v>
      </c>
      <c r="AV4" s="216" t="s">
        <v>228</v>
      </c>
      <c r="AW4" s="216" t="s">
        <v>229</v>
      </c>
      <c r="AX4" s="216" t="s">
        <v>230</v>
      </c>
      <c r="AY4" s="534" t="s">
        <v>231</v>
      </c>
      <c r="AZ4" s="534" t="s">
        <v>232</v>
      </c>
      <c r="BA4" s="531" t="s">
        <v>233</v>
      </c>
      <c r="BB4" s="534" t="s">
        <v>234</v>
      </c>
      <c r="BC4" s="216" t="s">
        <v>235</v>
      </c>
      <c r="BD4" s="216" t="s">
        <v>236</v>
      </c>
      <c r="BE4" s="216" t="s">
        <v>237</v>
      </c>
      <c r="BF4" s="535" t="s">
        <v>238</v>
      </c>
      <c r="BG4" s="536" t="s">
        <v>239</v>
      </c>
      <c r="BH4" s="537" t="s">
        <v>240</v>
      </c>
      <c r="BI4" s="216" t="s">
        <v>241</v>
      </c>
      <c r="BJ4" s="216" t="s">
        <v>242</v>
      </c>
      <c r="BK4" s="216" t="s">
        <v>243</v>
      </c>
      <c r="BL4" s="216" t="s">
        <v>244</v>
      </c>
      <c r="BM4" s="216" t="s">
        <v>245</v>
      </c>
      <c r="BN4" s="216" t="s">
        <v>246</v>
      </c>
      <c r="BO4" s="535" t="s">
        <v>247</v>
      </c>
      <c r="BP4" s="216" t="s">
        <v>248</v>
      </c>
      <c r="BQ4" s="216" t="s">
        <v>249</v>
      </c>
      <c r="BR4" s="216" t="s">
        <v>250</v>
      </c>
      <c r="BS4" s="538" t="s">
        <v>251</v>
      </c>
      <c r="BT4" s="532" t="s">
        <v>252</v>
      </c>
      <c r="BU4" s="537" t="s">
        <v>253</v>
      </c>
      <c r="BV4" s="216" t="s">
        <v>254</v>
      </c>
      <c r="BW4" s="537" t="s">
        <v>255</v>
      </c>
      <c r="BX4" s="537" t="s">
        <v>256</v>
      </c>
      <c r="BY4" s="216" t="s">
        <v>257</v>
      </c>
      <c r="BZ4" s="216" t="s">
        <v>258</v>
      </c>
      <c r="CA4" s="216" t="s">
        <v>259</v>
      </c>
      <c r="CB4" s="537" t="s">
        <v>260</v>
      </c>
      <c r="CC4" s="536" t="s">
        <v>261</v>
      </c>
      <c r="CD4" s="539" t="s">
        <v>262</v>
      </c>
      <c r="CE4" s="535" t="s">
        <v>263</v>
      </c>
      <c r="CF4" s="534" t="s">
        <v>264</v>
      </c>
      <c r="CG4" s="216" t="s">
        <v>265</v>
      </c>
      <c r="CH4" s="216" t="s">
        <v>266</v>
      </c>
      <c r="CI4" s="216" t="s">
        <v>267</v>
      </c>
      <c r="CJ4" s="216" t="s">
        <v>268</v>
      </c>
      <c r="CK4" s="216" t="s">
        <v>269</v>
      </c>
      <c r="CL4" s="216" t="s">
        <v>270</v>
      </c>
      <c r="CM4" s="216" t="s">
        <v>271</v>
      </c>
      <c r="CN4" s="216" t="s">
        <v>272</v>
      </c>
      <c r="CO4" s="216" t="s">
        <v>273</v>
      </c>
      <c r="CP4" s="216" t="s">
        <v>274</v>
      </c>
      <c r="CQ4" s="216" t="s">
        <v>275</v>
      </c>
      <c r="CR4" s="216" t="s">
        <v>276</v>
      </c>
      <c r="CS4" s="216" t="s">
        <v>277</v>
      </c>
      <c r="CT4" s="216" t="s">
        <v>278</v>
      </c>
      <c r="CU4" s="216" t="s">
        <v>279</v>
      </c>
      <c r="CV4" s="216" t="s">
        <v>280</v>
      </c>
      <c r="CW4" s="216" t="s">
        <v>281</v>
      </c>
      <c r="CX4" s="216" t="s">
        <v>282</v>
      </c>
      <c r="CY4" s="216" t="s">
        <v>283</v>
      </c>
      <c r="CZ4" s="216" t="s">
        <v>284</v>
      </c>
      <c r="DA4" s="216" t="s">
        <v>285</v>
      </c>
      <c r="DB4" s="216" t="s">
        <v>286</v>
      </c>
      <c r="DC4" s="216" t="s">
        <v>287</v>
      </c>
      <c r="DD4" s="216" t="s">
        <v>288</v>
      </c>
      <c r="DE4" s="216" t="s">
        <v>289</v>
      </c>
      <c r="DF4" s="216" t="s">
        <v>290</v>
      </c>
      <c r="DG4" s="216" t="s">
        <v>291</v>
      </c>
      <c r="DH4" s="216" t="s">
        <v>292</v>
      </c>
      <c r="DI4" s="216" t="s">
        <v>293</v>
      </c>
      <c r="DJ4" s="216" t="s">
        <v>294</v>
      </c>
      <c r="DK4" s="216" t="s">
        <v>295</v>
      </c>
      <c r="DL4" s="216" t="s">
        <v>296</v>
      </c>
      <c r="DM4" s="216" t="s">
        <v>297</v>
      </c>
      <c r="DN4" s="216" t="s">
        <v>298</v>
      </c>
      <c r="DO4" s="216" t="s">
        <v>299</v>
      </c>
      <c r="DP4" s="540" t="s">
        <v>65</v>
      </c>
    </row>
    <row r="5" spans="1:120" s="65" customFormat="1" outlineLevel="1" x14ac:dyDescent="0.25">
      <c r="A5" s="541" t="s">
        <v>35</v>
      </c>
      <c r="B5" s="542" t="s">
        <v>36</v>
      </c>
      <c r="C5" s="95" t="s">
        <v>705</v>
      </c>
      <c r="D5" s="543">
        <v>40793</v>
      </c>
      <c r="E5" s="544">
        <v>2659</v>
      </c>
      <c r="F5" s="544">
        <v>721</v>
      </c>
      <c r="G5" s="545">
        <v>23213</v>
      </c>
      <c r="H5" s="545">
        <v>18484</v>
      </c>
      <c r="I5" s="545">
        <v>11701</v>
      </c>
      <c r="J5" s="545">
        <v>10791</v>
      </c>
      <c r="K5" s="545">
        <v>28240</v>
      </c>
      <c r="L5" s="545">
        <v>221</v>
      </c>
      <c r="M5" s="546">
        <v>6674</v>
      </c>
      <c r="N5" s="546">
        <v>2064</v>
      </c>
      <c r="O5" s="546">
        <v>19606</v>
      </c>
      <c r="P5" s="546">
        <v>26506</v>
      </c>
      <c r="Q5" s="546">
        <v>12582</v>
      </c>
      <c r="R5" s="546">
        <v>9027</v>
      </c>
      <c r="S5" s="546">
        <v>896</v>
      </c>
      <c r="T5" s="546">
        <v>2891</v>
      </c>
      <c r="U5" s="546">
        <v>2030</v>
      </c>
      <c r="V5" s="546">
        <v>1574</v>
      </c>
      <c r="W5" s="546">
        <v>1194</v>
      </c>
      <c r="X5" s="547">
        <v>55564</v>
      </c>
      <c r="Y5" s="547">
        <v>19795</v>
      </c>
      <c r="Z5" s="546">
        <v>2579</v>
      </c>
      <c r="AA5" s="546">
        <v>2543</v>
      </c>
      <c r="AB5" s="546">
        <v>39413</v>
      </c>
      <c r="AC5" s="546">
        <v>750</v>
      </c>
      <c r="AD5" s="546">
        <v>6534</v>
      </c>
      <c r="AE5" s="546">
        <v>6352</v>
      </c>
      <c r="AF5" s="546">
        <v>9413</v>
      </c>
      <c r="AG5" s="546">
        <v>13842</v>
      </c>
      <c r="AH5" s="546">
        <v>3513</v>
      </c>
      <c r="AI5" s="546">
        <v>1377</v>
      </c>
      <c r="AJ5" s="546">
        <v>8743</v>
      </c>
      <c r="AK5" s="546">
        <v>2281</v>
      </c>
      <c r="AL5" s="546">
        <v>1773</v>
      </c>
      <c r="AM5" s="546">
        <v>4181</v>
      </c>
      <c r="AN5" s="546">
        <v>8137</v>
      </c>
      <c r="AO5" s="546">
        <v>3216</v>
      </c>
      <c r="AP5" s="546">
        <v>8173</v>
      </c>
      <c r="AQ5" s="546">
        <v>31</v>
      </c>
      <c r="AR5" s="546">
        <v>3476</v>
      </c>
      <c r="AS5" s="547">
        <v>4189</v>
      </c>
      <c r="AT5" s="548">
        <v>13183</v>
      </c>
      <c r="AU5" s="546">
        <v>3819</v>
      </c>
      <c r="AV5" s="546">
        <v>3510</v>
      </c>
      <c r="AW5" s="546">
        <v>904</v>
      </c>
      <c r="AX5" s="546">
        <v>8418</v>
      </c>
      <c r="AY5" s="548">
        <v>7213</v>
      </c>
      <c r="AZ5" s="548">
        <v>7488</v>
      </c>
      <c r="BA5" s="544">
        <v>5150</v>
      </c>
      <c r="BB5" s="548">
        <v>19416</v>
      </c>
      <c r="BC5" s="546">
        <v>8590</v>
      </c>
      <c r="BD5" s="546">
        <v>361</v>
      </c>
      <c r="BE5" s="546">
        <v>6590</v>
      </c>
      <c r="BF5" s="549">
        <v>17661</v>
      </c>
      <c r="BG5" s="550">
        <v>19545</v>
      </c>
      <c r="BH5" s="551">
        <v>9493</v>
      </c>
      <c r="BI5" s="546">
        <v>3821</v>
      </c>
      <c r="BJ5" s="546">
        <v>17128</v>
      </c>
      <c r="BK5" s="546">
        <v>8545</v>
      </c>
      <c r="BL5" s="546">
        <v>4010</v>
      </c>
      <c r="BM5" s="546">
        <v>16623</v>
      </c>
      <c r="BN5" s="546">
        <v>7361</v>
      </c>
      <c r="BO5" s="549">
        <v>35</v>
      </c>
      <c r="BP5" s="546">
        <v>201</v>
      </c>
      <c r="BQ5" s="546">
        <v>2</v>
      </c>
      <c r="BR5" s="546">
        <v>2607</v>
      </c>
      <c r="BS5" s="552">
        <v>48116</v>
      </c>
      <c r="BT5" s="545">
        <v>27203</v>
      </c>
      <c r="BU5" s="551">
        <v>18307</v>
      </c>
      <c r="BV5" s="546">
        <v>6868</v>
      </c>
      <c r="BW5" s="551">
        <v>97436</v>
      </c>
      <c r="BX5" s="551">
        <v>31670</v>
      </c>
      <c r="BY5" s="546">
        <v>17783</v>
      </c>
      <c r="BZ5" s="546">
        <v>96280</v>
      </c>
      <c r="CA5" s="546">
        <v>45735</v>
      </c>
      <c r="CB5" s="551">
        <v>3528</v>
      </c>
      <c r="CC5" s="550">
        <v>5528</v>
      </c>
      <c r="CD5" s="553">
        <v>24066</v>
      </c>
      <c r="CE5" s="549">
        <v>7526</v>
      </c>
      <c r="CF5" s="548">
        <v>11163</v>
      </c>
      <c r="CG5" s="546">
        <v>14721</v>
      </c>
      <c r="CH5" s="546">
        <v>5665</v>
      </c>
      <c r="CI5" s="546">
        <v>7484</v>
      </c>
      <c r="CJ5" s="546">
        <v>47850</v>
      </c>
      <c r="CK5" s="546">
        <v>25688</v>
      </c>
      <c r="CL5" s="546">
        <v>17170</v>
      </c>
      <c r="CM5" s="546">
        <v>16427</v>
      </c>
      <c r="CN5" s="546">
        <v>36454</v>
      </c>
      <c r="CO5" s="546">
        <v>33296</v>
      </c>
      <c r="CP5" s="546">
        <v>24786</v>
      </c>
      <c r="CQ5" s="546">
        <v>20445</v>
      </c>
      <c r="CR5" s="546">
        <v>28443</v>
      </c>
      <c r="CS5" s="546">
        <v>10722</v>
      </c>
      <c r="CT5" s="546">
        <v>26341</v>
      </c>
      <c r="CU5" s="546">
        <v>12039</v>
      </c>
      <c r="CV5" s="546">
        <v>2513</v>
      </c>
      <c r="CW5" s="546">
        <v>47278</v>
      </c>
      <c r="CX5" s="546">
        <v>6064</v>
      </c>
      <c r="CY5" s="546">
        <v>16494</v>
      </c>
      <c r="CZ5" s="546">
        <v>4145</v>
      </c>
      <c r="DA5" s="546">
        <v>39358</v>
      </c>
      <c r="DB5" s="546">
        <v>15198</v>
      </c>
      <c r="DC5" s="546">
        <v>10947</v>
      </c>
      <c r="DD5" s="546">
        <v>9256</v>
      </c>
      <c r="DE5" s="546">
        <v>4299</v>
      </c>
      <c r="DF5" s="546">
        <v>0</v>
      </c>
      <c r="DG5" s="546">
        <v>5414</v>
      </c>
      <c r="DH5" s="546">
        <v>12934</v>
      </c>
      <c r="DI5" s="546">
        <v>16856</v>
      </c>
      <c r="DJ5" s="546">
        <v>14626</v>
      </c>
      <c r="DK5" s="546">
        <v>942</v>
      </c>
      <c r="DL5" s="546">
        <v>7060</v>
      </c>
      <c r="DM5" s="546">
        <v>6526</v>
      </c>
      <c r="DN5" s="546">
        <v>48880</v>
      </c>
      <c r="DO5" s="546">
        <v>4435</v>
      </c>
      <c r="DP5" s="554">
        <v>1661381</v>
      </c>
    </row>
    <row r="6" spans="1:120" s="65" customFormat="1" outlineLevel="1" x14ac:dyDescent="0.25">
      <c r="A6" s="555" t="s">
        <v>37</v>
      </c>
      <c r="B6" s="277" t="s">
        <v>38</v>
      </c>
      <c r="C6" s="95" t="s">
        <v>780</v>
      </c>
      <c r="D6" s="397">
        <v>28259</v>
      </c>
      <c r="E6" s="398">
        <v>3652</v>
      </c>
      <c r="F6" s="398">
        <v>1348</v>
      </c>
      <c r="G6" s="347">
        <v>6011</v>
      </c>
      <c r="H6" s="347">
        <v>3072</v>
      </c>
      <c r="I6" s="347">
        <v>4124</v>
      </c>
      <c r="J6" s="347">
        <v>2452</v>
      </c>
      <c r="K6" s="347">
        <v>12489</v>
      </c>
      <c r="L6" s="347">
        <v>544</v>
      </c>
      <c r="M6" s="220">
        <v>3148</v>
      </c>
      <c r="N6" s="220">
        <v>1230</v>
      </c>
      <c r="O6" s="220">
        <v>11512</v>
      </c>
      <c r="P6" s="220">
        <v>9910</v>
      </c>
      <c r="Q6" s="220">
        <v>3589</v>
      </c>
      <c r="R6" s="220">
        <v>4151</v>
      </c>
      <c r="S6" s="220">
        <v>718</v>
      </c>
      <c r="T6" s="220">
        <v>1230</v>
      </c>
      <c r="U6" s="220">
        <v>856</v>
      </c>
      <c r="V6" s="220">
        <v>167</v>
      </c>
      <c r="W6" s="220">
        <v>827</v>
      </c>
      <c r="X6" s="270">
        <v>6869</v>
      </c>
      <c r="Y6" s="270">
        <v>6312</v>
      </c>
      <c r="Z6" s="220">
        <v>2075</v>
      </c>
      <c r="AA6" s="220">
        <v>798</v>
      </c>
      <c r="AB6" s="220">
        <v>7801</v>
      </c>
      <c r="AC6" s="220">
        <v>266</v>
      </c>
      <c r="AD6" s="220">
        <v>2903</v>
      </c>
      <c r="AE6" s="220">
        <v>3950</v>
      </c>
      <c r="AF6" s="220">
        <v>4238</v>
      </c>
      <c r="AG6" s="220">
        <v>7268</v>
      </c>
      <c r="AH6" s="220">
        <v>1288</v>
      </c>
      <c r="AI6" s="220">
        <v>819</v>
      </c>
      <c r="AJ6" s="220">
        <v>3675</v>
      </c>
      <c r="AK6" s="220">
        <v>741</v>
      </c>
      <c r="AL6" s="220">
        <v>618</v>
      </c>
      <c r="AM6" s="220">
        <v>2091</v>
      </c>
      <c r="AN6" s="220">
        <v>1677</v>
      </c>
      <c r="AO6" s="220">
        <v>2526</v>
      </c>
      <c r="AP6" s="220">
        <v>4559</v>
      </c>
      <c r="AQ6" s="220">
        <v>-2</v>
      </c>
      <c r="AR6" s="220">
        <v>2012</v>
      </c>
      <c r="AS6" s="270">
        <v>2463</v>
      </c>
      <c r="AT6" s="317">
        <v>6438</v>
      </c>
      <c r="AU6" s="220">
        <v>1085</v>
      </c>
      <c r="AV6" s="220">
        <v>1564</v>
      </c>
      <c r="AW6" s="220">
        <v>532</v>
      </c>
      <c r="AX6" s="220">
        <v>3306</v>
      </c>
      <c r="AY6" s="317">
        <v>1511</v>
      </c>
      <c r="AZ6" s="317">
        <v>3044</v>
      </c>
      <c r="BA6" s="398">
        <v>825</v>
      </c>
      <c r="BB6" s="317">
        <v>3852</v>
      </c>
      <c r="BC6" s="220">
        <v>3617</v>
      </c>
      <c r="BD6" s="220">
        <v>64</v>
      </c>
      <c r="BE6" s="220">
        <v>3024</v>
      </c>
      <c r="BF6" s="437">
        <v>7508</v>
      </c>
      <c r="BG6" s="357">
        <v>4651</v>
      </c>
      <c r="BH6" s="297">
        <v>2013</v>
      </c>
      <c r="BI6" s="220">
        <v>1726</v>
      </c>
      <c r="BJ6" s="220">
        <v>11642</v>
      </c>
      <c r="BK6" s="220">
        <v>4961</v>
      </c>
      <c r="BL6" s="220">
        <v>2035</v>
      </c>
      <c r="BM6" s="220">
        <v>5842</v>
      </c>
      <c r="BN6" s="220">
        <v>3281</v>
      </c>
      <c r="BO6" s="437">
        <v>0</v>
      </c>
      <c r="BP6" s="220">
        <v>401</v>
      </c>
      <c r="BQ6" s="220">
        <v>-2</v>
      </c>
      <c r="BR6" s="220">
        <v>1598</v>
      </c>
      <c r="BS6" s="378">
        <v>2398</v>
      </c>
      <c r="BT6" s="347">
        <v>18832</v>
      </c>
      <c r="BU6" s="297">
        <v>5049</v>
      </c>
      <c r="BV6" s="220">
        <v>2165</v>
      </c>
      <c r="BW6" s="297">
        <v>82520</v>
      </c>
      <c r="BX6" s="297">
        <v>17048</v>
      </c>
      <c r="BY6" s="220">
        <v>25738</v>
      </c>
      <c r="BZ6" s="220">
        <v>72397</v>
      </c>
      <c r="CA6" s="220">
        <v>68257</v>
      </c>
      <c r="CB6" s="297">
        <v>6181</v>
      </c>
      <c r="CC6" s="357">
        <v>11676</v>
      </c>
      <c r="CD6" s="556">
        <v>18034</v>
      </c>
      <c r="CE6" s="437">
        <v>1966</v>
      </c>
      <c r="CF6" s="317">
        <v>6633</v>
      </c>
      <c r="CG6" s="220">
        <v>16086</v>
      </c>
      <c r="CH6" s="220">
        <v>2063</v>
      </c>
      <c r="CI6" s="220">
        <v>6795</v>
      </c>
      <c r="CJ6" s="220">
        <v>46228</v>
      </c>
      <c r="CK6" s="220">
        <v>19808</v>
      </c>
      <c r="CL6" s="220">
        <v>14028</v>
      </c>
      <c r="CM6" s="220">
        <v>18537</v>
      </c>
      <c r="CN6" s="220">
        <v>208977</v>
      </c>
      <c r="CO6" s="220">
        <v>32518</v>
      </c>
      <c r="CP6" s="220">
        <v>40005</v>
      </c>
      <c r="CQ6" s="220">
        <v>35104</v>
      </c>
      <c r="CR6" s="220">
        <v>11725</v>
      </c>
      <c r="CS6" s="220">
        <v>9475</v>
      </c>
      <c r="CT6" s="220">
        <v>22350</v>
      </c>
      <c r="CU6" s="220">
        <v>13013</v>
      </c>
      <c r="CV6" s="220">
        <v>24733</v>
      </c>
      <c r="CW6" s="220">
        <v>53099</v>
      </c>
      <c r="CX6" s="220">
        <v>9658</v>
      </c>
      <c r="CY6" s="220">
        <v>8688</v>
      </c>
      <c r="CZ6" s="220">
        <v>5867</v>
      </c>
      <c r="DA6" s="220">
        <v>37961</v>
      </c>
      <c r="DB6" s="220">
        <v>8572</v>
      </c>
      <c r="DC6" s="220">
        <v>8772</v>
      </c>
      <c r="DD6" s="220">
        <v>16016</v>
      </c>
      <c r="DE6" s="220">
        <v>9338</v>
      </c>
      <c r="DF6" s="220">
        <v>9109</v>
      </c>
      <c r="DG6" s="220">
        <v>7748</v>
      </c>
      <c r="DH6" s="220">
        <v>79196</v>
      </c>
      <c r="DI6" s="220">
        <v>43984</v>
      </c>
      <c r="DJ6" s="220">
        <v>45299</v>
      </c>
      <c r="DK6" s="220">
        <v>1313</v>
      </c>
      <c r="DL6" s="220">
        <v>16156</v>
      </c>
      <c r="DM6" s="220">
        <v>28710</v>
      </c>
      <c r="DN6" s="220">
        <v>121442</v>
      </c>
      <c r="DO6" s="220">
        <v>4682</v>
      </c>
      <c r="DP6" s="279">
        <v>1614703</v>
      </c>
    </row>
    <row r="7" spans="1:120" s="65" customFormat="1" outlineLevel="1" x14ac:dyDescent="0.25">
      <c r="A7" s="555" t="s">
        <v>39</v>
      </c>
      <c r="B7" s="277" t="s">
        <v>40</v>
      </c>
      <c r="C7" s="95" t="s">
        <v>789</v>
      </c>
      <c r="D7" s="397">
        <v>69052</v>
      </c>
      <c r="E7" s="398">
        <v>6311</v>
      </c>
      <c r="F7" s="398">
        <v>2069</v>
      </c>
      <c r="G7" s="347">
        <v>29224</v>
      </c>
      <c r="H7" s="347">
        <v>21556</v>
      </c>
      <c r="I7" s="347">
        <v>15825</v>
      </c>
      <c r="J7" s="347">
        <v>13243</v>
      </c>
      <c r="K7" s="347">
        <v>40729</v>
      </c>
      <c r="L7" s="347">
        <v>765</v>
      </c>
      <c r="M7" s="220">
        <v>9822</v>
      </c>
      <c r="N7" s="220">
        <v>3294</v>
      </c>
      <c r="O7" s="220">
        <v>31118</v>
      </c>
      <c r="P7" s="220">
        <v>36416</v>
      </c>
      <c r="Q7" s="220">
        <v>16171</v>
      </c>
      <c r="R7" s="220">
        <v>13178</v>
      </c>
      <c r="S7" s="220">
        <v>1614</v>
      </c>
      <c r="T7" s="220">
        <v>4121</v>
      </c>
      <c r="U7" s="220">
        <v>2886</v>
      </c>
      <c r="V7" s="220">
        <v>1741</v>
      </c>
      <c r="W7" s="220">
        <v>2021</v>
      </c>
      <c r="X7" s="270">
        <v>62433</v>
      </c>
      <c r="Y7" s="270">
        <v>26107</v>
      </c>
      <c r="Z7" s="220">
        <v>4654</v>
      </c>
      <c r="AA7" s="220">
        <v>3341</v>
      </c>
      <c r="AB7" s="220">
        <v>47214</v>
      </c>
      <c r="AC7" s="220">
        <v>1016</v>
      </c>
      <c r="AD7" s="220">
        <v>9437</v>
      </c>
      <c r="AE7" s="220">
        <v>10302</v>
      </c>
      <c r="AF7" s="220">
        <v>13651</v>
      </c>
      <c r="AG7" s="220">
        <v>21110</v>
      </c>
      <c r="AH7" s="220">
        <v>4801</v>
      </c>
      <c r="AI7" s="220">
        <v>2196</v>
      </c>
      <c r="AJ7" s="220">
        <v>12418</v>
      </c>
      <c r="AK7" s="220">
        <v>3022</v>
      </c>
      <c r="AL7" s="220">
        <v>2391</v>
      </c>
      <c r="AM7" s="220">
        <v>6272</v>
      </c>
      <c r="AN7" s="220">
        <v>9814</v>
      </c>
      <c r="AO7" s="220">
        <v>5742</v>
      </c>
      <c r="AP7" s="220">
        <v>12732</v>
      </c>
      <c r="AQ7" s="220">
        <v>29</v>
      </c>
      <c r="AR7" s="220">
        <v>5488</v>
      </c>
      <c r="AS7" s="270">
        <v>6652</v>
      </c>
      <c r="AT7" s="317">
        <v>19621</v>
      </c>
      <c r="AU7" s="220">
        <v>4904</v>
      </c>
      <c r="AV7" s="220">
        <v>5074</v>
      </c>
      <c r="AW7" s="220">
        <v>1436</v>
      </c>
      <c r="AX7" s="220">
        <v>11724</v>
      </c>
      <c r="AY7" s="317">
        <v>8724</v>
      </c>
      <c r="AZ7" s="317">
        <v>10532</v>
      </c>
      <c r="BA7" s="398">
        <v>5975</v>
      </c>
      <c r="BB7" s="317">
        <v>23268</v>
      </c>
      <c r="BC7" s="220">
        <v>12207</v>
      </c>
      <c r="BD7" s="220">
        <v>425</v>
      </c>
      <c r="BE7" s="220">
        <v>9614</v>
      </c>
      <c r="BF7" s="437">
        <v>25169</v>
      </c>
      <c r="BG7" s="357">
        <v>24196</v>
      </c>
      <c r="BH7" s="297">
        <v>11506</v>
      </c>
      <c r="BI7" s="220">
        <v>5547</v>
      </c>
      <c r="BJ7" s="220">
        <v>28770</v>
      </c>
      <c r="BK7" s="220">
        <v>13506</v>
      </c>
      <c r="BL7" s="220">
        <v>6045</v>
      </c>
      <c r="BM7" s="220">
        <v>22465</v>
      </c>
      <c r="BN7" s="220">
        <v>10642</v>
      </c>
      <c r="BO7" s="437">
        <v>35</v>
      </c>
      <c r="BP7" s="220">
        <v>602</v>
      </c>
      <c r="BQ7" s="220">
        <v>0</v>
      </c>
      <c r="BR7" s="220">
        <v>4205</v>
      </c>
      <c r="BS7" s="378">
        <v>50514</v>
      </c>
      <c r="BT7" s="347">
        <v>46035</v>
      </c>
      <c r="BU7" s="297">
        <v>23356</v>
      </c>
      <c r="BV7" s="220">
        <v>9033</v>
      </c>
      <c r="BW7" s="297">
        <v>179956</v>
      </c>
      <c r="BX7" s="297">
        <v>48718</v>
      </c>
      <c r="BY7" s="220">
        <v>43521</v>
      </c>
      <c r="BZ7" s="220">
        <v>168677</v>
      </c>
      <c r="CA7" s="220">
        <v>113992</v>
      </c>
      <c r="CB7" s="297">
        <v>9709</v>
      </c>
      <c r="CC7" s="357">
        <v>17204</v>
      </c>
      <c r="CD7" s="556">
        <v>42100</v>
      </c>
      <c r="CE7" s="437">
        <v>9492</v>
      </c>
      <c r="CF7" s="317">
        <v>17796</v>
      </c>
      <c r="CG7" s="220">
        <v>30807</v>
      </c>
      <c r="CH7" s="220">
        <v>7728</v>
      </c>
      <c r="CI7" s="220">
        <v>14279</v>
      </c>
      <c r="CJ7" s="220">
        <v>94078</v>
      </c>
      <c r="CK7" s="220">
        <v>45496</v>
      </c>
      <c r="CL7" s="220">
        <v>31198</v>
      </c>
      <c r="CM7" s="220">
        <v>34964</v>
      </c>
      <c r="CN7" s="220">
        <v>245431</v>
      </c>
      <c r="CO7" s="220">
        <v>65814</v>
      </c>
      <c r="CP7" s="220">
        <v>64791</v>
      </c>
      <c r="CQ7" s="220">
        <v>55549</v>
      </c>
      <c r="CR7" s="220">
        <v>40168</v>
      </c>
      <c r="CS7" s="220">
        <v>20197</v>
      </c>
      <c r="CT7" s="220">
        <v>48691</v>
      </c>
      <c r="CU7" s="220">
        <v>25052</v>
      </c>
      <c r="CV7" s="220">
        <v>27246</v>
      </c>
      <c r="CW7" s="220">
        <v>100377</v>
      </c>
      <c r="CX7" s="220">
        <v>15722</v>
      </c>
      <c r="CY7" s="220">
        <v>25182</v>
      </c>
      <c r="CZ7" s="220">
        <v>10012</v>
      </c>
      <c r="DA7" s="220">
        <v>77319</v>
      </c>
      <c r="DB7" s="220">
        <v>23770</v>
      </c>
      <c r="DC7" s="220">
        <v>19719</v>
      </c>
      <c r="DD7" s="220">
        <v>25272</v>
      </c>
      <c r="DE7" s="220">
        <v>13637</v>
      </c>
      <c r="DF7" s="220">
        <v>9109</v>
      </c>
      <c r="DG7" s="220">
        <v>13162</v>
      </c>
      <c r="DH7" s="220">
        <v>92130</v>
      </c>
      <c r="DI7" s="220">
        <v>60840</v>
      </c>
      <c r="DJ7" s="220">
        <v>59925</v>
      </c>
      <c r="DK7" s="220">
        <v>2255</v>
      </c>
      <c r="DL7" s="220">
        <v>23216</v>
      </c>
      <c r="DM7" s="220">
        <v>35236</v>
      </c>
      <c r="DN7" s="220">
        <v>170322</v>
      </c>
      <c r="DO7" s="220">
        <v>9117</v>
      </c>
      <c r="DP7" s="279">
        <v>3276084</v>
      </c>
    </row>
    <row r="8" spans="1:120" s="65" customFormat="1" outlineLevel="1" x14ac:dyDescent="0.25">
      <c r="A8" s="555" t="s">
        <v>41</v>
      </c>
      <c r="B8" s="277" t="s">
        <v>42</v>
      </c>
      <c r="C8" s="95" t="s">
        <v>781</v>
      </c>
      <c r="D8" s="397">
        <v>66121</v>
      </c>
      <c r="E8" s="398">
        <v>5918</v>
      </c>
      <c r="F8" s="398">
        <v>2057</v>
      </c>
      <c r="G8" s="347">
        <v>28708</v>
      </c>
      <c r="H8" s="347">
        <v>21520</v>
      </c>
      <c r="I8" s="347">
        <v>15690</v>
      </c>
      <c r="J8" s="347">
        <v>13243</v>
      </c>
      <c r="K8" s="347">
        <v>40729</v>
      </c>
      <c r="L8" s="347">
        <v>765</v>
      </c>
      <c r="M8" s="220">
        <v>9822</v>
      </c>
      <c r="N8" s="220">
        <v>3294</v>
      </c>
      <c r="O8" s="220">
        <v>31118</v>
      </c>
      <c r="P8" s="220">
        <v>36416</v>
      </c>
      <c r="Q8" s="220">
        <v>16171</v>
      </c>
      <c r="R8" s="220">
        <v>13178</v>
      </c>
      <c r="S8" s="220">
        <v>1614</v>
      </c>
      <c r="T8" s="220">
        <v>4121</v>
      </c>
      <c r="U8" s="220">
        <v>2886</v>
      </c>
      <c r="V8" s="220">
        <v>1741</v>
      </c>
      <c r="W8" s="220">
        <v>2021</v>
      </c>
      <c r="X8" s="270">
        <v>62433</v>
      </c>
      <c r="Y8" s="270">
        <v>26107</v>
      </c>
      <c r="Z8" s="220">
        <v>4654</v>
      </c>
      <c r="AA8" s="220">
        <v>3341</v>
      </c>
      <c r="AB8" s="220">
        <v>47214</v>
      </c>
      <c r="AC8" s="220">
        <v>1016</v>
      </c>
      <c r="AD8" s="220">
        <v>9437</v>
      </c>
      <c r="AE8" s="220">
        <v>10302</v>
      </c>
      <c r="AF8" s="220">
        <v>13651</v>
      </c>
      <c r="AG8" s="220">
        <v>21110</v>
      </c>
      <c r="AH8" s="220">
        <v>4801</v>
      </c>
      <c r="AI8" s="220">
        <v>2196</v>
      </c>
      <c r="AJ8" s="220">
        <v>12418</v>
      </c>
      <c r="AK8" s="220">
        <v>3022</v>
      </c>
      <c r="AL8" s="220">
        <v>2391</v>
      </c>
      <c r="AM8" s="220">
        <v>6272</v>
      </c>
      <c r="AN8" s="220">
        <v>9814</v>
      </c>
      <c r="AO8" s="220">
        <v>5742</v>
      </c>
      <c r="AP8" s="220">
        <v>12732</v>
      </c>
      <c r="AQ8" s="220">
        <v>29</v>
      </c>
      <c r="AR8" s="220">
        <v>5488</v>
      </c>
      <c r="AS8" s="270">
        <v>6652</v>
      </c>
      <c r="AT8" s="317">
        <v>19621</v>
      </c>
      <c r="AU8" s="220">
        <v>4904</v>
      </c>
      <c r="AV8" s="220">
        <v>5074</v>
      </c>
      <c r="AW8" s="220">
        <v>1436</v>
      </c>
      <c r="AX8" s="220">
        <v>11724</v>
      </c>
      <c r="AY8" s="317">
        <v>8724</v>
      </c>
      <c r="AZ8" s="317">
        <v>10532</v>
      </c>
      <c r="BA8" s="398">
        <v>5975</v>
      </c>
      <c r="BB8" s="317">
        <v>23268</v>
      </c>
      <c r="BC8" s="220">
        <v>12207</v>
      </c>
      <c r="BD8" s="220">
        <v>425</v>
      </c>
      <c r="BE8" s="220">
        <v>9614</v>
      </c>
      <c r="BF8" s="437">
        <v>25169</v>
      </c>
      <c r="BG8" s="357">
        <v>24196</v>
      </c>
      <c r="BH8" s="297">
        <v>11506</v>
      </c>
      <c r="BI8" s="220">
        <v>5547</v>
      </c>
      <c r="BJ8" s="220">
        <v>24070</v>
      </c>
      <c r="BK8" s="220">
        <v>13506</v>
      </c>
      <c r="BL8" s="220">
        <v>6045</v>
      </c>
      <c r="BM8" s="220">
        <v>22465</v>
      </c>
      <c r="BN8" s="220">
        <v>10642</v>
      </c>
      <c r="BO8" s="437">
        <v>35</v>
      </c>
      <c r="BP8" s="220">
        <v>602</v>
      </c>
      <c r="BQ8" s="220">
        <v>0</v>
      </c>
      <c r="BR8" s="220">
        <v>4205</v>
      </c>
      <c r="BS8" s="378">
        <v>50514</v>
      </c>
      <c r="BT8" s="347">
        <v>46035</v>
      </c>
      <c r="BU8" s="297">
        <v>23356</v>
      </c>
      <c r="BV8" s="220">
        <v>9033</v>
      </c>
      <c r="BW8" s="297">
        <v>171247</v>
      </c>
      <c r="BX8" s="297">
        <v>46296</v>
      </c>
      <c r="BY8" s="220">
        <v>43521</v>
      </c>
      <c r="BZ8" s="220">
        <v>168677</v>
      </c>
      <c r="CA8" s="220">
        <v>113992</v>
      </c>
      <c r="CB8" s="297">
        <v>9709</v>
      </c>
      <c r="CC8" s="357">
        <v>17204</v>
      </c>
      <c r="CD8" s="556">
        <v>42100</v>
      </c>
      <c r="CE8" s="437">
        <v>9492</v>
      </c>
      <c r="CF8" s="317">
        <v>17796</v>
      </c>
      <c r="CG8" s="220">
        <v>30807</v>
      </c>
      <c r="CH8" s="220">
        <v>7728</v>
      </c>
      <c r="CI8" s="220">
        <v>14279</v>
      </c>
      <c r="CJ8" s="220">
        <v>94078</v>
      </c>
      <c r="CK8" s="220">
        <v>45496</v>
      </c>
      <c r="CL8" s="220">
        <v>31198</v>
      </c>
      <c r="CM8" s="220">
        <v>34964</v>
      </c>
      <c r="CN8" s="220">
        <v>103364</v>
      </c>
      <c r="CO8" s="220">
        <v>65814</v>
      </c>
      <c r="CP8" s="220">
        <v>51282</v>
      </c>
      <c r="CQ8" s="220">
        <v>55549</v>
      </c>
      <c r="CR8" s="220">
        <v>40168</v>
      </c>
      <c r="CS8" s="220">
        <v>20197</v>
      </c>
      <c r="CT8" s="220">
        <v>48341</v>
      </c>
      <c r="CU8" s="220">
        <v>25052</v>
      </c>
      <c r="CV8" s="220">
        <v>27246</v>
      </c>
      <c r="CW8" s="220">
        <v>100377</v>
      </c>
      <c r="CX8" s="220">
        <v>15722</v>
      </c>
      <c r="CY8" s="220">
        <v>25182</v>
      </c>
      <c r="CZ8" s="220">
        <v>1442</v>
      </c>
      <c r="DA8" s="220">
        <v>77319</v>
      </c>
      <c r="DB8" s="220">
        <v>21415</v>
      </c>
      <c r="DC8" s="220">
        <v>19587</v>
      </c>
      <c r="DD8" s="220">
        <v>1891</v>
      </c>
      <c r="DE8" s="220">
        <v>13637</v>
      </c>
      <c r="DF8" s="220">
        <v>789</v>
      </c>
      <c r="DG8" s="220">
        <v>13162</v>
      </c>
      <c r="DH8" s="220">
        <v>5820</v>
      </c>
      <c r="DI8" s="220">
        <v>60840</v>
      </c>
      <c r="DJ8" s="220">
        <v>4679</v>
      </c>
      <c r="DK8" s="220">
        <v>2255</v>
      </c>
      <c r="DL8" s="220">
        <v>23216</v>
      </c>
      <c r="DM8" s="220">
        <v>2133</v>
      </c>
      <c r="DN8" s="220">
        <v>17238</v>
      </c>
      <c r="DO8" s="220">
        <v>4444</v>
      </c>
      <c r="DP8" s="279">
        <v>2725130</v>
      </c>
    </row>
    <row r="9" spans="1:120" s="65" customFormat="1" outlineLevel="1" x14ac:dyDescent="0.25">
      <c r="A9" s="555" t="s">
        <v>43</v>
      </c>
      <c r="B9" s="277" t="s">
        <v>44</v>
      </c>
      <c r="C9" s="95" t="s">
        <v>782</v>
      </c>
      <c r="D9" s="397">
        <v>2931</v>
      </c>
      <c r="E9" s="398">
        <v>393</v>
      </c>
      <c r="F9" s="398">
        <v>12</v>
      </c>
      <c r="G9" s="347">
        <v>516</v>
      </c>
      <c r="H9" s="347">
        <v>36</v>
      </c>
      <c r="I9" s="347">
        <v>135</v>
      </c>
      <c r="J9" s="347">
        <v>0</v>
      </c>
      <c r="K9" s="347">
        <v>0</v>
      </c>
      <c r="L9" s="347">
        <v>0</v>
      </c>
      <c r="M9" s="220">
        <v>0</v>
      </c>
      <c r="N9" s="220">
        <v>0</v>
      </c>
      <c r="O9" s="220">
        <v>0</v>
      </c>
      <c r="P9" s="220">
        <v>0</v>
      </c>
      <c r="Q9" s="220">
        <v>0</v>
      </c>
      <c r="R9" s="220">
        <v>0</v>
      </c>
      <c r="S9" s="220">
        <v>0</v>
      </c>
      <c r="T9" s="220">
        <v>0</v>
      </c>
      <c r="U9" s="220">
        <v>0</v>
      </c>
      <c r="V9" s="220">
        <v>0</v>
      </c>
      <c r="W9" s="220">
        <v>0</v>
      </c>
      <c r="X9" s="270">
        <v>0</v>
      </c>
      <c r="Y9" s="270">
        <v>0</v>
      </c>
      <c r="Z9" s="220">
        <v>0</v>
      </c>
      <c r="AA9" s="220">
        <v>0</v>
      </c>
      <c r="AB9" s="220">
        <v>0</v>
      </c>
      <c r="AC9" s="220">
        <v>0</v>
      </c>
      <c r="AD9" s="220">
        <v>0</v>
      </c>
      <c r="AE9" s="220">
        <v>0</v>
      </c>
      <c r="AF9" s="220">
        <v>0</v>
      </c>
      <c r="AG9" s="220">
        <v>0</v>
      </c>
      <c r="AH9" s="220">
        <v>0</v>
      </c>
      <c r="AI9" s="220">
        <v>0</v>
      </c>
      <c r="AJ9" s="220">
        <v>0</v>
      </c>
      <c r="AK9" s="220">
        <v>0</v>
      </c>
      <c r="AL9" s="220">
        <v>0</v>
      </c>
      <c r="AM9" s="220">
        <v>0</v>
      </c>
      <c r="AN9" s="220">
        <v>0</v>
      </c>
      <c r="AO9" s="220">
        <v>0</v>
      </c>
      <c r="AP9" s="220">
        <v>0</v>
      </c>
      <c r="AQ9" s="220">
        <v>0</v>
      </c>
      <c r="AR9" s="220">
        <v>0</v>
      </c>
      <c r="AS9" s="270">
        <v>0</v>
      </c>
      <c r="AT9" s="317">
        <v>0</v>
      </c>
      <c r="AU9" s="220">
        <v>0</v>
      </c>
      <c r="AV9" s="220">
        <v>0</v>
      </c>
      <c r="AW9" s="220">
        <v>0</v>
      </c>
      <c r="AX9" s="220">
        <v>0</v>
      </c>
      <c r="AY9" s="317">
        <v>0</v>
      </c>
      <c r="AZ9" s="317">
        <v>0</v>
      </c>
      <c r="BA9" s="398">
        <v>0</v>
      </c>
      <c r="BB9" s="317">
        <v>0</v>
      </c>
      <c r="BC9" s="220">
        <v>0</v>
      </c>
      <c r="BD9" s="220">
        <v>0</v>
      </c>
      <c r="BE9" s="220">
        <v>0</v>
      </c>
      <c r="BF9" s="437">
        <v>0</v>
      </c>
      <c r="BG9" s="357">
        <v>0</v>
      </c>
      <c r="BH9" s="297">
        <v>0</v>
      </c>
      <c r="BI9" s="220">
        <v>0</v>
      </c>
      <c r="BJ9" s="220">
        <v>4700</v>
      </c>
      <c r="BK9" s="220">
        <v>0</v>
      </c>
      <c r="BL9" s="220">
        <v>0</v>
      </c>
      <c r="BM9" s="220">
        <v>0</v>
      </c>
      <c r="BN9" s="220">
        <v>0</v>
      </c>
      <c r="BO9" s="437">
        <v>0</v>
      </c>
      <c r="BP9" s="220">
        <v>0</v>
      </c>
      <c r="BQ9" s="220">
        <v>0</v>
      </c>
      <c r="BR9" s="220">
        <v>0</v>
      </c>
      <c r="BS9" s="378">
        <v>0</v>
      </c>
      <c r="BT9" s="347">
        <v>0</v>
      </c>
      <c r="BU9" s="297">
        <v>0</v>
      </c>
      <c r="BV9" s="220">
        <v>0</v>
      </c>
      <c r="BW9" s="297">
        <v>8709</v>
      </c>
      <c r="BX9" s="297">
        <v>2422</v>
      </c>
      <c r="BY9" s="220">
        <v>0</v>
      </c>
      <c r="BZ9" s="220">
        <v>0</v>
      </c>
      <c r="CA9" s="220">
        <v>0</v>
      </c>
      <c r="CB9" s="297">
        <v>0</v>
      </c>
      <c r="CC9" s="357">
        <v>0</v>
      </c>
      <c r="CD9" s="556">
        <v>0</v>
      </c>
      <c r="CE9" s="437">
        <v>0</v>
      </c>
      <c r="CF9" s="317">
        <v>0</v>
      </c>
      <c r="CG9" s="220">
        <v>0</v>
      </c>
      <c r="CH9" s="220">
        <v>0</v>
      </c>
      <c r="CI9" s="220">
        <v>0</v>
      </c>
      <c r="CJ9" s="220">
        <v>0</v>
      </c>
      <c r="CK9" s="220">
        <v>0</v>
      </c>
      <c r="CL9" s="220">
        <v>0</v>
      </c>
      <c r="CM9" s="220">
        <v>0</v>
      </c>
      <c r="CN9" s="220">
        <v>142067</v>
      </c>
      <c r="CO9" s="220">
        <v>0</v>
      </c>
      <c r="CP9" s="220">
        <v>13509</v>
      </c>
      <c r="CQ9" s="220">
        <v>0</v>
      </c>
      <c r="CR9" s="220">
        <v>0</v>
      </c>
      <c r="CS9" s="220">
        <v>0</v>
      </c>
      <c r="CT9" s="220">
        <v>350</v>
      </c>
      <c r="CU9" s="220">
        <v>0</v>
      </c>
      <c r="CV9" s="220">
        <v>0</v>
      </c>
      <c r="CW9" s="220">
        <v>0</v>
      </c>
      <c r="CX9" s="220">
        <v>0</v>
      </c>
      <c r="CY9" s="220">
        <v>0</v>
      </c>
      <c r="CZ9" s="220">
        <v>0</v>
      </c>
      <c r="DA9" s="220">
        <v>0</v>
      </c>
      <c r="DB9" s="220">
        <v>2355</v>
      </c>
      <c r="DC9" s="220">
        <v>132</v>
      </c>
      <c r="DD9" s="220">
        <v>0</v>
      </c>
      <c r="DE9" s="220">
        <v>0</v>
      </c>
      <c r="DF9" s="220">
        <v>8320</v>
      </c>
      <c r="DG9" s="220">
        <v>0</v>
      </c>
      <c r="DH9" s="220">
        <v>0</v>
      </c>
      <c r="DI9" s="220">
        <v>0</v>
      </c>
      <c r="DJ9" s="220">
        <v>0</v>
      </c>
      <c r="DK9" s="220">
        <v>0</v>
      </c>
      <c r="DL9" s="220">
        <v>0</v>
      </c>
      <c r="DM9" s="220">
        <v>8680</v>
      </c>
      <c r="DN9" s="220">
        <v>0</v>
      </c>
      <c r="DO9" s="220">
        <v>0</v>
      </c>
      <c r="DP9" s="279">
        <v>195267</v>
      </c>
    </row>
    <row r="10" spans="1:120" s="65" customFormat="1" outlineLevel="1" x14ac:dyDescent="0.25">
      <c r="A10" s="557" t="s">
        <v>45</v>
      </c>
      <c r="B10" s="558" t="s">
        <v>46</v>
      </c>
      <c r="C10" s="95" t="s">
        <v>783</v>
      </c>
      <c r="D10" s="559">
        <v>0</v>
      </c>
      <c r="E10" s="560">
        <v>0</v>
      </c>
      <c r="F10" s="560">
        <v>0</v>
      </c>
      <c r="G10" s="561">
        <v>0</v>
      </c>
      <c r="H10" s="561">
        <v>0</v>
      </c>
      <c r="I10" s="561">
        <v>0</v>
      </c>
      <c r="J10" s="561">
        <v>0</v>
      </c>
      <c r="K10" s="561">
        <v>0</v>
      </c>
      <c r="L10" s="561">
        <v>0</v>
      </c>
      <c r="M10" s="449">
        <v>0</v>
      </c>
      <c r="N10" s="449">
        <v>0</v>
      </c>
      <c r="O10" s="449">
        <v>0</v>
      </c>
      <c r="P10" s="449">
        <v>0</v>
      </c>
      <c r="Q10" s="449">
        <v>0</v>
      </c>
      <c r="R10" s="449">
        <v>0</v>
      </c>
      <c r="S10" s="449">
        <v>0</v>
      </c>
      <c r="T10" s="449">
        <v>0</v>
      </c>
      <c r="U10" s="449">
        <v>0</v>
      </c>
      <c r="V10" s="449">
        <v>0</v>
      </c>
      <c r="W10" s="449">
        <v>0</v>
      </c>
      <c r="X10" s="562">
        <v>0</v>
      </c>
      <c r="Y10" s="562">
        <v>0</v>
      </c>
      <c r="Z10" s="449">
        <v>0</v>
      </c>
      <c r="AA10" s="449">
        <v>0</v>
      </c>
      <c r="AB10" s="449">
        <v>0</v>
      </c>
      <c r="AC10" s="449">
        <v>0</v>
      </c>
      <c r="AD10" s="449">
        <v>0</v>
      </c>
      <c r="AE10" s="449">
        <v>0</v>
      </c>
      <c r="AF10" s="449">
        <v>0</v>
      </c>
      <c r="AG10" s="449">
        <v>0</v>
      </c>
      <c r="AH10" s="449">
        <v>0</v>
      </c>
      <c r="AI10" s="449">
        <v>0</v>
      </c>
      <c r="AJ10" s="449">
        <v>0</v>
      </c>
      <c r="AK10" s="449">
        <v>0</v>
      </c>
      <c r="AL10" s="449">
        <v>0</v>
      </c>
      <c r="AM10" s="449">
        <v>0</v>
      </c>
      <c r="AN10" s="449">
        <v>0</v>
      </c>
      <c r="AO10" s="449">
        <v>0</v>
      </c>
      <c r="AP10" s="449">
        <v>0</v>
      </c>
      <c r="AQ10" s="449">
        <v>0</v>
      </c>
      <c r="AR10" s="449">
        <v>0</v>
      </c>
      <c r="AS10" s="562">
        <v>0</v>
      </c>
      <c r="AT10" s="563">
        <v>0</v>
      </c>
      <c r="AU10" s="449">
        <v>0</v>
      </c>
      <c r="AV10" s="449">
        <v>0</v>
      </c>
      <c r="AW10" s="449">
        <v>0</v>
      </c>
      <c r="AX10" s="449">
        <v>0</v>
      </c>
      <c r="AY10" s="563">
        <v>0</v>
      </c>
      <c r="AZ10" s="563">
        <v>0</v>
      </c>
      <c r="BA10" s="560">
        <v>0</v>
      </c>
      <c r="BB10" s="563">
        <v>0</v>
      </c>
      <c r="BC10" s="449">
        <v>0</v>
      </c>
      <c r="BD10" s="449">
        <v>0</v>
      </c>
      <c r="BE10" s="449">
        <v>0</v>
      </c>
      <c r="BF10" s="564">
        <v>0</v>
      </c>
      <c r="BG10" s="565">
        <v>0</v>
      </c>
      <c r="BH10" s="566">
        <v>0</v>
      </c>
      <c r="BI10" s="449">
        <v>0</v>
      </c>
      <c r="BJ10" s="449">
        <v>0</v>
      </c>
      <c r="BK10" s="449">
        <v>0</v>
      </c>
      <c r="BL10" s="449">
        <v>0</v>
      </c>
      <c r="BM10" s="449">
        <v>0</v>
      </c>
      <c r="BN10" s="449">
        <v>0</v>
      </c>
      <c r="BO10" s="564">
        <v>0</v>
      </c>
      <c r="BP10" s="449">
        <v>0</v>
      </c>
      <c r="BQ10" s="449">
        <v>0</v>
      </c>
      <c r="BR10" s="449">
        <v>0</v>
      </c>
      <c r="BS10" s="567">
        <v>0</v>
      </c>
      <c r="BT10" s="561">
        <v>0</v>
      </c>
      <c r="BU10" s="566">
        <v>0</v>
      </c>
      <c r="BV10" s="449">
        <v>0</v>
      </c>
      <c r="BW10" s="566">
        <v>0</v>
      </c>
      <c r="BX10" s="566">
        <v>0</v>
      </c>
      <c r="BY10" s="449">
        <v>0</v>
      </c>
      <c r="BZ10" s="449">
        <v>0</v>
      </c>
      <c r="CA10" s="449">
        <v>0</v>
      </c>
      <c r="CB10" s="566">
        <v>0</v>
      </c>
      <c r="CC10" s="565">
        <v>0</v>
      </c>
      <c r="CD10" s="568">
        <v>0</v>
      </c>
      <c r="CE10" s="564">
        <v>0</v>
      </c>
      <c r="CF10" s="563">
        <v>0</v>
      </c>
      <c r="CG10" s="449">
        <v>0</v>
      </c>
      <c r="CH10" s="449">
        <v>0</v>
      </c>
      <c r="CI10" s="449">
        <v>0</v>
      </c>
      <c r="CJ10" s="449">
        <v>0</v>
      </c>
      <c r="CK10" s="449">
        <v>0</v>
      </c>
      <c r="CL10" s="449">
        <v>0</v>
      </c>
      <c r="CM10" s="449">
        <v>0</v>
      </c>
      <c r="CN10" s="449">
        <v>0</v>
      </c>
      <c r="CO10" s="449">
        <v>0</v>
      </c>
      <c r="CP10" s="449">
        <v>0</v>
      </c>
      <c r="CQ10" s="449">
        <v>0</v>
      </c>
      <c r="CR10" s="449">
        <v>0</v>
      </c>
      <c r="CS10" s="449">
        <v>0</v>
      </c>
      <c r="CT10" s="449">
        <v>0</v>
      </c>
      <c r="CU10" s="449">
        <v>0</v>
      </c>
      <c r="CV10" s="449">
        <v>0</v>
      </c>
      <c r="CW10" s="449">
        <v>0</v>
      </c>
      <c r="CX10" s="449">
        <v>0</v>
      </c>
      <c r="CY10" s="449">
        <v>0</v>
      </c>
      <c r="CZ10" s="449">
        <v>8570</v>
      </c>
      <c r="DA10" s="449">
        <v>0</v>
      </c>
      <c r="DB10" s="449">
        <v>0</v>
      </c>
      <c r="DC10" s="449">
        <v>0</v>
      </c>
      <c r="DD10" s="449">
        <v>23381</v>
      </c>
      <c r="DE10" s="449">
        <v>0</v>
      </c>
      <c r="DF10" s="449">
        <v>0</v>
      </c>
      <c r="DG10" s="449">
        <v>0</v>
      </c>
      <c r="DH10" s="449">
        <v>86310</v>
      </c>
      <c r="DI10" s="449">
        <v>0</v>
      </c>
      <c r="DJ10" s="449">
        <v>55246</v>
      </c>
      <c r="DK10" s="449">
        <v>0</v>
      </c>
      <c r="DL10" s="449">
        <v>0</v>
      </c>
      <c r="DM10" s="449">
        <v>24423</v>
      </c>
      <c r="DN10" s="449">
        <v>153084</v>
      </c>
      <c r="DO10" s="449">
        <v>4673</v>
      </c>
      <c r="DP10" s="450">
        <v>355687</v>
      </c>
    </row>
    <row r="11" spans="1:120" s="65" customFormat="1" outlineLevel="1" x14ac:dyDescent="0.25">
      <c r="A11" s="555"/>
      <c r="B11" s="277"/>
      <c r="D11" s="569"/>
      <c r="E11" s="570"/>
      <c r="F11" s="570"/>
      <c r="G11" s="571"/>
      <c r="H11" s="571"/>
      <c r="I11" s="571"/>
      <c r="J11" s="571"/>
      <c r="K11" s="571"/>
      <c r="L11" s="571"/>
      <c r="M11" s="572"/>
      <c r="N11" s="572"/>
      <c r="O11" s="572"/>
      <c r="P11" s="572"/>
      <c r="Q11" s="572"/>
      <c r="R11" s="572"/>
      <c r="S11" s="572"/>
      <c r="T11" s="572"/>
      <c r="U11" s="572"/>
      <c r="V11" s="572"/>
      <c r="W11" s="572"/>
      <c r="X11" s="573"/>
      <c r="Y11" s="573"/>
      <c r="Z11" s="572"/>
      <c r="AA11" s="572"/>
      <c r="AB11" s="572"/>
      <c r="AC11" s="572"/>
      <c r="AD11" s="572"/>
      <c r="AE11" s="572"/>
      <c r="AF11" s="572"/>
      <c r="AG11" s="572"/>
      <c r="AH11" s="572"/>
      <c r="AI11" s="572"/>
      <c r="AJ11" s="572"/>
      <c r="AK11" s="572"/>
      <c r="AL11" s="572"/>
      <c r="AM11" s="572"/>
      <c r="AN11" s="572"/>
      <c r="AO11" s="572"/>
      <c r="AP11" s="572"/>
      <c r="AQ11" s="572"/>
      <c r="AR11" s="572"/>
      <c r="AS11" s="573"/>
      <c r="AT11" s="574"/>
      <c r="AU11" s="572"/>
      <c r="AV11" s="572"/>
      <c r="AW11" s="572"/>
      <c r="AX11" s="572"/>
      <c r="AY11" s="574"/>
      <c r="AZ11" s="574"/>
      <c r="BA11" s="570"/>
      <c r="BB11" s="574"/>
      <c r="BC11" s="572"/>
      <c r="BD11" s="572"/>
      <c r="BE11" s="572"/>
      <c r="BF11" s="575"/>
      <c r="BG11" s="576"/>
      <c r="BH11" s="577"/>
      <c r="BI11" s="572"/>
      <c r="BJ11" s="572"/>
      <c r="BK11" s="572"/>
      <c r="BL11" s="572"/>
      <c r="BM11" s="572"/>
      <c r="BN11" s="572"/>
      <c r="BO11" s="575"/>
      <c r="BP11" s="572"/>
      <c r="BQ11" s="572"/>
      <c r="BR11" s="572"/>
      <c r="BS11" s="578"/>
      <c r="BT11" s="571"/>
      <c r="BU11" s="577"/>
      <c r="BV11" s="572"/>
      <c r="BW11" s="577"/>
      <c r="BX11" s="577"/>
      <c r="BY11" s="572"/>
      <c r="BZ11" s="572"/>
      <c r="CA11" s="572"/>
      <c r="CB11" s="577"/>
      <c r="CC11" s="576"/>
      <c r="CD11" s="579"/>
      <c r="CE11" s="575"/>
      <c r="CF11" s="574"/>
      <c r="CG11" s="572"/>
      <c r="CH11" s="572"/>
      <c r="CI11" s="572"/>
      <c r="CJ11" s="572"/>
      <c r="CK11" s="572"/>
      <c r="CL11" s="572"/>
      <c r="CM11" s="572"/>
      <c r="CN11" s="572"/>
      <c r="CO11" s="572"/>
      <c r="CP11" s="572"/>
      <c r="CQ11" s="572"/>
      <c r="CR11" s="572"/>
      <c r="CS11" s="572"/>
      <c r="CT11" s="572"/>
      <c r="CU11" s="572"/>
      <c r="CV11" s="572"/>
      <c r="CW11" s="572"/>
      <c r="CX11" s="572"/>
      <c r="CY11" s="572"/>
      <c r="CZ11" s="572"/>
      <c r="DA11" s="572"/>
      <c r="DB11" s="572"/>
      <c r="DC11" s="572"/>
      <c r="DD11" s="572"/>
      <c r="DE11" s="572"/>
      <c r="DF11" s="572"/>
      <c r="DG11" s="572"/>
      <c r="DH11" s="572"/>
      <c r="DI11" s="572"/>
      <c r="DJ11" s="572"/>
      <c r="DK11" s="572"/>
      <c r="DL11" s="572"/>
      <c r="DM11" s="572"/>
      <c r="DN11" s="572"/>
      <c r="DO11" s="572"/>
      <c r="DP11" s="580"/>
    </row>
    <row r="12" spans="1:120" s="65" customFormat="1" outlineLevel="1" x14ac:dyDescent="0.25">
      <c r="A12" s="580" t="s">
        <v>39</v>
      </c>
      <c r="B12" s="453" t="s">
        <v>40</v>
      </c>
      <c r="D12" s="581">
        <v>69052</v>
      </c>
      <c r="E12" s="582">
        <v>6311</v>
      </c>
      <c r="F12" s="582">
        <v>2069</v>
      </c>
      <c r="G12" s="583">
        <v>29224</v>
      </c>
      <c r="H12" s="583">
        <v>21556</v>
      </c>
      <c r="I12" s="583">
        <v>15825</v>
      </c>
      <c r="J12" s="583">
        <v>13243</v>
      </c>
      <c r="K12" s="583">
        <v>40729</v>
      </c>
      <c r="L12" s="583">
        <v>765</v>
      </c>
      <c r="M12" s="584">
        <v>9822</v>
      </c>
      <c r="N12" s="584">
        <v>3294</v>
      </c>
      <c r="O12" s="584">
        <v>31118</v>
      </c>
      <c r="P12" s="584">
        <v>36416</v>
      </c>
      <c r="Q12" s="584">
        <v>16171</v>
      </c>
      <c r="R12" s="584">
        <v>13178</v>
      </c>
      <c r="S12" s="584">
        <v>1614</v>
      </c>
      <c r="T12" s="584">
        <v>4121</v>
      </c>
      <c r="U12" s="584">
        <v>2886</v>
      </c>
      <c r="V12" s="584">
        <v>1741</v>
      </c>
      <c r="W12" s="584">
        <v>2021</v>
      </c>
      <c r="X12" s="585">
        <v>62433</v>
      </c>
      <c r="Y12" s="585">
        <v>26107</v>
      </c>
      <c r="Z12" s="584">
        <v>4654</v>
      </c>
      <c r="AA12" s="584">
        <v>3341</v>
      </c>
      <c r="AB12" s="584">
        <v>47214</v>
      </c>
      <c r="AC12" s="584">
        <v>1016</v>
      </c>
      <c r="AD12" s="584">
        <v>9437</v>
      </c>
      <c r="AE12" s="584">
        <v>10302</v>
      </c>
      <c r="AF12" s="584">
        <v>13651</v>
      </c>
      <c r="AG12" s="584">
        <v>21110</v>
      </c>
      <c r="AH12" s="584">
        <v>4801</v>
      </c>
      <c r="AI12" s="584">
        <v>2196</v>
      </c>
      <c r="AJ12" s="584">
        <v>12418</v>
      </c>
      <c r="AK12" s="584">
        <v>3022</v>
      </c>
      <c r="AL12" s="584">
        <v>2391</v>
      </c>
      <c r="AM12" s="584">
        <v>6272</v>
      </c>
      <c r="AN12" s="584">
        <v>9814</v>
      </c>
      <c r="AO12" s="584">
        <v>5742</v>
      </c>
      <c r="AP12" s="584">
        <v>12732</v>
      </c>
      <c r="AQ12" s="584">
        <v>29</v>
      </c>
      <c r="AR12" s="584">
        <v>5488</v>
      </c>
      <c r="AS12" s="585">
        <v>6652</v>
      </c>
      <c r="AT12" s="586">
        <v>19621</v>
      </c>
      <c r="AU12" s="584">
        <v>4904</v>
      </c>
      <c r="AV12" s="584">
        <v>5074</v>
      </c>
      <c r="AW12" s="584">
        <v>1436</v>
      </c>
      <c r="AX12" s="584">
        <v>11724</v>
      </c>
      <c r="AY12" s="586">
        <v>8724</v>
      </c>
      <c r="AZ12" s="586">
        <v>10532</v>
      </c>
      <c r="BA12" s="582">
        <v>5975</v>
      </c>
      <c r="BB12" s="586">
        <v>23268</v>
      </c>
      <c r="BC12" s="584">
        <v>12207</v>
      </c>
      <c r="BD12" s="584">
        <v>425</v>
      </c>
      <c r="BE12" s="584">
        <v>9614</v>
      </c>
      <c r="BF12" s="587">
        <v>25169</v>
      </c>
      <c r="BG12" s="588">
        <v>24196</v>
      </c>
      <c r="BH12" s="589">
        <v>11506</v>
      </c>
      <c r="BI12" s="584">
        <v>5547</v>
      </c>
      <c r="BJ12" s="584">
        <v>28770</v>
      </c>
      <c r="BK12" s="584">
        <v>13506</v>
      </c>
      <c r="BL12" s="584">
        <v>6045</v>
      </c>
      <c r="BM12" s="584">
        <v>22465</v>
      </c>
      <c r="BN12" s="584">
        <v>10642</v>
      </c>
      <c r="BO12" s="587">
        <v>35</v>
      </c>
      <c r="BP12" s="584">
        <v>602</v>
      </c>
      <c r="BQ12" s="584">
        <v>0</v>
      </c>
      <c r="BR12" s="584">
        <v>4205</v>
      </c>
      <c r="BS12" s="590">
        <v>50514</v>
      </c>
      <c r="BT12" s="583">
        <v>46035</v>
      </c>
      <c r="BU12" s="589">
        <v>23356</v>
      </c>
      <c r="BV12" s="584">
        <v>9033</v>
      </c>
      <c r="BW12" s="589">
        <v>179956</v>
      </c>
      <c r="BX12" s="589">
        <v>48718</v>
      </c>
      <c r="BY12" s="584">
        <v>43521</v>
      </c>
      <c r="BZ12" s="584">
        <v>168677</v>
      </c>
      <c r="CA12" s="584">
        <v>113992</v>
      </c>
      <c r="CB12" s="589">
        <v>9709</v>
      </c>
      <c r="CC12" s="588">
        <v>17204</v>
      </c>
      <c r="CD12" s="591">
        <v>42100</v>
      </c>
      <c r="CE12" s="587">
        <v>9492</v>
      </c>
      <c r="CF12" s="586">
        <v>17796</v>
      </c>
      <c r="CG12" s="584">
        <v>30807</v>
      </c>
      <c r="CH12" s="584">
        <v>7728</v>
      </c>
      <c r="CI12" s="584">
        <v>14279</v>
      </c>
      <c r="CJ12" s="584">
        <v>94078</v>
      </c>
      <c r="CK12" s="584">
        <v>45496</v>
      </c>
      <c r="CL12" s="584">
        <v>31198</v>
      </c>
      <c r="CM12" s="584">
        <v>34964</v>
      </c>
      <c r="CN12" s="584">
        <v>245431</v>
      </c>
      <c r="CO12" s="584">
        <v>65814</v>
      </c>
      <c r="CP12" s="584">
        <v>64791</v>
      </c>
      <c r="CQ12" s="584">
        <v>55549</v>
      </c>
      <c r="CR12" s="584">
        <v>40168</v>
      </c>
      <c r="CS12" s="584">
        <v>20197</v>
      </c>
      <c r="CT12" s="584">
        <v>48691</v>
      </c>
      <c r="CU12" s="584">
        <v>25052</v>
      </c>
      <c r="CV12" s="584">
        <v>27246</v>
      </c>
      <c r="CW12" s="584">
        <v>100377</v>
      </c>
      <c r="CX12" s="584">
        <v>15722</v>
      </c>
      <c r="CY12" s="584">
        <v>25182</v>
      </c>
      <c r="CZ12" s="584">
        <v>10012</v>
      </c>
      <c r="DA12" s="584">
        <v>77319</v>
      </c>
      <c r="DB12" s="584">
        <v>23770</v>
      </c>
      <c r="DC12" s="584">
        <v>19719</v>
      </c>
      <c r="DD12" s="584">
        <v>25272</v>
      </c>
      <c r="DE12" s="584">
        <v>13637</v>
      </c>
      <c r="DF12" s="584">
        <v>9109</v>
      </c>
      <c r="DG12" s="584">
        <v>13162</v>
      </c>
      <c r="DH12" s="584">
        <v>92130</v>
      </c>
      <c r="DI12" s="584">
        <v>60840</v>
      </c>
      <c r="DJ12" s="584">
        <v>59925</v>
      </c>
      <c r="DK12" s="584">
        <v>2255</v>
      </c>
      <c r="DL12" s="584">
        <v>23216</v>
      </c>
      <c r="DM12" s="584">
        <v>35236</v>
      </c>
      <c r="DN12" s="584">
        <v>170322</v>
      </c>
      <c r="DO12" s="584">
        <v>9117</v>
      </c>
      <c r="DP12" s="592">
        <v>3276084</v>
      </c>
    </row>
    <row r="13" spans="1:120" s="65" customFormat="1" outlineLevel="1" x14ac:dyDescent="0.25">
      <c r="A13" s="555" t="s">
        <v>47</v>
      </c>
      <c r="B13" s="277" t="s">
        <v>48</v>
      </c>
      <c r="C13" s="95" t="s">
        <v>785</v>
      </c>
      <c r="D13" s="397">
        <v>1</v>
      </c>
      <c r="E13" s="398">
        <v>-9</v>
      </c>
      <c r="F13" s="398">
        <v>0</v>
      </c>
      <c r="G13" s="347">
        <v>102</v>
      </c>
      <c r="H13" s="347">
        <v>0</v>
      </c>
      <c r="I13" s="347">
        <v>0</v>
      </c>
      <c r="J13" s="347">
        <v>0</v>
      </c>
      <c r="K13" s="347">
        <v>0</v>
      </c>
      <c r="L13" s="347">
        <v>0</v>
      </c>
      <c r="M13" s="220">
        <v>0</v>
      </c>
      <c r="N13" s="220">
        <v>0</v>
      </c>
      <c r="O13" s="220">
        <v>-3974</v>
      </c>
      <c r="P13" s="220">
        <v>0</v>
      </c>
      <c r="Q13" s="220">
        <v>0</v>
      </c>
      <c r="R13" s="220">
        <v>0</v>
      </c>
      <c r="S13" s="220">
        <v>0</v>
      </c>
      <c r="T13" s="220">
        <v>0</v>
      </c>
      <c r="U13" s="220">
        <v>0</v>
      </c>
      <c r="V13" s="220">
        <v>0</v>
      </c>
      <c r="W13" s="220">
        <v>0</v>
      </c>
      <c r="X13" s="270">
        <v>0</v>
      </c>
      <c r="Y13" s="270">
        <v>189</v>
      </c>
      <c r="Z13" s="220">
        <v>0</v>
      </c>
      <c r="AA13" s="220">
        <v>0</v>
      </c>
      <c r="AB13" s="220">
        <v>-727</v>
      </c>
      <c r="AC13" s="220">
        <v>0</v>
      </c>
      <c r="AD13" s="220">
        <v>0</v>
      </c>
      <c r="AE13" s="220">
        <v>0</v>
      </c>
      <c r="AF13" s="220">
        <v>0</v>
      </c>
      <c r="AG13" s="220">
        <v>0</v>
      </c>
      <c r="AH13" s="220">
        <v>0</v>
      </c>
      <c r="AI13" s="220">
        <v>0</v>
      </c>
      <c r="AJ13" s="220">
        <v>0</v>
      </c>
      <c r="AK13" s="220">
        <v>1331</v>
      </c>
      <c r="AL13" s="220">
        <v>0</v>
      </c>
      <c r="AM13" s="220">
        <v>0</v>
      </c>
      <c r="AN13" s="220">
        <v>-141</v>
      </c>
      <c r="AO13" s="220">
        <v>0</v>
      </c>
      <c r="AP13" s="220">
        <v>-141</v>
      </c>
      <c r="AQ13" s="220">
        <v>0</v>
      </c>
      <c r="AR13" s="220">
        <v>6</v>
      </c>
      <c r="AS13" s="270">
        <v>102</v>
      </c>
      <c r="AT13" s="317">
        <v>46</v>
      </c>
      <c r="AU13" s="220">
        <v>268</v>
      </c>
      <c r="AV13" s="220">
        <v>0</v>
      </c>
      <c r="AW13" s="220">
        <v>0</v>
      </c>
      <c r="AX13" s="220">
        <v>103</v>
      </c>
      <c r="AY13" s="317">
        <v>652</v>
      </c>
      <c r="AZ13" s="317">
        <v>0</v>
      </c>
      <c r="BA13" s="398">
        <v>18</v>
      </c>
      <c r="BB13" s="317">
        <v>496</v>
      </c>
      <c r="BC13" s="220">
        <v>0</v>
      </c>
      <c r="BD13" s="220">
        <v>0</v>
      </c>
      <c r="BE13" s="220">
        <v>0</v>
      </c>
      <c r="BF13" s="437">
        <v>0</v>
      </c>
      <c r="BG13" s="357">
        <v>3200</v>
      </c>
      <c r="BH13" s="297">
        <v>1151</v>
      </c>
      <c r="BI13" s="220">
        <v>0</v>
      </c>
      <c r="BJ13" s="220">
        <v>0</v>
      </c>
      <c r="BK13" s="220">
        <v>0</v>
      </c>
      <c r="BL13" s="220">
        <v>-6045</v>
      </c>
      <c r="BM13" s="220">
        <v>0</v>
      </c>
      <c r="BN13" s="220">
        <v>-322</v>
      </c>
      <c r="BO13" s="437">
        <v>0</v>
      </c>
      <c r="BP13" s="220">
        <v>-40</v>
      </c>
      <c r="BQ13" s="220">
        <v>0</v>
      </c>
      <c r="BR13" s="220">
        <v>-156</v>
      </c>
      <c r="BS13" s="378">
        <v>-554</v>
      </c>
      <c r="BT13" s="347">
        <v>-22</v>
      </c>
      <c r="BU13" s="297">
        <v>487</v>
      </c>
      <c r="BV13" s="220">
        <v>-257</v>
      </c>
      <c r="BW13" s="297">
        <v>0</v>
      </c>
      <c r="BX13" s="297">
        <v>-80</v>
      </c>
      <c r="BY13" s="220">
        <v>0</v>
      </c>
      <c r="BZ13" s="220">
        <v>0</v>
      </c>
      <c r="CA13" s="220">
        <v>0</v>
      </c>
      <c r="CB13" s="297">
        <v>-7</v>
      </c>
      <c r="CC13" s="357">
        <v>18</v>
      </c>
      <c r="CD13" s="556">
        <v>0</v>
      </c>
      <c r="CE13" s="437">
        <v>0</v>
      </c>
      <c r="CF13" s="317">
        <v>0</v>
      </c>
      <c r="CG13" s="220">
        <v>0</v>
      </c>
      <c r="CH13" s="220">
        <v>0</v>
      </c>
      <c r="CI13" s="220">
        <v>0</v>
      </c>
      <c r="CJ13" s="220">
        <v>1</v>
      </c>
      <c r="CK13" s="220">
        <v>0</v>
      </c>
      <c r="CL13" s="220">
        <v>0</v>
      </c>
      <c r="CM13" s="220">
        <v>0</v>
      </c>
      <c r="CN13" s="220">
        <v>29</v>
      </c>
      <c r="CO13" s="220">
        <v>-315</v>
      </c>
      <c r="CP13" s="220">
        <v>-271</v>
      </c>
      <c r="CQ13" s="220">
        <v>93</v>
      </c>
      <c r="CR13" s="220">
        <v>0</v>
      </c>
      <c r="CS13" s="220">
        <v>9199</v>
      </c>
      <c r="CT13" s="220">
        <v>397</v>
      </c>
      <c r="CU13" s="220">
        <v>107</v>
      </c>
      <c r="CV13" s="220">
        <v>9</v>
      </c>
      <c r="CW13" s="220">
        <v>14</v>
      </c>
      <c r="CX13" s="220">
        <v>-196</v>
      </c>
      <c r="CY13" s="220">
        <v>0</v>
      </c>
      <c r="CZ13" s="220">
        <v>0</v>
      </c>
      <c r="DA13" s="220">
        <v>0</v>
      </c>
      <c r="DB13" s="220">
        <v>-3764</v>
      </c>
      <c r="DC13" s="220">
        <v>-918</v>
      </c>
      <c r="DD13" s="220">
        <v>0</v>
      </c>
      <c r="DE13" s="220">
        <v>-57</v>
      </c>
      <c r="DF13" s="220">
        <v>0</v>
      </c>
      <c r="DG13" s="220">
        <v>1</v>
      </c>
      <c r="DH13" s="220">
        <v>0</v>
      </c>
      <c r="DI13" s="220">
        <v>-46</v>
      </c>
      <c r="DJ13" s="220">
        <v>0</v>
      </c>
      <c r="DK13" s="220">
        <v>0</v>
      </c>
      <c r="DL13" s="220">
        <v>22</v>
      </c>
      <c r="DM13" s="220">
        <v>0</v>
      </c>
      <c r="DN13" s="220">
        <v>0</v>
      </c>
      <c r="DO13" s="220">
        <v>0</v>
      </c>
      <c r="DP13" s="279">
        <v>0</v>
      </c>
    </row>
    <row r="14" spans="1:120" s="65" customFormat="1" outlineLevel="1" x14ac:dyDescent="0.25">
      <c r="A14" s="555" t="s">
        <v>49</v>
      </c>
      <c r="B14" s="277" t="s">
        <v>50</v>
      </c>
      <c r="C14" s="628" t="s">
        <v>784</v>
      </c>
      <c r="D14" s="397">
        <v>-8166</v>
      </c>
      <c r="E14" s="398">
        <v>0</v>
      </c>
      <c r="F14" s="398">
        <v>0</v>
      </c>
      <c r="G14" s="347">
        <v>0</v>
      </c>
      <c r="H14" s="347">
        <v>0</v>
      </c>
      <c r="I14" s="347">
        <v>8166</v>
      </c>
      <c r="J14" s="347">
        <v>0</v>
      </c>
      <c r="K14" s="347">
        <v>0</v>
      </c>
      <c r="L14" s="347">
        <v>0</v>
      </c>
      <c r="M14" s="220">
        <v>0</v>
      </c>
      <c r="N14" s="220">
        <v>0</v>
      </c>
      <c r="O14" s="220">
        <v>0</v>
      </c>
      <c r="P14" s="220">
        <v>0</v>
      </c>
      <c r="Q14" s="220">
        <v>0</v>
      </c>
      <c r="R14" s="220">
        <v>0</v>
      </c>
      <c r="S14" s="220">
        <v>0</v>
      </c>
      <c r="T14" s="220">
        <v>0</v>
      </c>
      <c r="U14" s="220">
        <v>0</v>
      </c>
      <c r="V14" s="220">
        <v>0</v>
      </c>
      <c r="W14" s="220">
        <v>0</v>
      </c>
      <c r="X14" s="270">
        <v>0</v>
      </c>
      <c r="Y14" s="270">
        <v>0</v>
      </c>
      <c r="Z14" s="220">
        <v>0</v>
      </c>
      <c r="AA14" s="220">
        <v>0</v>
      </c>
      <c r="AB14" s="220">
        <v>0</v>
      </c>
      <c r="AC14" s="220">
        <v>0</v>
      </c>
      <c r="AD14" s="220">
        <v>0</v>
      </c>
      <c r="AE14" s="220">
        <v>0</v>
      </c>
      <c r="AF14" s="220">
        <v>0</v>
      </c>
      <c r="AG14" s="220">
        <v>0</v>
      </c>
      <c r="AH14" s="220">
        <v>0</v>
      </c>
      <c r="AI14" s="220">
        <v>0</v>
      </c>
      <c r="AJ14" s="220">
        <v>0</v>
      </c>
      <c r="AK14" s="220">
        <v>0</v>
      </c>
      <c r="AL14" s="220">
        <v>0</v>
      </c>
      <c r="AM14" s="220">
        <v>0</v>
      </c>
      <c r="AN14" s="220">
        <v>0</v>
      </c>
      <c r="AO14" s="220">
        <v>0</v>
      </c>
      <c r="AP14" s="220">
        <v>0</v>
      </c>
      <c r="AQ14" s="220">
        <v>0</v>
      </c>
      <c r="AR14" s="220">
        <v>0</v>
      </c>
      <c r="AS14" s="270">
        <v>0</v>
      </c>
      <c r="AT14" s="317">
        <v>0</v>
      </c>
      <c r="AU14" s="220">
        <v>0</v>
      </c>
      <c r="AV14" s="220">
        <v>0</v>
      </c>
      <c r="AW14" s="220">
        <v>0</v>
      </c>
      <c r="AX14" s="220">
        <v>0</v>
      </c>
      <c r="AY14" s="317">
        <v>0</v>
      </c>
      <c r="AZ14" s="317">
        <v>0</v>
      </c>
      <c r="BA14" s="398">
        <v>0</v>
      </c>
      <c r="BB14" s="317">
        <v>0</v>
      </c>
      <c r="BC14" s="220">
        <v>0</v>
      </c>
      <c r="BD14" s="220">
        <v>0</v>
      </c>
      <c r="BE14" s="220">
        <v>0</v>
      </c>
      <c r="BF14" s="437">
        <v>0</v>
      </c>
      <c r="BG14" s="357">
        <v>0</v>
      </c>
      <c r="BH14" s="297">
        <v>0</v>
      </c>
      <c r="BI14" s="220">
        <v>0</v>
      </c>
      <c r="BJ14" s="220">
        <v>0</v>
      </c>
      <c r="BK14" s="220">
        <v>0</v>
      </c>
      <c r="BL14" s="220">
        <v>0</v>
      </c>
      <c r="BM14" s="220">
        <v>0</v>
      </c>
      <c r="BN14" s="220">
        <v>0</v>
      </c>
      <c r="BO14" s="437">
        <v>0</v>
      </c>
      <c r="BP14" s="220">
        <v>0</v>
      </c>
      <c r="BQ14" s="220">
        <v>0</v>
      </c>
      <c r="BR14" s="220">
        <v>0</v>
      </c>
      <c r="BS14" s="378">
        <v>0</v>
      </c>
      <c r="BT14" s="347">
        <v>0</v>
      </c>
      <c r="BU14" s="297">
        <v>0</v>
      </c>
      <c r="BV14" s="220">
        <v>0</v>
      </c>
      <c r="BW14" s="297">
        <v>0</v>
      </c>
      <c r="BX14" s="297">
        <v>0</v>
      </c>
      <c r="BY14" s="220">
        <v>0</v>
      </c>
      <c r="BZ14" s="220">
        <v>0</v>
      </c>
      <c r="CA14" s="220">
        <v>0</v>
      </c>
      <c r="CB14" s="297">
        <v>0</v>
      </c>
      <c r="CC14" s="357">
        <v>0</v>
      </c>
      <c r="CD14" s="556">
        <v>0</v>
      </c>
      <c r="CE14" s="437">
        <v>0</v>
      </c>
      <c r="CF14" s="317">
        <v>0</v>
      </c>
      <c r="CG14" s="220">
        <v>0</v>
      </c>
      <c r="CH14" s="220">
        <v>0</v>
      </c>
      <c r="CI14" s="220">
        <v>0</v>
      </c>
      <c r="CJ14" s="220">
        <v>0</v>
      </c>
      <c r="CK14" s="220">
        <v>0</v>
      </c>
      <c r="CL14" s="220">
        <v>0</v>
      </c>
      <c r="CM14" s="220">
        <v>0</v>
      </c>
      <c r="CN14" s="220">
        <v>0</v>
      </c>
      <c r="CO14" s="220">
        <v>0</v>
      </c>
      <c r="CP14" s="220">
        <v>0</v>
      </c>
      <c r="CQ14" s="220">
        <v>0</v>
      </c>
      <c r="CR14" s="220">
        <v>0</v>
      </c>
      <c r="CS14" s="220">
        <v>0</v>
      </c>
      <c r="CT14" s="220">
        <v>0</v>
      </c>
      <c r="CU14" s="220">
        <v>0</v>
      </c>
      <c r="CV14" s="220">
        <v>0</v>
      </c>
      <c r="CW14" s="220">
        <v>0</v>
      </c>
      <c r="CX14" s="220">
        <v>0</v>
      </c>
      <c r="CY14" s="220">
        <v>0</v>
      </c>
      <c r="CZ14" s="220">
        <v>0</v>
      </c>
      <c r="DA14" s="220">
        <v>0</v>
      </c>
      <c r="DB14" s="220">
        <v>0</v>
      </c>
      <c r="DC14" s="220">
        <v>0</v>
      </c>
      <c r="DD14" s="220">
        <v>0</v>
      </c>
      <c r="DE14" s="220">
        <v>0</v>
      </c>
      <c r="DF14" s="220">
        <v>0</v>
      </c>
      <c r="DG14" s="220">
        <v>0</v>
      </c>
      <c r="DH14" s="220">
        <v>0</v>
      </c>
      <c r="DI14" s="220">
        <v>0</v>
      </c>
      <c r="DJ14" s="220">
        <v>0</v>
      </c>
      <c r="DK14" s="220">
        <v>0</v>
      </c>
      <c r="DL14" s="220">
        <v>0</v>
      </c>
      <c r="DM14" s="220">
        <v>0</v>
      </c>
      <c r="DN14" s="220">
        <v>0</v>
      </c>
      <c r="DO14" s="220">
        <v>0</v>
      </c>
      <c r="DP14" s="279">
        <v>0</v>
      </c>
    </row>
    <row r="15" spans="1:120" s="65" customFormat="1" outlineLevel="1" x14ac:dyDescent="0.25">
      <c r="A15" s="555" t="s">
        <v>51</v>
      </c>
      <c r="B15" s="277" t="s">
        <v>52</v>
      </c>
      <c r="C15" s="628" t="s">
        <v>786</v>
      </c>
      <c r="D15" s="397">
        <v>106</v>
      </c>
      <c r="E15" s="398">
        <v>165</v>
      </c>
      <c r="F15" s="398">
        <v>2</v>
      </c>
      <c r="G15" s="347">
        <v>2</v>
      </c>
      <c r="H15" s="347">
        <v>1</v>
      </c>
      <c r="I15" s="347">
        <v>3</v>
      </c>
      <c r="J15" s="347">
        <v>0</v>
      </c>
      <c r="K15" s="347">
        <v>0</v>
      </c>
      <c r="L15" s="347">
        <v>0</v>
      </c>
      <c r="M15" s="220">
        <v>25</v>
      </c>
      <c r="N15" s="220">
        <v>0</v>
      </c>
      <c r="O15" s="220">
        <v>1551</v>
      </c>
      <c r="P15" s="220">
        <v>1</v>
      </c>
      <c r="Q15" s="220">
        <v>0</v>
      </c>
      <c r="R15" s="220">
        <v>5</v>
      </c>
      <c r="S15" s="220">
        <v>8</v>
      </c>
      <c r="T15" s="220">
        <v>66</v>
      </c>
      <c r="U15" s="220">
        <v>0</v>
      </c>
      <c r="V15" s="220">
        <v>0</v>
      </c>
      <c r="W15" s="220">
        <v>0</v>
      </c>
      <c r="X15" s="270">
        <v>0</v>
      </c>
      <c r="Y15" s="270">
        <v>0</v>
      </c>
      <c r="Z15" s="220">
        <v>7</v>
      </c>
      <c r="AA15" s="220">
        <v>0</v>
      </c>
      <c r="AB15" s="220">
        <v>0</v>
      </c>
      <c r="AC15" s="220">
        <v>0</v>
      </c>
      <c r="AD15" s="220">
        <v>0</v>
      </c>
      <c r="AE15" s="220">
        <v>0</v>
      </c>
      <c r="AF15" s="220">
        <v>44</v>
      </c>
      <c r="AG15" s="220">
        <v>0</v>
      </c>
      <c r="AH15" s="220">
        <v>0</v>
      </c>
      <c r="AI15" s="220">
        <v>0</v>
      </c>
      <c r="AJ15" s="220">
        <v>0</v>
      </c>
      <c r="AK15" s="220">
        <v>0</v>
      </c>
      <c r="AL15" s="220">
        <v>0</v>
      </c>
      <c r="AM15" s="220">
        <v>0</v>
      </c>
      <c r="AN15" s="220">
        <v>0</v>
      </c>
      <c r="AO15" s="220">
        <v>112</v>
      </c>
      <c r="AP15" s="220">
        <v>21</v>
      </c>
      <c r="AQ15" s="220">
        <v>2</v>
      </c>
      <c r="AR15" s="220">
        <v>0</v>
      </c>
      <c r="AS15" s="270">
        <v>0</v>
      </c>
      <c r="AT15" s="317">
        <v>0</v>
      </c>
      <c r="AU15" s="220">
        <v>0</v>
      </c>
      <c r="AV15" s="220">
        <v>44</v>
      </c>
      <c r="AW15" s="220">
        <v>0</v>
      </c>
      <c r="AX15" s="220">
        <v>44</v>
      </c>
      <c r="AY15" s="317">
        <v>0</v>
      </c>
      <c r="AZ15" s="317">
        <v>0</v>
      </c>
      <c r="BA15" s="398">
        <v>0</v>
      </c>
      <c r="BB15" s="317">
        <v>0</v>
      </c>
      <c r="BC15" s="220">
        <v>0</v>
      </c>
      <c r="BD15" s="220">
        <v>0</v>
      </c>
      <c r="BE15" s="220">
        <v>0</v>
      </c>
      <c r="BF15" s="437">
        <v>0</v>
      </c>
      <c r="BG15" s="357">
        <v>0</v>
      </c>
      <c r="BH15" s="297">
        <v>4</v>
      </c>
      <c r="BI15" s="220">
        <v>0</v>
      </c>
      <c r="BJ15" s="220">
        <v>0</v>
      </c>
      <c r="BK15" s="220">
        <v>0</v>
      </c>
      <c r="BL15" s="220">
        <v>0</v>
      </c>
      <c r="BM15" s="220">
        <v>44</v>
      </c>
      <c r="BN15" s="220">
        <v>44</v>
      </c>
      <c r="BO15" s="437">
        <v>96</v>
      </c>
      <c r="BP15" s="220">
        <v>0</v>
      </c>
      <c r="BQ15" s="220">
        <v>0</v>
      </c>
      <c r="BR15" s="220">
        <v>0</v>
      </c>
      <c r="BS15" s="378">
        <v>1</v>
      </c>
      <c r="BT15" s="347">
        <v>24</v>
      </c>
      <c r="BU15" s="297">
        <v>0</v>
      </c>
      <c r="BV15" s="220">
        <v>97</v>
      </c>
      <c r="BW15" s="297">
        <v>493</v>
      </c>
      <c r="BX15" s="297">
        <v>644</v>
      </c>
      <c r="BY15" s="220">
        <v>0</v>
      </c>
      <c r="BZ15" s="220">
        <v>0</v>
      </c>
      <c r="CA15" s="220">
        <v>0</v>
      </c>
      <c r="CB15" s="297">
        <v>0</v>
      </c>
      <c r="CC15" s="357">
        <v>486</v>
      </c>
      <c r="CD15" s="556">
        <v>0</v>
      </c>
      <c r="CE15" s="437">
        <v>2</v>
      </c>
      <c r="CF15" s="317">
        <v>2</v>
      </c>
      <c r="CG15" s="220">
        <v>0</v>
      </c>
      <c r="CH15" s="220">
        <v>0</v>
      </c>
      <c r="CI15" s="220">
        <v>0</v>
      </c>
      <c r="CJ15" s="220">
        <v>1</v>
      </c>
      <c r="CK15" s="220">
        <v>49</v>
      </c>
      <c r="CL15" s="220">
        <v>92</v>
      </c>
      <c r="CM15" s="220">
        <v>17</v>
      </c>
      <c r="CN15" s="220">
        <v>3565</v>
      </c>
      <c r="CO15" s="220">
        <v>2</v>
      </c>
      <c r="CP15" s="220">
        <v>681</v>
      </c>
      <c r="CQ15" s="220">
        <v>3155</v>
      </c>
      <c r="CR15" s="220">
        <v>0</v>
      </c>
      <c r="CS15" s="220">
        <v>1</v>
      </c>
      <c r="CT15" s="220">
        <v>649</v>
      </c>
      <c r="CU15" s="220">
        <v>266</v>
      </c>
      <c r="CV15" s="220">
        <v>1228</v>
      </c>
      <c r="CW15" s="220">
        <v>1589</v>
      </c>
      <c r="CX15" s="220">
        <v>7140</v>
      </c>
      <c r="CY15" s="220">
        <v>1001</v>
      </c>
      <c r="CZ15" s="220">
        <v>-1442</v>
      </c>
      <c r="DA15" s="220">
        <v>1197</v>
      </c>
      <c r="DB15" s="220">
        <v>2</v>
      </c>
      <c r="DC15" s="220">
        <v>1353</v>
      </c>
      <c r="DD15" s="220">
        <v>-1891</v>
      </c>
      <c r="DE15" s="220">
        <v>142</v>
      </c>
      <c r="DF15" s="220">
        <v>0</v>
      </c>
      <c r="DG15" s="220">
        <v>4308</v>
      </c>
      <c r="DH15" s="220">
        <v>-5820</v>
      </c>
      <c r="DI15" s="220">
        <v>3570</v>
      </c>
      <c r="DJ15" s="220">
        <v>-4679</v>
      </c>
      <c r="DK15" s="220">
        <v>0</v>
      </c>
      <c r="DL15" s="220">
        <v>807</v>
      </c>
      <c r="DM15" s="220">
        <v>-2133</v>
      </c>
      <c r="DN15" s="220">
        <v>-17238</v>
      </c>
      <c r="DO15" s="220">
        <v>-1758</v>
      </c>
      <c r="DP15" s="279">
        <v>0</v>
      </c>
    </row>
    <row r="16" spans="1:120" s="65" customFormat="1" outlineLevel="1" x14ac:dyDescent="0.25">
      <c r="A16" s="555" t="s">
        <v>300</v>
      </c>
      <c r="B16" s="277" t="s">
        <v>301</v>
      </c>
      <c r="C16" s="628" t="s">
        <v>787</v>
      </c>
      <c r="D16" s="397">
        <v>-8059</v>
      </c>
      <c r="E16" s="398">
        <v>156</v>
      </c>
      <c r="F16" s="398">
        <v>2</v>
      </c>
      <c r="G16" s="347">
        <v>104</v>
      </c>
      <c r="H16" s="347">
        <v>1</v>
      </c>
      <c r="I16" s="347">
        <v>8169</v>
      </c>
      <c r="J16" s="347">
        <v>0</v>
      </c>
      <c r="K16" s="347">
        <v>0</v>
      </c>
      <c r="L16" s="347">
        <v>0</v>
      </c>
      <c r="M16" s="220">
        <v>25</v>
      </c>
      <c r="N16" s="220">
        <v>0</v>
      </c>
      <c r="O16" s="220">
        <v>-2423</v>
      </c>
      <c r="P16" s="220">
        <v>1</v>
      </c>
      <c r="Q16" s="220">
        <v>0</v>
      </c>
      <c r="R16" s="220">
        <v>5</v>
      </c>
      <c r="S16" s="220">
        <v>8</v>
      </c>
      <c r="T16" s="220">
        <v>66</v>
      </c>
      <c r="U16" s="220">
        <v>0</v>
      </c>
      <c r="V16" s="220">
        <v>0</v>
      </c>
      <c r="W16" s="220">
        <v>0</v>
      </c>
      <c r="X16" s="270">
        <v>0</v>
      </c>
      <c r="Y16" s="270">
        <v>189</v>
      </c>
      <c r="Z16" s="220">
        <v>7</v>
      </c>
      <c r="AA16" s="220">
        <v>0</v>
      </c>
      <c r="AB16" s="220">
        <v>-727</v>
      </c>
      <c r="AC16" s="220">
        <v>0</v>
      </c>
      <c r="AD16" s="220">
        <v>0</v>
      </c>
      <c r="AE16" s="220">
        <v>0</v>
      </c>
      <c r="AF16" s="220">
        <v>44</v>
      </c>
      <c r="AG16" s="220">
        <v>0</v>
      </c>
      <c r="AH16" s="220">
        <v>0</v>
      </c>
      <c r="AI16" s="220">
        <v>0</v>
      </c>
      <c r="AJ16" s="220">
        <v>0</v>
      </c>
      <c r="AK16" s="220">
        <v>1331</v>
      </c>
      <c r="AL16" s="220">
        <v>0</v>
      </c>
      <c r="AM16" s="220">
        <v>0</v>
      </c>
      <c r="AN16" s="220">
        <v>-141</v>
      </c>
      <c r="AO16" s="220">
        <v>112</v>
      </c>
      <c r="AP16" s="220">
        <v>-120</v>
      </c>
      <c r="AQ16" s="220">
        <v>2</v>
      </c>
      <c r="AR16" s="220">
        <v>6</v>
      </c>
      <c r="AS16" s="270">
        <v>102</v>
      </c>
      <c r="AT16" s="317">
        <v>46</v>
      </c>
      <c r="AU16" s="220">
        <v>268</v>
      </c>
      <c r="AV16" s="220">
        <v>44</v>
      </c>
      <c r="AW16" s="220">
        <v>0</v>
      </c>
      <c r="AX16" s="220">
        <v>147</v>
      </c>
      <c r="AY16" s="317">
        <v>652</v>
      </c>
      <c r="AZ16" s="317">
        <v>0</v>
      </c>
      <c r="BA16" s="398">
        <v>18</v>
      </c>
      <c r="BB16" s="317">
        <v>496</v>
      </c>
      <c r="BC16" s="220">
        <v>0</v>
      </c>
      <c r="BD16" s="220">
        <v>0</v>
      </c>
      <c r="BE16" s="220">
        <v>0</v>
      </c>
      <c r="BF16" s="437">
        <v>0</v>
      </c>
      <c r="BG16" s="357">
        <v>3200</v>
      </c>
      <c r="BH16" s="297">
        <v>1155</v>
      </c>
      <c r="BI16" s="220">
        <v>0</v>
      </c>
      <c r="BJ16" s="220">
        <v>0</v>
      </c>
      <c r="BK16" s="220">
        <v>0</v>
      </c>
      <c r="BL16" s="220">
        <v>-6045</v>
      </c>
      <c r="BM16" s="220">
        <v>44</v>
      </c>
      <c r="BN16" s="220">
        <v>-278</v>
      </c>
      <c r="BO16" s="437">
        <v>96</v>
      </c>
      <c r="BP16" s="220">
        <v>-40</v>
      </c>
      <c r="BQ16" s="220">
        <v>0</v>
      </c>
      <c r="BR16" s="220">
        <v>-156</v>
      </c>
      <c r="BS16" s="378">
        <v>-553</v>
      </c>
      <c r="BT16" s="347">
        <v>2</v>
      </c>
      <c r="BU16" s="297">
        <v>487</v>
      </c>
      <c r="BV16" s="220">
        <v>-160</v>
      </c>
      <c r="BW16" s="297">
        <v>493</v>
      </c>
      <c r="BX16" s="297">
        <v>564</v>
      </c>
      <c r="BY16" s="220">
        <v>0</v>
      </c>
      <c r="BZ16" s="220">
        <v>0</v>
      </c>
      <c r="CA16" s="220">
        <v>0</v>
      </c>
      <c r="CB16" s="297">
        <v>-7</v>
      </c>
      <c r="CC16" s="357">
        <v>504</v>
      </c>
      <c r="CD16" s="556">
        <v>0</v>
      </c>
      <c r="CE16" s="437">
        <v>2</v>
      </c>
      <c r="CF16" s="317">
        <v>2</v>
      </c>
      <c r="CG16" s="220">
        <v>0</v>
      </c>
      <c r="CH16" s="220">
        <v>0</v>
      </c>
      <c r="CI16" s="220">
        <v>0</v>
      </c>
      <c r="CJ16" s="220">
        <v>2</v>
      </c>
      <c r="CK16" s="220">
        <v>49</v>
      </c>
      <c r="CL16" s="220">
        <v>92</v>
      </c>
      <c r="CM16" s="220">
        <v>17</v>
      </c>
      <c r="CN16" s="220">
        <v>3594</v>
      </c>
      <c r="CO16" s="220">
        <v>-313</v>
      </c>
      <c r="CP16" s="220">
        <v>410</v>
      </c>
      <c r="CQ16" s="220">
        <v>3248</v>
      </c>
      <c r="CR16" s="220">
        <v>0</v>
      </c>
      <c r="CS16" s="220">
        <v>9200</v>
      </c>
      <c r="CT16" s="220">
        <v>1046</v>
      </c>
      <c r="CU16" s="220">
        <v>373</v>
      </c>
      <c r="CV16" s="220">
        <v>1237</v>
      </c>
      <c r="CW16" s="220">
        <v>1603</v>
      </c>
      <c r="CX16" s="220">
        <v>6944</v>
      </c>
      <c r="CY16" s="220">
        <v>1001</v>
      </c>
      <c r="CZ16" s="220">
        <v>-1442</v>
      </c>
      <c r="DA16" s="220">
        <v>1197</v>
      </c>
      <c r="DB16" s="220">
        <v>-3762</v>
      </c>
      <c r="DC16" s="220">
        <v>435</v>
      </c>
      <c r="DD16" s="220">
        <v>-1891</v>
      </c>
      <c r="DE16" s="220">
        <v>85</v>
      </c>
      <c r="DF16" s="220">
        <v>0</v>
      </c>
      <c r="DG16" s="220">
        <v>4309</v>
      </c>
      <c r="DH16" s="220">
        <v>-5820</v>
      </c>
      <c r="DI16" s="220">
        <v>3524</v>
      </c>
      <c r="DJ16" s="220">
        <v>-4679</v>
      </c>
      <c r="DK16" s="220">
        <v>0</v>
      </c>
      <c r="DL16" s="220">
        <v>829</v>
      </c>
      <c r="DM16" s="220">
        <v>-2133</v>
      </c>
      <c r="DN16" s="220">
        <v>-17238</v>
      </c>
      <c r="DO16" s="220">
        <v>-1758</v>
      </c>
      <c r="DP16" s="279">
        <v>0</v>
      </c>
    </row>
    <row r="17" spans="1:120" s="65" customFormat="1" outlineLevel="1" x14ac:dyDescent="0.25">
      <c r="A17" s="580" t="s">
        <v>39</v>
      </c>
      <c r="B17" s="453" t="s">
        <v>53</v>
      </c>
      <c r="C17" s="628" t="s">
        <v>788</v>
      </c>
      <c r="D17" s="581">
        <v>60993</v>
      </c>
      <c r="E17" s="582">
        <v>6467</v>
      </c>
      <c r="F17" s="582">
        <v>2071</v>
      </c>
      <c r="G17" s="583">
        <v>29328</v>
      </c>
      <c r="H17" s="583">
        <v>21557</v>
      </c>
      <c r="I17" s="583">
        <v>23994</v>
      </c>
      <c r="J17" s="583">
        <v>13243</v>
      </c>
      <c r="K17" s="583">
        <v>40729</v>
      </c>
      <c r="L17" s="583">
        <v>765</v>
      </c>
      <c r="M17" s="584">
        <v>9847</v>
      </c>
      <c r="N17" s="584">
        <v>3294</v>
      </c>
      <c r="O17" s="584">
        <v>28695</v>
      </c>
      <c r="P17" s="584">
        <v>36417</v>
      </c>
      <c r="Q17" s="584">
        <v>16171</v>
      </c>
      <c r="R17" s="584">
        <v>13183</v>
      </c>
      <c r="S17" s="584">
        <v>1622</v>
      </c>
      <c r="T17" s="584">
        <v>4187</v>
      </c>
      <c r="U17" s="584">
        <v>2886</v>
      </c>
      <c r="V17" s="584">
        <v>1741</v>
      </c>
      <c r="W17" s="584">
        <v>2021</v>
      </c>
      <c r="X17" s="585">
        <v>62433</v>
      </c>
      <c r="Y17" s="585">
        <v>26296</v>
      </c>
      <c r="Z17" s="584">
        <v>4661</v>
      </c>
      <c r="AA17" s="584">
        <v>3341</v>
      </c>
      <c r="AB17" s="584">
        <v>46487</v>
      </c>
      <c r="AC17" s="584">
        <v>1016</v>
      </c>
      <c r="AD17" s="584">
        <v>9437</v>
      </c>
      <c r="AE17" s="584">
        <v>10302</v>
      </c>
      <c r="AF17" s="584">
        <v>13695</v>
      </c>
      <c r="AG17" s="584">
        <v>21110</v>
      </c>
      <c r="AH17" s="584">
        <v>4801</v>
      </c>
      <c r="AI17" s="584">
        <v>2196</v>
      </c>
      <c r="AJ17" s="584">
        <v>12418</v>
      </c>
      <c r="AK17" s="584">
        <v>4353</v>
      </c>
      <c r="AL17" s="584">
        <v>2391</v>
      </c>
      <c r="AM17" s="584">
        <v>6272</v>
      </c>
      <c r="AN17" s="584">
        <v>9673</v>
      </c>
      <c r="AO17" s="584">
        <v>5854</v>
      </c>
      <c r="AP17" s="584">
        <v>12612</v>
      </c>
      <c r="AQ17" s="584">
        <v>31</v>
      </c>
      <c r="AR17" s="584">
        <v>5494</v>
      </c>
      <c r="AS17" s="585">
        <v>6754</v>
      </c>
      <c r="AT17" s="586">
        <v>19667</v>
      </c>
      <c r="AU17" s="584">
        <v>5172</v>
      </c>
      <c r="AV17" s="584">
        <v>5118</v>
      </c>
      <c r="AW17" s="584">
        <v>1436</v>
      </c>
      <c r="AX17" s="584">
        <v>11871</v>
      </c>
      <c r="AY17" s="586">
        <v>9376</v>
      </c>
      <c r="AZ17" s="586">
        <v>10532</v>
      </c>
      <c r="BA17" s="582">
        <v>5993</v>
      </c>
      <c r="BB17" s="586">
        <v>23764</v>
      </c>
      <c r="BC17" s="584">
        <v>12207</v>
      </c>
      <c r="BD17" s="584">
        <v>425</v>
      </c>
      <c r="BE17" s="584">
        <v>9614</v>
      </c>
      <c r="BF17" s="587">
        <v>25169</v>
      </c>
      <c r="BG17" s="588">
        <v>27396</v>
      </c>
      <c r="BH17" s="589">
        <v>12661</v>
      </c>
      <c r="BI17" s="584">
        <v>5547</v>
      </c>
      <c r="BJ17" s="584">
        <v>28770</v>
      </c>
      <c r="BK17" s="584">
        <v>13506</v>
      </c>
      <c r="BL17" s="584">
        <v>0</v>
      </c>
      <c r="BM17" s="584">
        <v>22509</v>
      </c>
      <c r="BN17" s="584">
        <v>10364</v>
      </c>
      <c r="BO17" s="587">
        <v>131</v>
      </c>
      <c r="BP17" s="584">
        <v>562</v>
      </c>
      <c r="BQ17" s="584">
        <v>0</v>
      </c>
      <c r="BR17" s="584">
        <v>4049</v>
      </c>
      <c r="BS17" s="590">
        <v>49961</v>
      </c>
      <c r="BT17" s="583">
        <v>46037</v>
      </c>
      <c r="BU17" s="589">
        <v>23843</v>
      </c>
      <c r="BV17" s="584">
        <v>8873</v>
      </c>
      <c r="BW17" s="589">
        <v>180449</v>
      </c>
      <c r="BX17" s="589">
        <v>49282</v>
      </c>
      <c r="BY17" s="584">
        <v>43521</v>
      </c>
      <c r="BZ17" s="584">
        <v>168677</v>
      </c>
      <c r="CA17" s="584">
        <v>113992</v>
      </c>
      <c r="CB17" s="589">
        <v>9702</v>
      </c>
      <c r="CC17" s="588">
        <v>17708</v>
      </c>
      <c r="CD17" s="591">
        <v>42100</v>
      </c>
      <c r="CE17" s="587">
        <v>9494</v>
      </c>
      <c r="CF17" s="586">
        <v>17798</v>
      </c>
      <c r="CG17" s="584">
        <v>30807</v>
      </c>
      <c r="CH17" s="584">
        <v>7728</v>
      </c>
      <c r="CI17" s="584">
        <v>14279</v>
      </c>
      <c r="CJ17" s="584">
        <v>94080</v>
      </c>
      <c r="CK17" s="584">
        <v>45545</v>
      </c>
      <c r="CL17" s="584">
        <v>31290</v>
      </c>
      <c r="CM17" s="584">
        <v>34981</v>
      </c>
      <c r="CN17" s="584">
        <v>249025</v>
      </c>
      <c r="CO17" s="584">
        <v>65501</v>
      </c>
      <c r="CP17" s="584">
        <v>65201</v>
      </c>
      <c r="CQ17" s="584">
        <v>58797</v>
      </c>
      <c r="CR17" s="584">
        <v>40168</v>
      </c>
      <c r="CS17" s="584">
        <v>29397</v>
      </c>
      <c r="CT17" s="584">
        <v>49737</v>
      </c>
      <c r="CU17" s="584">
        <v>25425</v>
      </c>
      <c r="CV17" s="584">
        <v>28483</v>
      </c>
      <c r="CW17" s="584">
        <v>101980</v>
      </c>
      <c r="CX17" s="584">
        <v>22666</v>
      </c>
      <c r="CY17" s="584">
        <v>26183</v>
      </c>
      <c r="CZ17" s="584">
        <v>8570</v>
      </c>
      <c r="DA17" s="584">
        <v>78516</v>
      </c>
      <c r="DB17" s="584">
        <v>20008</v>
      </c>
      <c r="DC17" s="584">
        <v>20154</v>
      </c>
      <c r="DD17" s="584">
        <v>23381</v>
      </c>
      <c r="DE17" s="584">
        <v>13722</v>
      </c>
      <c r="DF17" s="584">
        <v>9109</v>
      </c>
      <c r="DG17" s="584">
        <v>17471</v>
      </c>
      <c r="DH17" s="584">
        <v>86310</v>
      </c>
      <c r="DI17" s="584">
        <v>64364</v>
      </c>
      <c r="DJ17" s="584">
        <v>55246</v>
      </c>
      <c r="DK17" s="584">
        <v>2255</v>
      </c>
      <c r="DL17" s="584">
        <v>24045</v>
      </c>
      <c r="DM17" s="584">
        <v>33103</v>
      </c>
      <c r="DN17" s="584">
        <v>153084</v>
      </c>
      <c r="DO17" s="584">
        <v>7359</v>
      </c>
      <c r="DP17" s="592">
        <v>3276084</v>
      </c>
    </row>
    <row r="18" spans="1:120" s="65" customFormat="1" outlineLevel="1" x14ac:dyDescent="0.25">
      <c r="D18" s="593"/>
      <c r="E18" s="593"/>
      <c r="F18" s="593"/>
      <c r="G18" s="594"/>
      <c r="H18" s="594"/>
      <c r="I18" s="594"/>
      <c r="J18" s="594"/>
      <c r="K18" s="594"/>
      <c r="L18" s="594"/>
      <c r="M18" s="595"/>
      <c r="N18" s="595"/>
      <c r="O18" s="595"/>
      <c r="P18" s="595"/>
      <c r="Q18" s="595"/>
      <c r="R18" s="595"/>
      <c r="S18" s="595"/>
      <c r="T18" s="595"/>
      <c r="U18" s="595"/>
      <c r="V18" s="595"/>
      <c r="W18" s="595"/>
      <c r="X18" s="596"/>
      <c r="Y18" s="596"/>
      <c r="Z18" s="595"/>
      <c r="AA18" s="595"/>
      <c r="AB18" s="595"/>
      <c r="AC18" s="595"/>
      <c r="AD18" s="595"/>
      <c r="AE18" s="595"/>
      <c r="AF18" s="595"/>
      <c r="AG18" s="595"/>
      <c r="AH18" s="595"/>
      <c r="AI18" s="595"/>
      <c r="AJ18" s="595"/>
      <c r="AK18" s="595"/>
      <c r="AL18" s="595"/>
      <c r="AM18" s="595"/>
      <c r="AN18" s="595"/>
      <c r="AO18" s="595"/>
      <c r="AP18" s="595"/>
      <c r="AQ18" s="595"/>
      <c r="AR18" s="595"/>
      <c r="AS18" s="596"/>
      <c r="AT18" s="597"/>
      <c r="AU18" s="595"/>
      <c r="AV18" s="595"/>
      <c r="AW18" s="595"/>
      <c r="AX18" s="595"/>
      <c r="AY18" s="597"/>
      <c r="AZ18" s="597"/>
      <c r="BA18" s="593"/>
      <c r="BB18" s="597"/>
      <c r="BC18" s="595"/>
      <c r="BD18" s="595"/>
      <c r="BE18" s="595"/>
      <c r="BF18" s="598"/>
      <c r="BG18" s="599"/>
      <c r="BH18" s="600"/>
      <c r="BI18" s="595"/>
      <c r="BJ18" s="595"/>
      <c r="BK18" s="595"/>
      <c r="BL18" s="595"/>
      <c r="BM18" s="595"/>
      <c r="BN18" s="595"/>
      <c r="BO18" s="598"/>
      <c r="BP18" s="595"/>
      <c r="BQ18" s="595"/>
      <c r="BR18" s="595"/>
      <c r="BS18" s="601"/>
      <c r="BT18" s="594"/>
      <c r="BU18" s="600"/>
      <c r="BV18" s="595"/>
      <c r="BW18" s="600"/>
      <c r="BX18" s="600"/>
      <c r="BY18" s="595"/>
      <c r="BZ18" s="595"/>
      <c r="CA18" s="595"/>
      <c r="CB18" s="600"/>
      <c r="CC18" s="599"/>
      <c r="CD18" s="602"/>
      <c r="CE18" s="598"/>
      <c r="CF18" s="597"/>
      <c r="CG18" s="595"/>
      <c r="CH18" s="595"/>
      <c r="CI18" s="595"/>
      <c r="CJ18" s="595"/>
      <c r="CK18" s="595"/>
      <c r="CL18" s="595"/>
      <c r="CM18" s="595"/>
      <c r="CN18" s="595"/>
      <c r="CO18" s="595"/>
      <c r="CP18" s="595"/>
      <c r="CQ18" s="595"/>
      <c r="CR18" s="595"/>
      <c r="CS18" s="595"/>
      <c r="CT18" s="595"/>
      <c r="CU18" s="595"/>
      <c r="CV18" s="595"/>
      <c r="CW18" s="595"/>
      <c r="CX18" s="595"/>
      <c r="CY18" s="595"/>
      <c r="CZ18" s="595"/>
      <c r="DA18" s="595"/>
      <c r="DB18" s="595"/>
      <c r="DC18" s="595"/>
      <c r="DD18" s="595"/>
      <c r="DE18" s="595"/>
      <c r="DF18" s="595"/>
      <c r="DG18" s="595"/>
      <c r="DH18" s="595"/>
      <c r="DI18" s="595"/>
      <c r="DJ18" s="595"/>
      <c r="DK18" s="595"/>
      <c r="DL18" s="595"/>
      <c r="DM18" s="595"/>
      <c r="DN18" s="595"/>
      <c r="DO18" s="595"/>
      <c r="DP18" s="595"/>
    </row>
    <row r="19" spans="1:120" s="65" customFormat="1" ht="13" outlineLevel="1" x14ac:dyDescent="0.3">
      <c r="A19" s="206" t="s">
        <v>54</v>
      </c>
      <c r="B19" s="603"/>
      <c r="D19" s="604"/>
      <c r="E19" s="604"/>
      <c r="F19" s="604"/>
      <c r="G19" s="605"/>
      <c r="H19" s="605"/>
      <c r="I19" s="605"/>
      <c r="J19" s="605"/>
      <c r="K19" s="605"/>
      <c r="L19" s="605"/>
      <c r="M19" s="603"/>
      <c r="N19" s="603"/>
      <c r="O19" s="603"/>
      <c r="P19" s="603"/>
      <c r="Q19" s="603"/>
      <c r="R19" s="603"/>
      <c r="S19" s="603"/>
      <c r="T19" s="603"/>
      <c r="U19" s="603"/>
      <c r="V19" s="603"/>
      <c r="W19" s="603"/>
      <c r="X19" s="606"/>
      <c r="Y19" s="606"/>
      <c r="Z19" s="603"/>
      <c r="AA19" s="603"/>
      <c r="AB19" s="603"/>
      <c r="AC19" s="603"/>
      <c r="AD19" s="603"/>
      <c r="AE19" s="603"/>
      <c r="AF19" s="603"/>
      <c r="AG19" s="603"/>
      <c r="AH19" s="603"/>
      <c r="AI19" s="603"/>
      <c r="AJ19" s="603"/>
      <c r="AK19" s="603"/>
      <c r="AL19" s="603"/>
      <c r="AM19" s="603"/>
      <c r="AN19" s="603"/>
      <c r="AO19" s="603"/>
      <c r="AP19" s="603"/>
      <c r="AQ19" s="603"/>
      <c r="AR19" s="603"/>
      <c r="AS19" s="606"/>
      <c r="AT19" s="607"/>
      <c r="AU19" s="603"/>
      <c r="AV19" s="603"/>
      <c r="AW19" s="603"/>
      <c r="AX19" s="603"/>
      <c r="AY19" s="607"/>
      <c r="AZ19" s="607"/>
      <c r="BA19" s="604"/>
      <c r="BB19" s="607"/>
      <c r="BC19" s="603"/>
      <c r="BD19" s="603"/>
      <c r="BE19" s="603"/>
      <c r="BF19" s="608"/>
      <c r="BG19" s="609"/>
      <c r="BH19" s="610"/>
      <c r="BI19" s="603"/>
      <c r="BJ19" s="603"/>
      <c r="BK19" s="603"/>
      <c r="BL19" s="603"/>
      <c r="BM19" s="603"/>
      <c r="BN19" s="603"/>
      <c r="BO19" s="608"/>
      <c r="BP19" s="603"/>
      <c r="BQ19" s="603"/>
      <c r="BR19" s="603"/>
      <c r="BS19" s="611"/>
      <c r="BT19" s="605"/>
      <c r="BU19" s="610"/>
      <c r="BV19" s="603"/>
      <c r="BW19" s="610"/>
      <c r="BX19" s="610"/>
      <c r="BY19" s="603"/>
      <c r="BZ19" s="603"/>
      <c r="CA19" s="603"/>
      <c r="CB19" s="610"/>
      <c r="CC19" s="609"/>
      <c r="CD19" s="612"/>
      <c r="CE19" s="608"/>
      <c r="CF19" s="607"/>
      <c r="CG19" s="603"/>
      <c r="CH19" s="603"/>
      <c r="CI19" s="603"/>
      <c r="CJ19" s="603"/>
      <c r="CK19" s="603"/>
      <c r="CL19" s="603"/>
      <c r="CM19" s="603"/>
      <c r="CN19" s="603"/>
      <c r="CO19" s="603"/>
      <c r="CP19" s="603"/>
      <c r="CQ19" s="603"/>
      <c r="CR19" s="603"/>
      <c r="CS19" s="603"/>
      <c r="CT19" s="603"/>
      <c r="CU19" s="603"/>
      <c r="CV19" s="603"/>
      <c r="CW19" s="603"/>
      <c r="CX19" s="603"/>
      <c r="CY19" s="603"/>
      <c r="CZ19" s="603"/>
      <c r="DA19" s="603"/>
      <c r="DB19" s="603"/>
      <c r="DC19" s="603"/>
      <c r="DD19" s="603"/>
      <c r="DE19" s="603"/>
      <c r="DF19" s="603"/>
      <c r="DG19" s="603"/>
      <c r="DH19" s="603"/>
      <c r="DI19" s="603"/>
      <c r="DJ19" s="603"/>
      <c r="DK19" s="603"/>
      <c r="DL19" s="603"/>
      <c r="DM19" s="603"/>
      <c r="DN19" s="603"/>
      <c r="DO19" s="603"/>
      <c r="DP19" s="613"/>
    </row>
    <row r="20" spans="1:120" s="65" customFormat="1" outlineLevel="1" x14ac:dyDescent="0.25">
      <c r="A20" s="837" t="s">
        <v>304</v>
      </c>
      <c r="B20" s="838"/>
      <c r="C20" s="838"/>
      <c r="D20" s="838"/>
      <c r="E20" s="838"/>
      <c r="F20" s="838"/>
      <c r="G20" s="838"/>
      <c r="H20" s="838"/>
      <c r="I20" s="838"/>
      <c r="J20" s="838"/>
      <c r="K20" s="838"/>
      <c r="L20" s="838"/>
      <c r="M20" s="838"/>
      <c r="N20" s="838"/>
      <c r="O20" s="838"/>
      <c r="P20" s="838"/>
      <c r="Q20" s="838"/>
      <c r="R20" s="838"/>
      <c r="S20" s="838"/>
      <c r="T20" s="838"/>
      <c r="U20" s="838"/>
      <c r="V20" s="838"/>
      <c r="W20" s="838"/>
      <c r="X20" s="838"/>
      <c r="Y20" s="838"/>
      <c r="Z20" s="838"/>
      <c r="AA20" s="838"/>
      <c r="AB20" s="838"/>
      <c r="AC20" s="838"/>
      <c r="AD20" s="838"/>
      <c r="AE20" s="838"/>
      <c r="AF20" s="838"/>
      <c r="AG20" s="838"/>
      <c r="AH20" s="838"/>
      <c r="AI20" s="838"/>
      <c r="AJ20" s="838"/>
      <c r="AK20" s="838"/>
      <c r="AL20" s="838"/>
      <c r="AM20" s="838"/>
      <c r="AN20" s="838"/>
      <c r="AO20" s="838"/>
      <c r="AP20" s="838"/>
      <c r="AQ20" s="838"/>
      <c r="AR20" s="838"/>
      <c r="AS20" s="838"/>
      <c r="AT20" s="838"/>
      <c r="AU20" s="838"/>
      <c r="AV20" s="838"/>
      <c r="AW20" s="838"/>
      <c r="AX20" s="838"/>
      <c r="AY20" s="838"/>
      <c r="AZ20" s="838"/>
      <c r="BA20" s="838"/>
      <c r="BB20" s="838"/>
      <c r="BC20" s="838"/>
      <c r="BD20" s="838"/>
      <c r="BE20" s="838"/>
      <c r="BF20" s="838"/>
      <c r="BG20" s="838"/>
      <c r="BH20" s="838"/>
      <c r="BI20" s="838"/>
      <c r="BJ20" s="838"/>
      <c r="BK20" s="838"/>
      <c r="BL20" s="838"/>
      <c r="BM20" s="838"/>
      <c r="BN20" s="838"/>
      <c r="BO20" s="838"/>
      <c r="BP20" s="838"/>
      <c r="BQ20" s="838"/>
      <c r="BR20" s="838"/>
      <c r="BS20" s="838"/>
      <c r="BT20" s="838"/>
      <c r="BU20" s="838"/>
      <c r="BV20" s="838"/>
      <c r="BW20" s="838"/>
      <c r="BX20" s="838"/>
      <c r="BY20" s="838"/>
      <c r="BZ20" s="838"/>
      <c r="CA20" s="838"/>
      <c r="CB20" s="838"/>
      <c r="CC20" s="838"/>
      <c r="CD20" s="838"/>
      <c r="CE20" s="838"/>
      <c r="CF20" s="838"/>
      <c r="CG20" s="838"/>
      <c r="CH20" s="838"/>
      <c r="CI20" s="838"/>
      <c r="CJ20" s="838"/>
      <c r="CK20" s="838"/>
      <c r="CL20" s="838"/>
      <c r="CM20" s="838"/>
      <c r="CN20" s="838"/>
      <c r="CO20" s="838"/>
      <c r="CP20" s="838"/>
      <c r="CQ20" s="838"/>
      <c r="CR20" s="838"/>
      <c r="CS20" s="838"/>
      <c r="CT20" s="838"/>
      <c r="CU20" s="838"/>
      <c r="CV20" s="838"/>
      <c r="CW20" s="838"/>
      <c r="CX20" s="838"/>
      <c r="CY20" s="838"/>
      <c r="CZ20" s="838"/>
      <c r="DA20" s="838"/>
      <c r="DB20" s="838"/>
      <c r="DC20" s="838"/>
      <c r="DD20" s="838"/>
      <c r="DE20" s="838"/>
      <c r="DF20" s="838"/>
      <c r="DG20" s="838"/>
      <c r="DH20" s="838"/>
      <c r="DI20" s="838"/>
      <c r="DJ20" s="838"/>
      <c r="DK20" s="838"/>
      <c r="DL20" s="838"/>
      <c r="DM20" s="838"/>
      <c r="DN20" s="838"/>
      <c r="DO20" s="838"/>
      <c r="DP20" s="839"/>
    </row>
    <row r="21" spans="1:120" s="65" customFormat="1" outlineLevel="1" x14ac:dyDescent="0.25">
      <c r="A21" s="614"/>
      <c r="B21" s="615"/>
      <c r="D21" s="531" t="s">
        <v>184</v>
      </c>
      <c r="E21" s="531" t="s">
        <v>185</v>
      </c>
      <c r="F21" s="531" t="s">
        <v>186</v>
      </c>
      <c r="G21" s="532" t="s">
        <v>187</v>
      </c>
      <c r="H21" s="532" t="s">
        <v>188</v>
      </c>
      <c r="I21" s="532" t="s">
        <v>189</v>
      </c>
      <c r="J21" s="532" t="s">
        <v>190</v>
      </c>
      <c r="K21" s="532" t="s">
        <v>191</v>
      </c>
      <c r="L21" s="532" t="s">
        <v>192</v>
      </c>
      <c r="M21" s="216" t="s">
        <v>193</v>
      </c>
      <c r="N21" s="216" t="s">
        <v>194</v>
      </c>
      <c r="O21" s="216" t="s">
        <v>195</v>
      </c>
      <c r="P21" s="216" t="s">
        <v>196</v>
      </c>
      <c r="Q21" s="216" t="s">
        <v>197</v>
      </c>
      <c r="R21" s="216" t="s">
        <v>198</v>
      </c>
      <c r="S21" s="216" t="s">
        <v>199</v>
      </c>
      <c r="T21" s="216" t="s">
        <v>200</v>
      </c>
      <c r="U21" s="216" t="s">
        <v>201</v>
      </c>
      <c r="V21" s="216" t="s">
        <v>202</v>
      </c>
      <c r="W21" s="216" t="s">
        <v>203</v>
      </c>
      <c r="X21" s="533" t="s">
        <v>204</v>
      </c>
      <c r="Y21" s="533" t="s">
        <v>205</v>
      </c>
      <c r="Z21" s="216" t="s">
        <v>206</v>
      </c>
      <c r="AA21" s="216" t="s">
        <v>207</v>
      </c>
      <c r="AB21" s="216" t="s">
        <v>208</v>
      </c>
      <c r="AC21" s="216" t="s">
        <v>209</v>
      </c>
      <c r="AD21" s="216" t="s">
        <v>210</v>
      </c>
      <c r="AE21" s="216" t="s">
        <v>211</v>
      </c>
      <c r="AF21" s="216" t="s">
        <v>212</v>
      </c>
      <c r="AG21" s="216" t="s">
        <v>213</v>
      </c>
      <c r="AH21" s="216" t="s">
        <v>214</v>
      </c>
      <c r="AI21" s="216" t="s">
        <v>215</v>
      </c>
      <c r="AJ21" s="216" t="s">
        <v>216</v>
      </c>
      <c r="AK21" s="216" t="s">
        <v>217</v>
      </c>
      <c r="AL21" s="216" t="s">
        <v>218</v>
      </c>
      <c r="AM21" s="216" t="s">
        <v>219</v>
      </c>
      <c r="AN21" s="216" t="s">
        <v>220</v>
      </c>
      <c r="AO21" s="216" t="s">
        <v>221</v>
      </c>
      <c r="AP21" s="216" t="s">
        <v>222</v>
      </c>
      <c r="AQ21" s="216" t="s">
        <v>223</v>
      </c>
      <c r="AR21" s="216" t="s">
        <v>224</v>
      </c>
      <c r="AS21" s="533" t="s">
        <v>225</v>
      </c>
      <c r="AT21" s="534" t="s">
        <v>226</v>
      </c>
      <c r="AU21" s="216" t="s">
        <v>227</v>
      </c>
      <c r="AV21" s="216" t="s">
        <v>228</v>
      </c>
      <c r="AW21" s="216" t="s">
        <v>229</v>
      </c>
      <c r="AX21" s="216" t="s">
        <v>230</v>
      </c>
      <c r="AY21" s="534" t="s">
        <v>231</v>
      </c>
      <c r="AZ21" s="534" t="s">
        <v>232</v>
      </c>
      <c r="BA21" s="531" t="s">
        <v>233</v>
      </c>
      <c r="BB21" s="534" t="s">
        <v>234</v>
      </c>
      <c r="BC21" s="216" t="s">
        <v>235</v>
      </c>
      <c r="BD21" s="216" t="s">
        <v>236</v>
      </c>
      <c r="BE21" s="216" t="s">
        <v>237</v>
      </c>
      <c r="BF21" s="535" t="s">
        <v>238</v>
      </c>
      <c r="BG21" s="536" t="s">
        <v>239</v>
      </c>
      <c r="BH21" s="537" t="s">
        <v>240</v>
      </c>
      <c r="BI21" s="216" t="s">
        <v>241</v>
      </c>
      <c r="BJ21" s="216" t="s">
        <v>242</v>
      </c>
      <c r="BK21" s="216" t="s">
        <v>243</v>
      </c>
      <c r="BL21" s="216" t="s">
        <v>244</v>
      </c>
      <c r="BM21" s="216" t="s">
        <v>245</v>
      </c>
      <c r="BN21" s="216" t="s">
        <v>246</v>
      </c>
      <c r="BO21" s="535" t="s">
        <v>247</v>
      </c>
      <c r="BP21" s="216" t="s">
        <v>248</v>
      </c>
      <c r="BQ21" s="216" t="s">
        <v>249</v>
      </c>
      <c r="BR21" s="216" t="s">
        <v>250</v>
      </c>
      <c r="BS21" s="538" t="s">
        <v>251</v>
      </c>
      <c r="BT21" s="532" t="s">
        <v>252</v>
      </c>
      <c r="BU21" s="537" t="s">
        <v>253</v>
      </c>
      <c r="BV21" s="216" t="s">
        <v>254</v>
      </c>
      <c r="BW21" s="537" t="s">
        <v>255</v>
      </c>
      <c r="BX21" s="537" t="s">
        <v>256</v>
      </c>
      <c r="BY21" s="216" t="s">
        <v>257</v>
      </c>
      <c r="BZ21" s="216" t="s">
        <v>258</v>
      </c>
      <c r="CA21" s="216" t="s">
        <v>259</v>
      </c>
      <c r="CB21" s="537" t="s">
        <v>260</v>
      </c>
      <c r="CC21" s="536" t="s">
        <v>261</v>
      </c>
      <c r="CD21" s="539" t="s">
        <v>262</v>
      </c>
      <c r="CE21" s="535" t="s">
        <v>263</v>
      </c>
      <c r="CF21" s="534" t="s">
        <v>264</v>
      </c>
      <c r="CG21" s="216" t="s">
        <v>265</v>
      </c>
      <c r="CH21" s="216" t="s">
        <v>266</v>
      </c>
      <c r="CI21" s="216" t="s">
        <v>267</v>
      </c>
      <c r="CJ21" s="216" t="s">
        <v>268</v>
      </c>
      <c r="CK21" s="216" t="s">
        <v>269</v>
      </c>
      <c r="CL21" s="216" t="s">
        <v>270</v>
      </c>
      <c r="CM21" s="216" t="s">
        <v>271</v>
      </c>
      <c r="CN21" s="216" t="s">
        <v>272</v>
      </c>
      <c r="CO21" s="216" t="s">
        <v>273</v>
      </c>
      <c r="CP21" s="216" t="s">
        <v>274</v>
      </c>
      <c r="CQ21" s="216" t="s">
        <v>275</v>
      </c>
      <c r="CR21" s="216" t="s">
        <v>276</v>
      </c>
      <c r="CS21" s="216" t="s">
        <v>277</v>
      </c>
      <c r="CT21" s="216" t="s">
        <v>278</v>
      </c>
      <c r="CU21" s="216" t="s">
        <v>279</v>
      </c>
      <c r="CV21" s="216" t="s">
        <v>280</v>
      </c>
      <c r="CW21" s="216" t="s">
        <v>281</v>
      </c>
      <c r="CX21" s="216" t="s">
        <v>282</v>
      </c>
      <c r="CY21" s="216" t="s">
        <v>283</v>
      </c>
      <c r="CZ21" s="216" t="s">
        <v>284</v>
      </c>
      <c r="DA21" s="216" t="s">
        <v>285</v>
      </c>
      <c r="DB21" s="216" t="s">
        <v>286</v>
      </c>
      <c r="DC21" s="216" t="s">
        <v>287</v>
      </c>
      <c r="DD21" s="216" t="s">
        <v>288</v>
      </c>
      <c r="DE21" s="216" t="s">
        <v>289</v>
      </c>
      <c r="DF21" s="216" t="s">
        <v>290</v>
      </c>
      <c r="DG21" s="216" t="s">
        <v>291</v>
      </c>
      <c r="DH21" s="216" t="s">
        <v>292</v>
      </c>
      <c r="DI21" s="216" t="s">
        <v>293</v>
      </c>
      <c r="DJ21" s="216" t="s">
        <v>294</v>
      </c>
      <c r="DK21" s="216" t="s">
        <v>295</v>
      </c>
      <c r="DL21" s="216" t="s">
        <v>296</v>
      </c>
      <c r="DM21" s="216" t="s">
        <v>297</v>
      </c>
      <c r="DN21" s="216" t="s">
        <v>298</v>
      </c>
      <c r="DO21" s="216" t="s">
        <v>299</v>
      </c>
      <c r="DP21" s="540" t="s">
        <v>65</v>
      </c>
    </row>
    <row r="22" spans="1:120" s="65" customFormat="1" outlineLevel="1" x14ac:dyDescent="0.25">
      <c r="A22" s="580" t="s">
        <v>37</v>
      </c>
      <c r="B22" s="453" t="s">
        <v>55</v>
      </c>
      <c r="D22" s="616">
        <v>28259</v>
      </c>
      <c r="E22" s="617">
        <v>3652</v>
      </c>
      <c r="F22" s="617">
        <v>1348</v>
      </c>
      <c r="G22" s="618">
        <v>6011</v>
      </c>
      <c r="H22" s="618">
        <v>3072</v>
      </c>
      <c r="I22" s="618">
        <v>4124</v>
      </c>
      <c r="J22" s="618">
        <v>2452</v>
      </c>
      <c r="K22" s="618">
        <v>12489</v>
      </c>
      <c r="L22" s="618">
        <v>544</v>
      </c>
      <c r="M22" s="619">
        <v>3148</v>
      </c>
      <c r="N22" s="619">
        <v>1230</v>
      </c>
      <c r="O22" s="619">
        <v>11512</v>
      </c>
      <c r="P22" s="619">
        <v>9910</v>
      </c>
      <c r="Q22" s="619">
        <v>3589</v>
      </c>
      <c r="R22" s="619">
        <v>4151</v>
      </c>
      <c r="S22" s="619">
        <v>718</v>
      </c>
      <c r="T22" s="619">
        <v>1230</v>
      </c>
      <c r="U22" s="619">
        <v>856</v>
      </c>
      <c r="V22" s="619">
        <v>167</v>
      </c>
      <c r="W22" s="619">
        <v>827</v>
      </c>
      <c r="X22" s="620">
        <v>6869</v>
      </c>
      <c r="Y22" s="620">
        <v>6312</v>
      </c>
      <c r="Z22" s="619">
        <v>2075</v>
      </c>
      <c r="AA22" s="619">
        <v>798</v>
      </c>
      <c r="AB22" s="619">
        <v>7801</v>
      </c>
      <c r="AC22" s="619">
        <v>266</v>
      </c>
      <c r="AD22" s="619">
        <v>2903</v>
      </c>
      <c r="AE22" s="619">
        <v>3950</v>
      </c>
      <c r="AF22" s="619">
        <v>4238</v>
      </c>
      <c r="AG22" s="619">
        <v>7268</v>
      </c>
      <c r="AH22" s="619">
        <v>1288</v>
      </c>
      <c r="AI22" s="619">
        <v>819</v>
      </c>
      <c r="AJ22" s="619">
        <v>3675</v>
      </c>
      <c r="AK22" s="619">
        <v>741</v>
      </c>
      <c r="AL22" s="619">
        <v>618</v>
      </c>
      <c r="AM22" s="619">
        <v>2091</v>
      </c>
      <c r="AN22" s="619">
        <v>1677</v>
      </c>
      <c r="AO22" s="619">
        <v>2526</v>
      </c>
      <c r="AP22" s="619">
        <v>4559</v>
      </c>
      <c r="AQ22" s="619">
        <v>-2</v>
      </c>
      <c r="AR22" s="619">
        <v>2012</v>
      </c>
      <c r="AS22" s="620">
        <v>2463</v>
      </c>
      <c r="AT22" s="621">
        <v>6438</v>
      </c>
      <c r="AU22" s="619">
        <v>1085</v>
      </c>
      <c r="AV22" s="619">
        <v>1564</v>
      </c>
      <c r="AW22" s="619">
        <v>532</v>
      </c>
      <c r="AX22" s="619">
        <v>3306</v>
      </c>
      <c r="AY22" s="621">
        <v>1511</v>
      </c>
      <c r="AZ22" s="621">
        <v>3044</v>
      </c>
      <c r="BA22" s="617">
        <v>825</v>
      </c>
      <c r="BB22" s="621">
        <v>3852</v>
      </c>
      <c r="BC22" s="619">
        <v>3617</v>
      </c>
      <c r="BD22" s="619">
        <v>64</v>
      </c>
      <c r="BE22" s="619">
        <v>3024</v>
      </c>
      <c r="BF22" s="622">
        <v>7508</v>
      </c>
      <c r="BG22" s="623">
        <v>4651</v>
      </c>
      <c r="BH22" s="624">
        <v>2013</v>
      </c>
      <c r="BI22" s="619">
        <v>1726</v>
      </c>
      <c r="BJ22" s="619">
        <v>11642</v>
      </c>
      <c r="BK22" s="619">
        <v>4961</v>
      </c>
      <c r="BL22" s="619">
        <v>2035</v>
      </c>
      <c r="BM22" s="619">
        <v>5842</v>
      </c>
      <c r="BN22" s="619">
        <v>3281</v>
      </c>
      <c r="BO22" s="622">
        <v>0</v>
      </c>
      <c r="BP22" s="619">
        <v>401</v>
      </c>
      <c r="BQ22" s="619">
        <v>-2</v>
      </c>
      <c r="BR22" s="619">
        <v>1598</v>
      </c>
      <c r="BS22" s="625">
        <v>2398</v>
      </c>
      <c r="BT22" s="618">
        <v>18832</v>
      </c>
      <c r="BU22" s="624">
        <v>5049</v>
      </c>
      <c r="BV22" s="619">
        <v>2165</v>
      </c>
      <c r="BW22" s="624">
        <v>82520</v>
      </c>
      <c r="BX22" s="624">
        <v>17048</v>
      </c>
      <c r="BY22" s="619">
        <v>25738</v>
      </c>
      <c r="BZ22" s="619">
        <v>72397</v>
      </c>
      <c r="CA22" s="619">
        <v>68257</v>
      </c>
      <c r="CB22" s="624">
        <v>6181</v>
      </c>
      <c r="CC22" s="623">
        <v>11676</v>
      </c>
      <c r="CD22" s="626">
        <v>18034</v>
      </c>
      <c r="CE22" s="622">
        <v>1966</v>
      </c>
      <c r="CF22" s="621">
        <v>6633</v>
      </c>
      <c r="CG22" s="619">
        <v>16086</v>
      </c>
      <c r="CH22" s="619">
        <v>2063</v>
      </c>
      <c r="CI22" s="619">
        <v>6795</v>
      </c>
      <c r="CJ22" s="619">
        <v>46228</v>
      </c>
      <c r="CK22" s="619">
        <v>19808</v>
      </c>
      <c r="CL22" s="619">
        <v>14028</v>
      </c>
      <c r="CM22" s="619">
        <v>18537</v>
      </c>
      <c r="CN22" s="619">
        <v>208977</v>
      </c>
      <c r="CO22" s="619">
        <v>32518</v>
      </c>
      <c r="CP22" s="619">
        <v>40005</v>
      </c>
      <c r="CQ22" s="619">
        <v>35104</v>
      </c>
      <c r="CR22" s="619">
        <v>11725</v>
      </c>
      <c r="CS22" s="619">
        <v>9475</v>
      </c>
      <c r="CT22" s="619">
        <v>22350</v>
      </c>
      <c r="CU22" s="619">
        <v>13013</v>
      </c>
      <c r="CV22" s="619">
        <v>24733</v>
      </c>
      <c r="CW22" s="619">
        <v>53099</v>
      </c>
      <c r="CX22" s="619">
        <v>9658</v>
      </c>
      <c r="CY22" s="619">
        <v>8688</v>
      </c>
      <c r="CZ22" s="619">
        <v>5867</v>
      </c>
      <c r="DA22" s="619">
        <v>37961</v>
      </c>
      <c r="DB22" s="619">
        <v>8572</v>
      </c>
      <c r="DC22" s="619">
        <v>8772</v>
      </c>
      <c r="DD22" s="619">
        <v>16016</v>
      </c>
      <c r="DE22" s="619">
        <v>9338</v>
      </c>
      <c r="DF22" s="619">
        <v>9109</v>
      </c>
      <c r="DG22" s="619">
        <v>7748</v>
      </c>
      <c r="DH22" s="619">
        <v>79196</v>
      </c>
      <c r="DI22" s="619">
        <v>43984</v>
      </c>
      <c r="DJ22" s="619">
        <v>45299</v>
      </c>
      <c r="DK22" s="619">
        <v>1313</v>
      </c>
      <c r="DL22" s="619">
        <v>16156</v>
      </c>
      <c r="DM22" s="619">
        <v>28710</v>
      </c>
      <c r="DN22" s="619">
        <v>121442</v>
      </c>
      <c r="DO22" s="619">
        <v>4682</v>
      </c>
      <c r="DP22" s="455">
        <v>1614703</v>
      </c>
    </row>
    <row r="23" spans="1:120" s="65" customFormat="1" outlineLevel="1" x14ac:dyDescent="0.25">
      <c r="A23" s="541" t="s">
        <v>56</v>
      </c>
      <c r="B23" s="542" t="s">
        <v>57</v>
      </c>
      <c r="C23" s="95" t="s">
        <v>790</v>
      </c>
      <c r="D23" s="398">
        <v>7703</v>
      </c>
      <c r="E23" s="398">
        <v>744</v>
      </c>
      <c r="F23" s="398">
        <v>444</v>
      </c>
      <c r="G23" s="347">
        <v>4128</v>
      </c>
      <c r="H23" s="347">
        <v>1897</v>
      </c>
      <c r="I23" s="347">
        <v>1879</v>
      </c>
      <c r="J23" s="347">
        <v>1502</v>
      </c>
      <c r="K23" s="347">
        <v>7015</v>
      </c>
      <c r="L23" s="347">
        <v>142</v>
      </c>
      <c r="M23" s="220">
        <v>1848</v>
      </c>
      <c r="N23" s="220">
        <v>832</v>
      </c>
      <c r="O23" s="220">
        <v>8498</v>
      </c>
      <c r="P23" s="220">
        <v>4255</v>
      </c>
      <c r="Q23" s="220">
        <v>1982</v>
      </c>
      <c r="R23" s="220">
        <v>2968</v>
      </c>
      <c r="S23" s="220">
        <v>469</v>
      </c>
      <c r="T23" s="220">
        <v>894</v>
      </c>
      <c r="U23" s="220">
        <v>647</v>
      </c>
      <c r="V23" s="220">
        <v>310</v>
      </c>
      <c r="W23" s="220">
        <v>572</v>
      </c>
      <c r="X23" s="270">
        <v>5124</v>
      </c>
      <c r="Y23" s="270">
        <v>4594</v>
      </c>
      <c r="Z23" s="220">
        <v>1410</v>
      </c>
      <c r="AA23" s="220">
        <v>647</v>
      </c>
      <c r="AB23" s="220">
        <v>4518</v>
      </c>
      <c r="AC23" s="220">
        <v>238</v>
      </c>
      <c r="AD23" s="220">
        <v>2183</v>
      </c>
      <c r="AE23" s="220">
        <v>3205</v>
      </c>
      <c r="AF23" s="220">
        <v>3432</v>
      </c>
      <c r="AG23" s="220">
        <v>5212</v>
      </c>
      <c r="AH23" s="220">
        <v>939</v>
      </c>
      <c r="AI23" s="220">
        <v>666</v>
      </c>
      <c r="AJ23" s="220">
        <v>2873</v>
      </c>
      <c r="AK23" s="220">
        <v>758</v>
      </c>
      <c r="AL23" s="220">
        <v>307</v>
      </c>
      <c r="AM23" s="220">
        <v>1566</v>
      </c>
      <c r="AN23" s="220">
        <v>1720</v>
      </c>
      <c r="AO23" s="220">
        <v>1605</v>
      </c>
      <c r="AP23" s="220">
        <v>3743</v>
      </c>
      <c r="AQ23" s="220">
        <v>23</v>
      </c>
      <c r="AR23" s="220">
        <v>1081</v>
      </c>
      <c r="AS23" s="270">
        <v>1728</v>
      </c>
      <c r="AT23" s="317">
        <v>3761</v>
      </c>
      <c r="AU23" s="220">
        <v>981</v>
      </c>
      <c r="AV23" s="220">
        <v>1207</v>
      </c>
      <c r="AW23" s="220">
        <v>423</v>
      </c>
      <c r="AX23" s="220">
        <v>2444</v>
      </c>
      <c r="AY23" s="317">
        <v>1125</v>
      </c>
      <c r="AZ23" s="317">
        <v>2150</v>
      </c>
      <c r="BA23" s="398">
        <v>1054</v>
      </c>
      <c r="BB23" s="317">
        <v>1763</v>
      </c>
      <c r="BC23" s="220">
        <v>2311</v>
      </c>
      <c r="BD23" s="220">
        <v>51</v>
      </c>
      <c r="BE23" s="220">
        <v>2658</v>
      </c>
      <c r="BF23" s="437">
        <v>5672</v>
      </c>
      <c r="BG23" s="357">
        <v>2233</v>
      </c>
      <c r="BH23" s="297">
        <v>905</v>
      </c>
      <c r="BI23" s="220">
        <v>1537</v>
      </c>
      <c r="BJ23" s="220">
        <v>8670</v>
      </c>
      <c r="BK23" s="220">
        <v>3663</v>
      </c>
      <c r="BL23" s="220">
        <v>775</v>
      </c>
      <c r="BM23" s="220">
        <v>5183</v>
      </c>
      <c r="BN23" s="220">
        <v>2101</v>
      </c>
      <c r="BO23" s="437">
        <v>21</v>
      </c>
      <c r="BP23" s="220">
        <v>91</v>
      </c>
      <c r="BQ23" s="220">
        <v>0</v>
      </c>
      <c r="BR23" s="220">
        <v>839</v>
      </c>
      <c r="BS23" s="378">
        <v>640</v>
      </c>
      <c r="BT23" s="347">
        <v>6901</v>
      </c>
      <c r="BU23" s="297">
        <v>1996</v>
      </c>
      <c r="BV23" s="220">
        <v>1061</v>
      </c>
      <c r="BW23" s="297">
        <v>41411</v>
      </c>
      <c r="BX23" s="297">
        <v>12767</v>
      </c>
      <c r="BY23" s="220">
        <v>15036</v>
      </c>
      <c r="BZ23" s="220">
        <v>52682</v>
      </c>
      <c r="CA23" s="220">
        <v>41377</v>
      </c>
      <c r="CB23" s="297">
        <v>4910</v>
      </c>
      <c r="CC23" s="357">
        <v>7674</v>
      </c>
      <c r="CD23" s="556">
        <v>11475</v>
      </c>
      <c r="CE23" s="437">
        <v>765</v>
      </c>
      <c r="CF23" s="317">
        <v>4904</v>
      </c>
      <c r="CG23" s="220">
        <v>7880</v>
      </c>
      <c r="CH23" s="220">
        <v>1710</v>
      </c>
      <c r="CI23" s="220">
        <v>5391</v>
      </c>
      <c r="CJ23" s="220">
        <v>31218</v>
      </c>
      <c r="CK23" s="220">
        <v>10083</v>
      </c>
      <c r="CL23" s="220">
        <v>7473</v>
      </c>
      <c r="CM23" s="220">
        <v>7767</v>
      </c>
      <c r="CN23" s="220">
        <v>4805</v>
      </c>
      <c r="CO23" s="220">
        <v>17625</v>
      </c>
      <c r="CP23" s="220">
        <v>29395</v>
      </c>
      <c r="CQ23" s="220">
        <v>20475</v>
      </c>
      <c r="CR23" s="220">
        <v>11043</v>
      </c>
      <c r="CS23" s="220">
        <v>6214</v>
      </c>
      <c r="CT23" s="220">
        <v>15496</v>
      </c>
      <c r="CU23" s="220">
        <v>2945</v>
      </c>
      <c r="CV23" s="220">
        <v>24010</v>
      </c>
      <c r="CW23" s="220">
        <v>35221</v>
      </c>
      <c r="CX23" s="220">
        <v>3473</v>
      </c>
      <c r="CY23" s="220">
        <v>9671</v>
      </c>
      <c r="CZ23" s="220">
        <v>4569</v>
      </c>
      <c r="DA23" s="220">
        <v>24971</v>
      </c>
      <c r="DB23" s="220">
        <v>4527</v>
      </c>
      <c r="DC23" s="220">
        <v>4980</v>
      </c>
      <c r="DD23" s="220">
        <v>11210</v>
      </c>
      <c r="DE23" s="220">
        <v>3873</v>
      </c>
      <c r="DF23" s="220">
        <v>9050</v>
      </c>
      <c r="DG23" s="220">
        <v>4635</v>
      </c>
      <c r="DH23" s="220">
        <v>72870</v>
      </c>
      <c r="DI23" s="220">
        <v>12503</v>
      </c>
      <c r="DJ23" s="220">
        <v>38531</v>
      </c>
      <c r="DK23" s="220">
        <v>344</v>
      </c>
      <c r="DL23" s="220">
        <v>13540</v>
      </c>
      <c r="DM23" s="220">
        <v>27420</v>
      </c>
      <c r="DN23" s="220">
        <v>95880</v>
      </c>
      <c r="DO23" s="220">
        <v>3355</v>
      </c>
      <c r="DP23" s="279">
        <v>935671</v>
      </c>
    </row>
    <row r="24" spans="1:120" s="65" customFormat="1" outlineLevel="1" x14ac:dyDescent="0.25">
      <c r="A24" s="580" t="s">
        <v>58</v>
      </c>
      <c r="B24" s="453" t="s">
        <v>59</v>
      </c>
      <c r="C24" s="95" t="s">
        <v>791</v>
      </c>
      <c r="D24" s="617">
        <v>26326</v>
      </c>
      <c r="E24" s="617">
        <v>2981</v>
      </c>
      <c r="F24" s="617">
        <v>927</v>
      </c>
      <c r="G24" s="618">
        <v>1468</v>
      </c>
      <c r="H24" s="618">
        <v>899</v>
      </c>
      <c r="I24" s="618">
        <v>1953</v>
      </c>
      <c r="J24" s="618">
        <v>791</v>
      </c>
      <c r="K24" s="618">
        <v>4778</v>
      </c>
      <c r="L24" s="618">
        <v>343</v>
      </c>
      <c r="M24" s="619">
        <v>1189</v>
      </c>
      <c r="N24" s="619">
        <v>347</v>
      </c>
      <c r="O24" s="619">
        <v>2601</v>
      </c>
      <c r="P24" s="619">
        <v>5235</v>
      </c>
      <c r="Q24" s="619">
        <v>1408</v>
      </c>
      <c r="R24" s="619">
        <v>974</v>
      </c>
      <c r="S24" s="619">
        <v>224</v>
      </c>
      <c r="T24" s="619">
        <v>263</v>
      </c>
      <c r="U24" s="619">
        <v>146</v>
      </c>
      <c r="V24" s="619">
        <v>-161</v>
      </c>
      <c r="W24" s="619">
        <v>223</v>
      </c>
      <c r="X24" s="620">
        <v>1275</v>
      </c>
      <c r="Y24" s="620">
        <v>1255</v>
      </c>
      <c r="Z24" s="619">
        <v>569</v>
      </c>
      <c r="AA24" s="619">
        <v>129</v>
      </c>
      <c r="AB24" s="619">
        <v>2854</v>
      </c>
      <c r="AC24" s="619">
        <v>6</v>
      </c>
      <c r="AD24" s="619">
        <v>589</v>
      </c>
      <c r="AE24" s="619">
        <v>594</v>
      </c>
      <c r="AF24" s="619">
        <v>526</v>
      </c>
      <c r="AG24" s="619">
        <v>1752</v>
      </c>
      <c r="AH24" s="619">
        <v>284</v>
      </c>
      <c r="AI24" s="619">
        <v>115</v>
      </c>
      <c r="AJ24" s="619">
        <v>599</v>
      </c>
      <c r="AK24" s="619">
        <v>-53</v>
      </c>
      <c r="AL24" s="619">
        <v>284</v>
      </c>
      <c r="AM24" s="619">
        <v>431</v>
      </c>
      <c r="AN24" s="619">
        <v>-120</v>
      </c>
      <c r="AO24" s="619">
        <v>829</v>
      </c>
      <c r="AP24" s="619">
        <v>675</v>
      </c>
      <c r="AQ24" s="619">
        <v>-25</v>
      </c>
      <c r="AR24" s="619">
        <v>764</v>
      </c>
      <c r="AS24" s="620">
        <v>557</v>
      </c>
      <c r="AT24" s="621">
        <v>2204</v>
      </c>
      <c r="AU24" s="619">
        <v>23</v>
      </c>
      <c r="AV24" s="619">
        <v>263</v>
      </c>
      <c r="AW24" s="619">
        <v>77</v>
      </c>
      <c r="AX24" s="619">
        <v>649</v>
      </c>
      <c r="AY24" s="621">
        <v>203</v>
      </c>
      <c r="AZ24" s="621">
        <v>652</v>
      </c>
      <c r="BA24" s="617">
        <v>-362</v>
      </c>
      <c r="BB24" s="621">
        <v>1625</v>
      </c>
      <c r="BC24" s="619">
        <v>1069</v>
      </c>
      <c r="BD24" s="619">
        <v>5</v>
      </c>
      <c r="BE24" s="619">
        <v>120</v>
      </c>
      <c r="BF24" s="622">
        <v>1299</v>
      </c>
      <c r="BG24" s="623">
        <v>2073</v>
      </c>
      <c r="BH24" s="624">
        <v>954</v>
      </c>
      <c r="BI24" s="619">
        <v>70</v>
      </c>
      <c r="BJ24" s="619">
        <v>2366</v>
      </c>
      <c r="BK24" s="619">
        <v>988</v>
      </c>
      <c r="BL24" s="619">
        <v>1178</v>
      </c>
      <c r="BM24" s="619">
        <v>269</v>
      </c>
      <c r="BN24" s="619">
        <v>964</v>
      </c>
      <c r="BO24" s="622">
        <v>-22</v>
      </c>
      <c r="BP24" s="619">
        <v>316</v>
      </c>
      <c r="BQ24" s="619">
        <v>-2</v>
      </c>
      <c r="BR24" s="619">
        <v>601</v>
      </c>
      <c r="BS24" s="625">
        <v>1321</v>
      </c>
      <c r="BT24" s="618">
        <v>9892</v>
      </c>
      <c r="BU24" s="624">
        <v>2747</v>
      </c>
      <c r="BV24" s="619">
        <v>1195</v>
      </c>
      <c r="BW24" s="624">
        <v>39453</v>
      </c>
      <c r="BX24" s="624">
        <v>3548</v>
      </c>
      <c r="BY24" s="619">
        <v>9992</v>
      </c>
      <c r="BZ24" s="619">
        <v>16773</v>
      </c>
      <c r="CA24" s="619">
        <v>24524</v>
      </c>
      <c r="CB24" s="624">
        <v>950</v>
      </c>
      <c r="CC24" s="623">
        <v>3636</v>
      </c>
      <c r="CD24" s="626">
        <v>5822</v>
      </c>
      <c r="CE24" s="622">
        <v>1129</v>
      </c>
      <c r="CF24" s="621">
        <v>1550</v>
      </c>
      <c r="CG24" s="619">
        <v>6763</v>
      </c>
      <c r="CH24" s="619">
        <v>337</v>
      </c>
      <c r="CI24" s="619">
        <v>1056</v>
      </c>
      <c r="CJ24" s="619">
        <v>11449</v>
      </c>
      <c r="CK24" s="619">
        <v>9113</v>
      </c>
      <c r="CL24" s="619">
        <v>5479</v>
      </c>
      <c r="CM24" s="619">
        <v>10078</v>
      </c>
      <c r="CN24" s="619">
        <v>188948</v>
      </c>
      <c r="CO24" s="619">
        <v>14481</v>
      </c>
      <c r="CP24" s="619">
        <v>9738</v>
      </c>
      <c r="CQ24" s="619">
        <v>13969</v>
      </c>
      <c r="CR24" s="619">
        <v>282</v>
      </c>
      <c r="CS24" s="619">
        <v>2994</v>
      </c>
      <c r="CT24" s="619">
        <v>6453</v>
      </c>
      <c r="CU24" s="619">
        <v>9751</v>
      </c>
      <c r="CV24" s="619">
        <v>11</v>
      </c>
      <c r="CW24" s="619">
        <v>16699</v>
      </c>
      <c r="CX24" s="619">
        <v>6181</v>
      </c>
      <c r="CY24" s="619">
        <v>-1277</v>
      </c>
      <c r="CZ24" s="619">
        <v>985</v>
      </c>
      <c r="DA24" s="619">
        <v>12721</v>
      </c>
      <c r="DB24" s="619">
        <v>4265</v>
      </c>
      <c r="DC24" s="619">
        <v>4486</v>
      </c>
      <c r="DD24" s="619">
        <v>4763</v>
      </c>
      <c r="DE24" s="619">
        <v>5351</v>
      </c>
      <c r="DF24" s="619">
        <v>0</v>
      </c>
      <c r="DG24" s="619">
        <v>3354</v>
      </c>
      <c r="DH24" s="619">
        <v>7257</v>
      </c>
      <c r="DI24" s="619">
        <v>30813</v>
      </c>
      <c r="DJ24" s="619">
        <v>4038</v>
      </c>
      <c r="DK24" s="619">
        <v>953</v>
      </c>
      <c r="DL24" s="619">
        <v>2255</v>
      </c>
      <c r="DM24" s="619">
        <v>911</v>
      </c>
      <c r="DN24" s="619">
        <v>23969</v>
      </c>
      <c r="DO24" s="619">
        <v>1143</v>
      </c>
      <c r="DP24" s="455">
        <v>626687</v>
      </c>
    </row>
    <row r="25" spans="1:120" s="65" customFormat="1" outlineLevel="1" x14ac:dyDescent="0.25">
      <c r="A25" s="555" t="s">
        <v>60</v>
      </c>
      <c r="B25" s="277" t="s">
        <v>61</v>
      </c>
      <c r="C25" s="95" t="s">
        <v>792</v>
      </c>
      <c r="D25" s="398">
        <v>1432</v>
      </c>
      <c r="E25" s="398">
        <v>29</v>
      </c>
      <c r="F25" s="398">
        <v>14</v>
      </c>
      <c r="G25" s="347">
        <v>439</v>
      </c>
      <c r="H25" s="347">
        <v>324</v>
      </c>
      <c r="I25" s="347">
        <v>312</v>
      </c>
      <c r="J25" s="347">
        <v>233</v>
      </c>
      <c r="K25" s="347">
        <v>741</v>
      </c>
      <c r="L25" s="347">
        <v>62</v>
      </c>
      <c r="M25" s="220">
        <v>131</v>
      </c>
      <c r="N25" s="220">
        <v>60</v>
      </c>
      <c r="O25" s="220">
        <v>515</v>
      </c>
      <c r="P25" s="220">
        <v>519</v>
      </c>
      <c r="Q25" s="220">
        <v>217</v>
      </c>
      <c r="R25" s="220">
        <v>234</v>
      </c>
      <c r="S25" s="220">
        <v>29</v>
      </c>
      <c r="T25" s="220">
        <v>81</v>
      </c>
      <c r="U25" s="220">
        <v>68</v>
      </c>
      <c r="V25" s="220">
        <v>25</v>
      </c>
      <c r="W25" s="220">
        <v>38</v>
      </c>
      <c r="X25" s="270">
        <v>553</v>
      </c>
      <c r="Y25" s="270">
        <v>501</v>
      </c>
      <c r="Z25" s="220">
        <v>112</v>
      </c>
      <c r="AA25" s="220">
        <v>30</v>
      </c>
      <c r="AB25" s="220">
        <v>497</v>
      </c>
      <c r="AC25" s="220">
        <v>23</v>
      </c>
      <c r="AD25" s="220">
        <v>156</v>
      </c>
      <c r="AE25" s="220">
        <v>179</v>
      </c>
      <c r="AF25" s="220">
        <v>308</v>
      </c>
      <c r="AG25" s="220">
        <v>347</v>
      </c>
      <c r="AH25" s="220">
        <v>74</v>
      </c>
      <c r="AI25" s="220">
        <v>45</v>
      </c>
      <c r="AJ25" s="220">
        <v>226</v>
      </c>
      <c r="AK25" s="220">
        <v>52</v>
      </c>
      <c r="AL25" s="220">
        <v>32</v>
      </c>
      <c r="AM25" s="220">
        <v>114</v>
      </c>
      <c r="AN25" s="220">
        <v>109</v>
      </c>
      <c r="AO25" s="220">
        <v>105</v>
      </c>
      <c r="AP25" s="220">
        <v>216</v>
      </c>
      <c r="AQ25" s="220">
        <v>0</v>
      </c>
      <c r="AR25" s="220">
        <v>175</v>
      </c>
      <c r="AS25" s="270">
        <v>195</v>
      </c>
      <c r="AT25" s="317">
        <v>502</v>
      </c>
      <c r="AU25" s="220">
        <v>102</v>
      </c>
      <c r="AV25" s="220">
        <v>104</v>
      </c>
      <c r="AW25" s="220">
        <v>35</v>
      </c>
      <c r="AX25" s="220">
        <v>237</v>
      </c>
      <c r="AY25" s="317">
        <v>190</v>
      </c>
      <c r="AZ25" s="317">
        <v>256</v>
      </c>
      <c r="BA25" s="398">
        <v>148</v>
      </c>
      <c r="BB25" s="317">
        <v>490</v>
      </c>
      <c r="BC25" s="220">
        <v>258</v>
      </c>
      <c r="BD25" s="220">
        <v>9</v>
      </c>
      <c r="BE25" s="220">
        <v>261</v>
      </c>
      <c r="BF25" s="437">
        <v>579</v>
      </c>
      <c r="BG25" s="357">
        <v>364</v>
      </c>
      <c r="BH25" s="297">
        <v>163</v>
      </c>
      <c r="BI25" s="220">
        <v>130</v>
      </c>
      <c r="BJ25" s="220">
        <v>698</v>
      </c>
      <c r="BK25" s="220">
        <v>335</v>
      </c>
      <c r="BL25" s="220">
        <v>104</v>
      </c>
      <c r="BM25" s="220">
        <v>436</v>
      </c>
      <c r="BN25" s="220">
        <v>273</v>
      </c>
      <c r="BO25" s="437">
        <v>1</v>
      </c>
      <c r="BP25" s="220">
        <v>2</v>
      </c>
      <c r="BQ25" s="220">
        <v>0</v>
      </c>
      <c r="BR25" s="220">
        <v>192</v>
      </c>
      <c r="BS25" s="378">
        <v>469</v>
      </c>
      <c r="BT25" s="347">
        <v>2082</v>
      </c>
      <c r="BU25" s="297">
        <v>328</v>
      </c>
      <c r="BV25" s="220">
        <v>410</v>
      </c>
      <c r="BW25" s="297">
        <v>1982</v>
      </c>
      <c r="BX25" s="297">
        <v>847</v>
      </c>
      <c r="BY25" s="220">
        <v>884</v>
      </c>
      <c r="BZ25" s="220">
        <v>3591</v>
      </c>
      <c r="CA25" s="220">
        <v>2731</v>
      </c>
      <c r="CB25" s="297">
        <v>416</v>
      </c>
      <c r="CC25" s="357">
        <v>774</v>
      </c>
      <c r="CD25" s="556">
        <v>833</v>
      </c>
      <c r="CE25" s="437">
        <v>79</v>
      </c>
      <c r="CF25" s="317">
        <v>249</v>
      </c>
      <c r="CG25" s="220">
        <v>1793</v>
      </c>
      <c r="CH25" s="220">
        <v>132</v>
      </c>
      <c r="CI25" s="220">
        <v>384</v>
      </c>
      <c r="CJ25" s="220">
        <v>3561</v>
      </c>
      <c r="CK25" s="220">
        <v>1109</v>
      </c>
      <c r="CL25" s="220">
        <v>1121</v>
      </c>
      <c r="CM25" s="220">
        <v>857</v>
      </c>
      <c r="CN25" s="220">
        <v>15628</v>
      </c>
      <c r="CO25" s="220">
        <v>505</v>
      </c>
      <c r="CP25" s="220">
        <v>1180</v>
      </c>
      <c r="CQ25" s="220">
        <v>812</v>
      </c>
      <c r="CR25" s="220">
        <v>545</v>
      </c>
      <c r="CS25" s="220">
        <v>352</v>
      </c>
      <c r="CT25" s="220">
        <v>761</v>
      </c>
      <c r="CU25" s="220">
        <v>365</v>
      </c>
      <c r="CV25" s="220">
        <v>830</v>
      </c>
      <c r="CW25" s="220">
        <v>1720</v>
      </c>
      <c r="CX25" s="220">
        <v>398</v>
      </c>
      <c r="CY25" s="220">
        <v>634</v>
      </c>
      <c r="CZ25" s="220">
        <v>314</v>
      </c>
      <c r="DA25" s="220">
        <v>1354</v>
      </c>
      <c r="DB25" s="220">
        <v>333</v>
      </c>
      <c r="DC25" s="220">
        <v>320</v>
      </c>
      <c r="DD25" s="220">
        <v>294</v>
      </c>
      <c r="DE25" s="220">
        <v>172</v>
      </c>
      <c r="DF25" s="220">
        <v>59</v>
      </c>
      <c r="DG25" s="220">
        <v>176</v>
      </c>
      <c r="DH25" s="220">
        <v>745</v>
      </c>
      <c r="DI25" s="220">
        <v>767</v>
      </c>
      <c r="DJ25" s="220">
        <v>3127</v>
      </c>
      <c r="DK25" s="220">
        <v>16</v>
      </c>
      <c r="DL25" s="220">
        <v>449</v>
      </c>
      <c r="DM25" s="220">
        <v>591</v>
      </c>
      <c r="DN25" s="220">
        <v>2550</v>
      </c>
      <c r="DO25" s="220">
        <v>305</v>
      </c>
      <c r="DP25" s="279">
        <v>75355</v>
      </c>
    </row>
    <row r="26" spans="1:120" s="65" customFormat="1" outlineLevel="1" x14ac:dyDescent="0.25">
      <c r="A26" s="557" t="s">
        <v>62</v>
      </c>
      <c r="B26" s="558" t="s">
        <v>63</v>
      </c>
      <c r="C26" s="95" t="s">
        <v>793</v>
      </c>
      <c r="D26" s="560">
        <v>-7202</v>
      </c>
      <c r="E26" s="560">
        <v>-102</v>
      </c>
      <c r="F26" s="560">
        <v>-37</v>
      </c>
      <c r="G26" s="561">
        <v>-24</v>
      </c>
      <c r="H26" s="561">
        <v>-48</v>
      </c>
      <c r="I26" s="561">
        <v>-20</v>
      </c>
      <c r="J26" s="561">
        <v>-74</v>
      </c>
      <c r="K26" s="561">
        <v>-45</v>
      </c>
      <c r="L26" s="561">
        <v>-3</v>
      </c>
      <c r="M26" s="449">
        <v>-20</v>
      </c>
      <c r="N26" s="449">
        <v>-9</v>
      </c>
      <c r="O26" s="449">
        <v>-102</v>
      </c>
      <c r="P26" s="449">
        <v>-99</v>
      </c>
      <c r="Q26" s="449">
        <v>-18</v>
      </c>
      <c r="R26" s="449">
        <v>-25</v>
      </c>
      <c r="S26" s="449">
        <v>-4</v>
      </c>
      <c r="T26" s="449">
        <v>-8</v>
      </c>
      <c r="U26" s="449">
        <v>-5</v>
      </c>
      <c r="V26" s="449">
        <v>-7</v>
      </c>
      <c r="W26" s="449">
        <v>-6</v>
      </c>
      <c r="X26" s="562">
        <v>-83</v>
      </c>
      <c r="Y26" s="562">
        <v>-38</v>
      </c>
      <c r="Z26" s="449">
        <v>-16</v>
      </c>
      <c r="AA26" s="449">
        <v>-8</v>
      </c>
      <c r="AB26" s="449">
        <v>-68</v>
      </c>
      <c r="AC26" s="449">
        <v>-1</v>
      </c>
      <c r="AD26" s="449">
        <v>-25</v>
      </c>
      <c r="AE26" s="449">
        <v>-28</v>
      </c>
      <c r="AF26" s="449">
        <v>-28</v>
      </c>
      <c r="AG26" s="449">
        <v>-43</v>
      </c>
      <c r="AH26" s="449">
        <v>-9</v>
      </c>
      <c r="AI26" s="449">
        <v>-7</v>
      </c>
      <c r="AJ26" s="449">
        <v>-23</v>
      </c>
      <c r="AK26" s="449">
        <v>-16</v>
      </c>
      <c r="AL26" s="449">
        <v>-5</v>
      </c>
      <c r="AM26" s="449">
        <v>-20</v>
      </c>
      <c r="AN26" s="449">
        <v>-32</v>
      </c>
      <c r="AO26" s="449">
        <v>-13</v>
      </c>
      <c r="AP26" s="449">
        <v>-75</v>
      </c>
      <c r="AQ26" s="449">
        <v>0</v>
      </c>
      <c r="AR26" s="449">
        <v>-8</v>
      </c>
      <c r="AS26" s="562">
        <v>-17</v>
      </c>
      <c r="AT26" s="563">
        <v>-29</v>
      </c>
      <c r="AU26" s="449">
        <v>-21</v>
      </c>
      <c r="AV26" s="449">
        <v>-10</v>
      </c>
      <c r="AW26" s="449">
        <v>-3</v>
      </c>
      <c r="AX26" s="449">
        <v>-24</v>
      </c>
      <c r="AY26" s="563">
        <v>-7</v>
      </c>
      <c r="AZ26" s="563">
        <v>-14</v>
      </c>
      <c r="BA26" s="560">
        <v>-15</v>
      </c>
      <c r="BB26" s="563">
        <v>-26</v>
      </c>
      <c r="BC26" s="449">
        <v>-21</v>
      </c>
      <c r="BD26" s="449">
        <v>-1</v>
      </c>
      <c r="BE26" s="449">
        <v>-15</v>
      </c>
      <c r="BF26" s="564">
        <v>-42</v>
      </c>
      <c r="BG26" s="565">
        <v>-19</v>
      </c>
      <c r="BH26" s="566">
        <v>-9</v>
      </c>
      <c r="BI26" s="449">
        <v>-11</v>
      </c>
      <c r="BJ26" s="449">
        <v>-92</v>
      </c>
      <c r="BK26" s="449">
        <v>-25</v>
      </c>
      <c r="BL26" s="449">
        <v>-22</v>
      </c>
      <c r="BM26" s="449">
        <v>-46</v>
      </c>
      <c r="BN26" s="449">
        <v>-57</v>
      </c>
      <c r="BO26" s="564">
        <v>0</v>
      </c>
      <c r="BP26" s="449">
        <v>-8</v>
      </c>
      <c r="BQ26" s="449">
        <v>0</v>
      </c>
      <c r="BR26" s="449">
        <v>-34</v>
      </c>
      <c r="BS26" s="567">
        <v>-32</v>
      </c>
      <c r="BT26" s="561">
        <v>-43</v>
      </c>
      <c r="BU26" s="566">
        <v>-22</v>
      </c>
      <c r="BV26" s="449">
        <v>-501</v>
      </c>
      <c r="BW26" s="566">
        <v>-326</v>
      </c>
      <c r="BX26" s="566">
        <v>-114</v>
      </c>
      <c r="BY26" s="449">
        <v>-174</v>
      </c>
      <c r="BZ26" s="449">
        <v>-649</v>
      </c>
      <c r="CA26" s="449">
        <v>-375</v>
      </c>
      <c r="CB26" s="566">
        <v>-95</v>
      </c>
      <c r="CC26" s="565">
        <v>-408</v>
      </c>
      <c r="CD26" s="568">
        <v>-96</v>
      </c>
      <c r="CE26" s="564">
        <v>-7</v>
      </c>
      <c r="CF26" s="563">
        <v>-70</v>
      </c>
      <c r="CG26" s="449">
        <v>-350</v>
      </c>
      <c r="CH26" s="449">
        <v>-116</v>
      </c>
      <c r="CI26" s="449">
        <v>-36</v>
      </c>
      <c r="CJ26" s="449">
        <v>0</v>
      </c>
      <c r="CK26" s="449">
        <v>-497</v>
      </c>
      <c r="CL26" s="449">
        <v>-45</v>
      </c>
      <c r="CM26" s="449">
        <v>-165</v>
      </c>
      <c r="CN26" s="449">
        <v>-404</v>
      </c>
      <c r="CO26" s="449">
        <v>-93</v>
      </c>
      <c r="CP26" s="449">
        <v>-308</v>
      </c>
      <c r="CQ26" s="449">
        <v>-152</v>
      </c>
      <c r="CR26" s="449">
        <v>-145</v>
      </c>
      <c r="CS26" s="449">
        <v>-85</v>
      </c>
      <c r="CT26" s="449">
        <v>-360</v>
      </c>
      <c r="CU26" s="449">
        <v>-48</v>
      </c>
      <c r="CV26" s="449">
        <v>-118</v>
      </c>
      <c r="CW26" s="449">
        <v>-541</v>
      </c>
      <c r="CX26" s="449">
        <v>-394</v>
      </c>
      <c r="CY26" s="449">
        <v>-340</v>
      </c>
      <c r="CZ26" s="449">
        <v>-1</v>
      </c>
      <c r="DA26" s="449">
        <v>-1085</v>
      </c>
      <c r="DB26" s="449">
        <v>-553</v>
      </c>
      <c r="DC26" s="449">
        <v>-1014</v>
      </c>
      <c r="DD26" s="449">
        <v>-251</v>
      </c>
      <c r="DE26" s="449">
        <v>-58</v>
      </c>
      <c r="DF26" s="449">
        <v>0</v>
      </c>
      <c r="DG26" s="449">
        <v>-417</v>
      </c>
      <c r="DH26" s="449">
        <v>-1676</v>
      </c>
      <c r="DI26" s="449">
        <v>-99</v>
      </c>
      <c r="DJ26" s="449">
        <v>-397</v>
      </c>
      <c r="DK26" s="449">
        <v>0</v>
      </c>
      <c r="DL26" s="449">
        <v>-88</v>
      </c>
      <c r="DM26" s="449">
        <v>-212</v>
      </c>
      <c r="DN26" s="449">
        <v>-957</v>
      </c>
      <c r="DO26" s="449">
        <v>-121</v>
      </c>
      <c r="DP26" s="450">
        <v>-23010</v>
      </c>
    </row>
    <row r="27" spans="1:120" outlineLevel="1" x14ac:dyDescent="0.25">
      <c r="A27" s="627" t="s">
        <v>64</v>
      </c>
      <c r="D27" s="75">
        <f>D22-SUM(D23,D25:D26)</f>
        <v>26326</v>
      </c>
      <c r="M27" s="75"/>
      <c r="N27" s="75"/>
      <c r="O27" s="75"/>
      <c r="P27" s="75"/>
      <c r="Q27" s="75"/>
      <c r="R27" s="75"/>
      <c r="S27" s="75"/>
      <c r="T27" s="75"/>
      <c r="U27" s="75"/>
      <c r="V27" s="75"/>
      <c r="W27" s="75"/>
      <c r="Z27" s="75"/>
      <c r="AA27" s="75"/>
      <c r="AB27" s="75"/>
      <c r="AC27" s="75"/>
      <c r="AD27" s="75"/>
      <c r="AE27" s="75"/>
      <c r="AF27" s="75"/>
      <c r="AG27" s="75"/>
      <c r="AH27" s="75"/>
      <c r="AI27" s="75"/>
      <c r="AJ27" s="75"/>
      <c r="AK27" s="75"/>
      <c r="AL27" s="75"/>
      <c r="AM27" s="75"/>
      <c r="AN27" s="75"/>
      <c r="AO27" s="75"/>
      <c r="AP27" s="75"/>
      <c r="AQ27" s="75"/>
      <c r="AR27" s="75"/>
      <c r="AU27" s="75"/>
      <c r="AV27" s="75"/>
      <c r="AW27" s="75"/>
      <c r="AX27" s="75"/>
      <c r="BC27" s="75"/>
      <c r="BD27" s="75"/>
      <c r="BE27" s="75"/>
      <c r="BI27" s="75"/>
      <c r="BJ27" s="75"/>
      <c r="BK27" s="75"/>
      <c r="BL27" s="75"/>
      <c r="BM27" s="75"/>
      <c r="BN27" s="75"/>
      <c r="BP27" s="75"/>
      <c r="BQ27" s="75"/>
      <c r="BR27" s="75"/>
      <c r="BV27" s="75"/>
      <c r="BY27" s="75"/>
      <c r="BZ27" s="75"/>
      <c r="CA27" s="75"/>
      <c r="CG27" s="75"/>
      <c r="CH27" s="75"/>
      <c r="CI27" s="75"/>
      <c r="CJ27" s="75"/>
      <c r="CK27" s="75"/>
      <c r="CL27" s="75"/>
      <c r="CM27" s="75"/>
      <c r="CN27" s="75"/>
      <c r="CO27" s="75"/>
      <c r="CP27" s="75"/>
      <c r="CQ27" s="75"/>
      <c r="CR27" s="75"/>
      <c r="CS27" s="75"/>
      <c r="CT27" s="75"/>
      <c r="CU27" s="75"/>
      <c r="CV27" s="75"/>
      <c r="CW27" s="75"/>
      <c r="CX27" s="75"/>
      <c r="CY27" s="75"/>
      <c r="CZ27" s="75"/>
      <c r="DA27" s="75"/>
      <c r="DB27" s="75"/>
      <c r="DC27" s="75"/>
      <c r="DD27" s="75"/>
      <c r="DE27" s="75"/>
      <c r="DF27" s="75"/>
      <c r="DG27" s="75"/>
      <c r="DH27" s="75"/>
      <c r="DI27" s="75"/>
      <c r="DJ27" s="75"/>
      <c r="DK27" s="75"/>
      <c r="DL27" s="75"/>
      <c r="DM27" s="75"/>
      <c r="DN27" s="75"/>
      <c r="DO27" s="75"/>
      <c r="DP27" s="75"/>
    </row>
    <row r="28" spans="1:120" x14ac:dyDescent="0.25">
      <c r="D28" s="75">
        <f>D22-SUM(D23:D26)</f>
        <v>0</v>
      </c>
    </row>
    <row r="29" spans="1:120" s="191" customFormat="1" x14ac:dyDescent="0.25">
      <c r="C29" s="635" t="s">
        <v>325</v>
      </c>
      <c r="D29" s="95" t="str">
        <f t="array" ref="D29:F146">TRANSPOSE(C5:DP7)</f>
        <v>CI</v>
      </c>
      <c r="E29" s="95" t="str">
        <v>VA</v>
      </c>
      <c r="F29" s="95" t="str">
        <v>PROD_BRANCHE</v>
      </c>
      <c r="G29" s="95" t="str">
        <f t="array" ref="G29:K146">TRANSPOSE(C13:DP17)</f>
        <v>TrPF</v>
      </c>
      <c r="H29" s="628" t="str">
        <v>TrAg</v>
      </c>
      <c r="I29" s="628" t="str">
        <v>TrVR</v>
      </c>
      <c r="J29" s="628" t="str">
        <v>TrTOT</v>
      </c>
      <c r="K29" s="628" t="str">
        <v>PROD_PROD</v>
      </c>
      <c r="L29" s="95" t="str">
        <f t="array" ref="L29:O146">TRANSPOSE(C23:DP26)</f>
        <v>RS</v>
      </c>
      <c r="M29" s="95" t="str">
        <v>EBE</v>
      </c>
      <c r="N29" s="95" t="str">
        <v>IP</v>
      </c>
      <c r="O29" s="95" t="str">
        <v>SE</v>
      </c>
      <c r="P29" s="697" t="s">
        <v>897</v>
      </c>
      <c r="S29" s="634" t="s">
        <v>739</v>
      </c>
      <c r="T29" s="634" t="s">
        <v>739</v>
      </c>
      <c r="U29" s="634" t="s">
        <v>739</v>
      </c>
      <c r="V29" s="634" t="s">
        <v>739</v>
      </c>
      <c r="X29" s="276"/>
      <c r="Y29" s="276"/>
      <c r="AS29" s="276"/>
      <c r="AT29" s="276"/>
      <c r="AY29" s="276"/>
      <c r="AZ29" s="276"/>
      <c r="BA29" s="276"/>
      <c r="BB29" s="276"/>
      <c r="BF29" s="276"/>
      <c r="BG29" s="276"/>
      <c r="BH29" s="276"/>
      <c r="BO29" s="276"/>
      <c r="BS29" s="276"/>
      <c r="BT29" s="276"/>
      <c r="BU29" s="276"/>
      <c r="BW29" s="276"/>
      <c r="BX29" s="276"/>
      <c r="CB29" s="276"/>
      <c r="CC29" s="276"/>
      <c r="CD29" s="276"/>
      <c r="CE29" s="276"/>
      <c r="CF29" s="276"/>
    </row>
    <row r="30" spans="1:120" s="191" customFormat="1" x14ac:dyDescent="0.25">
      <c r="A30" s="191" t="str">
        <f>TRP!C127</f>
        <v xml:space="preserve">GA01 </v>
      </c>
      <c r="B30" s="509" t="str">
        <f>TRP!B127</f>
        <v>AGRICULTURE  CHASSE  SERVICES ANNEXES</v>
      </c>
      <c r="C30" s="636">
        <f>TRP!A127</f>
        <v>1</v>
      </c>
      <c r="D30" s="95">
        <v>40793</v>
      </c>
      <c r="E30" s="276">
        <v>28259</v>
      </c>
      <c r="F30" s="276">
        <v>69052</v>
      </c>
      <c r="G30" s="276">
        <v>1</v>
      </c>
      <c r="H30" s="276">
        <v>-8166</v>
      </c>
      <c r="I30" s="276">
        <v>106</v>
      </c>
      <c r="J30" s="276">
        <v>-8059</v>
      </c>
      <c r="K30" s="276">
        <v>60993</v>
      </c>
      <c r="L30" s="276">
        <v>7703</v>
      </c>
      <c r="M30" s="191">
        <v>26326</v>
      </c>
      <c r="N30" s="191">
        <v>1432</v>
      </c>
      <c r="O30" s="191">
        <v>-7202</v>
      </c>
      <c r="P30" s="191">
        <f>Emploi!D5</f>
        <v>353.31299999999999</v>
      </c>
      <c r="R30" s="697"/>
      <c r="S30" s="634">
        <f t="shared" ref="S30:S61" si="0">F30-SUM(D30:E30)</f>
        <v>0</v>
      </c>
      <c r="T30" s="634">
        <f t="shared" ref="T30:T61" si="1">SUM(F30:I30)-K30</f>
        <v>0</v>
      </c>
      <c r="U30" s="634">
        <f t="shared" ref="U30:U61" si="2">SUM(G30:I30)-J30</f>
        <v>0</v>
      </c>
      <c r="V30" s="634">
        <f t="shared" ref="V30:V61" si="3">SUM(L30:O30)-E30</f>
        <v>0</v>
      </c>
      <c r="X30" s="276"/>
      <c r="Y30" s="697"/>
      <c r="AS30" s="276"/>
      <c r="AT30" s="276"/>
      <c r="AY30" s="276"/>
      <c r="AZ30" s="276"/>
      <c r="BA30" s="276"/>
      <c r="BB30" s="276"/>
      <c r="BF30" s="276"/>
      <c r="BG30" s="276"/>
      <c r="BH30" s="276"/>
      <c r="BO30" s="276"/>
      <c r="BS30" s="276"/>
      <c r="BT30" s="276"/>
      <c r="BU30" s="276"/>
      <c r="BW30" s="276"/>
      <c r="BX30" s="276"/>
      <c r="CB30" s="276"/>
      <c r="CC30" s="276"/>
      <c r="CD30" s="276"/>
      <c r="CE30" s="276"/>
      <c r="CF30" s="276"/>
      <c r="DP30" s="276"/>
    </row>
    <row r="31" spans="1:120" s="191" customFormat="1" x14ac:dyDescent="0.25">
      <c r="A31" s="191" t="str">
        <f>TRP!C128</f>
        <v xml:space="preserve">GA02 </v>
      </c>
      <c r="B31" s="509" t="str">
        <f>TRP!B128</f>
        <v>PRODUITS SYLVICOLES</v>
      </c>
      <c r="C31" s="636">
        <f>TRP!A128</f>
        <v>1</v>
      </c>
      <c r="D31" s="95">
        <v>2659</v>
      </c>
      <c r="E31" s="276">
        <v>3652</v>
      </c>
      <c r="F31" s="276">
        <v>6311</v>
      </c>
      <c r="G31" s="276">
        <v>-9</v>
      </c>
      <c r="H31" s="276">
        <v>0</v>
      </c>
      <c r="I31" s="276">
        <v>165</v>
      </c>
      <c r="J31" s="276">
        <v>156</v>
      </c>
      <c r="K31" s="276">
        <v>6467</v>
      </c>
      <c r="L31" s="276">
        <v>744</v>
      </c>
      <c r="M31" s="191">
        <v>2981</v>
      </c>
      <c r="N31" s="191">
        <v>29</v>
      </c>
      <c r="O31" s="191">
        <v>-102</v>
      </c>
      <c r="P31" s="191">
        <f>Emploi!D6</f>
        <v>22.591999999999999</v>
      </c>
      <c r="R31" s="697"/>
      <c r="S31" s="634">
        <f t="shared" si="0"/>
        <v>0</v>
      </c>
      <c r="T31" s="634">
        <f t="shared" si="1"/>
        <v>0</v>
      </c>
      <c r="U31" s="634">
        <f t="shared" si="2"/>
        <v>0</v>
      </c>
      <c r="V31" s="634">
        <f t="shared" si="3"/>
        <v>0</v>
      </c>
      <c r="X31" s="276"/>
      <c r="Y31" s="276"/>
      <c r="AS31" s="276"/>
      <c r="AT31" s="276"/>
      <c r="AY31" s="276"/>
      <c r="AZ31" s="276"/>
      <c r="BA31" s="276"/>
      <c r="BB31" s="276"/>
      <c r="BF31" s="276"/>
      <c r="BG31" s="276"/>
      <c r="BH31" s="276"/>
      <c r="BO31" s="276"/>
      <c r="BS31" s="276"/>
      <c r="BT31" s="276"/>
      <c r="BU31" s="276"/>
      <c r="BW31" s="276"/>
      <c r="BX31" s="276"/>
      <c r="CB31" s="276"/>
      <c r="CC31" s="276"/>
      <c r="CD31" s="276"/>
      <c r="CE31" s="276"/>
      <c r="CF31" s="276"/>
      <c r="DP31" s="276"/>
    </row>
    <row r="32" spans="1:120" s="191" customFormat="1" x14ac:dyDescent="0.25">
      <c r="A32" s="191" t="str">
        <f>TRP!C129</f>
        <v xml:space="preserve">GA03 </v>
      </c>
      <c r="B32" s="509" t="str">
        <f>TRP!B129</f>
        <v>PRODUITS DE LA PECHE ET DE L AQUACULTURE</v>
      </c>
      <c r="C32" s="636">
        <f>TRP!A129</f>
        <v>1</v>
      </c>
      <c r="D32" s="276">
        <v>721</v>
      </c>
      <c r="E32" s="276">
        <v>1348</v>
      </c>
      <c r="F32" s="276">
        <v>2069</v>
      </c>
      <c r="G32" s="276">
        <v>0</v>
      </c>
      <c r="H32" s="276">
        <v>0</v>
      </c>
      <c r="I32" s="276">
        <v>2</v>
      </c>
      <c r="J32" s="276">
        <v>2</v>
      </c>
      <c r="K32" s="276">
        <v>2071</v>
      </c>
      <c r="L32" s="276">
        <v>444</v>
      </c>
      <c r="M32" s="191">
        <v>927</v>
      </c>
      <c r="N32" s="191">
        <v>14</v>
      </c>
      <c r="O32" s="191">
        <v>-37</v>
      </c>
      <c r="P32" s="191">
        <f>Emploi!D7</f>
        <v>14.284000000000001</v>
      </c>
      <c r="R32" s="697"/>
      <c r="S32" s="634">
        <f t="shared" si="0"/>
        <v>0</v>
      </c>
      <c r="T32" s="634">
        <f t="shared" si="1"/>
        <v>0</v>
      </c>
      <c r="U32" s="634">
        <f t="shared" si="2"/>
        <v>0</v>
      </c>
      <c r="V32" s="634">
        <f t="shared" si="3"/>
        <v>0</v>
      </c>
      <c r="X32" s="276"/>
      <c r="Y32" s="276"/>
      <c r="AS32" s="276"/>
      <c r="AT32" s="276"/>
      <c r="AY32" s="276"/>
      <c r="AZ32" s="276"/>
      <c r="BA32" s="276"/>
      <c r="BB32" s="276"/>
      <c r="BF32" s="276"/>
      <c r="BG32" s="276"/>
      <c r="BH32" s="276"/>
      <c r="BO32" s="276"/>
      <c r="BS32" s="276"/>
      <c r="BT32" s="276"/>
      <c r="BU32" s="276"/>
      <c r="BW32" s="276"/>
      <c r="BX32" s="276"/>
      <c r="CB32" s="276"/>
      <c r="CC32" s="276"/>
      <c r="CD32" s="276"/>
      <c r="CE32" s="276"/>
      <c r="CF32" s="276"/>
    </row>
    <row r="33" spans="1:84" s="191" customFormat="1" x14ac:dyDescent="0.25">
      <c r="A33" s="191" t="str">
        <f>TRP!C130</f>
        <v xml:space="preserve">GB01 </v>
      </c>
      <c r="B33" s="509" t="str">
        <f>TRP!B130</f>
        <v>INDUSTRIE DES VIANDES</v>
      </c>
      <c r="C33" s="636">
        <f>TRP!A130</f>
        <v>2</v>
      </c>
      <c r="D33" s="276">
        <v>23213</v>
      </c>
      <c r="E33" s="276">
        <v>6011</v>
      </c>
      <c r="F33" s="276">
        <v>29224</v>
      </c>
      <c r="G33" s="276">
        <v>102</v>
      </c>
      <c r="H33" s="276">
        <v>0</v>
      </c>
      <c r="I33" s="276">
        <v>2</v>
      </c>
      <c r="J33" s="276">
        <v>104</v>
      </c>
      <c r="K33" s="276">
        <v>29328</v>
      </c>
      <c r="L33" s="276">
        <v>4128</v>
      </c>
      <c r="M33" s="191">
        <v>1468</v>
      </c>
      <c r="N33" s="191">
        <v>439</v>
      </c>
      <c r="O33" s="191">
        <v>-24</v>
      </c>
      <c r="P33" s="191">
        <f>Emploi!D9</f>
        <v>132.74600000000001</v>
      </c>
      <c r="R33" s="697"/>
      <c r="S33" s="634">
        <f t="shared" si="0"/>
        <v>0</v>
      </c>
      <c r="T33" s="634">
        <f t="shared" si="1"/>
        <v>0</v>
      </c>
      <c r="U33" s="634">
        <f t="shared" si="2"/>
        <v>0</v>
      </c>
      <c r="V33" s="634">
        <f t="shared" si="3"/>
        <v>0</v>
      </c>
      <c r="X33" s="276"/>
      <c r="Y33" s="276"/>
      <c r="AS33" s="276"/>
      <c r="AT33" s="276"/>
      <c r="AY33" s="276"/>
      <c r="AZ33" s="276"/>
      <c r="BA33" s="276"/>
      <c r="BB33" s="276"/>
      <c r="BF33" s="276"/>
      <c r="BG33" s="276"/>
      <c r="BH33" s="276"/>
      <c r="BO33" s="276"/>
      <c r="BS33" s="276"/>
      <c r="BT33" s="276"/>
      <c r="BU33" s="276"/>
      <c r="BW33" s="276"/>
      <c r="BX33" s="276"/>
      <c r="CB33" s="276"/>
      <c r="CC33" s="276"/>
      <c r="CD33" s="276"/>
      <c r="CE33" s="276"/>
      <c r="CF33" s="276"/>
    </row>
    <row r="34" spans="1:84" s="191" customFormat="1" x14ac:dyDescent="0.25">
      <c r="A34" s="191" t="str">
        <f>TRP!C131</f>
        <v xml:space="preserve">GB02 </v>
      </c>
      <c r="B34" s="509" t="str">
        <f>TRP!B131</f>
        <v>INDUSTRIE DU LAIT</v>
      </c>
      <c r="C34" s="636">
        <f>TRP!A131</f>
        <v>2</v>
      </c>
      <c r="D34" s="276">
        <v>18484</v>
      </c>
      <c r="E34" s="276">
        <v>3072</v>
      </c>
      <c r="F34" s="276">
        <v>21556</v>
      </c>
      <c r="G34" s="276">
        <v>0</v>
      </c>
      <c r="H34" s="276">
        <v>0</v>
      </c>
      <c r="I34" s="276">
        <v>1</v>
      </c>
      <c r="J34" s="276">
        <v>1</v>
      </c>
      <c r="K34" s="276">
        <v>21557</v>
      </c>
      <c r="L34" s="276">
        <v>1897</v>
      </c>
      <c r="M34" s="191">
        <v>899</v>
      </c>
      <c r="N34" s="191">
        <v>324</v>
      </c>
      <c r="O34" s="191">
        <v>-48</v>
      </c>
      <c r="P34" s="191">
        <f>Emploi!D10</f>
        <v>48.65</v>
      </c>
      <c r="R34" s="697"/>
      <c r="S34" s="634">
        <f t="shared" si="0"/>
        <v>0</v>
      </c>
      <c r="T34" s="634">
        <f t="shared" si="1"/>
        <v>0</v>
      </c>
      <c r="U34" s="634">
        <f t="shared" si="2"/>
        <v>0</v>
      </c>
      <c r="V34" s="634">
        <f t="shared" si="3"/>
        <v>0</v>
      </c>
      <c r="X34" s="276"/>
      <c r="Y34" s="276"/>
      <c r="AS34" s="276"/>
      <c r="AT34" s="276"/>
      <c r="AY34" s="276"/>
      <c r="AZ34" s="276"/>
      <c r="BA34" s="276"/>
      <c r="BB34" s="276"/>
      <c r="BF34" s="276"/>
      <c r="BG34" s="276"/>
      <c r="BH34" s="276"/>
      <c r="BO34" s="276"/>
      <c r="BS34" s="276"/>
      <c r="BT34" s="276"/>
      <c r="BU34" s="276"/>
      <c r="BW34" s="276"/>
      <c r="BX34" s="276"/>
      <c r="CB34" s="276"/>
      <c r="CC34" s="276"/>
      <c r="CD34" s="276"/>
      <c r="CE34" s="276"/>
      <c r="CF34" s="276"/>
    </row>
    <row r="35" spans="1:84" s="191" customFormat="1" x14ac:dyDescent="0.25">
      <c r="A35" s="191" t="str">
        <f>TRP!C132</f>
        <v xml:space="preserve">GB03 </v>
      </c>
      <c r="B35" s="509" t="str">
        <f>TRP!B132</f>
        <v>INDUSTRIE DES BOISSONS</v>
      </c>
      <c r="C35" s="636">
        <f>TRP!A132</f>
        <v>2</v>
      </c>
      <c r="D35" s="276">
        <v>11701</v>
      </c>
      <c r="E35" s="276">
        <v>4124</v>
      </c>
      <c r="F35" s="276">
        <v>15825</v>
      </c>
      <c r="G35" s="276">
        <v>0</v>
      </c>
      <c r="H35" s="276">
        <v>8166</v>
      </c>
      <c r="I35" s="276">
        <v>3</v>
      </c>
      <c r="J35" s="276">
        <v>8169</v>
      </c>
      <c r="K35" s="276">
        <v>23994</v>
      </c>
      <c r="L35" s="276">
        <v>1879</v>
      </c>
      <c r="M35" s="276">
        <v>1953</v>
      </c>
      <c r="N35" s="276">
        <v>312</v>
      </c>
      <c r="O35" s="276">
        <v>-20</v>
      </c>
      <c r="P35" s="191">
        <f>Emploi!D12</f>
        <v>23.965</v>
      </c>
      <c r="R35" s="697"/>
      <c r="S35" s="634">
        <f t="shared" si="0"/>
        <v>0</v>
      </c>
      <c r="T35" s="634">
        <f t="shared" si="1"/>
        <v>0</v>
      </c>
      <c r="U35" s="634">
        <f t="shared" si="2"/>
        <v>0</v>
      </c>
      <c r="V35" s="634">
        <f t="shared" si="3"/>
        <v>0</v>
      </c>
      <c r="W35" s="276"/>
      <c r="X35" s="276"/>
      <c r="Y35" s="276"/>
      <c r="AS35" s="276"/>
      <c r="AT35" s="276"/>
      <c r="AY35" s="276"/>
      <c r="AZ35" s="276"/>
      <c r="BA35" s="276"/>
      <c r="BB35" s="276"/>
      <c r="BF35" s="276"/>
      <c r="BG35" s="276"/>
      <c r="BH35" s="276"/>
      <c r="BO35" s="276"/>
      <c r="BS35" s="276"/>
      <c r="BT35" s="276"/>
      <c r="BU35" s="276"/>
      <c r="BW35" s="276"/>
      <c r="BX35" s="276"/>
      <c r="CB35" s="276"/>
      <c r="CC35" s="276"/>
      <c r="CD35" s="276"/>
      <c r="CE35" s="276"/>
      <c r="CF35" s="276"/>
    </row>
    <row r="36" spans="1:84" s="191" customFormat="1" x14ac:dyDescent="0.25">
      <c r="A36" s="191" t="str">
        <f>TRP!C133</f>
        <v xml:space="preserve">GB04 </v>
      </c>
      <c r="B36" s="509" t="str">
        <f>TRP!B133</f>
        <v>TRAVAIL DU GRAIN: FABRICATION D ALIMENTS</v>
      </c>
      <c r="C36" s="636">
        <f>TRP!A133</f>
        <v>2</v>
      </c>
      <c r="D36" s="511">
        <v>10791</v>
      </c>
      <c r="E36" s="511">
        <v>2452</v>
      </c>
      <c r="F36" s="511">
        <v>13243</v>
      </c>
      <c r="G36" s="511">
        <v>0</v>
      </c>
      <c r="H36" s="511">
        <v>0</v>
      </c>
      <c r="I36" s="511">
        <v>0</v>
      </c>
      <c r="J36" s="511">
        <v>0</v>
      </c>
      <c r="K36" s="511">
        <v>13243</v>
      </c>
      <c r="L36" s="511">
        <v>1502</v>
      </c>
      <c r="M36" s="511">
        <v>791</v>
      </c>
      <c r="N36" s="511">
        <v>233</v>
      </c>
      <c r="O36" s="511">
        <v>-74</v>
      </c>
      <c r="P36" s="191">
        <f>Emploi!D13</f>
        <v>29.5</v>
      </c>
      <c r="R36" s="697"/>
      <c r="S36" s="634">
        <f t="shared" si="0"/>
        <v>0</v>
      </c>
      <c r="T36" s="634">
        <f t="shared" si="1"/>
        <v>0</v>
      </c>
      <c r="U36" s="634">
        <f t="shared" si="2"/>
        <v>0</v>
      </c>
      <c r="V36" s="634">
        <f t="shared" si="3"/>
        <v>0</v>
      </c>
      <c r="W36" s="511"/>
      <c r="X36" s="511"/>
      <c r="Y36" s="511"/>
    </row>
    <row r="37" spans="1:84" s="191" customFormat="1" x14ac:dyDescent="0.25">
      <c r="A37" s="191" t="str">
        <f>TRP!C134</f>
        <v xml:space="preserve">GB05 </v>
      </c>
      <c r="B37" s="509" t="str">
        <f>TRP!B134</f>
        <v>INDUSTRIES ALIMENTAIRES DIVERSES</v>
      </c>
      <c r="C37" s="636">
        <f>TRP!A134</f>
        <v>2</v>
      </c>
      <c r="D37" s="511">
        <v>28240</v>
      </c>
      <c r="E37" s="511">
        <v>12489</v>
      </c>
      <c r="F37" s="511">
        <v>40729</v>
      </c>
      <c r="G37" s="511">
        <v>0</v>
      </c>
      <c r="H37" s="511">
        <v>0</v>
      </c>
      <c r="I37" s="511">
        <v>0</v>
      </c>
      <c r="J37" s="511">
        <v>0</v>
      </c>
      <c r="K37" s="511">
        <v>40729</v>
      </c>
      <c r="L37" s="511">
        <v>7015</v>
      </c>
      <c r="M37" s="511">
        <v>4778</v>
      </c>
      <c r="N37" s="511">
        <v>741</v>
      </c>
      <c r="O37" s="511">
        <v>-45</v>
      </c>
      <c r="P37" s="191">
        <f>Emploi!D14</f>
        <v>247.029</v>
      </c>
      <c r="R37" s="697"/>
      <c r="S37" s="634">
        <f t="shared" si="0"/>
        <v>0</v>
      </c>
      <c r="T37" s="634">
        <f t="shared" si="1"/>
        <v>0</v>
      </c>
      <c r="U37" s="634">
        <f t="shared" si="2"/>
        <v>0</v>
      </c>
      <c r="V37" s="634">
        <f t="shared" si="3"/>
        <v>0</v>
      </c>
      <c r="W37" s="511"/>
      <c r="X37" s="511"/>
      <c r="Y37" s="511"/>
    </row>
    <row r="38" spans="1:84" s="191" customFormat="1" x14ac:dyDescent="0.25">
      <c r="A38" s="191" t="str">
        <f>TRP!C135</f>
        <v xml:space="preserve">GB06 </v>
      </c>
      <c r="B38" s="509" t="str">
        <f>TRP!B135</f>
        <v>INDUSTRIE DU TABAC</v>
      </c>
      <c r="C38" s="636">
        <f>TRP!A135</f>
        <v>2</v>
      </c>
      <c r="D38" s="511">
        <v>221</v>
      </c>
      <c r="E38" s="511">
        <v>544</v>
      </c>
      <c r="F38" s="511">
        <v>765</v>
      </c>
      <c r="G38" s="511">
        <v>0</v>
      </c>
      <c r="H38" s="511">
        <v>0</v>
      </c>
      <c r="I38" s="511">
        <v>0</v>
      </c>
      <c r="J38" s="511">
        <v>0</v>
      </c>
      <c r="K38" s="511">
        <v>765</v>
      </c>
      <c r="L38" s="511">
        <v>142</v>
      </c>
      <c r="M38" s="511">
        <v>343</v>
      </c>
      <c r="N38" s="511">
        <v>62</v>
      </c>
      <c r="O38" s="511">
        <v>-3</v>
      </c>
      <c r="P38" s="191">
        <f>Emploi!D15</f>
        <v>2.1760000000000002</v>
      </c>
      <c r="R38" s="697"/>
      <c r="S38" s="634">
        <f t="shared" si="0"/>
        <v>0</v>
      </c>
      <c r="T38" s="634">
        <f t="shared" si="1"/>
        <v>0</v>
      </c>
      <c r="U38" s="634">
        <f t="shared" si="2"/>
        <v>0</v>
      </c>
      <c r="V38" s="634">
        <f t="shared" si="3"/>
        <v>0</v>
      </c>
      <c r="W38" s="511"/>
      <c r="X38" s="511"/>
      <c r="Y38" s="511"/>
    </row>
    <row r="39" spans="1:84" s="191" customFormat="1" x14ac:dyDescent="0.25">
      <c r="A39" s="191" t="str">
        <f>TRP!C136</f>
        <v xml:space="preserve">GC11 </v>
      </c>
      <c r="B39" s="509" t="str">
        <f>TRP!B136</f>
        <v>INDUSTRIE DE L HABILLEMENT ET DES FOURRU</v>
      </c>
      <c r="C39" s="636">
        <f>TRP!A136</f>
        <v>12</v>
      </c>
      <c r="D39" s="511">
        <v>6674</v>
      </c>
      <c r="E39" s="511">
        <v>3148</v>
      </c>
      <c r="F39" s="511">
        <v>9822</v>
      </c>
      <c r="G39" s="511">
        <v>0</v>
      </c>
      <c r="H39" s="511">
        <v>0</v>
      </c>
      <c r="I39" s="511">
        <v>25</v>
      </c>
      <c r="J39" s="511">
        <v>25</v>
      </c>
      <c r="K39" s="511">
        <v>9847</v>
      </c>
      <c r="L39" s="511">
        <v>1848</v>
      </c>
      <c r="M39" s="511">
        <v>1189</v>
      </c>
      <c r="N39" s="511">
        <v>131</v>
      </c>
      <c r="O39" s="511">
        <v>-20</v>
      </c>
      <c r="P39" s="191">
        <f>Emploi!D17</f>
        <v>50.554000000000002</v>
      </c>
      <c r="R39" s="697"/>
      <c r="S39" s="634">
        <f t="shared" si="0"/>
        <v>0</v>
      </c>
      <c r="T39" s="634">
        <f t="shared" si="1"/>
        <v>0</v>
      </c>
      <c r="U39" s="634">
        <f t="shared" si="2"/>
        <v>0</v>
      </c>
      <c r="V39" s="634">
        <f t="shared" si="3"/>
        <v>0</v>
      </c>
      <c r="W39" s="511"/>
      <c r="X39" s="511"/>
      <c r="Y39" s="511"/>
    </row>
    <row r="40" spans="1:84" s="191" customFormat="1" x14ac:dyDescent="0.25">
      <c r="A40" s="191" t="str">
        <f>TRP!C137</f>
        <v xml:space="preserve">GC12 </v>
      </c>
      <c r="B40" s="509" t="str">
        <f>TRP!B137</f>
        <v>INDUSTRIE DU CUIR ET DE LA CHAUSSURE</v>
      </c>
      <c r="C40" s="636">
        <f>TRP!A137</f>
        <v>12</v>
      </c>
      <c r="D40" s="511">
        <v>2064</v>
      </c>
      <c r="E40" s="511">
        <v>1230</v>
      </c>
      <c r="F40" s="511">
        <v>3294</v>
      </c>
      <c r="G40" s="511">
        <v>0</v>
      </c>
      <c r="H40" s="511">
        <v>0</v>
      </c>
      <c r="I40" s="511">
        <v>0</v>
      </c>
      <c r="J40" s="511">
        <v>0</v>
      </c>
      <c r="K40" s="511">
        <v>3294</v>
      </c>
      <c r="L40" s="511">
        <v>832</v>
      </c>
      <c r="M40" s="511">
        <v>347</v>
      </c>
      <c r="N40" s="511">
        <v>60</v>
      </c>
      <c r="O40" s="511">
        <v>-9</v>
      </c>
      <c r="P40" s="191">
        <f>Emploi!D18</f>
        <v>28.084</v>
      </c>
      <c r="R40" s="697"/>
      <c r="S40" s="634">
        <f t="shared" si="0"/>
        <v>0</v>
      </c>
      <c r="T40" s="634">
        <f t="shared" si="1"/>
        <v>0</v>
      </c>
      <c r="U40" s="634">
        <f t="shared" si="2"/>
        <v>0</v>
      </c>
      <c r="V40" s="634">
        <f t="shared" si="3"/>
        <v>0</v>
      </c>
      <c r="W40" s="511"/>
      <c r="X40" s="511"/>
      <c r="Y40" s="511"/>
    </row>
    <row r="41" spans="1:84" s="191" customFormat="1" x14ac:dyDescent="0.25">
      <c r="A41" s="191" t="str">
        <f>TRP!C138</f>
        <v xml:space="preserve">GC20 </v>
      </c>
      <c r="B41" s="509" t="str">
        <f>TRP!B138</f>
        <v>EDITION  IMPRIMERIE  REPRODUCTION</v>
      </c>
      <c r="C41" s="636">
        <f>TRP!A138</f>
        <v>12</v>
      </c>
      <c r="D41" s="511">
        <v>19606</v>
      </c>
      <c r="E41" s="511">
        <v>11512</v>
      </c>
      <c r="F41" s="511">
        <v>31118</v>
      </c>
      <c r="G41" s="276">
        <v>-3974</v>
      </c>
      <c r="H41" s="511">
        <v>0</v>
      </c>
      <c r="I41" s="276">
        <v>1551</v>
      </c>
      <c r="J41" s="276">
        <v>-2423</v>
      </c>
      <c r="K41" s="276">
        <v>28695</v>
      </c>
      <c r="L41" s="276">
        <v>8498</v>
      </c>
      <c r="M41" s="511">
        <v>2601</v>
      </c>
      <c r="N41" s="511">
        <v>515</v>
      </c>
      <c r="O41" s="276">
        <v>-102</v>
      </c>
      <c r="P41" s="191">
        <f>Emploi!D20</f>
        <v>185.108</v>
      </c>
      <c r="R41" s="697"/>
      <c r="S41" s="634">
        <f t="shared" si="0"/>
        <v>0</v>
      </c>
      <c r="T41" s="634">
        <f t="shared" si="1"/>
        <v>0</v>
      </c>
      <c r="U41" s="634">
        <f t="shared" si="2"/>
        <v>0</v>
      </c>
      <c r="V41" s="634">
        <f t="shared" si="3"/>
        <v>0</v>
      </c>
      <c r="W41" s="276"/>
      <c r="X41" s="276"/>
      <c r="Y41" s="276"/>
    </row>
    <row r="42" spans="1:84" s="191" customFormat="1" x14ac:dyDescent="0.25">
      <c r="A42" s="191" t="str">
        <f>TRP!C139</f>
        <v xml:space="preserve">GC31 </v>
      </c>
      <c r="B42" s="509" t="str">
        <f>TRP!B139</f>
        <v>INDUSTRIE PHARMACEUTIQUE</v>
      </c>
      <c r="C42" s="636">
        <f>TRP!A139</f>
        <v>12</v>
      </c>
      <c r="D42" s="276">
        <v>26506</v>
      </c>
      <c r="E42" s="276">
        <v>9910</v>
      </c>
      <c r="F42" s="276">
        <v>36416</v>
      </c>
      <c r="G42" s="276">
        <v>0</v>
      </c>
      <c r="H42" s="276">
        <v>0</v>
      </c>
      <c r="I42" s="276">
        <v>1</v>
      </c>
      <c r="J42" s="276">
        <v>1</v>
      </c>
      <c r="K42" s="276">
        <v>36417</v>
      </c>
      <c r="L42" s="276">
        <v>4255</v>
      </c>
      <c r="M42" s="191">
        <v>5235</v>
      </c>
      <c r="N42" s="191">
        <v>519</v>
      </c>
      <c r="O42" s="191">
        <v>-99</v>
      </c>
      <c r="P42" s="191">
        <f>Emploi!D22</f>
        <v>48.085000000000001</v>
      </c>
      <c r="R42" s="697"/>
      <c r="S42" s="634">
        <f t="shared" si="0"/>
        <v>0</v>
      </c>
      <c r="T42" s="634">
        <f t="shared" si="1"/>
        <v>0</v>
      </c>
      <c r="U42" s="634">
        <f t="shared" si="2"/>
        <v>0</v>
      </c>
      <c r="V42" s="634">
        <f t="shared" si="3"/>
        <v>0</v>
      </c>
      <c r="X42" s="276"/>
      <c r="Y42" s="276"/>
      <c r="AS42" s="276"/>
      <c r="AT42" s="276"/>
      <c r="AY42" s="276"/>
      <c r="AZ42" s="276"/>
      <c r="BA42" s="276"/>
      <c r="BB42" s="276"/>
      <c r="BF42" s="276"/>
      <c r="BG42" s="276"/>
      <c r="BH42" s="276"/>
      <c r="BO42" s="276"/>
      <c r="BS42" s="276"/>
      <c r="BT42" s="276"/>
      <c r="BU42" s="276"/>
      <c r="BW42" s="276"/>
      <c r="BX42" s="276"/>
      <c r="CB42" s="276"/>
      <c r="CC42" s="276"/>
      <c r="CD42" s="276"/>
      <c r="CE42" s="276"/>
      <c r="CF42" s="276"/>
    </row>
    <row r="43" spans="1:84" s="191" customFormat="1" x14ac:dyDescent="0.25">
      <c r="A43" s="191" t="str">
        <f>TRP!C140</f>
        <v xml:space="preserve">GC32 </v>
      </c>
      <c r="B43" s="509" t="str">
        <f>TRP!B140</f>
        <v>FABRICATION DE SAVONS  DE PARFUM ET DE P</v>
      </c>
      <c r="C43" s="636">
        <f>TRP!A140</f>
        <v>12</v>
      </c>
      <c r="D43" s="276">
        <v>12582</v>
      </c>
      <c r="E43" s="276">
        <v>3589</v>
      </c>
      <c r="F43" s="276">
        <v>16171</v>
      </c>
      <c r="G43" s="276">
        <v>0</v>
      </c>
      <c r="H43" s="276">
        <v>0</v>
      </c>
      <c r="I43" s="276">
        <v>0</v>
      </c>
      <c r="J43" s="276">
        <v>0</v>
      </c>
      <c r="K43" s="276">
        <v>16171</v>
      </c>
      <c r="L43" s="276">
        <v>1982</v>
      </c>
      <c r="M43" s="191">
        <v>1408</v>
      </c>
      <c r="N43" s="191">
        <v>217</v>
      </c>
      <c r="O43" s="191">
        <v>-18</v>
      </c>
      <c r="P43" s="191">
        <f>Emploi!D23</f>
        <v>25.454999999999998</v>
      </c>
      <c r="R43" s="697"/>
      <c r="S43" s="634">
        <f t="shared" si="0"/>
        <v>0</v>
      </c>
      <c r="T43" s="634">
        <f t="shared" si="1"/>
        <v>0</v>
      </c>
      <c r="U43" s="634">
        <f t="shared" si="2"/>
        <v>0</v>
      </c>
      <c r="V43" s="634">
        <f t="shared" si="3"/>
        <v>0</v>
      </c>
      <c r="X43" s="276"/>
      <c r="Y43" s="276"/>
      <c r="AS43" s="276"/>
      <c r="AT43" s="276"/>
      <c r="AY43" s="276"/>
      <c r="AZ43" s="276"/>
      <c r="BA43" s="276"/>
      <c r="BB43" s="276"/>
      <c r="BF43" s="276"/>
      <c r="BG43" s="276"/>
      <c r="BH43" s="276"/>
      <c r="BO43" s="276"/>
      <c r="BS43" s="276"/>
      <c r="BT43" s="276"/>
      <c r="BU43" s="276"/>
      <c r="BW43" s="276"/>
      <c r="BX43" s="276"/>
      <c r="CB43" s="276"/>
      <c r="CC43" s="276"/>
      <c r="CD43" s="276"/>
      <c r="CE43" s="276"/>
      <c r="CF43" s="276"/>
    </row>
    <row r="44" spans="1:84" x14ac:dyDescent="0.25">
      <c r="A44" s="191" t="str">
        <f>TRP!C141</f>
        <v xml:space="preserve">GC41 </v>
      </c>
      <c r="B44" s="509" t="str">
        <f>TRP!B141</f>
        <v>FABRICATION DE MEUBLES</v>
      </c>
      <c r="C44" s="636">
        <f>TRP!A141</f>
        <v>12</v>
      </c>
      <c r="D44" s="75">
        <v>9027</v>
      </c>
      <c r="E44" s="75">
        <v>4151</v>
      </c>
      <c r="F44" s="75">
        <v>13178</v>
      </c>
      <c r="G44" s="75">
        <v>0</v>
      </c>
      <c r="H44" s="75">
        <v>0</v>
      </c>
      <c r="I44" s="75">
        <v>5</v>
      </c>
      <c r="J44" s="75">
        <v>5</v>
      </c>
      <c r="K44" s="75">
        <v>13183</v>
      </c>
      <c r="L44" s="75">
        <v>2968</v>
      </c>
      <c r="M44" s="73">
        <v>974</v>
      </c>
      <c r="N44" s="73">
        <v>234</v>
      </c>
      <c r="O44" s="73">
        <v>-25</v>
      </c>
      <c r="P44" s="191">
        <f>Emploi!D25</f>
        <v>91.64</v>
      </c>
      <c r="Q44" s="191"/>
      <c r="R44" s="697"/>
      <c r="S44" s="634">
        <f t="shared" si="0"/>
        <v>0</v>
      </c>
      <c r="T44" s="634">
        <f t="shared" si="1"/>
        <v>0</v>
      </c>
      <c r="U44" s="634">
        <f t="shared" si="2"/>
        <v>0</v>
      </c>
      <c r="V44" s="634">
        <f t="shared" si="3"/>
        <v>0</v>
      </c>
    </row>
    <row r="45" spans="1:84" x14ac:dyDescent="0.25">
      <c r="A45" s="191" t="str">
        <f>TRP!C142</f>
        <v xml:space="preserve">GC42 </v>
      </c>
      <c r="B45" s="509" t="str">
        <f>TRP!B142</f>
        <v xml:space="preserve">BIJOUTERIE ET FABRICATION D INSTRUMENTS </v>
      </c>
      <c r="C45" s="636">
        <f>TRP!A142</f>
        <v>12</v>
      </c>
      <c r="D45" s="75">
        <v>896</v>
      </c>
      <c r="E45" s="75">
        <v>718</v>
      </c>
      <c r="F45" s="75">
        <v>1614</v>
      </c>
      <c r="G45" s="75">
        <v>0</v>
      </c>
      <c r="H45" s="75">
        <v>0</v>
      </c>
      <c r="I45" s="75">
        <v>8</v>
      </c>
      <c r="J45" s="75">
        <v>8</v>
      </c>
      <c r="K45" s="75">
        <v>1622</v>
      </c>
      <c r="L45" s="75">
        <v>469</v>
      </c>
      <c r="M45" s="73">
        <v>224</v>
      </c>
      <c r="N45" s="73">
        <v>29</v>
      </c>
      <c r="O45" s="73">
        <v>-4</v>
      </c>
      <c r="P45" s="191">
        <f>Emploi!D26</f>
        <v>12.933</v>
      </c>
      <c r="Q45" s="191"/>
      <c r="R45" s="697"/>
      <c r="S45" s="634">
        <f t="shared" si="0"/>
        <v>0</v>
      </c>
      <c r="T45" s="634">
        <f t="shared" si="1"/>
        <v>0</v>
      </c>
      <c r="U45" s="634">
        <f t="shared" si="2"/>
        <v>0</v>
      </c>
      <c r="V45" s="634">
        <f t="shared" si="3"/>
        <v>0</v>
      </c>
    </row>
    <row r="46" spans="1:84" x14ac:dyDescent="0.25">
      <c r="A46" s="191" t="str">
        <f>TRP!C143</f>
        <v xml:space="preserve">GC43 </v>
      </c>
      <c r="B46" s="509" t="str">
        <f>TRP!B143</f>
        <v>FABRICATION D ARTICLES DE SPORTS  JEUX E</v>
      </c>
      <c r="C46" s="636">
        <f>TRP!A143</f>
        <v>12</v>
      </c>
      <c r="D46" s="75">
        <v>2891</v>
      </c>
      <c r="E46" s="75">
        <v>1230</v>
      </c>
      <c r="F46" s="75">
        <v>4121</v>
      </c>
      <c r="G46" s="75">
        <v>0</v>
      </c>
      <c r="H46" s="75">
        <v>0</v>
      </c>
      <c r="I46" s="75">
        <v>66</v>
      </c>
      <c r="J46" s="75">
        <v>66</v>
      </c>
      <c r="K46" s="75">
        <v>4187</v>
      </c>
      <c r="L46" s="75">
        <v>894</v>
      </c>
      <c r="M46" s="73">
        <v>263</v>
      </c>
      <c r="N46" s="73">
        <v>81</v>
      </c>
      <c r="O46" s="73">
        <v>-8</v>
      </c>
      <c r="P46" s="191">
        <f>Emploi!D27</f>
        <v>22.545999999999999</v>
      </c>
      <c r="Q46" s="191"/>
      <c r="R46" s="697"/>
      <c r="S46" s="634">
        <f t="shared" si="0"/>
        <v>0</v>
      </c>
      <c r="T46" s="634">
        <f t="shared" si="1"/>
        <v>0</v>
      </c>
      <c r="U46" s="634">
        <f t="shared" si="2"/>
        <v>0</v>
      </c>
      <c r="V46" s="634">
        <f t="shared" si="3"/>
        <v>0</v>
      </c>
    </row>
    <row r="47" spans="1:84" x14ac:dyDescent="0.25">
      <c r="A47" s="191" t="str">
        <f>TRP!C144</f>
        <v xml:space="preserve">GC44 </v>
      </c>
      <c r="B47" s="509" t="str">
        <f>TRP!B144</f>
        <v>FABRICATION D APPAREILS DOMESTIQUES</v>
      </c>
      <c r="C47" s="636">
        <f>TRP!A144</f>
        <v>12</v>
      </c>
      <c r="D47" s="75">
        <v>2030</v>
      </c>
      <c r="E47" s="75">
        <v>856</v>
      </c>
      <c r="F47" s="75">
        <v>2886</v>
      </c>
      <c r="G47" s="75">
        <v>0</v>
      </c>
      <c r="H47" s="75">
        <v>0</v>
      </c>
      <c r="I47" s="75">
        <v>0</v>
      </c>
      <c r="J47" s="75">
        <v>0</v>
      </c>
      <c r="K47" s="75">
        <v>2886</v>
      </c>
      <c r="L47" s="75">
        <v>647</v>
      </c>
      <c r="M47" s="73">
        <v>146</v>
      </c>
      <c r="N47" s="73">
        <v>68</v>
      </c>
      <c r="O47" s="73">
        <v>-5</v>
      </c>
      <c r="P47" s="191">
        <f>Emploi!D28</f>
        <v>13.885</v>
      </c>
      <c r="Q47" s="191"/>
      <c r="R47" s="697"/>
      <c r="S47" s="634">
        <f t="shared" si="0"/>
        <v>0</v>
      </c>
      <c r="T47" s="634">
        <f t="shared" si="1"/>
        <v>0</v>
      </c>
      <c r="U47" s="634">
        <f t="shared" si="2"/>
        <v>0</v>
      </c>
      <c r="V47" s="634">
        <f t="shared" si="3"/>
        <v>0</v>
      </c>
    </row>
    <row r="48" spans="1:84" x14ac:dyDescent="0.25">
      <c r="A48" s="191" t="str">
        <f>TRP!C145</f>
        <v xml:space="preserve">GC45 </v>
      </c>
      <c r="B48" s="509" t="str">
        <f>TRP!B145</f>
        <v>FABRICATION D APPAREILS DE RECEPTION  EN</v>
      </c>
      <c r="C48" s="636">
        <f>TRP!A145</f>
        <v>12</v>
      </c>
      <c r="D48" s="75">
        <v>1574</v>
      </c>
      <c r="E48" s="75">
        <v>167</v>
      </c>
      <c r="F48" s="75">
        <v>1741</v>
      </c>
      <c r="G48" s="75">
        <v>0</v>
      </c>
      <c r="H48" s="75">
        <v>0</v>
      </c>
      <c r="I48" s="75">
        <v>0</v>
      </c>
      <c r="J48" s="75">
        <v>0</v>
      </c>
      <c r="K48" s="75">
        <v>1741</v>
      </c>
      <c r="L48" s="75">
        <v>310</v>
      </c>
      <c r="M48" s="73">
        <v>-161</v>
      </c>
      <c r="N48" s="73">
        <v>25</v>
      </c>
      <c r="O48" s="73">
        <v>-7</v>
      </c>
      <c r="P48" s="191">
        <f>Emploi!D29</f>
        <v>11.855</v>
      </c>
      <c r="Q48" s="191"/>
      <c r="R48" s="697"/>
      <c r="S48" s="634">
        <f t="shared" si="0"/>
        <v>0</v>
      </c>
      <c r="T48" s="634">
        <f t="shared" si="1"/>
        <v>0</v>
      </c>
      <c r="U48" s="634">
        <f t="shared" si="2"/>
        <v>0</v>
      </c>
      <c r="V48" s="634">
        <f t="shared" si="3"/>
        <v>0</v>
      </c>
    </row>
    <row r="49" spans="1:22" x14ac:dyDescent="0.25">
      <c r="A49" s="191" t="str">
        <f>TRP!C146</f>
        <v xml:space="preserve">GC46 </v>
      </c>
      <c r="B49" s="509" t="str">
        <f>TRP!B146</f>
        <v>FABRICATION DE MATERIEL OPTIQUE ET PHOTO</v>
      </c>
      <c r="C49" s="636">
        <f>TRP!A146</f>
        <v>12</v>
      </c>
      <c r="D49" s="75">
        <v>1194</v>
      </c>
      <c r="E49" s="75">
        <v>827</v>
      </c>
      <c r="F49" s="75">
        <v>2021</v>
      </c>
      <c r="G49" s="75">
        <v>0</v>
      </c>
      <c r="H49" s="75">
        <v>0</v>
      </c>
      <c r="I49" s="75">
        <v>0</v>
      </c>
      <c r="J49" s="75">
        <v>0</v>
      </c>
      <c r="K49" s="75">
        <v>2021</v>
      </c>
      <c r="L49" s="75">
        <v>572</v>
      </c>
      <c r="M49" s="73">
        <v>223</v>
      </c>
      <c r="N49" s="73">
        <v>38</v>
      </c>
      <c r="O49" s="73">
        <v>-6</v>
      </c>
      <c r="P49" s="191">
        <f>Emploi!D30</f>
        <v>13.815</v>
      </c>
      <c r="Q49" s="191"/>
      <c r="R49" s="697"/>
      <c r="S49" s="634">
        <f t="shared" si="0"/>
        <v>0</v>
      </c>
      <c r="T49" s="634">
        <f t="shared" si="1"/>
        <v>0</v>
      </c>
      <c r="U49" s="634">
        <f t="shared" si="2"/>
        <v>0</v>
      </c>
      <c r="V49" s="634">
        <f t="shared" si="3"/>
        <v>0</v>
      </c>
    </row>
    <row r="50" spans="1:22" x14ac:dyDescent="0.25">
      <c r="A50" s="191" t="str">
        <f>TRP!C147</f>
        <v xml:space="preserve">GD01 </v>
      </c>
      <c r="B50" s="509" t="str">
        <f>TRP!B147</f>
        <v>CONSTRUCTION AUTOMOBILE</v>
      </c>
      <c r="C50" s="636">
        <f>TRP!A147</f>
        <v>103</v>
      </c>
      <c r="D50" s="75">
        <v>55564</v>
      </c>
      <c r="E50" s="75">
        <v>6869</v>
      </c>
      <c r="F50" s="75">
        <v>62433</v>
      </c>
      <c r="G50" s="75">
        <v>0</v>
      </c>
      <c r="H50" s="75">
        <v>0</v>
      </c>
      <c r="I50" s="75">
        <v>0</v>
      </c>
      <c r="J50" s="75">
        <v>0</v>
      </c>
      <c r="K50" s="75">
        <v>62433</v>
      </c>
      <c r="L50" s="75">
        <v>5124</v>
      </c>
      <c r="M50" s="73">
        <v>1275</v>
      </c>
      <c r="N50" s="73">
        <v>553</v>
      </c>
      <c r="O50" s="73">
        <v>-83</v>
      </c>
      <c r="P50" s="191">
        <f>Emploi!D32</f>
        <v>107.485</v>
      </c>
      <c r="Q50" s="191"/>
      <c r="R50" s="697"/>
      <c r="S50" s="634">
        <f t="shared" si="0"/>
        <v>0</v>
      </c>
      <c r="T50" s="634">
        <f t="shared" si="1"/>
        <v>0</v>
      </c>
      <c r="U50" s="634">
        <f t="shared" si="2"/>
        <v>0</v>
      </c>
      <c r="V50" s="634">
        <f t="shared" si="3"/>
        <v>0</v>
      </c>
    </row>
    <row r="51" spans="1:22" x14ac:dyDescent="0.25">
      <c r="A51" s="191" t="str">
        <f>TRP!C148</f>
        <v xml:space="preserve">GD02 </v>
      </c>
      <c r="B51" s="509" t="str">
        <f>TRP!B148</f>
        <v>FABRICATION D EQUIPEMENTS AUTOMOBILES</v>
      </c>
      <c r="C51" s="636">
        <f>TRP!A148</f>
        <v>103</v>
      </c>
      <c r="D51" s="75">
        <v>19795</v>
      </c>
      <c r="E51" s="75">
        <v>6312</v>
      </c>
      <c r="F51" s="75">
        <v>26107</v>
      </c>
      <c r="G51" s="75">
        <v>189</v>
      </c>
      <c r="H51" s="75">
        <v>0</v>
      </c>
      <c r="I51" s="75">
        <v>0</v>
      </c>
      <c r="J51" s="75">
        <v>189</v>
      </c>
      <c r="K51" s="75">
        <v>26296</v>
      </c>
      <c r="L51" s="75">
        <v>4594</v>
      </c>
      <c r="M51" s="73">
        <v>1255</v>
      </c>
      <c r="N51" s="73">
        <v>501</v>
      </c>
      <c r="O51" s="73">
        <v>-38</v>
      </c>
      <c r="P51" s="191">
        <f>Emploi!D33</f>
        <v>102.479</v>
      </c>
      <c r="Q51" s="191"/>
      <c r="R51" s="697"/>
      <c r="S51" s="634">
        <f t="shared" si="0"/>
        <v>0</v>
      </c>
      <c r="T51" s="634">
        <f t="shared" si="1"/>
        <v>0</v>
      </c>
      <c r="U51" s="634">
        <f t="shared" si="2"/>
        <v>0</v>
      </c>
      <c r="V51" s="634">
        <f t="shared" si="3"/>
        <v>0</v>
      </c>
    </row>
    <row r="52" spans="1:22" x14ac:dyDescent="0.25">
      <c r="A52" s="191" t="str">
        <f>TRP!C149</f>
        <v xml:space="preserve">GE11 </v>
      </c>
      <c r="B52" s="509" t="str">
        <f>TRP!B149</f>
        <v>CONSTRUCTION NAVALE</v>
      </c>
      <c r="C52" s="636">
        <f>TRP!A149</f>
        <v>12</v>
      </c>
      <c r="D52" s="75">
        <v>2579</v>
      </c>
      <c r="E52" s="75">
        <v>2075</v>
      </c>
      <c r="F52" s="75">
        <v>4654</v>
      </c>
      <c r="G52" s="75">
        <v>0</v>
      </c>
      <c r="H52" s="75">
        <v>0</v>
      </c>
      <c r="I52" s="75">
        <v>7</v>
      </c>
      <c r="J52" s="75">
        <v>7</v>
      </c>
      <c r="K52" s="75">
        <v>4661</v>
      </c>
      <c r="L52" s="75">
        <v>1410</v>
      </c>
      <c r="M52" s="73">
        <v>569</v>
      </c>
      <c r="N52" s="73">
        <v>112</v>
      </c>
      <c r="O52" s="73">
        <v>-16</v>
      </c>
      <c r="P52" s="191">
        <f>Emploi!D35</f>
        <v>30.154</v>
      </c>
      <c r="Q52" s="191"/>
      <c r="R52" s="697"/>
      <c r="S52" s="634">
        <f t="shared" si="0"/>
        <v>0</v>
      </c>
      <c r="T52" s="634">
        <f t="shared" si="1"/>
        <v>0</v>
      </c>
      <c r="U52" s="634">
        <f t="shared" si="2"/>
        <v>0</v>
      </c>
      <c r="V52" s="634">
        <f t="shared" si="3"/>
        <v>0</v>
      </c>
    </row>
    <row r="53" spans="1:22" x14ac:dyDescent="0.25">
      <c r="A53" s="191" t="str">
        <f>TRP!C150</f>
        <v xml:space="preserve">GE12 </v>
      </c>
      <c r="B53" s="509" t="str">
        <f>TRP!B150</f>
        <v>CONSTRUCTION DE MATERIEL FERROVIAIRE ROU</v>
      </c>
      <c r="C53" s="636">
        <f>TRP!A150</f>
        <v>12</v>
      </c>
      <c r="D53" s="75">
        <v>2543</v>
      </c>
      <c r="E53" s="75">
        <v>798</v>
      </c>
      <c r="F53" s="75">
        <v>3341</v>
      </c>
      <c r="G53" s="75">
        <v>0</v>
      </c>
      <c r="H53" s="75">
        <v>0</v>
      </c>
      <c r="I53" s="75">
        <v>0</v>
      </c>
      <c r="J53" s="75">
        <v>0</v>
      </c>
      <c r="K53" s="75">
        <v>3341</v>
      </c>
      <c r="L53" s="75">
        <v>647</v>
      </c>
      <c r="M53" s="73">
        <v>129</v>
      </c>
      <c r="N53" s="73">
        <v>30</v>
      </c>
      <c r="O53" s="73">
        <v>-8</v>
      </c>
      <c r="P53" s="191">
        <f>Emploi!D36</f>
        <v>12.608000000000001</v>
      </c>
      <c r="Q53" s="191"/>
      <c r="R53" s="697"/>
      <c r="S53" s="634">
        <f t="shared" si="0"/>
        <v>0</v>
      </c>
      <c r="T53" s="634">
        <f t="shared" si="1"/>
        <v>0</v>
      </c>
      <c r="U53" s="634">
        <f t="shared" si="2"/>
        <v>0</v>
      </c>
      <c r="V53" s="634">
        <f t="shared" si="3"/>
        <v>0</v>
      </c>
    </row>
    <row r="54" spans="1:22" x14ac:dyDescent="0.25">
      <c r="A54" s="191" t="str">
        <f>TRP!C151</f>
        <v xml:space="preserve">GE13 </v>
      </c>
      <c r="B54" s="509" t="str">
        <f>TRP!B151</f>
        <v>CONSTRUCTION AERONAUTIQUE ET SPATIALE</v>
      </c>
      <c r="C54" s="636">
        <f>TRP!A151</f>
        <v>12</v>
      </c>
      <c r="D54" s="75">
        <v>39413</v>
      </c>
      <c r="E54" s="75">
        <v>7801</v>
      </c>
      <c r="F54" s="75">
        <v>47214</v>
      </c>
      <c r="G54" s="75">
        <v>-727</v>
      </c>
      <c r="H54" s="75">
        <v>0</v>
      </c>
      <c r="I54" s="75">
        <v>0</v>
      </c>
      <c r="J54" s="75">
        <v>-727</v>
      </c>
      <c r="K54" s="75">
        <v>46487</v>
      </c>
      <c r="L54" s="75">
        <v>4518</v>
      </c>
      <c r="M54" s="73">
        <v>2854</v>
      </c>
      <c r="N54" s="73">
        <v>497</v>
      </c>
      <c r="O54" s="73">
        <v>-68</v>
      </c>
      <c r="P54" s="191">
        <f>Emploi!D37</f>
        <v>65.111000000000004</v>
      </c>
      <c r="Q54" s="191"/>
      <c r="R54" s="697"/>
      <c r="S54" s="634">
        <f t="shared" si="0"/>
        <v>0</v>
      </c>
      <c r="T54" s="634">
        <f t="shared" si="1"/>
        <v>0</v>
      </c>
      <c r="U54" s="634">
        <f t="shared" si="2"/>
        <v>0</v>
      </c>
      <c r="V54" s="634">
        <f t="shared" si="3"/>
        <v>0</v>
      </c>
    </row>
    <row r="55" spans="1:22" x14ac:dyDescent="0.25">
      <c r="A55" s="191" t="str">
        <f>TRP!C152</f>
        <v xml:space="preserve">GE14 </v>
      </c>
      <c r="B55" s="509" t="str">
        <f>TRP!B152</f>
        <v>FABRICATION DE CYCLES  MOTOCYCLES  MATERriel de transport non classé ailleurs</v>
      </c>
      <c r="C55" s="636" t="str">
        <f>TRP!A152</f>
        <v>112-3</v>
      </c>
      <c r="D55" s="75">
        <v>750</v>
      </c>
      <c r="E55" s="75">
        <v>266</v>
      </c>
      <c r="F55" s="75">
        <v>1016</v>
      </c>
      <c r="G55" s="75">
        <v>0</v>
      </c>
      <c r="H55" s="75">
        <v>0</v>
      </c>
      <c r="I55" s="75">
        <v>0</v>
      </c>
      <c r="J55" s="75">
        <v>0</v>
      </c>
      <c r="K55" s="75">
        <v>1016</v>
      </c>
      <c r="L55" s="75">
        <v>238</v>
      </c>
      <c r="M55" s="73">
        <v>6</v>
      </c>
      <c r="N55" s="73">
        <v>23</v>
      </c>
      <c r="O55" s="73">
        <v>-1</v>
      </c>
      <c r="P55" s="191">
        <f>Emploi!D38</f>
        <v>5.5979999999999999</v>
      </c>
      <c r="Q55" s="191"/>
      <c r="R55" s="697"/>
      <c r="S55" s="634">
        <f t="shared" si="0"/>
        <v>0</v>
      </c>
      <c r="T55" s="634">
        <f t="shared" si="1"/>
        <v>0</v>
      </c>
      <c r="U55" s="634">
        <f t="shared" si="2"/>
        <v>0</v>
      </c>
      <c r="V55" s="634">
        <f t="shared" si="3"/>
        <v>0</v>
      </c>
    </row>
    <row r="56" spans="1:22" x14ac:dyDescent="0.25">
      <c r="A56" s="191" t="str">
        <f>TRP!C153</f>
        <v xml:space="preserve">GE21 </v>
      </c>
      <c r="B56" s="509" t="str">
        <f>TRP!B153</f>
        <v xml:space="preserve">FABRICATION D ELEMENTS EN METAL POUR LA </v>
      </c>
      <c r="C56" s="636">
        <f>TRP!A153</f>
        <v>12</v>
      </c>
      <c r="D56" s="75">
        <v>6534</v>
      </c>
      <c r="E56" s="75">
        <v>2903</v>
      </c>
      <c r="F56" s="75">
        <v>9437</v>
      </c>
      <c r="G56" s="75">
        <v>0</v>
      </c>
      <c r="H56" s="75">
        <v>0</v>
      </c>
      <c r="I56" s="75">
        <v>0</v>
      </c>
      <c r="J56" s="75">
        <v>0</v>
      </c>
      <c r="K56" s="75">
        <v>9437</v>
      </c>
      <c r="L56" s="75">
        <v>2183</v>
      </c>
      <c r="M56" s="73">
        <v>589</v>
      </c>
      <c r="N56" s="73">
        <v>156</v>
      </c>
      <c r="O56" s="73">
        <v>-25</v>
      </c>
      <c r="P56" s="191">
        <f>Emploi!D40</f>
        <v>58.970999999999997</v>
      </c>
      <c r="Q56" s="191"/>
      <c r="R56" s="697"/>
      <c r="S56" s="634">
        <f t="shared" si="0"/>
        <v>0</v>
      </c>
      <c r="T56" s="634">
        <f t="shared" si="1"/>
        <v>0</v>
      </c>
      <c r="U56" s="634">
        <f t="shared" si="2"/>
        <v>0</v>
      </c>
      <c r="V56" s="634">
        <f t="shared" si="3"/>
        <v>0</v>
      </c>
    </row>
    <row r="57" spans="1:22" x14ac:dyDescent="0.25">
      <c r="A57" s="191" t="str">
        <f>TRP!C154</f>
        <v xml:space="preserve">GE22 </v>
      </c>
      <c r="B57" s="509" t="str">
        <f>TRP!B154</f>
        <v>CHAUDRONNERIE  FABRICATION DE RESERVOIRS</v>
      </c>
      <c r="C57" s="636">
        <f>TRP!A154</f>
        <v>12</v>
      </c>
      <c r="D57" s="75">
        <v>6352</v>
      </c>
      <c r="E57" s="75">
        <v>3950</v>
      </c>
      <c r="F57" s="75">
        <v>10302</v>
      </c>
      <c r="G57" s="75">
        <v>0</v>
      </c>
      <c r="H57" s="75">
        <v>0</v>
      </c>
      <c r="I57" s="75">
        <v>0</v>
      </c>
      <c r="J57" s="75">
        <v>0</v>
      </c>
      <c r="K57" s="75">
        <v>10302</v>
      </c>
      <c r="L57" s="75">
        <v>3205</v>
      </c>
      <c r="M57" s="73">
        <v>594</v>
      </c>
      <c r="N57" s="73">
        <v>179</v>
      </c>
      <c r="O57" s="73">
        <v>-28</v>
      </c>
      <c r="P57" s="191">
        <f>Emploi!D41</f>
        <v>80.200999999999993</v>
      </c>
      <c r="Q57" s="191"/>
      <c r="R57" s="697"/>
      <c r="S57" s="634">
        <f t="shared" si="0"/>
        <v>0</v>
      </c>
      <c r="T57" s="634">
        <f t="shared" si="1"/>
        <v>0</v>
      </c>
      <c r="U57" s="634">
        <f t="shared" si="2"/>
        <v>0</v>
      </c>
      <c r="V57" s="634">
        <f t="shared" si="3"/>
        <v>0</v>
      </c>
    </row>
    <row r="58" spans="1:22" x14ac:dyDescent="0.25">
      <c r="A58" s="191" t="str">
        <f>TRP!C155</f>
        <v xml:space="preserve">GE23 </v>
      </c>
      <c r="B58" s="509" t="str">
        <f>TRP!B155</f>
        <v>FABRICATION D EQUIPEMENTS MECANIQUES</v>
      </c>
      <c r="C58" s="636">
        <f>TRP!A155</f>
        <v>12</v>
      </c>
      <c r="D58" s="75">
        <v>9413</v>
      </c>
      <c r="E58" s="75">
        <v>4238</v>
      </c>
      <c r="F58" s="75">
        <v>13651</v>
      </c>
      <c r="G58" s="75">
        <v>0</v>
      </c>
      <c r="H58" s="75">
        <v>0</v>
      </c>
      <c r="I58" s="75">
        <v>44</v>
      </c>
      <c r="J58" s="75">
        <v>44</v>
      </c>
      <c r="K58" s="75">
        <v>13695</v>
      </c>
      <c r="L58" s="75">
        <v>3432</v>
      </c>
      <c r="M58" s="73">
        <v>526</v>
      </c>
      <c r="N58" s="73">
        <v>308</v>
      </c>
      <c r="O58" s="73">
        <v>-28</v>
      </c>
      <c r="P58" s="191">
        <f>Emploi!D42</f>
        <v>64.072999999999993</v>
      </c>
      <c r="Q58" s="191"/>
      <c r="R58" s="697"/>
      <c r="S58" s="634">
        <f t="shared" si="0"/>
        <v>0</v>
      </c>
      <c r="T58" s="634">
        <f t="shared" si="1"/>
        <v>0</v>
      </c>
      <c r="U58" s="634">
        <f t="shared" si="2"/>
        <v>0</v>
      </c>
      <c r="V58" s="634">
        <f t="shared" si="3"/>
        <v>0</v>
      </c>
    </row>
    <row r="59" spans="1:22" x14ac:dyDescent="0.25">
      <c r="A59" s="191" t="str">
        <f>TRP!C156</f>
        <v xml:space="preserve">GE24 </v>
      </c>
      <c r="B59" s="509" t="str">
        <f>TRP!B156</f>
        <v>FABRICATION DE MACHINES D USAGE GENERAL</v>
      </c>
      <c r="C59" s="636">
        <f>TRP!A156</f>
        <v>12</v>
      </c>
      <c r="D59" s="75">
        <v>13842</v>
      </c>
      <c r="E59" s="75">
        <v>7268</v>
      </c>
      <c r="F59" s="75">
        <v>21110</v>
      </c>
      <c r="G59" s="75">
        <v>0</v>
      </c>
      <c r="H59" s="75">
        <v>0</v>
      </c>
      <c r="I59" s="75">
        <v>0</v>
      </c>
      <c r="J59" s="75">
        <v>0</v>
      </c>
      <c r="K59" s="75">
        <v>21110</v>
      </c>
      <c r="L59" s="75">
        <v>5212</v>
      </c>
      <c r="M59" s="73">
        <v>1752</v>
      </c>
      <c r="N59" s="73">
        <v>347</v>
      </c>
      <c r="O59" s="73">
        <v>-43</v>
      </c>
      <c r="P59" s="191">
        <f>Emploi!D43</f>
        <v>109.467</v>
      </c>
      <c r="Q59" s="191"/>
      <c r="R59" s="697"/>
      <c r="S59" s="634">
        <f t="shared" si="0"/>
        <v>0</v>
      </c>
      <c r="T59" s="634">
        <f t="shared" si="1"/>
        <v>0</v>
      </c>
      <c r="U59" s="634">
        <f t="shared" si="2"/>
        <v>0</v>
      </c>
      <c r="V59" s="634">
        <f t="shared" si="3"/>
        <v>0</v>
      </c>
    </row>
    <row r="60" spans="1:22" x14ac:dyDescent="0.25">
      <c r="A60" s="191" t="str">
        <f>TRP!C157</f>
        <v xml:space="preserve">GE25 </v>
      </c>
      <c r="B60" s="509" t="str">
        <f>TRP!B157</f>
        <v>FABRICATION DE MACHINES AGRICOLES</v>
      </c>
      <c r="C60" s="636">
        <f>TRP!A157</f>
        <v>12</v>
      </c>
      <c r="D60" s="75">
        <v>3513</v>
      </c>
      <c r="E60" s="75">
        <v>1288</v>
      </c>
      <c r="F60" s="75">
        <v>4801</v>
      </c>
      <c r="G60" s="75">
        <v>0</v>
      </c>
      <c r="H60" s="75">
        <v>0</v>
      </c>
      <c r="I60" s="75">
        <v>0</v>
      </c>
      <c r="J60" s="75">
        <v>0</v>
      </c>
      <c r="K60" s="75">
        <v>4801</v>
      </c>
      <c r="L60" s="75">
        <v>939</v>
      </c>
      <c r="M60" s="73">
        <v>284</v>
      </c>
      <c r="N60" s="73">
        <v>74</v>
      </c>
      <c r="O60" s="73">
        <v>-9</v>
      </c>
      <c r="P60" s="191">
        <f>Emploi!D44</f>
        <v>27.067</v>
      </c>
      <c r="Q60" s="191"/>
      <c r="R60" s="697"/>
      <c r="S60" s="634">
        <f t="shared" si="0"/>
        <v>0</v>
      </c>
      <c r="T60" s="634">
        <f t="shared" si="1"/>
        <v>0</v>
      </c>
      <c r="U60" s="634">
        <f t="shared" si="2"/>
        <v>0</v>
      </c>
      <c r="V60" s="634">
        <f t="shared" si="3"/>
        <v>0</v>
      </c>
    </row>
    <row r="61" spans="1:22" x14ac:dyDescent="0.25">
      <c r="A61" s="191" t="str">
        <f>TRP!C158</f>
        <v xml:space="preserve">GE26 </v>
      </c>
      <c r="B61" s="509" t="str">
        <f>TRP!B158</f>
        <v>FABRICATION DE MACHINES OUTILS</v>
      </c>
      <c r="C61" s="636">
        <f>TRP!A158</f>
        <v>12</v>
      </c>
      <c r="D61" s="75">
        <v>1377</v>
      </c>
      <c r="E61" s="75">
        <v>819</v>
      </c>
      <c r="F61" s="75">
        <v>2196</v>
      </c>
      <c r="G61" s="75">
        <v>0</v>
      </c>
      <c r="H61" s="75">
        <v>0</v>
      </c>
      <c r="I61" s="75">
        <v>0</v>
      </c>
      <c r="J61" s="75">
        <v>0</v>
      </c>
      <c r="K61" s="75">
        <v>2196</v>
      </c>
      <c r="L61" s="75">
        <v>666</v>
      </c>
      <c r="M61" s="73">
        <v>115</v>
      </c>
      <c r="N61" s="73">
        <v>45</v>
      </c>
      <c r="O61" s="73">
        <v>-7</v>
      </c>
      <c r="P61" s="191">
        <f>Emploi!D45</f>
        <v>12.629</v>
      </c>
      <c r="Q61" s="191"/>
      <c r="R61" s="697"/>
      <c r="S61" s="634">
        <f t="shared" si="0"/>
        <v>0</v>
      </c>
      <c r="T61" s="634">
        <f t="shared" si="1"/>
        <v>0</v>
      </c>
      <c r="U61" s="634">
        <f t="shared" si="2"/>
        <v>0</v>
      </c>
      <c r="V61" s="634">
        <f t="shared" si="3"/>
        <v>0</v>
      </c>
    </row>
    <row r="62" spans="1:22" x14ac:dyDescent="0.25">
      <c r="A62" s="191" t="str">
        <f>TRP!C159</f>
        <v xml:space="preserve">GE27 </v>
      </c>
      <c r="B62" s="509" t="str">
        <f>TRP!B159</f>
        <v>FABRICATION D AUTRES MACHINES A USAGE SP</v>
      </c>
      <c r="C62" s="636">
        <f>TRP!A159</f>
        <v>12</v>
      </c>
      <c r="D62" s="75">
        <v>8743</v>
      </c>
      <c r="E62" s="75">
        <v>3675</v>
      </c>
      <c r="F62" s="75">
        <v>12418</v>
      </c>
      <c r="G62" s="75">
        <v>0</v>
      </c>
      <c r="H62" s="75">
        <v>0</v>
      </c>
      <c r="I62" s="75">
        <v>0</v>
      </c>
      <c r="J62" s="75">
        <v>0</v>
      </c>
      <c r="K62" s="75">
        <v>12418</v>
      </c>
      <c r="L62" s="75">
        <v>2873</v>
      </c>
      <c r="M62" s="73">
        <v>599</v>
      </c>
      <c r="N62" s="73">
        <v>226</v>
      </c>
      <c r="O62" s="73">
        <v>-23</v>
      </c>
      <c r="P62" s="191">
        <f>Emploi!D46</f>
        <v>56.076999999999998</v>
      </c>
      <c r="Q62" s="191"/>
      <c r="R62" s="697"/>
      <c r="S62" s="634">
        <f t="shared" ref="S62:S93" si="4">F62-SUM(D62:E62)</f>
        <v>0</v>
      </c>
      <c r="T62" s="634">
        <f t="shared" ref="T62:T93" si="5">SUM(F62:I62)-K62</f>
        <v>0</v>
      </c>
      <c r="U62" s="634">
        <f t="shared" ref="U62:U93" si="6">SUM(G62:I62)-J62</f>
        <v>0</v>
      </c>
      <c r="V62" s="634">
        <f t="shared" ref="V62:V93" si="7">SUM(L62:O62)-E62</f>
        <v>0</v>
      </c>
    </row>
    <row r="63" spans="1:22" x14ac:dyDescent="0.25">
      <c r="A63" s="191" t="str">
        <f>TRP!C160</f>
        <v xml:space="preserve">GE28 </v>
      </c>
      <c r="B63" s="509" t="str">
        <f>TRP!B160</f>
        <v>FABRICATION D ARMES ET MUNITIONS</v>
      </c>
      <c r="C63" s="636">
        <f>TRP!A160</f>
        <v>12</v>
      </c>
      <c r="D63" s="75">
        <v>2281</v>
      </c>
      <c r="E63" s="75">
        <v>741</v>
      </c>
      <c r="F63" s="75">
        <v>3022</v>
      </c>
      <c r="G63" s="75">
        <v>1331</v>
      </c>
      <c r="H63" s="75">
        <v>0</v>
      </c>
      <c r="I63" s="75">
        <v>0</v>
      </c>
      <c r="J63" s="75">
        <v>1331</v>
      </c>
      <c r="K63" s="75">
        <v>4353</v>
      </c>
      <c r="L63" s="75">
        <v>758</v>
      </c>
      <c r="M63" s="73">
        <v>-53</v>
      </c>
      <c r="N63" s="73">
        <v>52</v>
      </c>
      <c r="O63" s="73">
        <v>-16</v>
      </c>
      <c r="P63" s="191">
        <f>Emploi!D47</f>
        <v>15.015000000000001</v>
      </c>
      <c r="Q63" s="191"/>
      <c r="R63" s="697"/>
      <c r="S63" s="634">
        <f t="shared" si="4"/>
        <v>0</v>
      </c>
      <c r="T63" s="634">
        <f t="shared" si="5"/>
        <v>0</v>
      </c>
      <c r="U63" s="634">
        <f t="shared" si="6"/>
        <v>0</v>
      </c>
      <c r="V63" s="634">
        <f t="shared" si="7"/>
        <v>0</v>
      </c>
    </row>
    <row r="64" spans="1:22" x14ac:dyDescent="0.25">
      <c r="A64" s="191" t="str">
        <f>TRP!C161</f>
        <v xml:space="preserve">GE31 </v>
      </c>
      <c r="B64" s="509" t="str">
        <f>TRP!B161</f>
        <v>FABRICATION DE MACHINES DE BUREAU ET MAT</v>
      </c>
      <c r="C64" s="636">
        <f>TRP!A161</f>
        <v>12</v>
      </c>
      <c r="D64" s="75">
        <v>1773</v>
      </c>
      <c r="E64" s="75">
        <v>618</v>
      </c>
      <c r="F64" s="75">
        <v>2391</v>
      </c>
      <c r="G64" s="75">
        <v>0</v>
      </c>
      <c r="H64" s="75">
        <v>0</v>
      </c>
      <c r="I64" s="75">
        <v>0</v>
      </c>
      <c r="J64" s="75">
        <v>0</v>
      </c>
      <c r="K64" s="75">
        <v>2391</v>
      </c>
      <c r="L64" s="75">
        <v>307</v>
      </c>
      <c r="M64" s="73">
        <v>284</v>
      </c>
      <c r="N64" s="73">
        <v>32</v>
      </c>
      <c r="O64" s="73">
        <v>-5</v>
      </c>
      <c r="P64" s="191">
        <f>Emploi!D49</f>
        <v>7.5890000000000004</v>
      </c>
      <c r="Q64" s="191"/>
      <c r="R64" s="697"/>
      <c r="S64" s="634">
        <f t="shared" si="4"/>
        <v>0</v>
      </c>
      <c r="T64" s="634">
        <f t="shared" si="5"/>
        <v>0</v>
      </c>
      <c r="U64" s="634">
        <f t="shared" si="6"/>
        <v>0</v>
      </c>
      <c r="V64" s="634">
        <f t="shared" si="7"/>
        <v>0</v>
      </c>
    </row>
    <row r="65" spans="1:22" x14ac:dyDescent="0.25">
      <c r="A65" s="191" t="str">
        <f>TRP!C162</f>
        <v xml:space="preserve">GE32 </v>
      </c>
      <c r="B65" s="509" t="str">
        <f>TRP!B162</f>
        <v xml:space="preserve">FABRICATION DE MOTEURS  GENERATRICES ET </v>
      </c>
      <c r="C65" s="636">
        <f>TRP!A162</f>
        <v>12</v>
      </c>
      <c r="D65" s="75">
        <v>4181</v>
      </c>
      <c r="E65" s="75">
        <v>2091</v>
      </c>
      <c r="F65" s="75">
        <v>6272</v>
      </c>
      <c r="G65" s="75">
        <v>0</v>
      </c>
      <c r="H65" s="75">
        <v>0</v>
      </c>
      <c r="I65" s="75">
        <v>0</v>
      </c>
      <c r="J65" s="75">
        <v>0</v>
      </c>
      <c r="K65" s="75">
        <v>6272</v>
      </c>
      <c r="L65" s="75">
        <v>1566</v>
      </c>
      <c r="M65" s="73">
        <v>431</v>
      </c>
      <c r="N65" s="73">
        <v>114</v>
      </c>
      <c r="O65" s="73">
        <v>-20</v>
      </c>
      <c r="P65" s="191">
        <f>Emploi!D50</f>
        <v>35.185000000000002</v>
      </c>
      <c r="Q65" s="191"/>
      <c r="R65" s="697"/>
      <c r="S65" s="634">
        <f t="shared" si="4"/>
        <v>0</v>
      </c>
      <c r="T65" s="634">
        <f t="shared" si="5"/>
        <v>0</v>
      </c>
      <c r="U65" s="634">
        <f t="shared" si="6"/>
        <v>0</v>
      </c>
      <c r="V65" s="634">
        <f t="shared" si="7"/>
        <v>0</v>
      </c>
    </row>
    <row r="66" spans="1:22" x14ac:dyDescent="0.25">
      <c r="A66" s="191" t="str">
        <f>TRP!C163</f>
        <v xml:space="preserve">GE33 </v>
      </c>
      <c r="B66" s="509" t="str">
        <f>TRP!B163</f>
        <v>FABRICATION D APPAREILS D EMISSION ET DE</v>
      </c>
      <c r="C66" s="636">
        <f>TRP!A163</f>
        <v>12</v>
      </c>
      <c r="D66" s="75">
        <v>8137</v>
      </c>
      <c r="E66" s="75">
        <v>1677</v>
      </c>
      <c r="F66" s="75">
        <v>9814</v>
      </c>
      <c r="G66" s="75">
        <v>-141</v>
      </c>
      <c r="H66" s="75">
        <v>0</v>
      </c>
      <c r="I66" s="75">
        <v>0</v>
      </c>
      <c r="J66" s="75">
        <v>-141</v>
      </c>
      <c r="K66" s="75">
        <v>9673</v>
      </c>
      <c r="L66" s="75">
        <v>1720</v>
      </c>
      <c r="M66" s="73">
        <v>-120</v>
      </c>
      <c r="N66" s="73">
        <v>109</v>
      </c>
      <c r="O66" s="73">
        <v>-32</v>
      </c>
      <c r="P66" s="191">
        <f>Emploi!D51</f>
        <v>26.698</v>
      </c>
      <c r="Q66" s="191"/>
      <c r="R66" s="697"/>
      <c r="S66" s="634">
        <f t="shared" si="4"/>
        <v>0</v>
      </c>
      <c r="T66" s="634">
        <f t="shared" si="5"/>
        <v>0</v>
      </c>
      <c r="U66" s="634">
        <f t="shared" si="6"/>
        <v>0</v>
      </c>
      <c r="V66" s="634">
        <f t="shared" si="7"/>
        <v>0</v>
      </c>
    </row>
    <row r="67" spans="1:22" x14ac:dyDescent="0.25">
      <c r="A67" s="191" t="str">
        <f>TRP!C164</f>
        <v xml:space="preserve">GE34 </v>
      </c>
      <c r="B67" s="509" t="str">
        <f>TRP!B164</f>
        <v>FABRICATION DE MATERIEL MEDICO_CHIRURGIC</v>
      </c>
      <c r="C67" s="636">
        <f>TRP!A164</f>
        <v>12</v>
      </c>
      <c r="D67" s="75">
        <v>3216</v>
      </c>
      <c r="E67" s="75">
        <v>2526</v>
      </c>
      <c r="F67" s="75">
        <v>5742</v>
      </c>
      <c r="G67" s="75">
        <v>0</v>
      </c>
      <c r="H67" s="75">
        <v>0</v>
      </c>
      <c r="I67" s="75">
        <v>112</v>
      </c>
      <c r="J67" s="75">
        <v>112</v>
      </c>
      <c r="K67" s="75">
        <v>5854</v>
      </c>
      <c r="L67" s="75">
        <v>1605</v>
      </c>
      <c r="M67" s="73">
        <v>829</v>
      </c>
      <c r="N67" s="73">
        <v>105</v>
      </c>
      <c r="O67" s="73">
        <v>-13</v>
      </c>
      <c r="P67" s="191">
        <f>Emploi!D52</f>
        <v>39.393999999999998</v>
      </c>
      <c r="Q67" s="191"/>
      <c r="R67" s="697"/>
      <c r="S67" s="634">
        <f t="shared" si="4"/>
        <v>0</v>
      </c>
      <c r="T67" s="634">
        <f t="shared" si="5"/>
        <v>0</v>
      </c>
      <c r="U67" s="634">
        <f t="shared" si="6"/>
        <v>0</v>
      </c>
      <c r="V67" s="634">
        <f t="shared" si="7"/>
        <v>0</v>
      </c>
    </row>
    <row r="68" spans="1:22" x14ac:dyDescent="0.25">
      <c r="A68" s="191" t="str">
        <f>TRP!C165</f>
        <v xml:space="preserve">GE35 </v>
      </c>
      <c r="B68" s="509" t="str">
        <f>TRP!B165</f>
        <v xml:space="preserve">FABRICATION DE MATERIEL DE MESURE ET DE </v>
      </c>
      <c r="C68" s="636">
        <f>TRP!A165</f>
        <v>12</v>
      </c>
      <c r="D68" s="75">
        <v>8173</v>
      </c>
      <c r="E68" s="75">
        <v>4559</v>
      </c>
      <c r="F68" s="75">
        <v>12732</v>
      </c>
      <c r="G68" s="75">
        <v>-141</v>
      </c>
      <c r="H68" s="75">
        <v>0</v>
      </c>
      <c r="I68" s="75">
        <v>21</v>
      </c>
      <c r="J68" s="75">
        <v>-120</v>
      </c>
      <c r="K68" s="75">
        <v>12612</v>
      </c>
      <c r="L68" s="75">
        <v>3743</v>
      </c>
      <c r="M68" s="73">
        <v>675</v>
      </c>
      <c r="N68" s="73">
        <v>216</v>
      </c>
      <c r="O68" s="73">
        <v>-75</v>
      </c>
      <c r="P68" s="191">
        <f>Emploi!D53</f>
        <v>65.481999999999999</v>
      </c>
      <c r="Q68" s="191"/>
      <c r="R68" s="697"/>
      <c r="S68" s="634">
        <f t="shared" si="4"/>
        <v>0</v>
      </c>
      <c r="T68" s="634">
        <f t="shared" si="5"/>
        <v>0</v>
      </c>
      <c r="U68" s="634">
        <f t="shared" si="6"/>
        <v>0</v>
      </c>
      <c r="V68" s="634">
        <f t="shared" si="7"/>
        <v>0</v>
      </c>
    </row>
    <row r="69" spans="1:22" x14ac:dyDescent="0.25">
      <c r="A69" s="191" t="str">
        <f>TRP!C166</f>
        <v xml:space="preserve">GF11 </v>
      </c>
      <c r="B69" s="509" t="str">
        <f>TRP!B166</f>
        <v>EXTRACTION DE MINERAIS METALLIQUES</v>
      </c>
      <c r="C69" s="636">
        <f>TRP!A166</f>
        <v>12</v>
      </c>
      <c r="D69" s="75">
        <v>31</v>
      </c>
      <c r="E69" s="75">
        <v>-2</v>
      </c>
      <c r="F69" s="75">
        <v>29</v>
      </c>
      <c r="G69" s="75">
        <v>0</v>
      </c>
      <c r="H69" s="75">
        <v>0</v>
      </c>
      <c r="I69" s="75">
        <v>2</v>
      </c>
      <c r="J69" s="75">
        <v>2</v>
      </c>
      <c r="K69" s="75">
        <v>31</v>
      </c>
      <c r="L69" s="75">
        <v>23</v>
      </c>
      <c r="M69" s="73">
        <v>-25</v>
      </c>
      <c r="N69" s="73">
        <v>0</v>
      </c>
      <c r="O69" s="73">
        <v>0</v>
      </c>
      <c r="P69" s="191">
        <f>Emploi!D55</f>
        <v>0.497</v>
      </c>
      <c r="Q69" s="191"/>
      <c r="R69" s="697"/>
      <c r="S69" s="634">
        <f t="shared" si="4"/>
        <v>0</v>
      </c>
      <c r="T69" s="634">
        <f t="shared" si="5"/>
        <v>0</v>
      </c>
      <c r="U69" s="634">
        <f t="shared" si="6"/>
        <v>0</v>
      </c>
      <c r="V69" s="634">
        <f t="shared" si="7"/>
        <v>0</v>
      </c>
    </row>
    <row r="70" spans="1:22" x14ac:dyDescent="0.25">
      <c r="A70" s="191" t="str">
        <f>TRP!C167</f>
        <v xml:space="preserve">GF12 </v>
      </c>
      <c r="B70" s="509" t="str">
        <f>TRP!B167</f>
        <v>AUTRES INDUSTRIES EXTRACTIVES</v>
      </c>
      <c r="C70" s="636">
        <f>TRP!A167</f>
        <v>12</v>
      </c>
      <c r="D70" s="75">
        <v>3476</v>
      </c>
      <c r="E70" s="75">
        <v>2012</v>
      </c>
      <c r="F70" s="75">
        <v>5488</v>
      </c>
      <c r="G70" s="75">
        <v>6</v>
      </c>
      <c r="H70" s="75">
        <v>0</v>
      </c>
      <c r="I70" s="75">
        <v>0</v>
      </c>
      <c r="J70" s="75">
        <v>6</v>
      </c>
      <c r="K70" s="75">
        <v>5494</v>
      </c>
      <c r="L70" s="75">
        <v>1081</v>
      </c>
      <c r="M70" s="73">
        <v>764</v>
      </c>
      <c r="N70" s="73">
        <v>175</v>
      </c>
      <c r="O70" s="73">
        <v>-8</v>
      </c>
      <c r="P70" s="191">
        <f>Emploi!D56</f>
        <v>26.667999999999999</v>
      </c>
      <c r="Q70" s="191"/>
      <c r="R70" s="697"/>
      <c r="S70" s="634">
        <f t="shared" si="4"/>
        <v>0</v>
      </c>
      <c r="T70" s="634">
        <f t="shared" si="5"/>
        <v>0</v>
      </c>
      <c r="U70" s="634">
        <f t="shared" si="6"/>
        <v>0</v>
      </c>
      <c r="V70" s="634">
        <f t="shared" si="7"/>
        <v>0</v>
      </c>
    </row>
    <row r="71" spans="1:22" x14ac:dyDescent="0.25">
      <c r="A71" s="191" t="str">
        <f>TRP!C168</f>
        <v xml:space="preserve">GF13 </v>
      </c>
      <c r="B71" s="509" t="str">
        <f>TRP!B168</f>
        <v>FABRICATION DE VERRE ET D ARTICLES EN VE</v>
      </c>
      <c r="C71" s="636">
        <f>TRP!A168</f>
        <v>4</v>
      </c>
      <c r="D71" s="75">
        <v>4189</v>
      </c>
      <c r="E71" s="75">
        <v>2463</v>
      </c>
      <c r="F71" s="75">
        <v>6652</v>
      </c>
      <c r="G71" s="75">
        <v>102</v>
      </c>
      <c r="H71" s="75">
        <v>0</v>
      </c>
      <c r="I71" s="75">
        <v>0</v>
      </c>
      <c r="J71" s="75">
        <v>102</v>
      </c>
      <c r="K71" s="75">
        <v>6754</v>
      </c>
      <c r="L71" s="75">
        <v>1728</v>
      </c>
      <c r="M71" s="73">
        <v>557</v>
      </c>
      <c r="N71" s="73">
        <v>195</v>
      </c>
      <c r="O71" s="73">
        <v>-17</v>
      </c>
      <c r="P71" s="191">
        <f>Emploi!D57</f>
        <v>37.597000000000001</v>
      </c>
      <c r="Q71" s="191"/>
      <c r="R71" s="697"/>
      <c r="S71" s="634">
        <f t="shared" si="4"/>
        <v>0</v>
      </c>
      <c r="T71" s="634">
        <f t="shared" si="5"/>
        <v>0</v>
      </c>
      <c r="U71" s="634">
        <f t="shared" si="6"/>
        <v>0</v>
      </c>
      <c r="V71" s="634">
        <f t="shared" si="7"/>
        <v>0</v>
      </c>
    </row>
    <row r="72" spans="1:22" x14ac:dyDescent="0.25">
      <c r="A72" s="191" t="str">
        <f>TRP!C169</f>
        <v xml:space="preserve">GF14 </v>
      </c>
      <c r="B72" s="509" t="str">
        <f>TRP!B169</f>
        <v>FABRICATION DE PRODUITS CERAMIQUES ET DE</v>
      </c>
      <c r="C72" s="636">
        <f>TRP!A169</f>
        <v>5</v>
      </c>
      <c r="D72" s="75">
        <v>13183</v>
      </c>
      <c r="E72" s="75">
        <v>6438</v>
      </c>
      <c r="F72" s="75">
        <v>19621</v>
      </c>
      <c r="G72" s="75">
        <v>46</v>
      </c>
      <c r="H72" s="75">
        <v>0</v>
      </c>
      <c r="I72" s="75">
        <v>0</v>
      </c>
      <c r="J72" s="75">
        <v>46</v>
      </c>
      <c r="K72" s="75">
        <v>19667</v>
      </c>
      <c r="L72" s="75">
        <v>3761</v>
      </c>
      <c r="M72" s="73">
        <v>2204</v>
      </c>
      <c r="N72" s="73">
        <v>502</v>
      </c>
      <c r="O72" s="73">
        <v>-29</v>
      </c>
      <c r="P72" s="191">
        <f>Emploi!D58</f>
        <v>84.48</v>
      </c>
      <c r="Q72" s="191"/>
      <c r="R72" s="697"/>
      <c r="S72" s="634">
        <f t="shared" si="4"/>
        <v>0</v>
      </c>
      <c r="T72" s="634">
        <f t="shared" si="5"/>
        <v>0</v>
      </c>
      <c r="U72" s="634">
        <f t="shared" si="6"/>
        <v>0</v>
      </c>
      <c r="V72" s="634">
        <f t="shared" si="7"/>
        <v>0</v>
      </c>
    </row>
    <row r="73" spans="1:22" x14ac:dyDescent="0.25">
      <c r="A73" s="191" t="str">
        <f>TRP!C170</f>
        <v xml:space="preserve">GF21 </v>
      </c>
      <c r="B73" s="509" t="str">
        <f>TRP!B170</f>
        <v>FILATURE ET TISSAGE</v>
      </c>
      <c r="C73" s="636">
        <f>TRP!A170</f>
        <v>12</v>
      </c>
      <c r="D73" s="75">
        <v>3819</v>
      </c>
      <c r="E73" s="75">
        <v>1085</v>
      </c>
      <c r="F73" s="75">
        <v>4904</v>
      </c>
      <c r="G73" s="75">
        <v>268</v>
      </c>
      <c r="H73" s="75">
        <v>0</v>
      </c>
      <c r="I73" s="75">
        <v>0</v>
      </c>
      <c r="J73" s="75">
        <v>268</v>
      </c>
      <c r="K73" s="75">
        <v>5172</v>
      </c>
      <c r="L73" s="75">
        <v>981</v>
      </c>
      <c r="M73" s="73">
        <v>23</v>
      </c>
      <c r="N73" s="73">
        <v>102</v>
      </c>
      <c r="O73" s="73">
        <v>-21</v>
      </c>
      <c r="P73" s="191">
        <f>Emploi!D60</f>
        <v>23.879000000000001</v>
      </c>
      <c r="Q73" s="191"/>
      <c r="R73" s="697"/>
      <c r="S73" s="634">
        <f t="shared" si="4"/>
        <v>0</v>
      </c>
      <c r="T73" s="634">
        <f t="shared" si="5"/>
        <v>0</v>
      </c>
      <c r="U73" s="634">
        <f t="shared" si="6"/>
        <v>0</v>
      </c>
      <c r="V73" s="634">
        <f t="shared" si="7"/>
        <v>0</v>
      </c>
    </row>
    <row r="74" spans="1:22" x14ac:dyDescent="0.25">
      <c r="A74" s="191" t="str">
        <f>TRP!C171</f>
        <v xml:space="preserve">GF22 </v>
      </c>
      <c r="B74" s="509" t="str">
        <f>TRP!B171</f>
        <v>FABRICATION DE PRODUITS TEXTILES</v>
      </c>
      <c r="C74" s="636">
        <f>TRP!A171</f>
        <v>12</v>
      </c>
      <c r="D74" s="75">
        <v>3510</v>
      </c>
      <c r="E74" s="75">
        <v>1564</v>
      </c>
      <c r="F74" s="75">
        <v>5074</v>
      </c>
      <c r="G74" s="75">
        <v>0</v>
      </c>
      <c r="H74" s="75">
        <v>0</v>
      </c>
      <c r="I74" s="75">
        <v>44</v>
      </c>
      <c r="J74" s="75">
        <v>44</v>
      </c>
      <c r="K74" s="75">
        <v>5118</v>
      </c>
      <c r="L74" s="75">
        <v>1207</v>
      </c>
      <c r="M74" s="73">
        <v>263</v>
      </c>
      <c r="N74" s="73">
        <v>104</v>
      </c>
      <c r="O74" s="73">
        <v>-10</v>
      </c>
      <c r="P74" s="191">
        <f>Emploi!D61</f>
        <v>35.274000000000001</v>
      </c>
      <c r="Q74" s="191"/>
      <c r="R74" s="697"/>
      <c r="S74" s="634">
        <f t="shared" si="4"/>
        <v>0</v>
      </c>
      <c r="T74" s="634">
        <f t="shared" si="5"/>
        <v>0</v>
      </c>
      <c r="U74" s="634">
        <f t="shared" si="6"/>
        <v>0</v>
      </c>
      <c r="V74" s="634">
        <f t="shared" si="7"/>
        <v>0</v>
      </c>
    </row>
    <row r="75" spans="1:22" x14ac:dyDescent="0.25">
      <c r="A75" s="191" t="str">
        <f>TRP!C172</f>
        <v xml:space="preserve">GF23 </v>
      </c>
      <c r="B75" s="509" t="str">
        <f>TRP!B172</f>
        <v>FABRICATION D ETOFFES ET D ARTICLES A MA</v>
      </c>
      <c r="C75" s="636">
        <f>TRP!A172</f>
        <v>12</v>
      </c>
      <c r="D75" s="75">
        <v>904</v>
      </c>
      <c r="E75" s="75">
        <v>532</v>
      </c>
      <c r="F75" s="75">
        <v>1436</v>
      </c>
      <c r="G75" s="75">
        <v>0</v>
      </c>
      <c r="H75" s="75">
        <v>0</v>
      </c>
      <c r="I75" s="75">
        <v>0</v>
      </c>
      <c r="J75" s="75">
        <v>0</v>
      </c>
      <c r="K75" s="75">
        <v>1436</v>
      </c>
      <c r="L75" s="75">
        <v>423</v>
      </c>
      <c r="M75" s="73">
        <v>77</v>
      </c>
      <c r="N75" s="73">
        <v>35</v>
      </c>
      <c r="O75" s="73">
        <v>-3</v>
      </c>
      <c r="P75" s="191">
        <f>Emploi!D62</f>
        <v>12.923</v>
      </c>
      <c r="Q75" s="191"/>
      <c r="R75" s="697"/>
      <c r="S75" s="634">
        <f t="shared" si="4"/>
        <v>0</v>
      </c>
      <c r="T75" s="634">
        <f t="shared" si="5"/>
        <v>0</v>
      </c>
      <c r="U75" s="634">
        <f t="shared" si="6"/>
        <v>0</v>
      </c>
      <c r="V75" s="634">
        <f t="shared" si="7"/>
        <v>0</v>
      </c>
    </row>
    <row r="76" spans="1:22" x14ac:dyDescent="0.25">
      <c r="A76" s="191" t="str">
        <f>TRP!C173</f>
        <v xml:space="preserve">GF31 </v>
      </c>
      <c r="B76" s="509" t="str">
        <f>TRP!B173</f>
        <v>TRAVAIL DU BOIS ET FABRICATION D ARTICLE</v>
      </c>
      <c r="C76" s="636">
        <f>TRP!A173</f>
        <v>12</v>
      </c>
      <c r="D76" s="75">
        <v>8418</v>
      </c>
      <c r="E76" s="75">
        <v>3306</v>
      </c>
      <c r="F76" s="75">
        <v>11724</v>
      </c>
      <c r="G76" s="75">
        <v>103</v>
      </c>
      <c r="H76" s="75">
        <v>0</v>
      </c>
      <c r="I76" s="75">
        <v>44</v>
      </c>
      <c r="J76" s="75">
        <v>147</v>
      </c>
      <c r="K76" s="75">
        <v>11871</v>
      </c>
      <c r="L76" s="75">
        <v>2444</v>
      </c>
      <c r="M76" s="73">
        <v>649</v>
      </c>
      <c r="N76" s="73">
        <v>237</v>
      </c>
      <c r="O76" s="73">
        <v>-24</v>
      </c>
      <c r="P76" s="191">
        <f>Emploi!D64</f>
        <v>79.070999999999998</v>
      </c>
      <c r="Q76" s="191"/>
      <c r="R76" s="697"/>
      <c r="S76" s="634">
        <f t="shared" si="4"/>
        <v>0</v>
      </c>
      <c r="T76" s="634">
        <f t="shared" si="5"/>
        <v>0</v>
      </c>
      <c r="U76" s="634">
        <f t="shared" si="6"/>
        <v>0</v>
      </c>
      <c r="V76" s="634">
        <f t="shared" si="7"/>
        <v>0</v>
      </c>
    </row>
    <row r="77" spans="1:22" x14ac:dyDescent="0.25">
      <c r="A77" s="191" t="str">
        <f>TRP!C174</f>
        <v xml:space="preserve">GF32 </v>
      </c>
      <c r="B77" s="509" t="str">
        <f>TRP!B174</f>
        <v xml:space="preserve">FABRICATION DE PATE A PAPIER  DE PAPIER </v>
      </c>
      <c r="C77" s="636">
        <f>TRP!A174</f>
        <v>6</v>
      </c>
      <c r="D77" s="75">
        <v>7213</v>
      </c>
      <c r="E77" s="75">
        <v>1511</v>
      </c>
      <c r="F77" s="75">
        <v>8724</v>
      </c>
      <c r="G77" s="75">
        <v>652</v>
      </c>
      <c r="H77" s="75">
        <v>0</v>
      </c>
      <c r="I77" s="75">
        <v>0</v>
      </c>
      <c r="J77" s="75">
        <v>652</v>
      </c>
      <c r="K77" s="75">
        <v>9376</v>
      </c>
      <c r="L77" s="75">
        <v>1125</v>
      </c>
      <c r="M77" s="73">
        <v>203</v>
      </c>
      <c r="N77" s="73">
        <v>190</v>
      </c>
      <c r="O77" s="73">
        <v>-7</v>
      </c>
      <c r="P77" s="191">
        <f>Emploi!D65</f>
        <v>24.195</v>
      </c>
      <c r="Q77" s="191"/>
      <c r="R77" s="697"/>
      <c r="S77" s="634">
        <f t="shared" si="4"/>
        <v>0</v>
      </c>
      <c r="T77" s="634">
        <f t="shared" si="5"/>
        <v>0</v>
      </c>
      <c r="U77" s="634">
        <f t="shared" si="6"/>
        <v>0</v>
      </c>
      <c r="V77" s="634">
        <f t="shared" si="7"/>
        <v>0</v>
      </c>
    </row>
    <row r="78" spans="1:22" x14ac:dyDescent="0.25">
      <c r="A78" s="191" t="str">
        <f>TRP!C175</f>
        <v xml:space="preserve">GF33 </v>
      </c>
      <c r="B78" s="509" t="str">
        <f>TRP!B175</f>
        <v>FABRICATION D ARTICLES EN PAPIER ET EN C</v>
      </c>
      <c r="C78" s="636">
        <f>TRP!A175</f>
        <v>6</v>
      </c>
      <c r="D78" s="75">
        <v>7488</v>
      </c>
      <c r="E78" s="75">
        <v>3044</v>
      </c>
      <c r="F78" s="75">
        <v>10532</v>
      </c>
      <c r="G78" s="75">
        <v>0</v>
      </c>
      <c r="H78" s="75">
        <v>0</v>
      </c>
      <c r="I78" s="75">
        <v>0</v>
      </c>
      <c r="J78" s="75">
        <v>0</v>
      </c>
      <c r="K78" s="75">
        <v>10532</v>
      </c>
      <c r="L78" s="75">
        <v>2150</v>
      </c>
      <c r="M78" s="73">
        <v>652</v>
      </c>
      <c r="N78" s="73">
        <v>256</v>
      </c>
      <c r="O78" s="73">
        <v>-14</v>
      </c>
      <c r="P78" s="191">
        <f>Emploi!D66</f>
        <v>48.731999999999999</v>
      </c>
      <c r="Q78" s="191"/>
      <c r="R78" s="697"/>
      <c r="S78" s="634">
        <f t="shared" si="4"/>
        <v>0</v>
      </c>
      <c r="T78" s="634">
        <f t="shared" si="5"/>
        <v>0</v>
      </c>
      <c r="U78" s="634">
        <f t="shared" si="6"/>
        <v>0</v>
      </c>
      <c r="V78" s="634">
        <f t="shared" si="7"/>
        <v>0</v>
      </c>
    </row>
    <row r="79" spans="1:22" x14ac:dyDescent="0.25">
      <c r="A79" s="191" t="str">
        <f>TRP!C176</f>
        <v xml:space="preserve">GF41 </v>
      </c>
      <c r="B79" s="509" t="str">
        <f>TRP!B176</f>
        <v>INDUSTRIE CHIMIQUE MINERALE</v>
      </c>
      <c r="C79" s="636">
        <f>TRP!A176</f>
        <v>7</v>
      </c>
      <c r="D79" s="75">
        <v>5150</v>
      </c>
      <c r="E79" s="75">
        <v>825</v>
      </c>
      <c r="F79" s="75">
        <v>5975</v>
      </c>
      <c r="G79" s="75">
        <v>18</v>
      </c>
      <c r="H79" s="75">
        <v>0</v>
      </c>
      <c r="I79" s="75">
        <v>0</v>
      </c>
      <c r="J79" s="75">
        <v>18</v>
      </c>
      <c r="K79" s="75">
        <v>5993</v>
      </c>
      <c r="L79" s="75">
        <v>1054</v>
      </c>
      <c r="M79" s="73">
        <v>-362</v>
      </c>
      <c r="N79" s="73">
        <v>148</v>
      </c>
      <c r="O79" s="73">
        <v>-15</v>
      </c>
      <c r="P79" s="191">
        <f>Emploi!D68</f>
        <v>13.672000000000001</v>
      </c>
      <c r="Q79" s="191"/>
      <c r="R79" s="697"/>
      <c r="S79" s="634">
        <f t="shared" si="4"/>
        <v>0</v>
      </c>
      <c r="T79" s="634">
        <f t="shared" si="5"/>
        <v>0</v>
      </c>
      <c r="U79" s="634">
        <f t="shared" si="6"/>
        <v>0</v>
      </c>
      <c r="V79" s="634">
        <f t="shared" si="7"/>
        <v>0</v>
      </c>
    </row>
    <row r="80" spans="1:22" x14ac:dyDescent="0.25">
      <c r="A80" s="191" t="str">
        <f>TRP!C177</f>
        <v xml:space="preserve">GF42 </v>
      </c>
      <c r="B80" s="509" t="str">
        <f>TRP!B177</f>
        <v>INDUSTRIE CHIMIQUE ORGANIQUE</v>
      </c>
      <c r="C80" s="636">
        <f>TRP!A177</f>
        <v>8</v>
      </c>
      <c r="D80" s="75">
        <v>19416</v>
      </c>
      <c r="E80" s="75">
        <v>3852</v>
      </c>
      <c r="F80" s="75">
        <v>23268</v>
      </c>
      <c r="G80" s="75">
        <v>496</v>
      </c>
      <c r="H80" s="75">
        <v>0</v>
      </c>
      <c r="I80" s="75">
        <v>0</v>
      </c>
      <c r="J80" s="75">
        <v>496</v>
      </c>
      <c r="K80" s="75">
        <v>23764</v>
      </c>
      <c r="L80" s="75">
        <v>1763</v>
      </c>
      <c r="M80" s="73">
        <v>1625</v>
      </c>
      <c r="N80" s="73">
        <v>490</v>
      </c>
      <c r="O80" s="73">
        <v>-26</v>
      </c>
      <c r="P80" s="191">
        <f>Emploi!D69</f>
        <v>18.657</v>
      </c>
      <c r="Q80" s="191"/>
      <c r="R80" s="697"/>
      <c r="S80" s="634">
        <f t="shared" si="4"/>
        <v>0</v>
      </c>
      <c r="T80" s="634">
        <f t="shared" si="5"/>
        <v>0</v>
      </c>
      <c r="U80" s="634">
        <f t="shared" si="6"/>
        <v>0</v>
      </c>
      <c r="V80" s="634">
        <f t="shared" si="7"/>
        <v>0</v>
      </c>
    </row>
    <row r="81" spans="1:22" x14ac:dyDescent="0.25">
      <c r="A81" s="191" t="str">
        <f>TRP!C178</f>
        <v xml:space="preserve">GF43 </v>
      </c>
      <c r="B81" s="509" t="str">
        <f>TRP!B178</f>
        <v>PARACHIMIE</v>
      </c>
      <c r="C81" s="636">
        <f>TRP!A178</f>
        <v>12</v>
      </c>
      <c r="D81" s="75">
        <v>8590</v>
      </c>
      <c r="E81" s="75">
        <v>3617</v>
      </c>
      <c r="F81" s="75">
        <v>12207</v>
      </c>
      <c r="G81" s="75">
        <v>0</v>
      </c>
      <c r="H81" s="75">
        <v>0</v>
      </c>
      <c r="I81" s="75">
        <v>0</v>
      </c>
      <c r="J81" s="75">
        <v>0</v>
      </c>
      <c r="K81" s="75">
        <v>12207</v>
      </c>
      <c r="L81" s="75">
        <v>2311</v>
      </c>
      <c r="M81" s="73">
        <v>1069</v>
      </c>
      <c r="N81" s="73">
        <v>258</v>
      </c>
      <c r="O81" s="73">
        <v>-21</v>
      </c>
      <c r="P81" s="191">
        <f>Emploi!D70</f>
        <v>29.457000000000001</v>
      </c>
      <c r="Q81" s="191"/>
      <c r="R81" s="697"/>
      <c r="S81" s="634">
        <f t="shared" si="4"/>
        <v>0</v>
      </c>
      <c r="T81" s="634">
        <f t="shared" si="5"/>
        <v>0</v>
      </c>
      <c r="U81" s="634">
        <f t="shared" si="6"/>
        <v>0</v>
      </c>
      <c r="V81" s="634">
        <f t="shared" si="7"/>
        <v>0</v>
      </c>
    </row>
    <row r="82" spans="1:22" x14ac:dyDescent="0.25">
      <c r="A82" s="191" t="str">
        <f>TRP!C179</f>
        <v xml:space="preserve">GF44 </v>
      </c>
      <c r="B82" s="509" t="str">
        <f>TRP!B179</f>
        <v>FABRICATION DE FIBRES ARTIFICIELLES OU S</v>
      </c>
      <c r="C82" s="636">
        <f>TRP!A179</f>
        <v>12</v>
      </c>
      <c r="D82" s="75">
        <v>361</v>
      </c>
      <c r="E82" s="75">
        <v>64</v>
      </c>
      <c r="F82" s="75">
        <v>425</v>
      </c>
      <c r="G82" s="75">
        <v>0</v>
      </c>
      <c r="H82" s="75">
        <v>0</v>
      </c>
      <c r="I82" s="75">
        <v>0</v>
      </c>
      <c r="J82" s="75">
        <v>0</v>
      </c>
      <c r="K82" s="75">
        <v>425</v>
      </c>
      <c r="L82" s="75">
        <v>51</v>
      </c>
      <c r="M82" s="73">
        <v>5</v>
      </c>
      <c r="N82" s="73">
        <v>9</v>
      </c>
      <c r="O82" s="73">
        <v>-1</v>
      </c>
      <c r="P82" s="191">
        <f>Emploi!D71</f>
        <v>1.6990000000000001</v>
      </c>
      <c r="Q82" s="191"/>
      <c r="R82" s="697"/>
      <c r="S82" s="634">
        <f t="shared" si="4"/>
        <v>0</v>
      </c>
      <c r="T82" s="634">
        <f t="shared" si="5"/>
        <v>0</v>
      </c>
      <c r="U82" s="634">
        <f t="shared" si="6"/>
        <v>0</v>
      </c>
      <c r="V82" s="634">
        <f t="shared" si="7"/>
        <v>0</v>
      </c>
    </row>
    <row r="83" spans="1:22" x14ac:dyDescent="0.25">
      <c r="A83" s="191" t="str">
        <f>TRP!C180</f>
        <v xml:space="preserve">GF45 </v>
      </c>
      <c r="B83" s="509" t="str">
        <f>TRP!B180</f>
        <v>INDUSTRIE DU CAOUTCHOUC</v>
      </c>
      <c r="C83" s="636">
        <f>TRP!A180</f>
        <v>12</v>
      </c>
      <c r="D83" s="75">
        <v>6590</v>
      </c>
      <c r="E83" s="75">
        <v>3024</v>
      </c>
      <c r="F83" s="75">
        <v>9614</v>
      </c>
      <c r="G83" s="75">
        <v>0</v>
      </c>
      <c r="H83" s="75">
        <v>0</v>
      </c>
      <c r="I83" s="75">
        <v>0</v>
      </c>
      <c r="J83" s="75">
        <v>0</v>
      </c>
      <c r="K83" s="75">
        <v>9614</v>
      </c>
      <c r="L83" s="75">
        <v>2658</v>
      </c>
      <c r="M83" s="73">
        <v>120</v>
      </c>
      <c r="N83" s="73">
        <v>261</v>
      </c>
      <c r="O83" s="73">
        <v>-15</v>
      </c>
      <c r="P83" s="191">
        <f>Emploi!D72</f>
        <v>50.988</v>
      </c>
      <c r="Q83" s="191"/>
      <c r="R83" s="697"/>
      <c r="S83" s="634">
        <f t="shared" si="4"/>
        <v>0</v>
      </c>
      <c r="T83" s="634">
        <f t="shared" si="5"/>
        <v>0</v>
      </c>
      <c r="U83" s="634">
        <f t="shared" si="6"/>
        <v>0</v>
      </c>
      <c r="V83" s="634">
        <f t="shared" si="7"/>
        <v>0</v>
      </c>
    </row>
    <row r="84" spans="1:22" x14ac:dyDescent="0.25">
      <c r="A84" s="191" t="str">
        <f>TRP!C181</f>
        <v xml:space="preserve">GF46 </v>
      </c>
      <c r="B84" s="509" t="str">
        <f>TRP!B181</f>
        <v>TRANSFORMATION DES MATIERES PLASTIQUES</v>
      </c>
      <c r="C84" s="636">
        <f>TRP!A181</f>
        <v>9</v>
      </c>
      <c r="D84" s="75">
        <v>17661</v>
      </c>
      <c r="E84" s="75">
        <v>7508</v>
      </c>
      <c r="F84" s="75">
        <v>25169</v>
      </c>
      <c r="G84" s="75">
        <v>0</v>
      </c>
      <c r="H84" s="75">
        <v>0</v>
      </c>
      <c r="I84" s="75">
        <v>0</v>
      </c>
      <c r="J84" s="75">
        <v>0</v>
      </c>
      <c r="K84" s="75">
        <v>25169</v>
      </c>
      <c r="L84" s="75">
        <v>5672</v>
      </c>
      <c r="M84" s="73">
        <v>1299</v>
      </c>
      <c r="N84" s="73">
        <v>579</v>
      </c>
      <c r="O84" s="73">
        <v>-42</v>
      </c>
      <c r="P84" s="191">
        <f>Emploi!D73</f>
        <v>153.96899999999999</v>
      </c>
      <c r="Q84" s="191"/>
      <c r="R84" s="697"/>
      <c r="S84" s="634">
        <f t="shared" si="4"/>
        <v>0</v>
      </c>
      <c r="T84" s="634">
        <f t="shared" si="5"/>
        <v>0</v>
      </c>
      <c r="U84" s="634">
        <f t="shared" si="6"/>
        <v>0</v>
      </c>
      <c r="V84" s="634">
        <f t="shared" si="7"/>
        <v>0</v>
      </c>
    </row>
    <row r="85" spans="1:22" x14ac:dyDescent="0.25">
      <c r="A85" s="191" t="str">
        <f>TRP!C182</f>
        <v xml:space="preserve">GF51 </v>
      </c>
      <c r="B85" s="509" t="str">
        <f>TRP!B182</f>
        <v>SIDERURGIE ET PREMIERE TRANSFORMATION DE</v>
      </c>
      <c r="C85" s="636">
        <f>TRP!A182</f>
        <v>10</v>
      </c>
      <c r="D85" s="75">
        <v>19545</v>
      </c>
      <c r="E85" s="75">
        <v>4651</v>
      </c>
      <c r="F85" s="75">
        <v>24196</v>
      </c>
      <c r="G85" s="75">
        <v>3200</v>
      </c>
      <c r="H85" s="75">
        <v>0</v>
      </c>
      <c r="I85" s="75">
        <v>0</v>
      </c>
      <c r="J85" s="75">
        <v>3200</v>
      </c>
      <c r="K85" s="75">
        <v>27396</v>
      </c>
      <c r="L85" s="75">
        <v>2233</v>
      </c>
      <c r="M85" s="73">
        <v>2073</v>
      </c>
      <c r="N85" s="73">
        <v>364</v>
      </c>
      <c r="O85" s="73">
        <v>-19</v>
      </c>
      <c r="P85" s="191">
        <f>Emploi!D75</f>
        <v>37.598999999999997</v>
      </c>
      <c r="Q85" s="191"/>
      <c r="R85" s="697"/>
      <c r="S85" s="634">
        <f t="shared" si="4"/>
        <v>0</v>
      </c>
      <c r="T85" s="634">
        <f t="shared" si="5"/>
        <v>0</v>
      </c>
      <c r="U85" s="634">
        <f t="shared" si="6"/>
        <v>0</v>
      </c>
      <c r="V85" s="634">
        <f t="shared" si="7"/>
        <v>0</v>
      </c>
    </row>
    <row r="86" spans="1:22" x14ac:dyDescent="0.25">
      <c r="A86" s="191" t="str">
        <f>TRP!C183</f>
        <v xml:space="preserve">GF52 </v>
      </c>
      <c r="B86" s="509" t="str">
        <f>TRP!B183</f>
        <v>PRODUCTION DE METAUX NON FERREUX</v>
      </c>
      <c r="C86" s="636">
        <f>TRP!A183</f>
        <v>11</v>
      </c>
      <c r="D86" s="75">
        <v>9493</v>
      </c>
      <c r="E86" s="75">
        <v>2013</v>
      </c>
      <c r="F86" s="75">
        <v>11506</v>
      </c>
      <c r="G86" s="75">
        <v>1151</v>
      </c>
      <c r="H86" s="75">
        <v>0</v>
      </c>
      <c r="I86" s="75">
        <v>4</v>
      </c>
      <c r="J86" s="75">
        <v>1155</v>
      </c>
      <c r="K86" s="75">
        <v>12661</v>
      </c>
      <c r="L86" s="75">
        <v>905</v>
      </c>
      <c r="M86" s="73">
        <v>954</v>
      </c>
      <c r="N86" s="73">
        <v>163</v>
      </c>
      <c r="O86" s="73">
        <v>-9</v>
      </c>
      <c r="P86" s="191">
        <f>Emploi!D76</f>
        <v>14.268000000000001</v>
      </c>
      <c r="Q86" s="191"/>
      <c r="R86" s="697"/>
      <c r="S86" s="634">
        <f t="shared" si="4"/>
        <v>0</v>
      </c>
      <c r="T86" s="634">
        <f t="shared" si="5"/>
        <v>0</v>
      </c>
      <c r="U86" s="634">
        <f t="shared" si="6"/>
        <v>0</v>
      </c>
      <c r="V86" s="634">
        <f t="shared" si="7"/>
        <v>0</v>
      </c>
    </row>
    <row r="87" spans="1:22" x14ac:dyDescent="0.25">
      <c r="A87" s="191" t="str">
        <f>TRP!C184</f>
        <v xml:space="preserve">GF53 </v>
      </c>
      <c r="B87" s="509" t="str">
        <f>TRP!B184</f>
        <v>FONDERIE</v>
      </c>
      <c r="C87" s="636">
        <f>TRP!A184</f>
        <v>12</v>
      </c>
      <c r="D87" s="75">
        <v>3821</v>
      </c>
      <c r="E87" s="75">
        <v>1726</v>
      </c>
      <c r="F87" s="75">
        <v>5547</v>
      </c>
      <c r="G87" s="75">
        <v>0</v>
      </c>
      <c r="H87" s="75">
        <v>0</v>
      </c>
      <c r="I87" s="75">
        <v>0</v>
      </c>
      <c r="J87" s="75">
        <v>0</v>
      </c>
      <c r="K87" s="75">
        <v>5547</v>
      </c>
      <c r="L87" s="75">
        <v>1537</v>
      </c>
      <c r="M87" s="73">
        <v>70</v>
      </c>
      <c r="N87" s="73">
        <v>130</v>
      </c>
      <c r="O87" s="73">
        <v>-11</v>
      </c>
      <c r="P87" s="191">
        <f>Emploi!D77</f>
        <v>41.384999999999998</v>
      </c>
      <c r="Q87" s="191"/>
      <c r="R87" s="697"/>
      <c r="S87" s="634">
        <f t="shared" si="4"/>
        <v>0</v>
      </c>
      <c r="T87" s="634">
        <f t="shared" si="5"/>
        <v>0</v>
      </c>
      <c r="U87" s="634">
        <f t="shared" si="6"/>
        <v>0</v>
      </c>
      <c r="V87" s="634">
        <f t="shared" si="7"/>
        <v>0</v>
      </c>
    </row>
    <row r="88" spans="1:22" x14ac:dyDescent="0.25">
      <c r="A88" s="191" t="str">
        <f>TRP!C185</f>
        <v xml:space="preserve">GF54 </v>
      </c>
      <c r="B88" s="509" t="str">
        <f>TRP!B185</f>
        <v>SERVICES INDUSTRIELS DU TRAVAIL DES META</v>
      </c>
      <c r="C88" s="636">
        <f>TRP!A185</f>
        <v>12</v>
      </c>
      <c r="D88" s="75">
        <v>17128</v>
      </c>
      <c r="E88" s="75">
        <v>11642</v>
      </c>
      <c r="F88" s="75">
        <v>28770</v>
      </c>
      <c r="G88" s="75">
        <v>0</v>
      </c>
      <c r="H88" s="75">
        <v>0</v>
      </c>
      <c r="I88" s="75">
        <v>0</v>
      </c>
      <c r="J88" s="75">
        <v>0</v>
      </c>
      <c r="K88" s="75">
        <v>28770</v>
      </c>
      <c r="L88" s="75">
        <v>8670</v>
      </c>
      <c r="M88" s="73">
        <v>2366</v>
      </c>
      <c r="N88" s="73">
        <v>698</v>
      </c>
      <c r="O88" s="73">
        <v>-92</v>
      </c>
      <c r="P88" s="191">
        <f>Emploi!D78</f>
        <v>215.42099999999999</v>
      </c>
      <c r="Q88" s="191"/>
      <c r="R88" s="697"/>
      <c r="S88" s="634">
        <f t="shared" si="4"/>
        <v>0</v>
      </c>
      <c r="T88" s="634">
        <f t="shared" si="5"/>
        <v>0</v>
      </c>
      <c r="U88" s="634">
        <f t="shared" si="6"/>
        <v>0</v>
      </c>
      <c r="V88" s="634">
        <f t="shared" si="7"/>
        <v>0</v>
      </c>
    </row>
    <row r="89" spans="1:22" x14ac:dyDescent="0.25">
      <c r="A89" s="191" t="str">
        <f>TRP!C186</f>
        <v xml:space="preserve">GF55 </v>
      </c>
      <c r="B89" s="509" t="str">
        <f>TRP!B186</f>
        <v>FABRICATION DE PRODUITS METALLIQUES</v>
      </c>
      <c r="C89" s="636">
        <f>TRP!A186</f>
        <v>12</v>
      </c>
      <c r="D89" s="75">
        <v>8545</v>
      </c>
      <c r="E89" s="75">
        <v>4961</v>
      </c>
      <c r="F89" s="75">
        <v>13506</v>
      </c>
      <c r="G89" s="75">
        <v>0</v>
      </c>
      <c r="H89" s="75">
        <v>0</v>
      </c>
      <c r="I89" s="75">
        <v>0</v>
      </c>
      <c r="J89" s="75">
        <v>0</v>
      </c>
      <c r="K89" s="75">
        <v>13506</v>
      </c>
      <c r="L89" s="75">
        <v>3663</v>
      </c>
      <c r="M89" s="73">
        <v>988</v>
      </c>
      <c r="N89" s="73">
        <v>335</v>
      </c>
      <c r="O89" s="73">
        <v>-25</v>
      </c>
      <c r="P89" s="191">
        <f>Emploi!D79</f>
        <v>86.460999999999999</v>
      </c>
      <c r="Q89" s="191"/>
      <c r="R89" s="697"/>
      <c r="S89" s="634">
        <f t="shared" si="4"/>
        <v>0</v>
      </c>
      <c r="T89" s="634">
        <f t="shared" si="5"/>
        <v>0</v>
      </c>
      <c r="U89" s="634">
        <f t="shared" si="6"/>
        <v>0</v>
      </c>
      <c r="V89" s="634">
        <f t="shared" si="7"/>
        <v>0</v>
      </c>
    </row>
    <row r="90" spans="1:22" x14ac:dyDescent="0.25">
      <c r="A90" s="191" t="str">
        <f>TRP!C187</f>
        <v xml:space="preserve">GF56 </v>
      </c>
      <c r="B90" s="509" t="str">
        <f>TRP!B187</f>
        <v>RECUPERATION</v>
      </c>
      <c r="C90" s="636">
        <f>TRP!A187</f>
        <v>12</v>
      </c>
      <c r="D90" s="75">
        <v>4010</v>
      </c>
      <c r="E90" s="75">
        <v>2035</v>
      </c>
      <c r="F90" s="75">
        <v>6045</v>
      </c>
      <c r="G90" s="75">
        <v>-6045</v>
      </c>
      <c r="H90" s="75">
        <v>0</v>
      </c>
      <c r="I90" s="75">
        <v>0</v>
      </c>
      <c r="J90" s="75">
        <v>-6045</v>
      </c>
      <c r="K90" s="75">
        <v>0</v>
      </c>
      <c r="L90" s="75">
        <v>775</v>
      </c>
      <c r="M90" s="73">
        <v>1178</v>
      </c>
      <c r="N90" s="73">
        <v>104</v>
      </c>
      <c r="O90" s="73">
        <v>-22</v>
      </c>
      <c r="P90" s="191">
        <f>Emploi!D80</f>
        <v>26.324000000000002</v>
      </c>
      <c r="Q90" s="191"/>
      <c r="R90" s="697"/>
      <c r="S90" s="634">
        <f t="shared" si="4"/>
        <v>0</v>
      </c>
      <c r="T90" s="634">
        <f t="shared" si="5"/>
        <v>0</v>
      </c>
      <c r="U90" s="634">
        <f t="shared" si="6"/>
        <v>0</v>
      </c>
      <c r="V90" s="634">
        <f t="shared" si="7"/>
        <v>0</v>
      </c>
    </row>
    <row r="91" spans="1:22" x14ac:dyDescent="0.25">
      <c r="A91" s="191" t="str">
        <f>TRP!C188</f>
        <v xml:space="preserve">GF61 </v>
      </c>
      <c r="B91" s="509" t="str">
        <f>TRP!B188</f>
        <v>FABRICATION DE MATERIEL ELECTRIQUE</v>
      </c>
      <c r="C91" s="636">
        <f>TRP!A188</f>
        <v>12</v>
      </c>
      <c r="D91" s="75">
        <v>16623</v>
      </c>
      <c r="E91" s="75">
        <v>5842</v>
      </c>
      <c r="F91" s="75">
        <v>22465</v>
      </c>
      <c r="G91" s="75">
        <v>0</v>
      </c>
      <c r="H91" s="75">
        <v>0</v>
      </c>
      <c r="I91" s="75">
        <v>44</v>
      </c>
      <c r="J91" s="75">
        <v>44</v>
      </c>
      <c r="K91" s="75">
        <v>22509</v>
      </c>
      <c r="L91" s="75">
        <v>5183</v>
      </c>
      <c r="M91" s="73">
        <v>269</v>
      </c>
      <c r="N91" s="73">
        <v>436</v>
      </c>
      <c r="O91" s="73">
        <v>-46</v>
      </c>
      <c r="P91" s="191">
        <f>Emploi!D82</f>
        <v>97.492999999999995</v>
      </c>
      <c r="Q91" s="191"/>
      <c r="R91" s="697"/>
      <c r="S91" s="634">
        <f t="shared" si="4"/>
        <v>0</v>
      </c>
      <c r="T91" s="634">
        <f t="shared" si="5"/>
        <v>0</v>
      </c>
      <c r="U91" s="634">
        <f t="shared" si="6"/>
        <v>0</v>
      </c>
      <c r="V91" s="634">
        <f t="shared" si="7"/>
        <v>0</v>
      </c>
    </row>
    <row r="92" spans="1:22" x14ac:dyDescent="0.25">
      <c r="A92" s="191" t="str">
        <f>TRP!C189</f>
        <v xml:space="preserve">GF62 </v>
      </c>
      <c r="B92" s="509" t="str">
        <f>TRP!B189</f>
        <v>FABRICATION DE COMPOSANTS ELECTRONIQUES</v>
      </c>
      <c r="C92" s="636">
        <f>TRP!A189</f>
        <v>12</v>
      </c>
      <c r="D92" s="75">
        <v>7361</v>
      </c>
      <c r="E92" s="75">
        <v>3281</v>
      </c>
      <c r="F92" s="75">
        <v>10642</v>
      </c>
      <c r="G92" s="75">
        <v>-322</v>
      </c>
      <c r="H92" s="75">
        <v>0</v>
      </c>
      <c r="I92" s="75">
        <v>44</v>
      </c>
      <c r="J92" s="75">
        <v>-278</v>
      </c>
      <c r="K92" s="75">
        <v>10364</v>
      </c>
      <c r="L92" s="75">
        <v>2101</v>
      </c>
      <c r="M92" s="73">
        <v>964</v>
      </c>
      <c r="N92" s="73">
        <v>273</v>
      </c>
      <c r="O92" s="73">
        <v>-57</v>
      </c>
      <c r="P92" s="191">
        <f>Emploi!D83</f>
        <v>43.68</v>
      </c>
      <c r="Q92" s="191"/>
      <c r="R92" s="697"/>
      <c r="S92" s="634">
        <f t="shared" si="4"/>
        <v>0</v>
      </c>
      <c r="T92" s="634">
        <f t="shared" si="5"/>
        <v>0</v>
      </c>
      <c r="U92" s="634">
        <f t="shared" si="6"/>
        <v>0</v>
      </c>
      <c r="V92" s="634">
        <f t="shared" si="7"/>
        <v>0</v>
      </c>
    </row>
    <row r="93" spans="1:22" x14ac:dyDescent="0.25">
      <c r="A93" s="191" t="str">
        <f>TRP!C190</f>
        <v xml:space="preserve">GG11 </v>
      </c>
      <c r="B93" s="509" t="str">
        <f>TRP!B190</f>
        <v>EXTRACTION ET AGGLOMERATION DE LA HOUILL</v>
      </c>
      <c r="C93" s="636">
        <f>TRP!A190</f>
        <v>21</v>
      </c>
      <c r="D93" s="75">
        <v>35</v>
      </c>
      <c r="E93" s="75">
        <v>0</v>
      </c>
      <c r="F93" s="75">
        <v>35</v>
      </c>
      <c r="G93" s="75">
        <v>0</v>
      </c>
      <c r="H93" s="75">
        <v>0</v>
      </c>
      <c r="I93" s="75">
        <v>96</v>
      </c>
      <c r="J93" s="75">
        <v>96</v>
      </c>
      <c r="K93" s="75">
        <v>131</v>
      </c>
      <c r="L93" s="75">
        <v>21</v>
      </c>
      <c r="M93" s="73">
        <v>-22</v>
      </c>
      <c r="N93" s="73">
        <v>1</v>
      </c>
      <c r="O93" s="73">
        <v>0</v>
      </c>
      <c r="P93" s="191">
        <f>Emploi!D85</f>
        <v>0.59899999999999998</v>
      </c>
      <c r="Q93" s="191"/>
      <c r="R93" s="697"/>
      <c r="S93" s="634">
        <f t="shared" si="4"/>
        <v>0</v>
      </c>
      <c r="T93" s="634">
        <f t="shared" si="5"/>
        <v>0</v>
      </c>
      <c r="U93" s="634">
        <f t="shared" si="6"/>
        <v>0</v>
      </c>
      <c r="V93" s="634">
        <f t="shared" si="7"/>
        <v>0</v>
      </c>
    </row>
    <row r="94" spans="1:22" x14ac:dyDescent="0.25">
      <c r="A94" s="191" t="str">
        <f>TRP!C191</f>
        <v xml:space="preserve">GG12 </v>
      </c>
      <c r="B94" s="509" t="str">
        <f>TRP!B191</f>
        <v>EXTRACTION D HYDROCARBURES  SERVICES ANN</v>
      </c>
      <c r="C94" s="636" t="str">
        <f>TRP!A191</f>
        <v>122-24</v>
      </c>
      <c r="D94" s="75">
        <v>201</v>
      </c>
      <c r="E94" s="75">
        <v>401</v>
      </c>
      <c r="F94" s="75">
        <v>602</v>
      </c>
      <c r="G94" s="75">
        <v>-40</v>
      </c>
      <c r="H94" s="75">
        <v>0</v>
      </c>
      <c r="I94" s="75">
        <v>0</v>
      </c>
      <c r="J94" s="75">
        <v>-40</v>
      </c>
      <c r="K94" s="75">
        <v>562</v>
      </c>
      <c r="L94" s="75">
        <v>91</v>
      </c>
      <c r="M94" s="73">
        <v>316</v>
      </c>
      <c r="N94" s="73">
        <v>2</v>
      </c>
      <c r="O94" s="73">
        <v>-8</v>
      </c>
      <c r="P94" s="191">
        <f>Emploi!D86</f>
        <v>1.9510000000000001</v>
      </c>
      <c r="Q94" s="191"/>
      <c r="R94" s="697"/>
      <c r="S94" s="634">
        <f t="shared" ref="S94:S125" si="8">F94-SUM(D94:E94)</f>
        <v>0</v>
      </c>
      <c r="T94" s="634">
        <f t="shared" ref="T94:T125" si="9">SUM(F94:I94)-K94</f>
        <v>0</v>
      </c>
      <c r="U94" s="634">
        <f t="shared" ref="U94:U125" si="10">SUM(G94:I94)-J94</f>
        <v>0</v>
      </c>
      <c r="V94" s="634">
        <f t="shared" ref="V94:V125" si="11">SUM(L94:O94)-E94</f>
        <v>0</v>
      </c>
    </row>
    <row r="95" spans="1:22" x14ac:dyDescent="0.25">
      <c r="A95" s="191" t="str">
        <f>TRP!C192</f>
        <v xml:space="preserve">GG13 </v>
      </c>
      <c r="B95" s="509" t="str">
        <f>TRP!B192</f>
        <v>EXTRACTION DE MINERAIS D URANIUM</v>
      </c>
      <c r="C95" s="636">
        <f>TRP!A192</f>
        <v>12</v>
      </c>
      <c r="D95" s="75">
        <v>2</v>
      </c>
      <c r="E95" s="75">
        <v>-2</v>
      </c>
      <c r="F95" s="75">
        <v>0</v>
      </c>
      <c r="G95" s="75">
        <v>0</v>
      </c>
      <c r="H95" s="75">
        <v>0</v>
      </c>
      <c r="I95" s="75">
        <v>0</v>
      </c>
      <c r="J95" s="75">
        <v>0</v>
      </c>
      <c r="K95" s="75">
        <v>0</v>
      </c>
      <c r="L95" s="75">
        <v>0</v>
      </c>
      <c r="M95" s="73">
        <v>-2</v>
      </c>
      <c r="N95" s="73">
        <v>0</v>
      </c>
      <c r="O95" s="73">
        <v>0</v>
      </c>
      <c r="P95" s="191">
        <f>Emploi!D87</f>
        <v>0</v>
      </c>
      <c r="Q95" s="191"/>
      <c r="R95" s="697"/>
      <c r="S95" s="634">
        <f t="shared" si="8"/>
        <v>0</v>
      </c>
      <c r="T95" s="634">
        <f t="shared" si="9"/>
        <v>0</v>
      </c>
      <c r="U95" s="634">
        <f t="shared" si="10"/>
        <v>0</v>
      </c>
      <c r="V95" s="634">
        <f t="shared" si="11"/>
        <v>0</v>
      </c>
    </row>
    <row r="96" spans="1:22" x14ac:dyDescent="0.25">
      <c r="A96" s="191" t="str">
        <f>TRP!C193</f>
        <v xml:space="preserve">GG14 </v>
      </c>
      <c r="B96" s="509" t="str">
        <f>TRP!B193</f>
        <v>COKEFACTION ET INDUSTRIE NUCLEAIRE</v>
      </c>
      <c r="C96" s="636">
        <f>TRP!A193</f>
        <v>12</v>
      </c>
      <c r="D96" s="75">
        <v>2607</v>
      </c>
      <c r="E96" s="75">
        <v>1598</v>
      </c>
      <c r="F96" s="75">
        <v>4205</v>
      </c>
      <c r="G96" s="75">
        <v>-156</v>
      </c>
      <c r="H96" s="75">
        <v>0</v>
      </c>
      <c r="I96" s="75">
        <v>0</v>
      </c>
      <c r="J96" s="75">
        <v>-156</v>
      </c>
      <c r="K96" s="75">
        <v>4049</v>
      </c>
      <c r="L96" s="75">
        <v>839</v>
      </c>
      <c r="M96" s="73">
        <v>601</v>
      </c>
      <c r="N96" s="73">
        <v>192</v>
      </c>
      <c r="O96" s="73">
        <v>-34</v>
      </c>
      <c r="P96" s="191">
        <f>Emploi!D88</f>
        <v>11.648</v>
      </c>
      <c r="Q96" s="191"/>
      <c r="R96" s="697"/>
      <c r="S96" s="634">
        <f t="shared" si="8"/>
        <v>0</v>
      </c>
      <c r="T96" s="634">
        <f t="shared" si="9"/>
        <v>0</v>
      </c>
      <c r="U96" s="634">
        <f t="shared" si="10"/>
        <v>0</v>
      </c>
      <c r="V96" s="634">
        <f t="shared" si="11"/>
        <v>0</v>
      </c>
    </row>
    <row r="97" spans="1:22" x14ac:dyDescent="0.25">
      <c r="A97" s="191" t="str">
        <f>TRP!C194</f>
        <v xml:space="preserve">GG15 </v>
      </c>
      <c r="B97" s="509" t="str">
        <f>TRP!B194</f>
        <v>RAFFINAGE DE PETROLE</v>
      </c>
      <c r="C97" s="636">
        <f>TRP!A194</f>
        <v>122</v>
      </c>
      <c r="D97" s="75">
        <v>48116</v>
      </c>
      <c r="E97" s="75">
        <v>2398</v>
      </c>
      <c r="F97" s="75">
        <v>50514</v>
      </c>
      <c r="G97" s="75">
        <v>-554</v>
      </c>
      <c r="H97" s="75">
        <v>0</v>
      </c>
      <c r="I97" s="75">
        <v>1</v>
      </c>
      <c r="J97" s="75">
        <v>-553</v>
      </c>
      <c r="K97" s="75">
        <v>49961</v>
      </c>
      <c r="L97" s="75">
        <v>640</v>
      </c>
      <c r="M97" s="73">
        <v>1321</v>
      </c>
      <c r="N97" s="73">
        <v>469</v>
      </c>
      <c r="O97" s="73">
        <v>-32</v>
      </c>
      <c r="P97" s="191">
        <f>Emploi!D89</f>
        <v>13.64</v>
      </c>
      <c r="Q97" s="191"/>
      <c r="R97" s="697"/>
      <c r="S97" s="634">
        <f t="shared" si="8"/>
        <v>0</v>
      </c>
      <c r="T97" s="634">
        <f t="shared" si="9"/>
        <v>0</v>
      </c>
      <c r="U97" s="634">
        <f t="shared" si="10"/>
        <v>0</v>
      </c>
      <c r="V97" s="634">
        <f t="shared" si="11"/>
        <v>0</v>
      </c>
    </row>
    <row r="98" spans="1:22" x14ac:dyDescent="0.25">
      <c r="A98" s="191" t="str">
        <f>TRP!C195</f>
        <v xml:space="preserve">GG2A </v>
      </c>
      <c r="B98" s="509" t="str">
        <f>TRP!B195</f>
        <v>PRODUCTION ET DISTRIBUTION D ELECTRICITE</v>
      </c>
      <c r="C98" s="636">
        <f>TRP!A195</f>
        <v>23</v>
      </c>
      <c r="D98" s="75">
        <v>27203</v>
      </c>
      <c r="E98" s="75">
        <v>18832</v>
      </c>
      <c r="F98" s="75">
        <v>46035</v>
      </c>
      <c r="G98" s="75">
        <v>-22</v>
      </c>
      <c r="H98" s="75">
        <v>0</v>
      </c>
      <c r="I98" s="75">
        <v>24</v>
      </c>
      <c r="J98" s="75">
        <v>2</v>
      </c>
      <c r="K98" s="75">
        <v>46037</v>
      </c>
      <c r="L98" s="75">
        <v>6901</v>
      </c>
      <c r="M98" s="73">
        <v>9892</v>
      </c>
      <c r="N98" s="73">
        <v>2082</v>
      </c>
      <c r="O98" s="73">
        <v>-43</v>
      </c>
      <c r="P98" s="191">
        <f>Emploi!D92</f>
        <v>95.290999999999997</v>
      </c>
      <c r="Q98" s="191"/>
      <c r="R98" s="697"/>
      <c r="S98" s="634">
        <f t="shared" si="8"/>
        <v>0</v>
      </c>
      <c r="T98" s="634">
        <f t="shared" si="9"/>
        <v>0</v>
      </c>
      <c r="U98" s="634">
        <f t="shared" si="10"/>
        <v>0</v>
      </c>
      <c r="V98" s="634">
        <f t="shared" si="11"/>
        <v>0</v>
      </c>
    </row>
    <row r="99" spans="1:22" x14ac:dyDescent="0.25">
      <c r="A99" s="191" t="str">
        <f>TRP!C196</f>
        <v xml:space="preserve">GG2B </v>
      </c>
      <c r="B99" s="509" t="str">
        <f>TRP!B196</f>
        <v>PRODUCTION ET DISTRIBUTION DE COMBUSTIBLE GAZEUX</v>
      </c>
      <c r="C99" s="636">
        <f>TRP!A196</f>
        <v>124</v>
      </c>
      <c r="D99" s="75">
        <v>18307</v>
      </c>
      <c r="E99" s="75">
        <v>5049</v>
      </c>
      <c r="F99" s="75">
        <v>23356</v>
      </c>
      <c r="G99" s="75">
        <v>487</v>
      </c>
      <c r="H99" s="75">
        <v>0</v>
      </c>
      <c r="I99" s="75">
        <v>0</v>
      </c>
      <c r="J99" s="75">
        <v>487</v>
      </c>
      <c r="K99" s="75">
        <v>23843</v>
      </c>
      <c r="L99" s="75">
        <v>1996</v>
      </c>
      <c r="M99" s="73">
        <v>2747</v>
      </c>
      <c r="N99" s="73">
        <v>328</v>
      </c>
      <c r="O99" s="73">
        <v>-22</v>
      </c>
      <c r="P99" s="191">
        <f>Emploi!D93</f>
        <v>27.957999999999998</v>
      </c>
      <c r="Q99" s="191"/>
      <c r="R99" s="697"/>
      <c r="S99" s="634">
        <f t="shared" si="8"/>
        <v>0</v>
      </c>
      <c r="T99" s="634">
        <f t="shared" si="9"/>
        <v>0</v>
      </c>
      <c r="U99" s="634">
        <f t="shared" si="10"/>
        <v>0</v>
      </c>
      <c r="V99" s="634">
        <f t="shared" si="11"/>
        <v>0</v>
      </c>
    </row>
    <row r="100" spans="1:22" x14ac:dyDescent="0.25">
      <c r="A100" s="191" t="str">
        <f>TRP!C197</f>
        <v xml:space="preserve">GG22 </v>
      </c>
      <c r="B100" s="509" t="str">
        <f>TRP!B197</f>
        <v>CAPTAGE  TRAITEMENT ET DISTRIBUTION D EA</v>
      </c>
      <c r="C100" s="636">
        <f>TRP!A197</f>
        <v>12</v>
      </c>
      <c r="D100" s="75">
        <v>6868</v>
      </c>
      <c r="E100" s="75">
        <v>2165</v>
      </c>
      <c r="F100" s="75">
        <v>9033</v>
      </c>
      <c r="G100" s="75">
        <v>-257</v>
      </c>
      <c r="H100" s="75">
        <v>0</v>
      </c>
      <c r="I100" s="75">
        <v>97</v>
      </c>
      <c r="J100" s="75">
        <v>-160</v>
      </c>
      <c r="K100" s="75">
        <v>8873</v>
      </c>
      <c r="L100" s="75">
        <v>1061</v>
      </c>
      <c r="M100" s="73">
        <v>1195</v>
      </c>
      <c r="N100" s="73">
        <v>410</v>
      </c>
      <c r="O100" s="73">
        <v>-501</v>
      </c>
      <c r="P100" s="191">
        <f>Emploi!D91</f>
        <v>36.735999999999997</v>
      </c>
      <c r="Q100" s="191"/>
      <c r="R100" s="697"/>
      <c r="S100" s="634">
        <f t="shared" si="8"/>
        <v>0</v>
      </c>
      <c r="T100" s="634">
        <f t="shared" si="9"/>
        <v>0</v>
      </c>
      <c r="U100" s="634">
        <f t="shared" si="10"/>
        <v>0</v>
      </c>
      <c r="V100" s="634">
        <f t="shared" si="11"/>
        <v>0</v>
      </c>
    </row>
    <row r="101" spans="1:22" x14ac:dyDescent="0.25">
      <c r="A101" s="191" t="str">
        <f>TRP!C198</f>
        <v xml:space="preserve">GH01 </v>
      </c>
      <c r="B101" s="509" t="str">
        <f>TRP!B198</f>
        <v>BATIMENT</v>
      </c>
      <c r="C101" s="636">
        <f>TRP!A198</f>
        <v>13</v>
      </c>
      <c r="D101" s="75">
        <v>97436</v>
      </c>
      <c r="E101" s="75">
        <v>82520</v>
      </c>
      <c r="F101" s="75">
        <v>179956</v>
      </c>
      <c r="G101" s="75">
        <v>0</v>
      </c>
      <c r="H101" s="75">
        <v>0</v>
      </c>
      <c r="I101" s="75">
        <v>493</v>
      </c>
      <c r="J101" s="75">
        <v>493</v>
      </c>
      <c r="K101" s="75">
        <v>180449</v>
      </c>
      <c r="L101" s="75">
        <v>41411</v>
      </c>
      <c r="M101" s="73">
        <v>39453</v>
      </c>
      <c r="N101" s="73">
        <v>1982</v>
      </c>
      <c r="O101" s="73">
        <v>-326</v>
      </c>
      <c r="P101" s="191">
        <f>Emploi!D95</f>
        <v>1249.818</v>
      </c>
      <c r="Q101" s="191"/>
      <c r="R101" s="697"/>
      <c r="S101" s="634">
        <f t="shared" si="8"/>
        <v>0</v>
      </c>
      <c r="T101" s="634">
        <f t="shared" si="9"/>
        <v>0</v>
      </c>
      <c r="U101" s="634">
        <f t="shared" si="10"/>
        <v>0</v>
      </c>
      <c r="V101" s="634">
        <f t="shared" si="11"/>
        <v>0</v>
      </c>
    </row>
    <row r="102" spans="1:22" x14ac:dyDescent="0.25">
      <c r="A102" s="191" t="str">
        <f>TRP!C199</f>
        <v xml:space="preserve">GH02 </v>
      </c>
      <c r="B102" s="509" t="str">
        <f>TRP!B199</f>
        <v>TRAVAUX PUBLICS</v>
      </c>
      <c r="C102" s="636">
        <f>TRP!A199</f>
        <v>13</v>
      </c>
      <c r="D102" s="75">
        <v>31670</v>
      </c>
      <c r="E102" s="75">
        <v>17048</v>
      </c>
      <c r="F102" s="75">
        <v>48718</v>
      </c>
      <c r="G102" s="75">
        <v>-80</v>
      </c>
      <c r="H102" s="75">
        <v>0</v>
      </c>
      <c r="I102" s="75">
        <v>644</v>
      </c>
      <c r="J102" s="75">
        <v>564</v>
      </c>
      <c r="K102" s="75">
        <v>49282</v>
      </c>
      <c r="L102" s="75">
        <v>12767</v>
      </c>
      <c r="M102" s="73">
        <v>3548</v>
      </c>
      <c r="N102" s="73">
        <v>847</v>
      </c>
      <c r="O102" s="73">
        <v>-114</v>
      </c>
      <c r="P102" s="191">
        <f>Emploi!D97</f>
        <v>248.59299999999999</v>
      </c>
      <c r="Q102" s="191"/>
      <c r="R102" s="697"/>
      <c r="S102" s="634">
        <f t="shared" si="8"/>
        <v>0</v>
      </c>
      <c r="T102" s="634">
        <f t="shared" si="9"/>
        <v>0</v>
      </c>
      <c r="U102" s="634">
        <f t="shared" si="10"/>
        <v>0</v>
      </c>
      <c r="V102" s="634">
        <f t="shared" si="11"/>
        <v>0</v>
      </c>
    </row>
    <row r="103" spans="1:22" x14ac:dyDescent="0.25">
      <c r="A103" s="191" t="str">
        <f>TRP!C200</f>
        <v xml:space="preserve">GJ10 </v>
      </c>
      <c r="B103" s="509" t="str">
        <f>TRP!B200</f>
        <v>COMMERCE ET REPARATION AUTOMOBILE</v>
      </c>
      <c r="C103" s="636">
        <f>TRP!A200</f>
        <v>19</v>
      </c>
      <c r="D103" s="75">
        <v>17783</v>
      </c>
      <c r="E103" s="75">
        <v>25738</v>
      </c>
      <c r="F103" s="75">
        <v>43521</v>
      </c>
      <c r="G103" s="75">
        <v>0</v>
      </c>
      <c r="H103" s="75">
        <v>0</v>
      </c>
      <c r="I103" s="75">
        <v>0</v>
      </c>
      <c r="J103" s="75">
        <v>0</v>
      </c>
      <c r="K103" s="75">
        <v>43521</v>
      </c>
      <c r="L103" s="75">
        <v>15036</v>
      </c>
      <c r="M103" s="73">
        <v>9992</v>
      </c>
      <c r="N103" s="73">
        <v>884</v>
      </c>
      <c r="O103" s="73">
        <v>-174</v>
      </c>
      <c r="P103" s="191">
        <f>Emploi!D99</f>
        <v>474.21800000000002</v>
      </c>
      <c r="Q103" s="191"/>
      <c r="R103" s="697"/>
      <c r="S103" s="634">
        <f t="shared" si="8"/>
        <v>0</v>
      </c>
      <c r="T103" s="634">
        <f t="shared" si="9"/>
        <v>0</v>
      </c>
      <c r="U103" s="634">
        <f t="shared" si="10"/>
        <v>0</v>
      </c>
      <c r="V103" s="634">
        <f t="shared" si="11"/>
        <v>0</v>
      </c>
    </row>
    <row r="104" spans="1:22" x14ac:dyDescent="0.25">
      <c r="A104" s="191" t="str">
        <f>TRP!C201</f>
        <v xml:space="preserve">GJ20 </v>
      </c>
      <c r="B104" s="509" t="str">
        <f>TRP!B201</f>
        <v>COMMERCE DE GROS  INTERMEDIAIRES</v>
      </c>
      <c r="C104" s="636">
        <f>TRP!A201</f>
        <v>19</v>
      </c>
      <c r="D104" s="75">
        <v>96280</v>
      </c>
      <c r="E104" s="75">
        <v>72397</v>
      </c>
      <c r="F104" s="75">
        <v>168677</v>
      </c>
      <c r="G104" s="75">
        <v>0</v>
      </c>
      <c r="H104" s="75">
        <v>0</v>
      </c>
      <c r="I104" s="75">
        <v>0</v>
      </c>
      <c r="J104" s="75">
        <v>0</v>
      </c>
      <c r="K104" s="75">
        <v>168677</v>
      </c>
      <c r="L104" s="75">
        <v>52682</v>
      </c>
      <c r="M104" s="73">
        <v>16773</v>
      </c>
      <c r="N104" s="73">
        <v>3591</v>
      </c>
      <c r="O104" s="73">
        <v>-649</v>
      </c>
      <c r="P104" s="191">
        <f>Emploi!D101</f>
        <v>995.87800000000004</v>
      </c>
      <c r="Q104" s="191"/>
      <c r="R104" s="697"/>
      <c r="S104" s="634">
        <f t="shared" si="8"/>
        <v>0</v>
      </c>
      <c r="T104" s="634">
        <f t="shared" si="9"/>
        <v>0</v>
      </c>
      <c r="U104" s="634">
        <f t="shared" si="10"/>
        <v>0</v>
      </c>
      <c r="V104" s="634">
        <f t="shared" si="11"/>
        <v>0</v>
      </c>
    </row>
    <row r="105" spans="1:22" x14ac:dyDescent="0.25">
      <c r="A105" s="191" t="str">
        <f>TRP!C202</f>
        <v xml:space="preserve">GJ30 </v>
      </c>
      <c r="B105" s="509" t="str">
        <f>TRP!B202</f>
        <v>COMMERCE DE DETAIL ET REPARATIONS</v>
      </c>
      <c r="C105" s="636">
        <f>TRP!A202</f>
        <v>19</v>
      </c>
      <c r="D105" s="75">
        <v>45735</v>
      </c>
      <c r="E105" s="75">
        <v>68257</v>
      </c>
      <c r="F105" s="75">
        <v>113992</v>
      </c>
      <c r="G105" s="75">
        <v>0</v>
      </c>
      <c r="H105" s="75">
        <v>0</v>
      </c>
      <c r="I105" s="75">
        <v>0</v>
      </c>
      <c r="J105" s="75">
        <v>0</v>
      </c>
      <c r="K105" s="75">
        <v>113992</v>
      </c>
      <c r="L105" s="75">
        <v>41377</v>
      </c>
      <c r="M105" s="73">
        <v>24524</v>
      </c>
      <c r="N105" s="73">
        <v>2731</v>
      </c>
      <c r="O105" s="73">
        <v>-375</v>
      </c>
      <c r="P105" s="191">
        <f>Emploi!D103</f>
        <v>1439.662</v>
      </c>
      <c r="Q105" s="191"/>
      <c r="R105" s="697"/>
      <c r="S105" s="634">
        <f t="shared" si="8"/>
        <v>0</v>
      </c>
      <c r="T105" s="634">
        <f t="shared" si="9"/>
        <v>0</v>
      </c>
      <c r="U105" s="634">
        <f t="shared" si="10"/>
        <v>0</v>
      </c>
      <c r="V105" s="634">
        <f t="shared" si="11"/>
        <v>0</v>
      </c>
    </row>
    <row r="106" spans="1:22" x14ac:dyDescent="0.25">
      <c r="A106" s="191" t="str">
        <f>TRP!C203</f>
        <v xml:space="preserve">GK01 </v>
      </c>
      <c r="B106" s="509" t="str">
        <f>TRP!B203</f>
        <v>TRANSPORTS FERROVIAIRES</v>
      </c>
      <c r="C106" s="636">
        <f>TRP!A203</f>
        <v>114</v>
      </c>
      <c r="D106" s="75">
        <v>3528</v>
      </c>
      <c r="E106" s="75">
        <v>6181</v>
      </c>
      <c r="F106" s="75">
        <v>9709</v>
      </c>
      <c r="G106" s="75">
        <v>-7</v>
      </c>
      <c r="H106" s="75">
        <v>0</v>
      </c>
      <c r="I106" s="75">
        <v>0</v>
      </c>
      <c r="J106" s="75">
        <v>-7</v>
      </c>
      <c r="K106" s="75">
        <v>9702</v>
      </c>
      <c r="L106" s="75">
        <v>4910</v>
      </c>
      <c r="M106" s="73">
        <v>950</v>
      </c>
      <c r="N106" s="73">
        <v>416</v>
      </c>
      <c r="O106" s="73">
        <v>-95</v>
      </c>
      <c r="P106" s="191">
        <f>Emploi!D105</f>
        <v>96.347999999999999</v>
      </c>
      <c r="Q106" s="191"/>
      <c r="R106" s="697"/>
      <c r="S106" s="634">
        <f t="shared" si="8"/>
        <v>0</v>
      </c>
      <c r="T106" s="634">
        <f t="shared" si="9"/>
        <v>0</v>
      </c>
      <c r="U106" s="634">
        <f t="shared" si="10"/>
        <v>0</v>
      </c>
      <c r="V106" s="634">
        <f t="shared" si="11"/>
        <v>0</v>
      </c>
    </row>
    <row r="107" spans="1:22" x14ac:dyDescent="0.25">
      <c r="A107" s="191" t="str">
        <f>TRP!C204</f>
        <v xml:space="preserve">GK02 </v>
      </c>
      <c r="B107" s="509" t="str">
        <f>TRP!B204</f>
        <v>TRANSPORT ROUTIER DE VOYAGEURS</v>
      </c>
      <c r="C107" s="636">
        <f>TRP!A204</f>
        <v>15</v>
      </c>
      <c r="D107" s="75">
        <v>5528</v>
      </c>
      <c r="E107" s="75">
        <v>11676</v>
      </c>
      <c r="F107" s="75">
        <v>17204</v>
      </c>
      <c r="G107" s="75">
        <v>18</v>
      </c>
      <c r="H107" s="75">
        <v>0</v>
      </c>
      <c r="I107" s="75">
        <v>486</v>
      </c>
      <c r="J107" s="75">
        <v>504</v>
      </c>
      <c r="K107" s="75">
        <v>17708</v>
      </c>
      <c r="L107" s="75">
        <v>7674</v>
      </c>
      <c r="M107" s="73">
        <v>3636</v>
      </c>
      <c r="N107" s="73">
        <v>774</v>
      </c>
      <c r="O107" s="73">
        <v>-408</v>
      </c>
      <c r="P107" s="191">
        <f>Emploi!D106</f>
        <v>184.85</v>
      </c>
      <c r="Q107" s="191"/>
      <c r="R107" s="697"/>
      <c r="S107" s="634">
        <f t="shared" si="8"/>
        <v>0</v>
      </c>
      <c r="T107" s="634">
        <f t="shared" si="9"/>
        <v>0</v>
      </c>
      <c r="U107" s="634">
        <f t="shared" si="10"/>
        <v>0</v>
      </c>
      <c r="V107" s="634">
        <f t="shared" si="11"/>
        <v>0</v>
      </c>
    </row>
    <row r="108" spans="1:22" x14ac:dyDescent="0.25">
      <c r="A108" s="191" t="str">
        <f>TRP!C205</f>
        <v xml:space="preserve">GK03 </v>
      </c>
      <c r="B108" s="509" t="str">
        <f>TRP!B205</f>
        <v>TRANSPORT ROUTIER (OU PAR CONDUITES) DE marchandises</v>
      </c>
      <c r="C108" s="636">
        <f>TRP!A205</f>
        <v>116</v>
      </c>
      <c r="D108" s="75">
        <v>24066</v>
      </c>
      <c r="E108" s="75">
        <v>18034</v>
      </c>
      <c r="F108" s="75">
        <v>42100</v>
      </c>
      <c r="G108" s="75">
        <v>0</v>
      </c>
      <c r="H108" s="75">
        <v>0</v>
      </c>
      <c r="I108" s="75">
        <v>0</v>
      </c>
      <c r="J108" s="75">
        <v>0</v>
      </c>
      <c r="K108" s="75">
        <v>42100</v>
      </c>
      <c r="L108" s="75">
        <v>11475</v>
      </c>
      <c r="M108" s="73">
        <v>5822</v>
      </c>
      <c r="N108" s="73">
        <v>833</v>
      </c>
      <c r="O108" s="73">
        <v>-96</v>
      </c>
      <c r="P108" s="191">
        <f>Emploi!D107</f>
        <v>328.404</v>
      </c>
      <c r="Q108" s="191"/>
      <c r="R108" s="697"/>
      <c r="S108" s="634">
        <f t="shared" si="8"/>
        <v>0</v>
      </c>
      <c r="T108" s="634">
        <f t="shared" si="9"/>
        <v>0</v>
      </c>
      <c r="U108" s="634">
        <f t="shared" si="10"/>
        <v>0</v>
      </c>
      <c r="V108" s="634">
        <f t="shared" si="11"/>
        <v>0</v>
      </c>
    </row>
    <row r="109" spans="1:22" x14ac:dyDescent="0.25">
      <c r="A109" s="191" t="str">
        <f>TRP!C206</f>
        <v xml:space="preserve">GK04 </v>
      </c>
      <c r="B109" s="509" t="str">
        <f>TRP!B206</f>
        <v>TRANSPORTS PAR EAU</v>
      </c>
      <c r="C109" s="636">
        <f>TRP!A206</f>
        <v>117</v>
      </c>
      <c r="D109" s="75">
        <v>7526</v>
      </c>
      <c r="E109" s="75">
        <v>1966</v>
      </c>
      <c r="F109" s="75">
        <v>9492</v>
      </c>
      <c r="G109" s="75">
        <v>0</v>
      </c>
      <c r="H109" s="75">
        <v>0</v>
      </c>
      <c r="I109" s="75">
        <v>2</v>
      </c>
      <c r="J109" s="75">
        <v>2</v>
      </c>
      <c r="K109" s="75">
        <v>9494</v>
      </c>
      <c r="L109" s="75">
        <v>765</v>
      </c>
      <c r="M109" s="73">
        <v>1129</v>
      </c>
      <c r="N109" s="73">
        <v>79</v>
      </c>
      <c r="O109" s="73">
        <v>-7</v>
      </c>
      <c r="P109" s="191">
        <f>Emploi!D108</f>
        <v>16.832999999999998</v>
      </c>
      <c r="Q109" s="191"/>
      <c r="R109" s="697"/>
      <c r="S109" s="634">
        <f t="shared" si="8"/>
        <v>0</v>
      </c>
      <c r="T109" s="634">
        <f t="shared" si="9"/>
        <v>0</v>
      </c>
      <c r="U109" s="634">
        <f t="shared" si="10"/>
        <v>0</v>
      </c>
      <c r="V109" s="634">
        <f t="shared" si="11"/>
        <v>0</v>
      </c>
    </row>
    <row r="110" spans="1:22" x14ac:dyDescent="0.25">
      <c r="A110" s="191" t="str">
        <f>TRP!C207</f>
        <v xml:space="preserve">GK05 </v>
      </c>
      <c r="B110" s="509" t="str">
        <f>TRP!B207</f>
        <v>TRANSPORTS AERIENS</v>
      </c>
      <c r="C110" s="636">
        <f>TRP!A207</f>
        <v>118</v>
      </c>
      <c r="D110" s="75">
        <v>11163</v>
      </c>
      <c r="E110" s="75">
        <v>6633</v>
      </c>
      <c r="F110" s="75">
        <v>17796</v>
      </c>
      <c r="G110" s="75">
        <v>0</v>
      </c>
      <c r="H110" s="75">
        <v>0</v>
      </c>
      <c r="I110" s="75">
        <v>2</v>
      </c>
      <c r="J110" s="75">
        <v>2</v>
      </c>
      <c r="K110" s="75">
        <v>17798</v>
      </c>
      <c r="L110" s="75">
        <v>4904</v>
      </c>
      <c r="M110" s="73">
        <v>1550</v>
      </c>
      <c r="N110" s="73">
        <v>249</v>
      </c>
      <c r="O110" s="73">
        <v>-70</v>
      </c>
      <c r="P110" s="191">
        <f>Emploi!D109</f>
        <v>66.244</v>
      </c>
      <c r="Q110" s="191"/>
      <c r="R110" s="697"/>
      <c r="S110" s="634">
        <f t="shared" si="8"/>
        <v>0</v>
      </c>
      <c r="T110" s="634">
        <f t="shared" si="9"/>
        <v>0</v>
      </c>
      <c r="U110" s="634">
        <f t="shared" si="10"/>
        <v>0</v>
      </c>
      <c r="V110" s="634">
        <f t="shared" si="11"/>
        <v>0</v>
      </c>
    </row>
    <row r="111" spans="1:22" x14ac:dyDescent="0.25">
      <c r="A111" s="191" t="str">
        <f>TRP!C208</f>
        <v xml:space="preserve">GK07 </v>
      </c>
      <c r="B111" s="509" t="str">
        <f>TRP!B208</f>
        <v>MANUTENTION  ENTREPOSAGE ET GESTION D IN</v>
      </c>
      <c r="C111" s="636">
        <f>TRP!A208</f>
        <v>19</v>
      </c>
      <c r="D111" s="75">
        <v>14721</v>
      </c>
      <c r="E111" s="75">
        <v>16086</v>
      </c>
      <c r="F111" s="75">
        <v>30807</v>
      </c>
      <c r="G111" s="75">
        <v>0</v>
      </c>
      <c r="H111" s="75">
        <v>0</v>
      </c>
      <c r="I111" s="75">
        <v>0</v>
      </c>
      <c r="J111" s="75">
        <v>0</v>
      </c>
      <c r="K111" s="75">
        <v>30807</v>
      </c>
      <c r="L111" s="75">
        <v>7880</v>
      </c>
      <c r="M111" s="73">
        <v>6763</v>
      </c>
      <c r="N111" s="73">
        <v>1793</v>
      </c>
      <c r="O111" s="73">
        <v>-350</v>
      </c>
      <c r="P111" s="191">
        <f>Emploi!D111</f>
        <v>154.94900000000001</v>
      </c>
      <c r="Q111" s="191"/>
      <c r="R111" s="697"/>
      <c r="S111" s="634">
        <f t="shared" si="8"/>
        <v>0</v>
      </c>
      <c r="T111" s="634">
        <f t="shared" si="9"/>
        <v>0</v>
      </c>
      <c r="U111" s="634">
        <f t="shared" si="10"/>
        <v>0</v>
      </c>
      <c r="V111" s="634">
        <f t="shared" si="11"/>
        <v>0</v>
      </c>
    </row>
    <row r="112" spans="1:22" x14ac:dyDescent="0.25">
      <c r="A112" s="191" t="str">
        <f>TRP!C209</f>
        <v xml:space="preserve">GK08 </v>
      </c>
      <c r="B112" s="509" t="str">
        <f>TRP!B209</f>
        <v>AGENCES DE VOYAGE</v>
      </c>
      <c r="C112" s="636">
        <f>TRP!A209</f>
        <v>19</v>
      </c>
      <c r="D112" s="75">
        <v>5665</v>
      </c>
      <c r="E112" s="75">
        <v>2063</v>
      </c>
      <c r="F112" s="75">
        <v>7728</v>
      </c>
      <c r="G112" s="75">
        <v>0</v>
      </c>
      <c r="H112" s="75">
        <v>0</v>
      </c>
      <c r="I112" s="75">
        <v>0</v>
      </c>
      <c r="J112" s="75">
        <v>0</v>
      </c>
      <c r="K112" s="75">
        <v>7728</v>
      </c>
      <c r="L112" s="75">
        <v>1710</v>
      </c>
      <c r="M112" s="73">
        <v>337</v>
      </c>
      <c r="N112" s="73">
        <v>132</v>
      </c>
      <c r="O112" s="73">
        <v>-116</v>
      </c>
      <c r="P112" s="191">
        <f>Emploi!D112</f>
        <v>58.631</v>
      </c>
      <c r="Q112" s="191"/>
      <c r="R112" s="697"/>
      <c r="S112" s="634">
        <f t="shared" si="8"/>
        <v>0</v>
      </c>
      <c r="T112" s="634">
        <f t="shared" si="9"/>
        <v>0</v>
      </c>
      <c r="U112" s="634">
        <f t="shared" si="10"/>
        <v>0</v>
      </c>
      <c r="V112" s="634">
        <f t="shared" si="11"/>
        <v>0</v>
      </c>
    </row>
    <row r="113" spans="1:22" x14ac:dyDescent="0.25">
      <c r="A113" s="191" t="str">
        <f>TRP!C210</f>
        <v xml:space="preserve">GK69 </v>
      </c>
      <c r="B113" s="509" t="str">
        <f>TRP!B210</f>
        <v>ORGANISATION DU TRANSPORT DE FRET ET TRANSPORT SPATIAL</v>
      </c>
      <c r="C113" s="636" t="str">
        <f>TRP!A210</f>
        <v>114-16-17-18</v>
      </c>
      <c r="D113" s="75">
        <v>7484</v>
      </c>
      <c r="E113" s="75">
        <v>6795</v>
      </c>
      <c r="F113" s="75">
        <v>14279</v>
      </c>
      <c r="G113" s="75">
        <v>0</v>
      </c>
      <c r="H113" s="75">
        <v>0</v>
      </c>
      <c r="I113" s="75">
        <v>0</v>
      </c>
      <c r="J113" s="75">
        <v>0</v>
      </c>
      <c r="K113" s="75">
        <v>14279</v>
      </c>
      <c r="L113" s="75">
        <v>5391</v>
      </c>
      <c r="M113" s="73">
        <v>1056</v>
      </c>
      <c r="N113" s="73">
        <v>384</v>
      </c>
      <c r="O113" s="73">
        <v>-36</v>
      </c>
      <c r="P113" s="191">
        <f>Emploi!D114</f>
        <v>136.28399999999999</v>
      </c>
      <c r="Q113" s="191"/>
      <c r="R113" s="697"/>
      <c r="S113" s="634">
        <f t="shared" si="8"/>
        <v>0</v>
      </c>
      <c r="T113" s="634">
        <f t="shared" si="9"/>
        <v>0</v>
      </c>
      <c r="U113" s="634">
        <f t="shared" si="10"/>
        <v>0</v>
      </c>
      <c r="V113" s="634">
        <f t="shared" si="11"/>
        <v>0</v>
      </c>
    </row>
    <row r="114" spans="1:22" x14ac:dyDescent="0.25">
      <c r="A114" s="191" t="str">
        <f>TRP!C211</f>
        <v xml:space="preserve">GL01 </v>
      </c>
      <c r="B114" s="509" t="str">
        <f>TRP!B211</f>
        <v>INTERMEDIATION FINANCIERE</v>
      </c>
      <c r="C114" s="636">
        <f>TRP!A211</f>
        <v>19</v>
      </c>
      <c r="D114" s="75">
        <v>47850</v>
      </c>
      <c r="E114" s="75">
        <v>46228</v>
      </c>
      <c r="F114" s="75">
        <v>94078</v>
      </c>
      <c r="G114" s="75">
        <v>1</v>
      </c>
      <c r="H114" s="75">
        <v>0</v>
      </c>
      <c r="I114" s="75">
        <v>1</v>
      </c>
      <c r="J114" s="75">
        <v>2</v>
      </c>
      <c r="K114" s="75">
        <v>94080</v>
      </c>
      <c r="L114" s="75">
        <v>31218</v>
      </c>
      <c r="M114" s="73">
        <v>11449</v>
      </c>
      <c r="N114" s="73">
        <v>3561</v>
      </c>
      <c r="O114" s="73">
        <v>0</v>
      </c>
      <c r="P114" s="191">
        <f>Emploi!D116</f>
        <v>436.971</v>
      </c>
      <c r="Q114" s="191"/>
      <c r="R114" s="697"/>
      <c r="S114" s="634">
        <f t="shared" si="8"/>
        <v>0</v>
      </c>
      <c r="T114" s="634">
        <f t="shared" si="9"/>
        <v>0</v>
      </c>
      <c r="U114" s="634">
        <f t="shared" si="10"/>
        <v>0</v>
      </c>
      <c r="V114" s="634">
        <f t="shared" si="11"/>
        <v>0</v>
      </c>
    </row>
    <row r="115" spans="1:22" x14ac:dyDescent="0.25">
      <c r="A115" s="191" t="str">
        <f>TRP!C212</f>
        <v xml:space="preserve">GL02 </v>
      </c>
      <c r="B115" s="509" t="str">
        <f>TRP!B212</f>
        <v>ASSURANCES</v>
      </c>
      <c r="C115" s="636">
        <f>TRP!A212</f>
        <v>19</v>
      </c>
      <c r="D115" s="75">
        <v>25688</v>
      </c>
      <c r="E115" s="75">
        <v>19808</v>
      </c>
      <c r="F115" s="75">
        <v>45496</v>
      </c>
      <c r="G115" s="75">
        <v>0</v>
      </c>
      <c r="H115" s="75">
        <v>0</v>
      </c>
      <c r="I115" s="75">
        <v>49</v>
      </c>
      <c r="J115" s="75">
        <v>49</v>
      </c>
      <c r="K115" s="75">
        <v>45545</v>
      </c>
      <c r="L115" s="75">
        <v>10083</v>
      </c>
      <c r="M115" s="73">
        <v>9113</v>
      </c>
      <c r="N115" s="73">
        <v>1109</v>
      </c>
      <c r="O115" s="73">
        <v>-497</v>
      </c>
      <c r="P115" s="191">
        <f>Emploi!D118</f>
        <v>158.16399999999999</v>
      </c>
      <c r="Q115" s="191"/>
      <c r="R115" s="697"/>
      <c r="S115" s="634">
        <f t="shared" si="8"/>
        <v>0</v>
      </c>
      <c r="T115" s="634">
        <f t="shared" si="9"/>
        <v>0</v>
      </c>
      <c r="U115" s="634">
        <f t="shared" si="10"/>
        <v>0</v>
      </c>
      <c r="V115" s="634">
        <f t="shared" si="11"/>
        <v>0</v>
      </c>
    </row>
    <row r="116" spans="1:22" x14ac:dyDescent="0.25">
      <c r="A116" s="191" t="str">
        <f>TRP!C213</f>
        <v xml:space="preserve">GL03 </v>
      </c>
      <c r="B116" s="509" t="str">
        <f>TRP!B213</f>
        <v>AUXILIAIRES FINANCIERS ET D ASSURANCE</v>
      </c>
      <c r="C116" s="636">
        <f>TRP!A213</f>
        <v>19</v>
      </c>
      <c r="D116" s="75">
        <v>17170</v>
      </c>
      <c r="E116" s="75">
        <v>14028</v>
      </c>
      <c r="F116" s="75">
        <v>31198</v>
      </c>
      <c r="G116" s="75">
        <v>0</v>
      </c>
      <c r="H116" s="75">
        <v>0</v>
      </c>
      <c r="I116" s="75">
        <v>92</v>
      </c>
      <c r="J116" s="75">
        <v>92</v>
      </c>
      <c r="K116" s="75">
        <v>31290</v>
      </c>
      <c r="L116" s="75">
        <v>7473</v>
      </c>
      <c r="M116" s="73">
        <v>5479</v>
      </c>
      <c r="N116" s="73">
        <v>1121</v>
      </c>
      <c r="O116" s="73">
        <v>-45</v>
      </c>
      <c r="P116" s="191">
        <f>Emploi!D119</f>
        <v>129.94399999999999</v>
      </c>
      <c r="Q116" s="191"/>
      <c r="R116" s="697"/>
      <c r="S116" s="634">
        <f t="shared" si="8"/>
        <v>0</v>
      </c>
      <c r="T116" s="634">
        <f t="shared" si="9"/>
        <v>0</v>
      </c>
      <c r="U116" s="634">
        <f t="shared" si="10"/>
        <v>0</v>
      </c>
      <c r="V116" s="634">
        <f t="shared" si="11"/>
        <v>0</v>
      </c>
    </row>
    <row r="117" spans="1:22" x14ac:dyDescent="0.25">
      <c r="A117" s="191" t="str">
        <f>TRP!C214</f>
        <v xml:space="preserve">GM01 </v>
      </c>
      <c r="B117" s="509" t="str">
        <f>TRP!B214</f>
        <v>PROMOTION  GESTION IMMOBILIERE</v>
      </c>
      <c r="C117" s="636">
        <f>TRP!A214</f>
        <v>19</v>
      </c>
      <c r="D117" s="75">
        <v>16427</v>
      </c>
      <c r="E117" s="75">
        <v>18537</v>
      </c>
      <c r="F117" s="75">
        <v>34964</v>
      </c>
      <c r="G117" s="75">
        <v>0</v>
      </c>
      <c r="H117" s="75">
        <v>0</v>
      </c>
      <c r="I117" s="75">
        <v>17</v>
      </c>
      <c r="J117" s="75">
        <v>17</v>
      </c>
      <c r="K117" s="75">
        <v>34981</v>
      </c>
      <c r="L117" s="75">
        <v>7767</v>
      </c>
      <c r="M117" s="73">
        <v>10078</v>
      </c>
      <c r="N117" s="73">
        <v>857</v>
      </c>
      <c r="O117" s="73">
        <v>-165</v>
      </c>
      <c r="P117" s="191">
        <f>Emploi!D121</f>
        <v>193.297</v>
      </c>
      <c r="Q117" s="191"/>
      <c r="R117" s="697"/>
      <c r="S117" s="634">
        <f t="shared" si="8"/>
        <v>0</v>
      </c>
      <c r="T117" s="634">
        <f t="shared" si="9"/>
        <v>0</v>
      </c>
      <c r="U117" s="634">
        <f t="shared" si="10"/>
        <v>0</v>
      </c>
      <c r="V117" s="634">
        <f t="shared" si="11"/>
        <v>0</v>
      </c>
    </row>
    <row r="118" spans="1:22" x14ac:dyDescent="0.25">
      <c r="A118" s="191" t="str">
        <f>TRP!C215</f>
        <v xml:space="preserve">GM02 </v>
      </c>
      <c r="B118" s="509" t="str">
        <f>TRP!B215</f>
        <v>LOCATION IMMOBILIERE</v>
      </c>
      <c r="C118" s="636">
        <f>TRP!A215</f>
        <v>19</v>
      </c>
      <c r="D118" s="75">
        <v>36454</v>
      </c>
      <c r="E118" s="75">
        <v>208977</v>
      </c>
      <c r="F118" s="75">
        <v>245431</v>
      </c>
      <c r="G118" s="75">
        <v>29</v>
      </c>
      <c r="H118" s="75">
        <v>0</v>
      </c>
      <c r="I118" s="75">
        <v>3565</v>
      </c>
      <c r="J118" s="75">
        <v>3594</v>
      </c>
      <c r="K118" s="75">
        <v>249025</v>
      </c>
      <c r="L118" s="75">
        <v>4805</v>
      </c>
      <c r="M118" s="73">
        <v>188948</v>
      </c>
      <c r="N118" s="73">
        <v>15628</v>
      </c>
      <c r="O118" s="73">
        <v>-404</v>
      </c>
      <c r="P118" s="191">
        <f>Emploi!D123</f>
        <v>69.510999999999996</v>
      </c>
      <c r="Q118" s="191"/>
      <c r="R118" s="697"/>
      <c r="S118" s="634">
        <f t="shared" si="8"/>
        <v>0</v>
      </c>
      <c r="T118" s="634">
        <f t="shared" si="9"/>
        <v>0</v>
      </c>
      <c r="U118" s="634">
        <f t="shared" si="10"/>
        <v>0</v>
      </c>
      <c r="V118" s="634">
        <f t="shared" si="11"/>
        <v>0</v>
      </c>
    </row>
    <row r="119" spans="1:22" x14ac:dyDescent="0.25">
      <c r="A119" s="191" t="str">
        <f>TRP!C216</f>
        <v xml:space="preserve">GN10 </v>
      </c>
      <c r="B119" s="509" t="str">
        <f>TRP!B216</f>
        <v>TELECOMMUNICATION, POSTE ET COURRIER</v>
      </c>
      <c r="C119" s="636">
        <f>TRP!A216</f>
        <v>19</v>
      </c>
      <c r="D119" s="75">
        <v>33296</v>
      </c>
      <c r="E119" s="75">
        <v>32518</v>
      </c>
      <c r="F119" s="75">
        <v>65814</v>
      </c>
      <c r="G119" s="75">
        <v>-315</v>
      </c>
      <c r="H119" s="75">
        <v>0</v>
      </c>
      <c r="I119" s="75">
        <v>2</v>
      </c>
      <c r="J119" s="75">
        <v>-313</v>
      </c>
      <c r="K119" s="75">
        <v>65501</v>
      </c>
      <c r="L119" s="75">
        <v>17625</v>
      </c>
      <c r="M119" s="73">
        <v>14481</v>
      </c>
      <c r="N119" s="73">
        <v>505</v>
      </c>
      <c r="O119" s="73">
        <v>-93</v>
      </c>
      <c r="P119" s="191">
        <f>Emploi!D125</f>
        <v>444.56700000000001</v>
      </c>
      <c r="Q119" s="191"/>
      <c r="R119" s="697"/>
      <c r="S119" s="634">
        <f t="shared" si="8"/>
        <v>0</v>
      </c>
      <c r="T119" s="634">
        <f t="shared" si="9"/>
        <v>0</v>
      </c>
      <c r="U119" s="634">
        <f t="shared" si="10"/>
        <v>0</v>
      </c>
      <c r="V119" s="634">
        <f t="shared" si="11"/>
        <v>0</v>
      </c>
    </row>
    <row r="120" spans="1:22" x14ac:dyDescent="0.25">
      <c r="A120" s="191" t="str">
        <f>TRP!C217</f>
        <v xml:space="preserve">GN21 </v>
      </c>
      <c r="B120" s="509" t="str">
        <f>TRP!B217</f>
        <v>ACTIVITES INFORMATIQUES</v>
      </c>
      <c r="C120" s="636">
        <f>TRP!A217</f>
        <v>19</v>
      </c>
      <c r="D120" s="75">
        <v>24786</v>
      </c>
      <c r="E120" s="75">
        <v>40005</v>
      </c>
      <c r="F120" s="75">
        <v>64791</v>
      </c>
      <c r="G120" s="75">
        <v>-271</v>
      </c>
      <c r="H120" s="75">
        <v>0</v>
      </c>
      <c r="I120" s="75">
        <v>681</v>
      </c>
      <c r="J120" s="75">
        <v>410</v>
      </c>
      <c r="K120" s="75">
        <v>65201</v>
      </c>
      <c r="L120" s="75">
        <v>29395</v>
      </c>
      <c r="M120" s="73">
        <v>9738</v>
      </c>
      <c r="N120" s="73">
        <v>1180</v>
      </c>
      <c r="O120" s="73">
        <v>-308</v>
      </c>
      <c r="P120" s="191">
        <f>Emploi!D129</f>
        <v>461.495</v>
      </c>
      <c r="Q120" s="191"/>
      <c r="R120" s="697"/>
      <c r="S120" s="634">
        <f t="shared" si="8"/>
        <v>0</v>
      </c>
      <c r="T120" s="634">
        <f t="shared" si="9"/>
        <v>0</v>
      </c>
      <c r="U120" s="634">
        <f t="shared" si="10"/>
        <v>0</v>
      </c>
      <c r="V120" s="634">
        <f t="shared" si="11"/>
        <v>0</v>
      </c>
    </row>
    <row r="121" spans="1:22" x14ac:dyDescent="0.25">
      <c r="A121" s="191" t="str">
        <f>TRP!C218</f>
        <v xml:space="preserve">GN22 </v>
      </c>
      <c r="B121" s="509" t="str">
        <f>TRP!B218</f>
        <v>SERVICES PROFESSIONNELS</v>
      </c>
      <c r="C121" s="636">
        <f>TRP!A218</f>
        <v>19</v>
      </c>
      <c r="D121" s="75">
        <v>20445</v>
      </c>
      <c r="E121" s="75">
        <v>35104</v>
      </c>
      <c r="F121" s="75">
        <v>55549</v>
      </c>
      <c r="G121" s="75">
        <v>93</v>
      </c>
      <c r="H121" s="75">
        <v>0</v>
      </c>
      <c r="I121" s="75">
        <v>3155</v>
      </c>
      <c r="J121" s="75">
        <v>3248</v>
      </c>
      <c r="K121" s="75">
        <v>58797</v>
      </c>
      <c r="L121" s="75">
        <v>20475</v>
      </c>
      <c r="M121" s="73">
        <v>13969</v>
      </c>
      <c r="N121" s="73">
        <v>812</v>
      </c>
      <c r="O121" s="73">
        <v>-152</v>
      </c>
      <c r="P121" s="191">
        <f>Emploi!D130</f>
        <v>323.52999999999997</v>
      </c>
      <c r="Q121" s="191"/>
      <c r="R121" s="697"/>
      <c r="S121" s="634">
        <f t="shared" si="8"/>
        <v>0</v>
      </c>
      <c r="T121" s="634">
        <f t="shared" si="9"/>
        <v>0</v>
      </c>
      <c r="U121" s="634">
        <f t="shared" si="10"/>
        <v>0</v>
      </c>
      <c r="V121" s="634">
        <f t="shared" si="11"/>
        <v>0</v>
      </c>
    </row>
    <row r="122" spans="1:22" x14ac:dyDescent="0.25">
      <c r="A122" s="191" t="str">
        <f>TRP!C219</f>
        <v xml:space="preserve">GN23 </v>
      </c>
      <c r="B122" s="509" t="str">
        <f>TRP!B219</f>
        <v>ADMINISTRATION D ENTREPRISES</v>
      </c>
      <c r="C122" s="636">
        <f>TRP!A219</f>
        <v>19</v>
      </c>
      <c r="D122" s="75">
        <v>28443</v>
      </c>
      <c r="E122" s="75">
        <v>11725</v>
      </c>
      <c r="F122" s="75">
        <v>40168</v>
      </c>
      <c r="G122" s="75">
        <v>0</v>
      </c>
      <c r="H122" s="75">
        <v>0</v>
      </c>
      <c r="I122" s="75">
        <v>0</v>
      </c>
      <c r="J122" s="75">
        <v>0</v>
      </c>
      <c r="K122" s="75">
        <v>40168</v>
      </c>
      <c r="L122" s="75">
        <v>11043</v>
      </c>
      <c r="M122" s="73">
        <v>282</v>
      </c>
      <c r="N122" s="73">
        <v>545</v>
      </c>
      <c r="O122" s="73">
        <v>-145</v>
      </c>
      <c r="P122" s="191">
        <f>Emploi!D131</f>
        <v>124.883</v>
      </c>
      <c r="Q122" s="191"/>
      <c r="R122" s="697"/>
      <c r="S122" s="634">
        <f t="shared" si="8"/>
        <v>0</v>
      </c>
      <c r="T122" s="634">
        <f t="shared" si="9"/>
        <v>0</v>
      </c>
      <c r="U122" s="634">
        <f t="shared" si="10"/>
        <v>0</v>
      </c>
      <c r="V122" s="634">
        <f t="shared" si="11"/>
        <v>0</v>
      </c>
    </row>
    <row r="123" spans="1:22" x14ac:dyDescent="0.25">
      <c r="A123" s="191" t="str">
        <f>TRP!C220</f>
        <v xml:space="preserve">GN24 </v>
      </c>
      <c r="B123" s="509" t="str">
        <f>TRP!B220</f>
        <v>PUBLICITE ET ETUDES DE MARCHE</v>
      </c>
      <c r="C123" s="636">
        <f>TRP!A220</f>
        <v>19</v>
      </c>
      <c r="D123" s="75">
        <v>10722</v>
      </c>
      <c r="E123" s="75">
        <v>9475</v>
      </c>
      <c r="F123" s="75">
        <v>20197</v>
      </c>
      <c r="G123" s="75">
        <v>9199</v>
      </c>
      <c r="H123" s="75">
        <v>0</v>
      </c>
      <c r="I123" s="75">
        <v>1</v>
      </c>
      <c r="J123" s="75">
        <v>9200</v>
      </c>
      <c r="K123" s="75">
        <v>29397</v>
      </c>
      <c r="L123" s="75">
        <v>6214</v>
      </c>
      <c r="M123" s="73">
        <v>2994</v>
      </c>
      <c r="N123" s="73">
        <v>352</v>
      </c>
      <c r="O123" s="73">
        <v>-85</v>
      </c>
      <c r="P123" s="191">
        <f>Emploi!D132</f>
        <v>105.554</v>
      </c>
      <c r="Q123" s="191"/>
      <c r="R123" s="697"/>
      <c r="S123" s="634">
        <f t="shared" si="8"/>
        <v>0</v>
      </c>
      <c r="T123" s="634">
        <f t="shared" si="9"/>
        <v>0</v>
      </c>
      <c r="U123" s="634">
        <f t="shared" si="10"/>
        <v>0</v>
      </c>
      <c r="V123" s="634">
        <f t="shared" si="11"/>
        <v>0</v>
      </c>
    </row>
    <row r="124" spans="1:22" x14ac:dyDescent="0.25">
      <c r="A124" s="191" t="str">
        <f>TRP!C221</f>
        <v xml:space="preserve">GN25 </v>
      </c>
      <c r="B124" s="509" t="str">
        <f>TRP!B221</f>
        <v>ARCHITECTURE  INGENIERIE  CONTROLE</v>
      </c>
      <c r="C124" s="636">
        <f>TRP!A221</f>
        <v>19</v>
      </c>
      <c r="D124" s="75">
        <v>26341</v>
      </c>
      <c r="E124" s="75">
        <v>22350</v>
      </c>
      <c r="F124" s="75">
        <v>48691</v>
      </c>
      <c r="G124" s="75">
        <v>397</v>
      </c>
      <c r="H124" s="75">
        <v>0</v>
      </c>
      <c r="I124" s="75">
        <v>649</v>
      </c>
      <c r="J124" s="75">
        <v>1046</v>
      </c>
      <c r="K124" s="75">
        <v>49737</v>
      </c>
      <c r="L124" s="75">
        <v>15496</v>
      </c>
      <c r="M124" s="73">
        <v>6453</v>
      </c>
      <c r="N124" s="73">
        <v>761</v>
      </c>
      <c r="O124" s="73">
        <v>-360</v>
      </c>
      <c r="P124" s="191">
        <f>Emploi!D133</f>
        <v>281.70400000000001</v>
      </c>
      <c r="Q124" s="191"/>
      <c r="R124" s="697"/>
      <c r="S124" s="634">
        <f t="shared" si="8"/>
        <v>0</v>
      </c>
      <c r="T124" s="634">
        <f t="shared" si="9"/>
        <v>0</v>
      </c>
      <c r="U124" s="634">
        <f t="shared" si="10"/>
        <v>0</v>
      </c>
      <c r="V124" s="634">
        <f t="shared" si="11"/>
        <v>0</v>
      </c>
    </row>
    <row r="125" spans="1:22" x14ac:dyDescent="0.25">
      <c r="A125" s="191" t="str">
        <f>TRP!C222</f>
        <v xml:space="preserve">GN31 </v>
      </c>
      <c r="B125" s="509" t="str">
        <f>TRP!B222</f>
        <v>LOCATION SANS OPERATEUR</v>
      </c>
      <c r="C125" s="636">
        <f>TRP!A222</f>
        <v>19</v>
      </c>
      <c r="D125" s="75">
        <v>12039</v>
      </c>
      <c r="E125" s="75">
        <v>13013</v>
      </c>
      <c r="F125" s="75">
        <v>25052</v>
      </c>
      <c r="G125" s="75">
        <v>107</v>
      </c>
      <c r="H125" s="75">
        <v>0</v>
      </c>
      <c r="I125" s="75">
        <v>266</v>
      </c>
      <c r="J125" s="75">
        <v>373</v>
      </c>
      <c r="K125" s="75">
        <v>25425</v>
      </c>
      <c r="L125" s="75">
        <v>2945</v>
      </c>
      <c r="M125" s="73">
        <v>9751</v>
      </c>
      <c r="N125" s="73">
        <v>365</v>
      </c>
      <c r="O125" s="73">
        <v>-48</v>
      </c>
      <c r="P125" s="191">
        <f>Emploi!D135</f>
        <v>71.793000000000006</v>
      </c>
      <c r="Q125" s="191"/>
      <c r="R125" s="697"/>
      <c r="S125" s="634">
        <f t="shared" si="8"/>
        <v>0</v>
      </c>
      <c r="T125" s="634">
        <f t="shared" si="9"/>
        <v>0</v>
      </c>
      <c r="U125" s="634">
        <f t="shared" si="10"/>
        <v>0</v>
      </c>
      <c r="V125" s="634">
        <f t="shared" si="11"/>
        <v>0</v>
      </c>
    </row>
    <row r="126" spans="1:22" x14ac:dyDescent="0.25">
      <c r="A126" s="191" t="str">
        <f>TRP!C223</f>
        <v xml:space="preserve">GN32 </v>
      </c>
      <c r="B126" s="509" t="str">
        <f>TRP!B223</f>
        <v>SELECTION ET FOURNITURE DE PERSONNEL</v>
      </c>
      <c r="C126" s="636">
        <f>TRP!A223</f>
        <v>19</v>
      </c>
      <c r="D126" s="75">
        <v>2513</v>
      </c>
      <c r="E126" s="75">
        <v>24733</v>
      </c>
      <c r="F126" s="75">
        <v>27246</v>
      </c>
      <c r="G126" s="75">
        <v>9</v>
      </c>
      <c r="H126" s="75">
        <v>0</v>
      </c>
      <c r="I126" s="75">
        <v>1228</v>
      </c>
      <c r="J126" s="75">
        <v>1237</v>
      </c>
      <c r="K126" s="75">
        <v>28483</v>
      </c>
      <c r="L126" s="75">
        <v>24010</v>
      </c>
      <c r="M126" s="73">
        <v>11</v>
      </c>
      <c r="N126" s="73">
        <v>830</v>
      </c>
      <c r="O126" s="73">
        <v>-118</v>
      </c>
      <c r="P126" s="191">
        <f>Emploi!D136</f>
        <v>786.846</v>
      </c>
      <c r="Q126" s="191"/>
      <c r="R126" s="697"/>
      <c r="S126" s="634">
        <f t="shared" ref="S126:S154" si="12">F126-SUM(D126:E126)</f>
        <v>0</v>
      </c>
      <c r="T126" s="634">
        <f t="shared" ref="T126:T154" si="13">SUM(F126:I126)-K126</f>
        <v>0</v>
      </c>
      <c r="U126" s="634">
        <f t="shared" ref="U126:U154" si="14">SUM(G126:I126)-J126</f>
        <v>0</v>
      </c>
      <c r="V126" s="634">
        <f t="shared" ref="V126:V154" si="15">SUM(L126:O126)-E126</f>
        <v>0</v>
      </c>
    </row>
    <row r="127" spans="1:22" x14ac:dyDescent="0.25">
      <c r="A127" s="191" t="str">
        <f>TRP!C224</f>
        <v xml:space="preserve">GN33 </v>
      </c>
      <c r="B127" s="509" t="str">
        <f>TRP!B224</f>
        <v>SECURITE  NETTOYAGE ET SERVICES DIVERS A</v>
      </c>
      <c r="C127" s="636">
        <f>TRP!A224</f>
        <v>19</v>
      </c>
      <c r="D127" s="75">
        <v>47278</v>
      </c>
      <c r="E127" s="75">
        <v>53099</v>
      </c>
      <c r="F127" s="75">
        <v>100377</v>
      </c>
      <c r="G127" s="75">
        <v>14</v>
      </c>
      <c r="H127" s="75">
        <v>0</v>
      </c>
      <c r="I127" s="75">
        <v>1589</v>
      </c>
      <c r="J127" s="75">
        <v>1603</v>
      </c>
      <c r="K127" s="75">
        <v>101980</v>
      </c>
      <c r="L127" s="75">
        <v>35221</v>
      </c>
      <c r="M127" s="73">
        <v>16699</v>
      </c>
      <c r="N127" s="73">
        <v>1720</v>
      </c>
      <c r="O127" s="73">
        <v>-541</v>
      </c>
      <c r="P127" s="191">
        <f>Emploi!D137</f>
        <v>953.875</v>
      </c>
      <c r="Q127" s="191"/>
      <c r="R127" s="697"/>
      <c r="S127" s="634">
        <f t="shared" si="12"/>
        <v>0</v>
      </c>
      <c r="T127" s="634">
        <f t="shared" si="13"/>
        <v>0</v>
      </c>
      <c r="U127" s="634">
        <f t="shared" si="14"/>
        <v>0</v>
      </c>
      <c r="V127" s="634">
        <f t="shared" si="15"/>
        <v>0</v>
      </c>
    </row>
    <row r="128" spans="1:22" x14ac:dyDescent="0.25">
      <c r="A128" s="191" t="str">
        <f>TRP!C225</f>
        <v xml:space="preserve">GN34 </v>
      </c>
      <c r="B128" s="509" t="str">
        <f>TRP!B225</f>
        <v>ASSAINISSEMENT  VOIRIE ET GESTION DES DE</v>
      </c>
      <c r="C128" s="636">
        <f>TRP!A225</f>
        <v>19</v>
      </c>
      <c r="D128" s="75">
        <v>6064</v>
      </c>
      <c r="E128" s="75">
        <v>9658</v>
      </c>
      <c r="F128" s="75">
        <v>15722</v>
      </c>
      <c r="G128" s="75">
        <v>-196</v>
      </c>
      <c r="H128" s="75">
        <v>0</v>
      </c>
      <c r="I128" s="75">
        <v>7140</v>
      </c>
      <c r="J128" s="75">
        <v>6944</v>
      </c>
      <c r="K128" s="75">
        <v>22666</v>
      </c>
      <c r="L128" s="75">
        <v>3473</v>
      </c>
      <c r="M128" s="73">
        <v>6181</v>
      </c>
      <c r="N128" s="73">
        <v>398</v>
      </c>
      <c r="O128" s="73">
        <v>-394</v>
      </c>
      <c r="P128" s="191">
        <f>Emploi!D138</f>
        <v>86.91</v>
      </c>
      <c r="Q128" s="191"/>
      <c r="R128" s="697"/>
      <c r="S128" s="634">
        <f t="shared" si="12"/>
        <v>0</v>
      </c>
      <c r="T128" s="634">
        <f t="shared" si="13"/>
        <v>0</v>
      </c>
      <c r="U128" s="634">
        <f t="shared" si="14"/>
        <v>0</v>
      </c>
      <c r="V128" s="634">
        <f t="shared" si="15"/>
        <v>0</v>
      </c>
    </row>
    <row r="129" spans="1:22" x14ac:dyDescent="0.25">
      <c r="A129" s="191" t="str">
        <f>TRP!C226</f>
        <v xml:space="preserve">GN4A </v>
      </c>
      <c r="B129" s="509" t="str">
        <f>TRP!B226</f>
        <v>RECHERCHE ET DEVELOPPEMENT MARCHANDS</v>
      </c>
      <c r="C129" s="636">
        <f>TRP!A226</f>
        <v>19</v>
      </c>
      <c r="D129" s="75">
        <v>16494</v>
      </c>
      <c r="E129" s="75">
        <v>8688</v>
      </c>
      <c r="F129" s="75">
        <v>25182</v>
      </c>
      <c r="G129" s="75">
        <v>0</v>
      </c>
      <c r="H129" s="75">
        <v>0</v>
      </c>
      <c r="I129" s="75">
        <v>1001</v>
      </c>
      <c r="J129" s="75">
        <v>1001</v>
      </c>
      <c r="K129" s="75">
        <v>26183</v>
      </c>
      <c r="L129" s="75">
        <v>9671</v>
      </c>
      <c r="M129" s="73">
        <v>-1277</v>
      </c>
      <c r="N129" s="73">
        <v>634</v>
      </c>
      <c r="O129" s="73">
        <v>-340</v>
      </c>
      <c r="P129" s="191">
        <f>Emploi!D140</f>
        <v>136.553</v>
      </c>
      <c r="Q129" s="191"/>
      <c r="R129" s="697"/>
      <c r="S129" s="634">
        <f t="shared" si="12"/>
        <v>0</v>
      </c>
      <c r="T129" s="634">
        <f t="shared" si="13"/>
        <v>0</v>
      </c>
      <c r="U129" s="634">
        <f t="shared" si="14"/>
        <v>0</v>
      </c>
      <c r="V129" s="634">
        <f t="shared" si="15"/>
        <v>0</v>
      </c>
    </row>
    <row r="130" spans="1:22" x14ac:dyDescent="0.25">
      <c r="A130" s="191" t="str">
        <f>TRP!C227</f>
        <v xml:space="preserve">GN4B </v>
      </c>
      <c r="B130" s="509" t="str">
        <f>TRP!B227</f>
        <v>RECHERCHE ET DEVELOPPEMENT NON MARCHANDS</v>
      </c>
      <c r="C130" s="636">
        <f>TRP!A227</f>
        <v>20</v>
      </c>
      <c r="D130" s="75">
        <v>4145</v>
      </c>
      <c r="E130" s="75">
        <v>5867</v>
      </c>
      <c r="F130" s="75">
        <v>10012</v>
      </c>
      <c r="G130" s="75">
        <v>0</v>
      </c>
      <c r="H130" s="75">
        <v>0</v>
      </c>
      <c r="I130" s="75">
        <v>-1442</v>
      </c>
      <c r="J130" s="75">
        <v>-1442</v>
      </c>
      <c r="K130" s="75">
        <v>8570</v>
      </c>
      <c r="L130" s="75">
        <v>4569</v>
      </c>
      <c r="M130" s="73">
        <v>985</v>
      </c>
      <c r="N130" s="73">
        <v>314</v>
      </c>
      <c r="O130" s="73">
        <v>-1</v>
      </c>
      <c r="P130" s="191">
        <f>Emploi!D141</f>
        <v>85.28</v>
      </c>
      <c r="Q130" s="191"/>
      <c r="R130" s="697"/>
      <c r="S130" s="634">
        <f t="shared" si="12"/>
        <v>0</v>
      </c>
      <c r="T130" s="634">
        <f t="shared" si="13"/>
        <v>0</v>
      </c>
      <c r="U130" s="634">
        <f t="shared" si="14"/>
        <v>0</v>
      </c>
      <c r="V130" s="634">
        <f t="shared" si="15"/>
        <v>0</v>
      </c>
    </row>
    <row r="131" spans="1:22" x14ac:dyDescent="0.25">
      <c r="A131" s="191" t="str">
        <f>TRP!C228</f>
        <v xml:space="preserve">GP10 </v>
      </c>
      <c r="B131" s="509" t="str">
        <f>TRP!B228</f>
        <v>HOTELS ET RESTAURANTS</v>
      </c>
      <c r="C131" s="636">
        <f>TRP!A228</f>
        <v>19</v>
      </c>
      <c r="D131" s="75">
        <v>39358</v>
      </c>
      <c r="E131" s="75">
        <v>37961</v>
      </c>
      <c r="F131" s="75">
        <v>77319</v>
      </c>
      <c r="G131" s="75">
        <v>0</v>
      </c>
      <c r="H131" s="75">
        <v>0</v>
      </c>
      <c r="I131" s="75">
        <v>1197</v>
      </c>
      <c r="J131" s="75">
        <v>1197</v>
      </c>
      <c r="K131" s="75">
        <v>78516</v>
      </c>
      <c r="L131" s="75">
        <v>24971</v>
      </c>
      <c r="M131" s="73">
        <v>12721</v>
      </c>
      <c r="N131" s="73">
        <v>1354</v>
      </c>
      <c r="O131" s="73">
        <v>-1085</v>
      </c>
      <c r="P131" s="191">
        <f>Emploi!D143</f>
        <v>752.50699999999995</v>
      </c>
      <c r="Q131" s="191"/>
      <c r="R131" s="697"/>
      <c r="S131" s="634">
        <f t="shared" si="12"/>
        <v>0</v>
      </c>
      <c r="T131" s="634">
        <f t="shared" si="13"/>
        <v>0</v>
      </c>
      <c r="U131" s="634">
        <f t="shared" si="14"/>
        <v>0</v>
      </c>
      <c r="V131" s="634">
        <f t="shared" si="15"/>
        <v>0</v>
      </c>
    </row>
    <row r="132" spans="1:22" x14ac:dyDescent="0.25">
      <c r="A132" s="191" t="str">
        <f>TRP!C229</f>
        <v xml:space="preserve">GP21 </v>
      </c>
      <c r="B132" s="509" t="str">
        <f>TRP!B229</f>
        <v>ACTIVITES AUDIOVISUELLES</v>
      </c>
      <c r="C132" s="636">
        <f>TRP!A229</f>
        <v>19</v>
      </c>
      <c r="D132" s="75">
        <v>15198</v>
      </c>
      <c r="E132" s="75">
        <v>8572</v>
      </c>
      <c r="F132" s="75">
        <v>23770</v>
      </c>
      <c r="G132" s="75">
        <v>-3764</v>
      </c>
      <c r="H132" s="75">
        <v>0</v>
      </c>
      <c r="I132" s="75">
        <v>2</v>
      </c>
      <c r="J132" s="75">
        <v>-3762</v>
      </c>
      <c r="K132" s="75">
        <v>20008</v>
      </c>
      <c r="L132" s="75">
        <v>4527</v>
      </c>
      <c r="M132" s="73">
        <v>4265</v>
      </c>
      <c r="N132" s="73">
        <v>333</v>
      </c>
      <c r="O132" s="73">
        <v>-553</v>
      </c>
      <c r="P132" s="191">
        <f>Emploi!D145</f>
        <v>69.141000000000005</v>
      </c>
      <c r="Q132" s="191"/>
      <c r="R132" s="697"/>
      <c r="S132" s="634">
        <f t="shared" si="12"/>
        <v>0</v>
      </c>
      <c r="T132" s="634">
        <f t="shared" si="13"/>
        <v>0</v>
      </c>
      <c r="U132" s="634">
        <f t="shared" si="14"/>
        <v>0</v>
      </c>
      <c r="V132" s="634">
        <f t="shared" si="15"/>
        <v>0</v>
      </c>
    </row>
    <row r="133" spans="1:22" x14ac:dyDescent="0.25">
      <c r="A133" s="191" t="str">
        <f>TRP!C230</f>
        <v xml:space="preserve">GP2A </v>
      </c>
      <c r="B133" s="509" t="str">
        <f>TRP!B230</f>
        <v>AUTRES ACTIVITES RECREATIVES  CULTURELLE</v>
      </c>
      <c r="C133" s="636">
        <f>TRP!A230</f>
        <v>19</v>
      </c>
      <c r="D133" s="75">
        <v>10947</v>
      </c>
      <c r="E133" s="75">
        <v>8772</v>
      </c>
      <c r="F133" s="75">
        <v>19719</v>
      </c>
      <c r="G133" s="75">
        <v>-918</v>
      </c>
      <c r="H133" s="75">
        <v>0</v>
      </c>
      <c r="I133" s="75">
        <v>1353</v>
      </c>
      <c r="J133" s="75">
        <v>435</v>
      </c>
      <c r="K133" s="75">
        <v>20154</v>
      </c>
      <c r="L133" s="75">
        <v>4980</v>
      </c>
      <c r="M133" s="73">
        <v>4486</v>
      </c>
      <c r="N133" s="73">
        <v>320</v>
      </c>
      <c r="O133" s="73">
        <v>-1014</v>
      </c>
      <c r="P133" s="191">
        <f>Emploi!D146</f>
        <v>147.227</v>
      </c>
      <c r="Q133" s="191"/>
      <c r="R133" s="697"/>
      <c r="S133" s="634">
        <f t="shared" si="12"/>
        <v>0</v>
      </c>
      <c r="T133" s="634">
        <f t="shared" si="13"/>
        <v>0</v>
      </c>
      <c r="U133" s="634">
        <f t="shared" si="14"/>
        <v>0</v>
      </c>
      <c r="V133" s="634">
        <f t="shared" si="15"/>
        <v>0</v>
      </c>
    </row>
    <row r="134" spans="1:22" x14ac:dyDescent="0.25">
      <c r="A134" s="191" t="str">
        <f>TRP!C231</f>
        <v xml:space="preserve">GP2B </v>
      </c>
      <c r="B134" s="509" t="str">
        <f>TRP!B231</f>
        <v>AUTRES ACTIVITES RECREATIVES  CULTURELLE</v>
      </c>
      <c r="C134" s="636">
        <f>TRP!A231</f>
        <v>19</v>
      </c>
      <c r="D134" s="75">
        <v>9256</v>
      </c>
      <c r="E134" s="75">
        <v>16016</v>
      </c>
      <c r="F134" s="75">
        <v>25272</v>
      </c>
      <c r="G134" s="75">
        <v>0</v>
      </c>
      <c r="H134" s="75">
        <v>0</v>
      </c>
      <c r="I134" s="75">
        <v>-1891</v>
      </c>
      <c r="J134" s="75">
        <v>-1891</v>
      </c>
      <c r="K134" s="75">
        <v>23381</v>
      </c>
      <c r="L134" s="75">
        <v>11210</v>
      </c>
      <c r="M134" s="73">
        <v>4763</v>
      </c>
      <c r="N134" s="73">
        <v>294</v>
      </c>
      <c r="O134" s="73">
        <v>-251</v>
      </c>
      <c r="P134" s="191">
        <f>Emploi!D147</f>
        <v>315.73700000000002</v>
      </c>
      <c r="Q134" s="191"/>
      <c r="R134" s="697"/>
      <c r="S134" s="634">
        <f t="shared" si="12"/>
        <v>0</v>
      </c>
      <c r="T134" s="634">
        <f t="shared" si="13"/>
        <v>0</v>
      </c>
      <c r="U134" s="634">
        <f t="shared" si="14"/>
        <v>0</v>
      </c>
      <c r="V134" s="634">
        <f t="shared" si="15"/>
        <v>0</v>
      </c>
    </row>
    <row r="135" spans="1:22" x14ac:dyDescent="0.25">
      <c r="A135" s="191" t="str">
        <f>TRP!C232</f>
        <v xml:space="preserve">GP31 </v>
      </c>
      <c r="B135" s="509" t="str">
        <f>TRP!B232</f>
        <v>SERVICES PERSONNELS</v>
      </c>
      <c r="C135" s="636">
        <f>TRP!A232</f>
        <v>19</v>
      </c>
      <c r="D135" s="75">
        <v>4299</v>
      </c>
      <c r="E135" s="75">
        <v>9338</v>
      </c>
      <c r="F135" s="75">
        <v>13637</v>
      </c>
      <c r="G135" s="75">
        <v>-57</v>
      </c>
      <c r="H135" s="75">
        <v>0</v>
      </c>
      <c r="I135" s="75">
        <v>142</v>
      </c>
      <c r="J135" s="75">
        <v>85</v>
      </c>
      <c r="K135" s="75">
        <v>13722</v>
      </c>
      <c r="L135" s="75">
        <v>3873</v>
      </c>
      <c r="M135" s="73">
        <v>5351</v>
      </c>
      <c r="N135" s="73">
        <v>172</v>
      </c>
      <c r="O135" s="73">
        <v>-58</v>
      </c>
      <c r="P135" s="191">
        <f>Emploi!D149</f>
        <v>186.392</v>
      </c>
      <c r="Q135" s="191"/>
      <c r="R135" s="697"/>
      <c r="S135" s="634">
        <f t="shared" si="12"/>
        <v>0</v>
      </c>
      <c r="T135" s="634">
        <f t="shared" si="13"/>
        <v>0</v>
      </c>
      <c r="U135" s="634">
        <f t="shared" si="14"/>
        <v>0</v>
      </c>
      <c r="V135" s="634">
        <f t="shared" si="15"/>
        <v>0</v>
      </c>
    </row>
    <row r="136" spans="1:22" x14ac:dyDescent="0.25">
      <c r="A136" s="191" t="str">
        <f>TRP!C233</f>
        <v xml:space="preserve">GP32 </v>
      </c>
      <c r="B136" s="509" t="str">
        <f>TRP!B233</f>
        <v>SERVICES DOMESTIQUES</v>
      </c>
      <c r="C136" s="636">
        <f>TRP!A233</f>
        <v>19</v>
      </c>
      <c r="D136" s="75">
        <v>0</v>
      </c>
      <c r="E136" s="75">
        <v>9109</v>
      </c>
      <c r="F136" s="75">
        <v>9109</v>
      </c>
      <c r="G136" s="75">
        <v>0</v>
      </c>
      <c r="H136" s="75">
        <v>0</v>
      </c>
      <c r="I136" s="75">
        <v>0</v>
      </c>
      <c r="J136" s="75">
        <v>0</v>
      </c>
      <c r="K136" s="75">
        <v>9109</v>
      </c>
      <c r="L136" s="75">
        <v>9050</v>
      </c>
      <c r="M136" s="73">
        <v>0</v>
      </c>
      <c r="N136" s="73">
        <v>59</v>
      </c>
      <c r="O136" s="73">
        <v>0</v>
      </c>
      <c r="P136" s="191">
        <f>Emploi!D150</f>
        <v>430.06</v>
      </c>
      <c r="Q136" s="191"/>
      <c r="R136" s="697"/>
      <c r="S136" s="634">
        <f t="shared" si="12"/>
        <v>0</v>
      </c>
      <c r="T136" s="634">
        <f t="shared" si="13"/>
        <v>0</v>
      </c>
      <c r="U136" s="634">
        <f t="shared" si="14"/>
        <v>0</v>
      </c>
      <c r="V136" s="634">
        <f t="shared" si="15"/>
        <v>0</v>
      </c>
    </row>
    <row r="137" spans="1:22" x14ac:dyDescent="0.25">
      <c r="A137" s="191" t="str">
        <f>TRP!C234</f>
        <v xml:space="preserve">GQ1A </v>
      </c>
      <c r="B137" s="509" t="str">
        <f>TRP!B234</f>
        <v>EDUCATION MARCHANDE</v>
      </c>
      <c r="C137" s="636">
        <f>TRP!A234</f>
        <v>19</v>
      </c>
      <c r="D137" s="75">
        <v>5414</v>
      </c>
      <c r="E137" s="75">
        <v>7748</v>
      </c>
      <c r="F137" s="75">
        <v>13162</v>
      </c>
      <c r="G137" s="75">
        <v>1</v>
      </c>
      <c r="H137" s="75">
        <v>0</v>
      </c>
      <c r="I137" s="75">
        <v>4308</v>
      </c>
      <c r="J137" s="75">
        <v>4309</v>
      </c>
      <c r="K137" s="75">
        <v>17471</v>
      </c>
      <c r="L137" s="75">
        <v>4635</v>
      </c>
      <c r="M137" s="73">
        <v>3354</v>
      </c>
      <c r="N137" s="73">
        <v>176</v>
      </c>
      <c r="O137" s="73">
        <v>-417</v>
      </c>
      <c r="P137" s="191">
        <f>Emploi!D152</f>
        <v>94.537999999999997</v>
      </c>
      <c r="Q137" s="191"/>
      <c r="R137" s="697"/>
      <c r="S137" s="634">
        <f t="shared" si="12"/>
        <v>0</v>
      </c>
      <c r="T137" s="634">
        <f t="shared" si="13"/>
        <v>0</v>
      </c>
      <c r="U137" s="634">
        <f t="shared" si="14"/>
        <v>0</v>
      </c>
      <c r="V137" s="634">
        <f t="shared" si="15"/>
        <v>0</v>
      </c>
    </row>
    <row r="138" spans="1:22" x14ac:dyDescent="0.25">
      <c r="A138" s="191" t="str">
        <f>TRP!C235</f>
        <v xml:space="preserve">GQ1B </v>
      </c>
      <c r="B138" s="509" t="str">
        <f>TRP!B235</f>
        <v>EDUCATION NON MARCHANDE</v>
      </c>
      <c r="C138" s="636">
        <f>TRP!A235</f>
        <v>20</v>
      </c>
      <c r="D138" s="75">
        <v>12934</v>
      </c>
      <c r="E138" s="75">
        <v>79196</v>
      </c>
      <c r="F138" s="75">
        <v>92130</v>
      </c>
      <c r="G138" s="75">
        <v>0</v>
      </c>
      <c r="H138" s="75">
        <v>0</v>
      </c>
      <c r="I138" s="75">
        <v>-5820</v>
      </c>
      <c r="J138" s="75">
        <v>-5820</v>
      </c>
      <c r="K138" s="75">
        <v>86310</v>
      </c>
      <c r="L138" s="75">
        <v>72870</v>
      </c>
      <c r="M138" s="73">
        <v>7257</v>
      </c>
      <c r="N138" s="73">
        <v>745</v>
      </c>
      <c r="O138" s="73">
        <v>-1676</v>
      </c>
      <c r="P138" s="191">
        <f>Emploi!D153</f>
        <v>1627.5409999999999</v>
      </c>
      <c r="Q138" s="191"/>
      <c r="R138" s="697"/>
      <c r="S138" s="634">
        <f t="shared" si="12"/>
        <v>0</v>
      </c>
      <c r="T138" s="634">
        <f t="shared" si="13"/>
        <v>0</v>
      </c>
      <c r="U138" s="634">
        <f t="shared" si="14"/>
        <v>0</v>
      </c>
      <c r="V138" s="634">
        <f t="shared" si="15"/>
        <v>0</v>
      </c>
    </row>
    <row r="139" spans="1:22" x14ac:dyDescent="0.25">
      <c r="A139" s="191" t="str">
        <f>TRP!C236</f>
        <v xml:space="preserve">GQ2A </v>
      </c>
      <c r="B139" s="509" t="str">
        <f>TRP!B236</f>
        <v>SANTE HUMAINE (PARTIE MARCHANDE)</v>
      </c>
      <c r="C139" s="636">
        <f>TRP!A236</f>
        <v>19</v>
      </c>
      <c r="D139" s="75">
        <v>16856</v>
      </c>
      <c r="E139" s="75">
        <v>43984</v>
      </c>
      <c r="F139" s="75">
        <v>60840</v>
      </c>
      <c r="G139" s="75">
        <v>-46</v>
      </c>
      <c r="H139" s="75">
        <v>0</v>
      </c>
      <c r="I139" s="75">
        <v>3570</v>
      </c>
      <c r="J139" s="75">
        <v>3524</v>
      </c>
      <c r="K139" s="75">
        <v>64364</v>
      </c>
      <c r="L139" s="75">
        <v>12503</v>
      </c>
      <c r="M139" s="73">
        <v>30813</v>
      </c>
      <c r="N139" s="73">
        <v>767</v>
      </c>
      <c r="O139" s="73">
        <v>-99</v>
      </c>
      <c r="P139" s="191">
        <f>Emploi!D155</f>
        <v>312.88600000000002</v>
      </c>
      <c r="Q139" s="191"/>
      <c r="R139" s="697"/>
      <c r="S139" s="634">
        <f t="shared" si="12"/>
        <v>0</v>
      </c>
      <c r="T139" s="634">
        <f t="shared" si="13"/>
        <v>0</v>
      </c>
      <c r="U139" s="634">
        <f t="shared" si="14"/>
        <v>0</v>
      </c>
      <c r="V139" s="634">
        <f t="shared" si="15"/>
        <v>0</v>
      </c>
    </row>
    <row r="140" spans="1:22" x14ac:dyDescent="0.25">
      <c r="A140" s="191" t="str">
        <f>TRP!C237</f>
        <v xml:space="preserve">GQ2B </v>
      </c>
      <c r="B140" s="509" t="str">
        <f>TRP!B237</f>
        <v>SANTE NON MARCHANDE</v>
      </c>
      <c r="C140" s="636">
        <f>TRP!A237</f>
        <v>20</v>
      </c>
      <c r="D140" s="75">
        <v>14626</v>
      </c>
      <c r="E140" s="75">
        <v>45299</v>
      </c>
      <c r="F140" s="75">
        <v>59925</v>
      </c>
      <c r="G140" s="75">
        <v>0</v>
      </c>
      <c r="H140" s="75">
        <v>0</v>
      </c>
      <c r="I140" s="75">
        <v>-4679</v>
      </c>
      <c r="J140" s="75">
        <v>-4679</v>
      </c>
      <c r="K140" s="75">
        <v>55246</v>
      </c>
      <c r="L140" s="75">
        <v>38531</v>
      </c>
      <c r="M140" s="73">
        <v>4038</v>
      </c>
      <c r="N140" s="73">
        <v>3127</v>
      </c>
      <c r="O140" s="73">
        <v>-397</v>
      </c>
      <c r="P140" s="191">
        <f>Emploi!D156</f>
        <v>756.41099999999994</v>
      </c>
      <c r="Q140" s="191"/>
      <c r="R140" s="697"/>
      <c r="S140" s="634">
        <f t="shared" si="12"/>
        <v>0</v>
      </c>
      <c r="T140" s="634">
        <f t="shared" si="13"/>
        <v>0</v>
      </c>
      <c r="U140" s="634">
        <f t="shared" si="14"/>
        <v>0</v>
      </c>
      <c r="V140" s="634">
        <f t="shared" si="15"/>
        <v>0</v>
      </c>
    </row>
    <row r="141" spans="1:22" x14ac:dyDescent="0.25">
      <c r="A141" s="191" t="str">
        <f>TRP!C238</f>
        <v xml:space="preserve">GQ2C </v>
      </c>
      <c r="B141" s="509" t="str">
        <f>TRP!B238</f>
        <v>ACTIVITES VETERINAIRES</v>
      </c>
      <c r="C141" s="636">
        <f>TRP!A238</f>
        <v>19</v>
      </c>
      <c r="D141" s="75">
        <v>942</v>
      </c>
      <c r="E141" s="75">
        <v>1313</v>
      </c>
      <c r="F141" s="75">
        <v>2255</v>
      </c>
      <c r="G141" s="75">
        <v>0</v>
      </c>
      <c r="H141" s="75">
        <v>0</v>
      </c>
      <c r="I141" s="75">
        <v>0</v>
      </c>
      <c r="J141" s="75">
        <v>0</v>
      </c>
      <c r="K141" s="75">
        <v>2255</v>
      </c>
      <c r="L141" s="75">
        <v>344</v>
      </c>
      <c r="M141" s="73">
        <v>953</v>
      </c>
      <c r="N141" s="73">
        <v>16</v>
      </c>
      <c r="O141" s="73">
        <v>0</v>
      </c>
      <c r="P141" s="191">
        <f>Emploi!D157</f>
        <v>10.882999999999999</v>
      </c>
      <c r="Q141" s="191"/>
      <c r="R141" s="697"/>
      <c r="S141" s="634">
        <f t="shared" si="12"/>
        <v>0</v>
      </c>
      <c r="T141" s="634">
        <f t="shared" si="13"/>
        <v>0</v>
      </c>
      <c r="U141" s="634">
        <f t="shared" si="14"/>
        <v>0</v>
      </c>
      <c r="V141" s="634">
        <f t="shared" si="15"/>
        <v>0</v>
      </c>
    </row>
    <row r="142" spans="1:22" x14ac:dyDescent="0.25">
      <c r="A142" s="191" t="str">
        <f>TRP!C239</f>
        <v xml:space="preserve">GQ2D </v>
      </c>
      <c r="B142" s="509" t="str">
        <f>TRP!B239</f>
        <v>ACTION SOCIALE (PARTIE MARCHANDE)</v>
      </c>
      <c r="C142" s="636">
        <f>TRP!A239</f>
        <v>19</v>
      </c>
      <c r="D142" s="75">
        <v>7060</v>
      </c>
      <c r="E142" s="75">
        <v>16156</v>
      </c>
      <c r="F142" s="75">
        <v>23216</v>
      </c>
      <c r="G142" s="75">
        <v>22</v>
      </c>
      <c r="H142" s="75">
        <v>0</v>
      </c>
      <c r="I142" s="75">
        <v>807</v>
      </c>
      <c r="J142" s="75">
        <v>829</v>
      </c>
      <c r="K142" s="75">
        <v>24045</v>
      </c>
      <c r="L142" s="75">
        <v>13540</v>
      </c>
      <c r="M142" s="73">
        <v>2255</v>
      </c>
      <c r="N142" s="73">
        <v>449</v>
      </c>
      <c r="O142" s="73">
        <v>-88</v>
      </c>
      <c r="P142" s="191">
        <f>Emploi!D159</f>
        <v>326.26799999999997</v>
      </c>
      <c r="Q142" s="191"/>
      <c r="R142" s="697"/>
      <c r="S142" s="634">
        <f t="shared" si="12"/>
        <v>0</v>
      </c>
      <c r="T142" s="634">
        <f t="shared" si="13"/>
        <v>0</v>
      </c>
      <c r="U142" s="634">
        <f t="shared" si="14"/>
        <v>0</v>
      </c>
      <c r="V142" s="634">
        <f t="shared" si="15"/>
        <v>0</v>
      </c>
    </row>
    <row r="143" spans="1:22" x14ac:dyDescent="0.25">
      <c r="A143" s="191" t="str">
        <f>TRP!C240</f>
        <v xml:space="preserve">GQ2E </v>
      </c>
      <c r="B143" s="509" t="str">
        <f>TRP!B240</f>
        <v>ACTION SOCIALE NON MARCHANDE</v>
      </c>
      <c r="C143" s="636">
        <f>TRP!A240</f>
        <v>20</v>
      </c>
      <c r="D143" s="75">
        <v>6526</v>
      </c>
      <c r="E143" s="75">
        <v>28710</v>
      </c>
      <c r="F143" s="75">
        <v>35236</v>
      </c>
      <c r="G143" s="75">
        <v>0</v>
      </c>
      <c r="H143" s="75">
        <v>0</v>
      </c>
      <c r="I143" s="75">
        <v>-2133</v>
      </c>
      <c r="J143" s="75">
        <v>-2133</v>
      </c>
      <c r="K143" s="75">
        <v>33103</v>
      </c>
      <c r="L143" s="75">
        <v>27420</v>
      </c>
      <c r="M143" s="73">
        <v>911</v>
      </c>
      <c r="N143" s="73">
        <v>591</v>
      </c>
      <c r="O143" s="73">
        <v>-212</v>
      </c>
      <c r="P143" s="191">
        <f>Emploi!D160</f>
        <v>1160.0309999999999</v>
      </c>
      <c r="Q143" s="191"/>
      <c r="R143" s="697"/>
      <c r="S143" s="634">
        <f t="shared" si="12"/>
        <v>0</v>
      </c>
      <c r="T143" s="634">
        <f t="shared" si="13"/>
        <v>0</v>
      </c>
      <c r="U143" s="634">
        <f t="shared" si="14"/>
        <v>0</v>
      </c>
      <c r="V143" s="634">
        <f t="shared" si="15"/>
        <v>0</v>
      </c>
    </row>
    <row r="144" spans="1:22" x14ac:dyDescent="0.25">
      <c r="A144" s="191" t="str">
        <f>TRP!C241</f>
        <v xml:space="preserve">GR10 </v>
      </c>
      <c r="B144" s="509" t="str">
        <f>TRP!B241</f>
        <v>ADMINISTRATION PUBLIQUE</v>
      </c>
      <c r="C144" s="636">
        <f>TRP!A241</f>
        <v>20</v>
      </c>
      <c r="D144" s="75">
        <v>48880</v>
      </c>
      <c r="E144" s="75">
        <v>121442</v>
      </c>
      <c r="F144" s="75">
        <v>170322</v>
      </c>
      <c r="G144" s="75">
        <v>0</v>
      </c>
      <c r="H144" s="75">
        <v>0</v>
      </c>
      <c r="I144" s="75">
        <v>-17238</v>
      </c>
      <c r="J144" s="75">
        <v>-17238</v>
      </c>
      <c r="K144" s="75">
        <v>153084</v>
      </c>
      <c r="L144" s="75">
        <v>95880</v>
      </c>
      <c r="M144" s="73">
        <v>23969</v>
      </c>
      <c r="N144" s="73">
        <v>2550</v>
      </c>
      <c r="O144" s="73">
        <v>-957</v>
      </c>
      <c r="P144" s="191">
        <f>Emploi!D162</f>
        <v>2187.134</v>
      </c>
      <c r="Q144" s="191"/>
      <c r="R144" s="697"/>
      <c r="S144" s="634">
        <f t="shared" si="12"/>
        <v>0</v>
      </c>
      <c r="T144" s="634">
        <f t="shared" si="13"/>
        <v>0</v>
      </c>
      <c r="U144" s="634">
        <f t="shared" si="14"/>
        <v>0</v>
      </c>
      <c r="V144" s="634">
        <f t="shared" si="15"/>
        <v>0</v>
      </c>
    </row>
    <row r="145" spans="1:22" x14ac:dyDescent="0.25">
      <c r="A145" s="191" t="str">
        <f>TRP!C242</f>
        <v xml:space="preserve">GR20 </v>
      </c>
      <c r="B145" s="509" t="str">
        <f>TRP!B242</f>
        <v>ACTIVITES ASSOCIATIVES</v>
      </c>
      <c r="C145" s="636">
        <f>TRP!A242</f>
        <v>20</v>
      </c>
      <c r="D145" s="75">
        <v>4435</v>
      </c>
      <c r="E145" s="75">
        <v>4682</v>
      </c>
      <c r="F145" s="75">
        <v>9117</v>
      </c>
      <c r="G145" s="75">
        <v>0</v>
      </c>
      <c r="H145" s="75">
        <v>0</v>
      </c>
      <c r="I145" s="75">
        <v>-1758</v>
      </c>
      <c r="J145" s="75">
        <v>-1758</v>
      </c>
      <c r="K145" s="75">
        <v>7359</v>
      </c>
      <c r="L145" s="75">
        <v>3355</v>
      </c>
      <c r="M145" s="73">
        <v>1143</v>
      </c>
      <c r="N145" s="73">
        <v>305</v>
      </c>
      <c r="O145" s="73">
        <v>-121</v>
      </c>
      <c r="P145" s="191">
        <f>Emploi!D164</f>
        <v>106.129</v>
      </c>
      <c r="Q145" s="191"/>
      <c r="R145" s="697"/>
      <c r="S145" s="634">
        <f t="shared" si="12"/>
        <v>0</v>
      </c>
      <c r="T145" s="634">
        <f t="shared" si="13"/>
        <v>0</v>
      </c>
      <c r="U145" s="634">
        <f t="shared" si="14"/>
        <v>0</v>
      </c>
      <c r="V145" s="634">
        <f t="shared" si="15"/>
        <v>0</v>
      </c>
    </row>
    <row r="146" spans="1:22" ht="13" x14ac:dyDescent="0.3">
      <c r="A146" s="191"/>
      <c r="B146" s="509" t="s">
        <v>794</v>
      </c>
      <c r="C146" s="637">
        <f>TRP!A245</f>
        <v>27</v>
      </c>
      <c r="D146" s="632">
        <v>1661381</v>
      </c>
      <c r="E146" s="632">
        <v>1614703</v>
      </c>
      <c r="F146" s="632">
        <v>3276084</v>
      </c>
      <c r="G146" s="632">
        <v>0</v>
      </c>
      <c r="H146" s="632">
        <v>0</v>
      </c>
      <c r="I146" s="632">
        <v>0</v>
      </c>
      <c r="J146" s="632">
        <v>0</v>
      </c>
      <c r="K146" s="632">
        <v>3276084</v>
      </c>
      <c r="L146" s="632">
        <v>935671</v>
      </c>
      <c r="M146" s="633">
        <v>626687</v>
      </c>
      <c r="N146" s="633">
        <v>75355</v>
      </c>
      <c r="O146" s="633">
        <v>-23010</v>
      </c>
      <c r="P146" s="191">
        <f>Emploi!D165</f>
        <v>22476.184000000001</v>
      </c>
      <c r="Q146" s="191">
        <f>P146-SUM(P30:P145)</f>
        <v>0</v>
      </c>
      <c r="R146" s="697">
        <f t="shared" ref="R146:R151" si="16">A146</f>
        <v>0</v>
      </c>
      <c r="S146" s="634">
        <f t="shared" si="12"/>
        <v>0</v>
      </c>
      <c r="T146" s="634">
        <f t="shared" si="13"/>
        <v>0</v>
      </c>
      <c r="U146" s="634">
        <f t="shared" si="14"/>
        <v>0</v>
      </c>
      <c r="V146" s="634">
        <f t="shared" si="15"/>
        <v>0</v>
      </c>
    </row>
    <row r="147" spans="1:22" ht="13" x14ac:dyDescent="0.3">
      <c r="B147" s="509" t="str">
        <f>TRP!B246</f>
        <v>PETROLE TOTAL</v>
      </c>
      <c r="C147" s="637">
        <f>TRP!A246</f>
        <v>22</v>
      </c>
      <c r="D147" s="630">
        <f>D97+D$94*TRP!$AN246</f>
        <v>48264.545608773697</v>
      </c>
      <c r="E147" s="630">
        <f>E97+E$94*TRP!$AN246</f>
        <v>2694.3521846679218</v>
      </c>
      <c r="F147" s="630">
        <f>F97+F$94*TRP!$AN246</f>
        <v>50958.897793441618</v>
      </c>
      <c r="G147" s="630">
        <f>G97+G$94*TRP!$AN246</f>
        <v>-583.56131517884501</v>
      </c>
      <c r="H147" s="630">
        <f>H97+H$94*TRP!$AN246</f>
        <v>0</v>
      </c>
      <c r="I147" s="630">
        <f>I97+I$94*TRP!$AN246</f>
        <v>1</v>
      </c>
      <c r="J147" s="630">
        <f>J97+J$94*TRP!$AN246</f>
        <v>-582.56131517884501</v>
      </c>
      <c r="K147" s="630">
        <f>K97+K$94*TRP!$AN246</f>
        <v>50376.336478262776</v>
      </c>
      <c r="L147" s="630">
        <f>L97+L$94*TRP!$AN246</f>
        <v>707.25199203187253</v>
      </c>
      <c r="M147" s="630">
        <f>M97+M$94*TRP!$AN246</f>
        <v>1554.5343899128759</v>
      </c>
      <c r="N147" s="630">
        <f>N97+N$94*TRP!$AN246</f>
        <v>470.47806575894225</v>
      </c>
      <c r="O147" s="630">
        <f>O97+O$94*TRP!$AN246</f>
        <v>-37.912263035769016</v>
      </c>
      <c r="P147" s="630">
        <f>P97+P$94*TRP!$AN246</f>
        <v>15.081853147848168</v>
      </c>
      <c r="Q147" s="191">
        <f>Emploi!A166</f>
        <v>0</v>
      </c>
      <c r="R147" s="697">
        <f t="shared" si="16"/>
        <v>0</v>
      </c>
      <c r="S147" s="634">
        <f t="shared" si="12"/>
        <v>0</v>
      </c>
      <c r="T147" s="634">
        <f t="shared" si="13"/>
        <v>0</v>
      </c>
      <c r="U147" s="634">
        <f t="shared" si="14"/>
        <v>0</v>
      </c>
      <c r="V147" s="634">
        <f t="shared" si="15"/>
        <v>0</v>
      </c>
    </row>
    <row r="148" spans="1:22" ht="13" x14ac:dyDescent="0.3">
      <c r="B148" s="509" t="str">
        <f>TRP!B247</f>
        <v>GAZ TOTAL</v>
      </c>
      <c r="C148" s="637">
        <f>TRP!A247</f>
        <v>24</v>
      </c>
      <c r="D148" s="630">
        <f>D99+D$94*TRP!$AN247</f>
        <v>18359.454391226303</v>
      </c>
      <c r="E148" s="630">
        <f>E99+E$94*TRP!$AN247</f>
        <v>5153.6478153320786</v>
      </c>
      <c r="F148" s="630">
        <f>F99+F$94*TRP!$AN247</f>
        <v>23513.102206558382</v>
      </c>
      <c r="G148" s="630">
        <f>G99+G$94*TRP!$AN247</f>
        <v>476.56131517884506</v>
      </c>
      <c r="H148" s="630">
        <f>H99+H$94*TRP!$AN247</f>
        <v>0</v>
      </c>
      <c r="I148" s="630">
        <f>I99+I$94*TRP!$AN247</f>
        <v>0</v>
      </c>
      <c r="J148" s="630">
        <f>J99+J$94*TRP!$AN247</f>
        <v>476.56131517884506</v>
      </c>
      <c r="K148" s="630">
        <f>K99+K$94*TRP!$AN247</f>
        <v>23989.663521737228</v>
      </c>
      <c r="L148" s="630">
        <f>L99+L$94*TRP!$AN247</f>
        <v>2019.7480079681275</v>
      </c>
      <c r="M148" s="630">
        <f>M99+M$94*TRP!$AN247</f>
        <v>2829.4656100871239</v>
      </c>
      <c r="N148" s="630">
        <f>N99+N$94*TRP!$AN247</f>
        <v>328.52193424105775</v>
      </c>
      <c r="O148" s="630">
        <f>O99+O$94*TRP!$AN247</f>
        <v>-24.087736964230988</v>
      </c>
      <c r="P148" s="630">
        <f>P99+P$94*TRP!$AN247</f>
        <v>28.467146852151831</v>
      </c>
      <c r="Q148" s="191">
        <f>Emploi!A167</f>
        <v>0</v>
      </c>
      <c r="R148" s="697">
        <f t="shared" si="16"/>
        <v>0</v>
      </c>
      <c r="S148" s="634">
        <f t="shared" si="12"/>
        <v>0</v>
      </c>
      <c r="T148" s="634">
        <f t="shared" si="13"/>
        <v>0</v>
      </c>
      <c r="U148" s="634">
        <f t="shared" si="14"/>
        <v>0</v>
      </c>
      <c r="V148" s="634">
        <f t="shared" si="15"/>
        <v>0</v>
      </c>
    </row>
    <row r="149" spans="1:22" ht="13" x14ac:dyDescent="0.3">
      <c r="B149" s="509" t="str">
        <f>TRP!B248</f>
        <v>TRANSPORTS FERROVIAIRES</v>
      </c>
      <c r="C149" s="637">
        <f>TRP!A248</f>
        <v>14</v>
      </c>
      <c r="D149" s="75">
        <f>D106+D$113*TRP!$AV248</f>
        <v>3760.0358088824096</v>
      </c>
      <c r="E149" s="75">
        <f>E106+E$113*TRP!$AV248</f>
        <v>6391.6738804591096</v>
      </c>
      <c r="F149" s="75">
        <f>F106+F$113*TRP!$AV248</f>
        <v>10151.709689341518</v>
      </c>
      <c r="G149" s="75">
        <f>G106+G$113*TRP!$AV248</f>
        <v>-7</v>
      </c>
      <c r="H149" s="75">
        <f>H106+H$113*TRP!$AV248</f>
        <v>0</v>
      </c>
      <c r="I149" s="75">
        <f>I106+I$113*TRP!$AV248</f>
        <v>0</v>
      </c>
      <c r="J149" s="75">
        <f>J106+J$113*TRP!$AV248</f>
        <v>-7</v>
      </c>
      <c r="K149" s="75">
        <f>K106+K$113*TRP!$AV248</f>
        <v>10144.709689341518</v>
      </c>
      <c r="L149" s="75">
        <f>L106+L$113*TRP!$AV248</f>
        <v>5077.1439131059687</v>
      </c>
      <c r="M149" s="75">
        <f>M106+M$113*TRP!$AV248</f>
        <v>982.74048826560988</v>
      </c>
      <c r="N149" s="75">
        <f>N106+N$113*TRP!$AV248</f>
        <v>427.90563209658541</v>
      </c>
      <c r="O149" s="75">
        <f>O106+O$113*TRP!$AV248</f>
        <v>-96.116153009054884</v>
      </c>
      <c r="P149" s="75">
        <f>P106+P$113*TRP!$AV248</f>
        <v>100.57338324127878</v>
      </c>
      <c r="Q149" s="191">
        <f>Emploi!A168</f>
        <v>0</v>
      </c>
      <c r="R149" s="697">
        <f t="shared" si="16"/>
        <v>0</v>
      </c>
      <c r="S149" s="634">
        <f t="shared" si="12"/>
        <v>0</v>
      </c>
      <c r="T149" s="634">
        <f t="shared" si="13"/>
        <v>0</v>
      </c>
      <c r="U149" s="634">
        <f t="shared" si="14"/>
        <v>0</v>
      </c>
      <c r="V149" s="634">
        <f t="shared" si="15"/>
        <v>0</v>
      </c>
    </row>
    <row r="150" spans="1:22" ht="13" x14ac:dyDescent="0.3">
      <c r="B150" s="509" t="str">
        <f>TRP!B249</f>
        <v>TRANSPORT ROUTIER (OU PAR CONDUITES) DE marchandises</v>
      </c>
      <c r="C150" s="637">
        <f>TRP!A249</f>
        <v>16</v>
      </c>
      <c r="D150" s="75">
        <f>D108+D$113*TRP!$AV249</f>
        <v>29253.877250154728</v>
      </c>
      <c r="E150" s="75">
        <f>E108+E$113*TRP!$AV249</f>
        <v>22744.265354730276</v>
      </c>
      <c r="F150" s="75">
        <f>F108+F$113*TRP!$AV249</f>
        <v>51998.142604885004</v>
      </c>
      <c r="G150" s="75">
        <f>G108+G$113*TRP!$AV249</f>
        <v>0</v>
      </c>
      <c r="H150" s="75">
        <f>H108+H$113*TRP!$AV249</f>
        <v>0</v>
      </c>
      <c r="I150" s="75">
        <f>I108+I$113*TRP!$AV249</f>
        <v>0</v>
      </c>
      <c r="J150" s="75">
        <f>J108+J$113*TRP!$AV249</f>
        <v>0</v>
      </c>
      <c r="K150" s="75">
        <f>K108+K$113*TRP!$AV249</f>
        <v>51998.142604885004</v>
      </c>
      <c r="L150" s="75">
        <f>L108+L$113*TRP!$AV249</f>
        <v>15212.018473487993</v>
      </c>
      <c r="M150" s="75">
        <f>M108+M$113*TRP!$AV249</f>
        <v>6554.0147482847933</v>
      </c>
      <c r="N150" s="75">
        <f>N108+N$113*TRP!$AV249</f>
        <v>1099.1871811944702</v>
      </c>
      <c r="O150" s="75">
        <f>O108+O$113*TRP!$AV249</f>
        <v>-120.95504823698158</v>
      </c>
      <c r="P150" s="75">
        <f>P108+P$113*TRP!$AV249</f>
        <v>422.87549427579995</v>
      </c>
      <c r="Q150" s="191">
        <f>Emploi!A169</f>
        <v>0</v>
      </c>
      <c r="R150" s="697">
        <f t="shared" si="16"/>
        <v>0</v>
      </c>
      <c r="S150" s="634">
        <f t="shared" si="12"/>
        <v>0</v>
      </c>
      <c r="T150" s="634">
        <f t="shared" si="13"/>
        <v>0</v>
      </c>
      <c r="U150" s="634">
        <f t="shared" si="14"/>
        <v>0</v>
      </c>
      <c r="V150" s="634">
        <f t="shared" si="15"/>
        <v>0</v>
      </c>
    </row>
    <row r="151" spans="1:22" ht="13" x14ac:dyDescent="0.3">
      <c r="B151" s="509" t="str">
        <f>TRP!B250</f>
        <v>TRANSPORTS PAR EAU</v>
      </c>
      <c r="C151" s="637">
        <f>TRP!A250</f>
        <v>17</v>
      </c>
      <c r="D151" s="75">
        <f>D109+D$113*TRP!$AV250</f>
        <v>9039.2159297901853</v>
      </c>
      <c r="E151" s="75">
        <f>E109+E$113*TRP!$AV250</f>
        <v>3339.9046289316293</v>
      </c>
      <c r="F151" s="75">
        <f>F109+F$113*TRP!$AV250</f>
        <v>12379.120558721816</v>
      </c>
      <c r="G151" s="75">
        <f>G109+G$113*TRP!$AV250</f>
        <v>0</v>
      </c>
      <c r="H151" s="75">
        <f>H109+H$113*TRP!$AV250</f>
        <v>0</v>
      </c>
      <c r="I151" s="75">
        <f>I109+I$113*TRP!$AV250</f>
        <v>2</v>
      </c>
      <c r="J151" s="75">
        <f>J109+J$113*TRP!$AV250</f>
        <v>2</v>
      </c>
      <c r="K151" s="75">
        <f>K109+K$113*TRP!$AV250</f>
        <v>12381.120558721816</v>
      </c>
      <c r="L151" s="75">
        <f>L109+L$113*TRP!$AV250</f>
        <v>1855.0249969934384</v>
      </c>
      <c r="M151" s="75">
        <f>M109+M$113*TRP!$AV250</f>
        <v>1342.5163043637676</v>
      </c>
      <c r="N151" s="75">
        <f>N109+N$113*TRP!$AV250</f>
        <v>156.64229249591548</v>
      </c>
      <c r="O151" s="75">
        <f>O109+O$113*TRP!$AV250</f>
        <v>-14.278964921492076</v>
      </c>
      <c r="P151" s="75">
        <f>P109+P$113*TRP!$AV250</f>
        <v>44.388734871128499</v>
      </c>
      <c r="Q151" s="191">
        <f>Emploi!A170</f>
        <v>0</v>
      </c>
      <c r="R151" s="697">
        <f t="shared" si="16"/>
        <v>0</v>
      </c>
      <c r="S151" s="634">
        <f t="shared" si="12"/>
        <v>0</v>
      </c>
      <c r="T151" s="634">
        <f t="shared" si="13"/>
        <v>0</v>
      </c>
      <c r="U151" s="634">
        <f t="shared" si="14"/>
        <v>0</v>
      </c>
      <c r="V151" s="634">
        <f t="shared" si="15"/>
        <v>0</v>
      </c>
    </row>
    <row r="152" spans="1:22" ht="13" x14ac:dyDescent="0.3">
      <c r="B152" s="509" t="str">
        <f>TRP!B251</f>
        <v>TRANSPORTS AERIENS</v>
      </c>
      <c r="C152" s="637">
        <f>TRP!A251</f>
        <v>18</v>
      </c>
      <c r="D152" s="75">
        <f>D110+D$113*TRP!$AV251</f>
        <v>11713.871011172676</v>
      </c>
      <c r="E152" s="75">
        <f>E110+E$113*TRP!$AV251</f>
        <v>7133.1561358789868</v>
      </c>
      <c r="F152" s="75">
        <f>F110+F$113*TRP!$AV251</f>
        <v>18847.027147051664</v>
      </c>
      <c r="G152" s="75">
        <f>G110+G$113*TRP!$AV251</f>
        <v>0</v>
      </c>
      <c r="H152" s="75">
        <f>H110+H$113*TRP!$AV251</f>
        <v>0</v>
      </c>
      <c r="I152" s="75">
        <f>I110+I$113*TRP!$AV251</f>
        <v>2</v>
      </c>
      <c r="J152" s="75">
        <f>J110+J$113*TRP!$AV251</f>
        <v>2</v>
      </c>
      <c r="K152" s="75">
        <f>K110+K$113*TRP!$AV251</f>
        <v>18849.027147051664</v>
      </c>
      <c r="L152" s="75">
        <f>L110+L$113*TRP!$AV251</f>
        <v>5300.8126164125997</v>
      </c>
      <c r="M152" s="75">
        <f>M110+M$113*TRP!$AV251</f>
        <v>1627.7284590858292</v>
      </c>
      <c r="N152" s="75">
        <f>N110+N$113*TRP!$AV251</f>
        <v>277.26489421302881</v>
      </c>
      <c r="O152" s="75">
        <f>O110+O$113*TRP!$AV251</f>
        <v>-72.649833832471458</v>
      </c>
      <c r="P152" s="75">
        <f>P110+P$113*TRP!$AV251</f>
        <v>76.275387611792766</v>
      </c>
      <c r="Q152" s="191"/>
      <c r="S152" s="634">
        <f t="shared" si="12"/>
        <v>0</v>
      </c>
      <c r="T152" s="634">
        <f t="shared" si="13"/>
        <v>0</v>
      </c>
      <c r="U152" s="634">
        <f t="shared" si="14"/>
        <v>0</v>
      </c>
      <c r="V152" s="634">
        <f t="shared" si="15"/>
        <v>0</v>
      </c>
    </row>
    <row r="153" spans="1:22" ht="13" x14ac:dyDescent="0.3">
      <c r="B153" s="509" t="str">
        <f>TRP!B252</f>
        <v>AUTOMOBILES (VOITURE + MOTOCYCLE)</v>
      </c>
      <c r="C153" s="637">
        <f>TRP!A252</f>
        <v>3</v>
      </c>
      <c r="D153" s="65">
        <f>SUM(D50:D51,D55)-D154</f>
        <v>75884</v>
      </c>
      <c r="E153" s="65">
        <f t="shared" ref="E153:O153" si="17">SUM(E50:E51,E55)-E154</f>
        <v>13367.2</v>
      </c>
      <c r="F153" s="65">
        <f t="shared" si="17"/>
        <v>89251.199999999997</v>
      </c>
      <c r="G153" s="65">
        <f t="shared" si="17"/>
        <v>189</v>
      </c>
      <c r="H153" s="65">
        <f t="shared" si="17"/>
        <v>0</v>
      </c>
      <c r="I153" s="65">
        <f t="shared" si="17"/>
        <v>0</v>
      </c>
      <c r="J153" s="65">
        <f t="shared" si="17"/>
        <v>189</v>
      </c>
      <c r="K153" s="65">
        <f t="shared" si="17"/>
        <v>89440.2</v>
      </c>
      <c r="L153" s="65">
        <f t="shared" si="17"/>
        <v>9884.6</v>
      </c>
      <c r="M153" s="65">
        <f t="shared" si="17"/>
        <v>2534.1999999999998</v>
      </c>
      <c r="N153" s="65">
        <f t="shared" si="17"/>
        <v>1070.0999999999999</v>
      </c>
      <c r="O153" s="65">
        <f t="shared" si="17"/>
        <v>-121.7</v>
      </c>
      <c r="P153" s="65">
        <f>SUM(P50:P51,P55)-P154</f>
        <v>213.88260000000002</v>
      </c>
      <c r="S153" s="634">
        <f t="shared" si="12"/>
        <v>0</v>
      </c>
      <c r="T153" s="634">
        <f t="shared" si="13"/>
        <v>0</v>
      </c>
      <c r="U153" s="634">
        <f t="shared" si="14"/>
        <v>0</v>
      </c>
      <c r="V153" s="634">
        <f t="shared" si="15"/>
        <v>0</v>
      </c>
    </row>
    <row r="154" spans="1:22" ht="13" x14ac:dyDescent="0.3">
      <c r="B154" s="509" t="str">
        <f>TRP!B253</f>
        <v>FABRICATION CYCLE</v>
      </c>
      <c r="C154" s="637">
        <f>TRP!A253</f>
        <v>12</v>
      </c>
      <c r="D154" s="65">
        <f>D55*TRP!$AK$253</f>
        <v>225</v>
      </c>
      <c r="E154" s="65">
        <f>E55*TRP!$AK$253</f>
        <v>79.8</v>
      </c>
      <c r="F154" s="65">
        <f>F55*TRP!$AK$253</f>
        <v>304.8</v>
      </c>
      <c r="G154" s="65">
        <f>G55*TRP!$AK$253</f>
        <v>0</v>
      </c>
      <c r="H154" s="65">
        <f>H55*TRP!$AK$253</f>
        <v>0</v>
      </c>
      <c r="I154" s="65">
        <f>I55*TRP!$AK$253</f>
        <v>0</v>
      </c>
      <c r="J154" s="65">
        <f>J55*TRP!$AK$253</f>
        <v>0</v>
      </c>
      <c r="K154" s="65">
        <f>K55*TRP!$AK$253</f>
        <v>304.8</v>
      </c>
      <c r="L154" s="65">
        <f>L55*TRP!$AK$253</f>
        <v>71.399999999999991</v>
      </c>
      <c r="M154" s="65">
        <f>M55*TRP!$AK$253</f>
        <v>1.7999999999999998</v>
      </c>
      <c r="N154" s="65">
        <f>N55*TRP!$AK$253</f>
        <v>6.8999999999999995</v>
      </c>
      <c r="O154" s="65">
        <f>O55*TRP!$AK$253</f>
        <v>-0.3</v>
      </c>
      <c r="P154" s="65">
        <f>P55*TRP!$AK$253</f>
        <v>1.6794</v>
      </c>
      <c r="Q154" s="191"/>
      <c r="S154" s="634">
        <f t="shared" si="12"/>
        <v>0</v>
      </c>
      <c r="T154" s="634">
        <f t="shared" si="13"/>
        <v>0</v>
      </c>
      <c r="U154" s="634">
        <f t="shared" si="14"/>
        <v>0</v>
      </c>
      <c r="V154" s="634">
        <f t="shared" si="15"/>
        <v>0</v>
      </c>
    </row>
    <row r="155" spans="1:22" ht="13" x14ac:dyDescent="0.3">
      <c r="B155" s="509">
        <f>TRP!B254</f>
        <v>0</v>
      </c>
      <c r="C155" s="637">
        <f>TRP!A254</f>
        <v>100</v>
      </c>
      <c r="M155" s="75"/>
      <c r="N155" s="75"/>
      <c r="O155" s="75"/>
    </row>
    <row r="156" spans="1:22" ht="13" x14ac:dyDescent="0.3">
      <c r="B156" s="509">
        <f>TRP!B255</f>
        <v>0</v>
      </c>
      <c r="C156" s="637">
        <f>TRP!A255</f>
        <v>100</v>
      </c>
    </row>
    <row r="157" spans="1:22" ht="13" x14ac:dyDescent="0.3">
      <c r="B157" s="509">
        <f>TRP!B256</f>
        <v>0</v>
      </c>
      <c r="C157" s="637">
        <f>TRP!A256</f>
        <v>100</v>
      </c>
    </row>
    <row r="158" spans="1:22" ht="13" x14ac:dyDescent="0.3">
      <c r="B158" s="509">
        <f>TRP!B257</f>
        <v>0</v>
      </c>
      <c r="C158" s="637">
        <f>TRP!A257</f>
        <v>100</v>
      </c>
    </row>
    <row r="159" spans="1:22" ht="13" x14ac:dyDescent="0.3">
      <c r="B159" s="509">
        <f>TRP!B258</f>
        <v>0</v>
      </c>
      <c r="C159" s="637">
        <f>TRP!A258</f>
        <v>100</v>
      </c>
    </row>
    <row r="160" spans="1:22" ht="13" x14ac:dyDescent="0.3">
      <c r="B160" s="509">
        <f>TRP!B259</f>
        <v>0</v>
      </c>
      <c r="C160" s="637">
        <f>TRP!A259</f>
        <v>100</v>
      </c>
    </row>
    <row r="161" spans="2:3" ht="13" x14ac:dyDescent="0.3">
      <c r="B161" s="509">
        <f>TRP!B260</f>
        <v>0</v>
      </c>
      <c r="C161" s="637">
        <f>TRP!A260</f>
        <v>100</v>
      </c>
    </row>
    <row r="162" spans="2:3" ht="13" x14ac:dyDescent="0.3">
      <c r="B162" s="509">
        <f>TRP!B261</f>
        <v>0</v>
      </c>
      <c r="C162" s="637">
        <f>TRP!A261</f>
        <v>100</v>
      </c>
    </row>
    <row r="163" spans="2:3" ht="13" x14ac:dyDescent="0.3">
      <c r="B163" s="509">
        <f>TRP!B262</f>
        <v>0</v>
      </c>
      <c r="C163" s="637">
        <f>TRP!A262</f>
        <v>100</v>
      </c>
    </row>
    <row r="164" spans="2:3" ht="13" x14ac:dyDescent="0.3">
      <c r="B164" s="509">
        <f>TRP!B263</f>
        <v>0</v>
      </c>
      <c r="C164" s="637">
        <f>TRP!A263</f>
        <v>100</v>
      </c>
    </row>
    <row r="165" spans="2:3" ht="13" x14ac:dyDescent="0.3">
      <c r="B165" s="509">
        <f>TRP!B264</f>
        <v>0</v>
      </c>
      <c r="C165" s="637">
        <f>TRP!A264</f>
        <v>100</v>
      </c>
    </row>
    <row r="166" spans="2:3" ht="13" x14ac:dyDescent="0.3">
      <c r="B166" s="509">
        <f>TRP!B265</f>
        <v>0</v>
      </c>
      <c r="C166" s="637">
        <f>TRP!A265</f>
        <v>100</v>
      </c>
    </row>
    <row r="167" spans="2:3" ht="13" x14ac:dyDescent="0.3">
      <c r="B167" s="509">
        <f>TRP!B266</f>
        <v>0</v>
      </c>
      <c r="C167" s="637">
        <f>TRP!A266</f>
        <v>100</v>
      </c>
    </row>
    <row r="168" spans="2:3" ht="13" x14ac:dyDescent="0.3">
      <c r="B168" s="509">
        <f>TRP!B267</f>
        <v>0</v>
      </c>
      <c r="C168" s="637">
        <f>TRP!A267</f>
        <v>100</v>
      </c>
    </row>
    <row r="169" spans="2:3" ht="13" x14ac:dyDescent="0.3">
      <c r="B169" s="509">
        <f>TRP!B268</f>
        <v>0</v>
      </c>
      <c r="C169" s="637">
        <f>TRP!A268</f>
        <v>100</v>
      </c>
    </row>
    <row r="170" spans="2:3" ht="13" x14ac:dyDescent="0.3">
      <c r="B170" s="509">
        <f>TRP!B269</f>
        <v>0</v>
      </c>
      <c r="C170" s="637">
        <f>TRP!A269</f>
        <v>100</v>
      </c>
    </row>
    <row r="171" spans="2:3" ht="13" x14ac:dyDescent="0.3">
      <c r="B171" s="509">
        <f>TRP!B270</f>
        <v>0</v>
      </c>
      <c r="C171" s="637">
        <f>TRP!A270</f>
        <v>100</v>
      </c>
    </row>
    <row r="172" spans="2:3" ht="13" x14ac:dyDescent="0.3">
      <c r="B172" s="509">
        <f>TRP!B271</f>
        <v>0</v>
      </c>
      <c r="C172" s="637">
        <f>TRP!A271</f>
        <v>100</v>
      </c>
    </row>
    <row r="173" spans="2:3" ht="13" x14ac:dyDescent="0.3">
      <c r="B173" s="509">
        <f>TRP!B272</f>
        <v>0</v>
      </c>
      <c r="C173" s="637">
        <f>TRP!A272</f>
        <v>100</v>
      </c>
    </row>
    <row r="174" spans="2:3" ht="13" x14ac:dyDescent="0.3">
      <c r="B174" s="509">
        <f>TRP!B273</f>
        <v>0</v>
      </c>
      <c r="C174" s="637">
        <f>TRP!A273</f>
        <v>100</v>
      </c>
    </row>
    <row r="175" spans="2:3" ht="13" x14ac:dyDescent="0.3">
      <c r="B175" s="509">
        <f>TRP!B274</f>
        <v>0</v>
      </c>
      <c r="C175" s="637">
        <f>TRP!A274</f>
        <v>100</v>
      </c>
    </row>
    <row r="176" spans="2:3" ht="13" x14ac:dyDescent="0.3">
      <c r="B176" s="509">
        <f>TRP!B275</f>
        <v>0</v>
      </c>
      <c r="C176" s="637">
        <f>TRP!A275</f>
        <v>100</v>
      </c>
    </row>
    <row r="177" spans="2:3" ht="13" x14ac:dyDescent="0.3">
      <c r="B177" s="509">
        <f>TRP!B276</f>
        <v>0</v>
      </c>
      <c r="C177" s="637">
        <f>TRP!A276</f>
        <v>100</v>
      </c>
    </row>
    <row r="178" spans="2:3" ht="13" x14ac:dyDescent="0.3">
      <c r="B178" s="509">
        <f>TRP!B277</f>
        <v>0</v>
      </c>
      <c r="C178" s="637">
        <f>TRP!A277</f>
        <v>100</v>
      </c>
    </row>
    <row r="179" spans="2:3" ht="13" x14ac:dyDescent="0.3">
      <c r="B179" s="509">
        <f>TRP!B278</f>
        <v>0</v>
      </c>
      <c r="C179" s="637">
        <f>TRP!A278</f>
        <v>100</v>
      </c>
    </row>
    <row r="180" spans="2:3" ht="13" x14ac:dyDescent="0.3">
      <c r="B180" s="509">
        <f>TRP!B279</f>
        <v>0</v>
      </c>
      <c r="C180" s="637">
        <f>TRP!A279</f>
        <v>100</v>
      </c>
    </row>
    <row r="181" spans="2:3" ht="13" x14ac:dyDescent="0.3">
      <c r="B181" s="509">
        <f>TRP!B280</f>
        <v>0</v>
      </c>
      <c r="C181" s="637">
        <f>TRP!A280</f>
        <v>100</v>
      </c>
    </row>
    <row r="182" spans="2:3" ht="13" x14ac:dyDescent="0.3">
      <c r="B182" s="509">
        <f>TRP!B281</f>
        <v>0</v>
      </c>
      <c r="C182" s="637">
        <f>TRP!A281</f>
        <v>100</v>
      </c>
    </row>
    <row r="183" spans="2:3" ht="13" x14ac:dyDescent="0.3">
      <c r="B183" s="509">
        <f>TRP!B282</f>
        <v>0</v>
      </c>
      <c r="C183" s="637">
        <f>TRP!A282</f>
        <v>100</v>
      </c>
    </row>
    <row r="184" spans="2:3" ht="13" x14ac:dyDescent="0.3">
      <c r="B184" s="509">
        <f>TRP!B283</f>
        <v>0</v>
      </c>
      <c r="C184" s="637">
        <f>TRP!A283</f>
        <v>100</v>
      </c>
    </row>
    <row r="185" spans="2:3" ht="13" x14ac:dyDescent="0.3">
      <c r="B185" s="509">
        <f>TRP!B284</f>
        <v>0</v>
      </c>
      <c r="C185" s="637">
        <f>TRP!A284</f>
        <v>100</v>
      </c>
    </row>
    <row r="186" spans="2:3" ht="13" x14ac:dyDescent="0.3">
      <c r="B186" s="509">
        <f>TRP!B285</f>
        <v>0</v>
      </c>
      <c r="C186" s="637">
        <f>TRP!A285</f>
        <v>100</v>
      </c>
    </row>
    <row r="187" spans="2:3" ht="13" x14ac:dyDescent="0.3">
      <c r="B187" s="509">
        <f>TRP!B286</f>
        <v>0</v>
      </c>
      <c r="C187" s="637">
        <f>TRP!A286</f>
        <v>100</v>
      </c>
    </row>
    <row r="188" spans="2:3" ht="13" x14ac:dyDescent="0.3">
      <c r="B188" s="509">
        <f>TRP!B287</f>
        <v>0</v>
      </c>
      <c r="C188" s="637">
        <f>TRP!A287</f>
        <v>100</v>
      </c>
    </row>
    <row r="189" spans="2:3" ht="13" x14ac:dyDescent="0.3">
      <c r="B189" s="509">
        <f>TRP!B288</f>
        <v>0</v>
      </c>
      <c r="C189" s="637">
        <f>TRP!A288</f>
        <v>100</v>
      </c>
    </row>
    <row r="190" spans="2:3" ht="13" x14ac:dyDescent="0.3">
      <c r="B190" s="509">
        <f>TRP!B289</f>
        <v>0</v>
      </c>
      <c r="C190" s="637">
        <f>TRP!A289</f>
        <v>100</v>
      </c>
    </row>
    <row r="191" spans="2:3" ht="13" x14ac:dyDescent="0.3">
      <c r="B191" s="509">
        <f>TRP!B290</f>
        <v>0</v>
      </c>
      <c r="C191" s="637">
        <f>TRP!A290</f>
        <v>100</v>
      </c>
    </row>
    <row r="192" spans="2:3" ht="13" x14ac:dyDescent="0.3">
      <c r="B192" s="509">
        <f>TRP!B291</f>
        <v>0</v>
      </c>
      <c r="C192" s="637">
        <f>TRP!A291</f>
        <v>100</v>
      </c>
    </row>
    <row r="193" spans="2:3" ht="13" x14ac:dyDescent="0.3">
      <c r="B193" s="509">
        <f>TRP!B292</f>
        <v>0</v>
      </c>
      <c r="C193" s="637">
        <f>TRP!A292</f>
        <v>100</v>
      </c>
    </row>
    <row r="194" spans="2:3" ht="13" x14ac:dyDescent="0.3">
      <c r="B194" s="509">
        <f>TRP!B293</f>
        <v>0</v>
      </c>
      <c r="C194" s="637">
        <f>TRP!A293</f>
        <v>100</v>
      </c>
    </row>
    <row r="195" spans="2:3" ht="13" x14ac:dyDescent="0.3">
      <c r="B195" s="509">
        <f>TRP!B294</f>
        <v>0</v>
      </c>
      <c r="C195" s="637">
        <f>TRP!A294</f>
        <v>100</v>
      </c>
    </row>
    <row r="196" spans="2:3" ht="13" x14ac:dyDescent="0.3">
      <c r="B196" s="509">
        <f>TRP!B295</f>
        <v>0</v>
      </c>
      <c r="C196" s="637">
        <f>TRP!A295</f>
        <v>100</v>
      </c>
    </row>
    <row r="197" spans="2:3" ht="13" x14ac:dyDescent="0.3">
      <c r="B197" s="509">
        <f>TRP!B296</f>
        <v>0</v>
      </c>
      <c r="C197" s="637">
        <f>TRP!A296</f>
        <v>100</v>
      </c>
    </row>
    <row r="198" spans="2:3" ht="13" x14ac:dyDescent="0.3">
      <c r="B198" s="509">
        <f>TRP!B297</f>
        <v>0</v>
      </c>
      <c r="C198" s="637">
        <f>TRP!A297</f>
        <v>100</v>
      </c>
    </row>
    <row r="199" spans="2:3" ht="13" x14ac:dyDescent="0.3">
      <c r="B199" s="509">
        <f>TRP!B298</f>
        <v>0</v>
      </c>
      <c r="C199" s="637">
        <f>TRP!A298</f>
        <v>100</v>
      </c>
    </row>
    <row r="200" spans="2:3" ht="13" x14ac:dyDescent="0.3">
      <c r="B200" s="509">
        <f>TRP!B299</f>
        <v>0</v>
      </c>
      <c r="C200" s="637">
        <f>TRP!A299</f>
        <v>100</v>
      </c>
    </row>
    <row r="201" spans="2:3" ht="13" x14ac:dyDescent="0.3">
      <c r="B201" s="509">
        <f>TRP!B300</f>
        <v>0</v>
      </c>
      <c r="C201" s="637">
        <f>TRP!A300</f>
        <v>100</v>
      </c>
    </row>
    <row r="202" spans="2:3" ht="13" x14ac:dyDescent="0.3">
      <c r="B202" s="509">
        <f>TRP!B301</f>
        <v>0</v>
      </c>
      <c r="C202" s="637">
        <f>TRP!A301</f>
        <v>100</v>
      </c>
    </row>
    <row r="203" spans="2:3" ht="13" x14ac:dyDescent="0.3">
      <c r="B203" s="509">
        <f>TRP!B302</f>
        <v>0</v>
      </c>
      <c r="C203" s="637">
        <f>TRP!A302</f>
        <v>100</v>
      </c>
    </row>
    <row r="204" spans="2:3" ht="13" x14ac:dyDescent="0.3">
      <c r="B204" s="509">
        <f>TRP!B303</f>
        <v>0</v>
      </c>
      <c r="C204" s="637">
        <f>TRP!A303</f>
        <v>100</v>
      </c>
    </row>
    <row r="205" spans="2:3" ht="13" x14ac:dyDescent="0.3">
      <c r="B205" s="509">
        <f>TRP!B304</f>
        <v>0</v>
      </c>
      <c r="C205" s="637">
        <f>TRP!A304</f>
        <v>100</v>
      </c>
    </row>
    <row r="206" spans="2:3" ht="13" x14ac:dyDescent="0.3">
      <c r="B206" s="509">
        <f>TRP!B305</f>
        <v>0</v>
      </c>
      <c r="C206" s="637">
        <f>TRP!A305</f>
        <v>100</v>
      </c>
    </row>
    <row r="207" spans="2:3" ht="13" x14ac:dyDescent="0.3">
      <c r="B207" s="509">
        <f>TRP!B306</f>
        <v>0</v>
      </c>
      <c r="C207" s="637">
        <f>TRP!A306</f>
        <v>100</v>
      </c>
    </row>
    <row r="208" spans="2:3" ht="13" x14ac:dyDescent="0.3">
      <c r="B208" s="509">
        <f>TRP!B307</f>
        <v>0</v>
      </c>
      <c r="C208" s="637">
        <f>TRP!A307</f>
        <v>100</v>
      </c>
    </row>
    <row r="209" spans="2:3" ht="13" x14ac:dyDescent="0.3">
      <c r="B209" s="509">
        <f>TRP!B308</f>
        <v>0</v>
      </c>
      <c r="C209" s="637">
        <f>TRP!A308</f>
        <v>100</v>
      </c>
    </row>
    <row r="210" spans="2:3" ht="13" x14ac:dyDescent="0.3">
      <c r="B210" s="509">
        <f>TRP!B309</f>
        <v>0</v>
      </c>
      <c r="C210" s="637">
        <f>TRP!A309</f>
        <v>100</v>
      </c>
    </row>
    <row r="211" spans="2:3" ht="13" x14ac:dyDescent="0.3">
      <c r="B211" s="509">
        <f>TRP!B310</f>
        <v>0</v>
      </c>
      <c r="C211" s="637">
        <f>TRP!A310</f>
        <v>100</v>
      </c>
    </row>
    <row r="212" spans="2:3" ht="13" x14ac:dyDescent="0.3">
      <c r="B212" s="509">
        <f>TRP!B311</f>
        <v>0</v>
      </c>
      <c r="C212" s="637">
        <f>TRP!A311</f>
        <v>100</v>
      </c>
    </row>
    <row r="213" spans="2:3" ht="13" x14ac:dyDescent="0.3">
      <c r="B213" s="509">
        <f>TRP!B312</f>
        <v>0</v>
      </c>
      <c r="C213" s="637">
        <f>TRP!A312</f>
        <v>100</v>
      </c>
    </row>
    <row r="214" spans="2:3" ht="13" x14ac:dyDescent="0.3">
      <c r="B214" s="509">
        <f>TRP!B313</f>
        <v>0</v>
      </c>
      <c r="C214" s="637">
        <f>TRP!A313</f>
        <v>100</v>
      </c>
    </row>
    <row r="215" spans="2:3" ht="13" x14ac:dyDescent="0.3">
      <c r="B215" s="509">
        <f>TRP!B314</f>
        <v>0</v>
      </c>
      <c r="C215" s="637">
        <f>TRP!A314</f>
        <v>100</v>
      </c>
    </row>
    <row r="216" spans="2:3" ht="13" x14ac:dyDescent="0.3">
      <c r="B216" s="509"/>
      <c r="C216" s="631"/>
    </row>
    <row r="217" spans="2:3" ht="13" x14ac:dyDescent="0.3">
      <c r="B217" s="509"/>
      <c r="C217" s="631"/>
    </row>
    <row r="218" spans="2:3" ht="13" x14ac:dyDescent="0.3">
      <c r="B218" s="509"/>
      <c r="C218" s="631"/>
    </row>
    <row r="219" spans="2:3" ht="13" x14ac:dyDescent="0.3">
      <c r="B219" s="509"/>
      <c r="C219" s="631"/>
    </row>
  </sheetData>
  <mergeCells count="2">
    <mergeCell ref="A20:DP20"/>
    <mergeCell ref="A2:DP2"/>
  </mergeCells>
  <phoneticPr fontId="0" type="noConversion"/>
  <pageMargins left="0" right="0" top="0" bottom="0" header="0.51181102362204722" footer="0.51181102362204722"/>
  <pageSetup paperSize="9" scale="60" orientation="landscape"/>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71"/>
  <sheetViews>
    <sheetView workbookViewId="0">
      <selection activeCell="D6" sqref="D6"/>
    </sheetView>
  </sheetViews>
  <sheetFormatPr baseColWidth="10" defaultColWidth="8.81640625" defaultRowHeight="12.5" x14ac:dyDescent="0.25"/>
  <cols>
    <col min="1" max="1" width="6" style="784" customWidth="1"/>
    <col min="2" max="2" width="15.453125" style="784" bestFit="1" customWidth="1"/>
    <col min="3" max="3" width="58" style="784" customWidth="1"/>
    <col min="4" max="4" width="15.453125" style="784" bestFit="1" customWidth="1"/>
  </cols>
  <sheetData>
    <row r="1" spans="1:4" x14ac:dyDescent="0.25">
      <c r="B1" s="784" t="s">
        <v>410</v>
      </c>
    </row>
    <row r="2" spans="1:4" ht="13" x14ac:dyDescent="0.3">
      <c r="A2" s="785"/>
      <c r="B2" s="785"/>
      <c r="C2" s="785"/>
      <c r="D2" s="785"/>
    </row>
    <row r="3" spans="1:4" ht="13" x14ac:dyDescent="0.3">
      <c r="A3" s="785"/>
      <c r="B3" s="785"/>
      <c r="C3" s="785"/>
      <c r="D3" s="790">
        <v>2006</v>
      </c>
    </row>
    <row r="4" spans="1:4" ht="13" x14ac:dyDescent="0.3">
      <c r="A4" s="786" t="s">
        <v>413</v>
      </c>
      <c r="B4" s="785" t="s">
        <v>338</v>
      </c>
      <c r="C4" s="785"/>
      <c r="D4" s="785">
        <v>390.18900000000002</v>
      </c>
    </row>
    <row r="5" spans="1:4" x14ac:dyDescent="0.25">
      <c r="A5" s="786" t="s">
        <v>414</v>
      </c>
      <c r="B5" s="784" t="s">
        <v>82</v>
      </c>
      <c r="D5" s="784">
        <v>353.31299999999999</v>
      </c>
    </row>
    <row r="6" spans="1:4" x14ac:dyDescent="0.25">
      <c r="A6" s="786" t="s">
        <v>415</v>
      </c>
      <c r="B6" s="784" t="s">
        <v>83</v>
      </c>
      <c r="D6" s="784">
        <v>22.591999999999999</v>
      </c>
    </row>
    <row r="7" spans="1:4" x14ac:dyDescent="0.25">
      <c r="A7" s="786" t="s">
        <v>416</v>
      </c>
      <c r="B7" s="784" t="s">
        <v>84</v>
      </c>
      <c r="D7" s="784">
        <v>14.284000000000001</v>
      </c>
    </row>
    <row r="8" spans="1:4" x14ac:dyDescent="0.25">
      <c r="A8" s="786" t="s">
        <v>417</v>
      </c>
      <c r="B8" s="784" t="s">
        <v>339</v>
      </c>
      <c r="D8" s="784">
        <v>181.39599999999999</v>
      </c>
    </row>
    <row r="9" spans="1:4" x14ac:dyDescent="0.25">
      <c r="A9" s="786" t="s">
        <v>418</v>
      </c>
      <c r="B9" s="784" t="s">
        <v>85</v>
      </c>
      <c r="D9" s="784">
        <v>132.74600000000001</v>
      </c>
    </row>
    <row r="10" spans="1:4" x14ac:dyDescent="0.25">
      <c r="A10" s="786" t="s">
        <v>419</v>
      </c>
      <c r="B10" s="784" t="s">
        <v>86</v>
      </c>
      <c r="D10" s="784">
        <v>48.65</v>
      </c>
    </row>
    <row r="11" spans="1:4" x14ac:dyDescent="0.25">
      <c r="A11" s="786" t="s">
        <v>420</v>
      </c>
      <c r="B11" s="784" t="s">
        <v>340</v>
      </c>
      <c r="D11" s="784">
        <v>302.67</v>
      </c>
    </row>
    <row r="12" spans="1:4" x14ac:dyDescent="0.25">
      <c r="A12" s="786" t="s">
        <v>421</v>
      </c>
      <c r="B12" s="784" t="s">
        <v>87</v>
      </c>
      <c r="D12" s="784">
        <v>23.965</v>
      </c>
    </row>
    <row r="13" spans="1:4" x14ac:dyDescent="0.25">
      <c r="A13" s="786" t="s">
        <v>422</v>
      </c>
      <c r="B13" s="784" t="s">
        <v>341</v>
      </c>
      <c r="D13" s="784">
        <v>29.5</v>
      </c>
    </row>
    <row r="14" spans="1:4" x14ac:dyDescent="0.25">
      <c r="A14" s="786" t="s">
        <v>423</v>
      </c>
      <c r="B14" s="784" t="s">
        <v>89</v>
      </c>
      <c r="D14" s="784">
        <v>247.029</v>
      </c>
    </row>
    <row r="15" spans="1:4" x14ac:dyDescent="0.25">
      <c r="A15" s="786" t="s">
        <v>424</v>
      </c>
      <c r="B15" s="784" t="s">
        <v>90</v>
      </c>
      <c r="D15" s="784">
        <v>2.1760000000000002</v>
      </c>
    </row>
    <row r="16" spans="1:4" x14ac:dyDescent="0.25">
      <c r="A16" s="786" t="s">
        <v>425</v>
      </c>
      <c r="B16" s="784" t="s">
        <v>342</v>
      </c>
      <c r="D16" s="784">
        <v>78.638000000000005</v>
      </c>
    </row>
    <row r="17" spans="1:4" x14ac:dyDescent="0.25">
      <c r="A17" s="786" t="s">
        <v>426</v>
      </c>
      <c r="B17" s="784" t="s">
        <v>343</v>
      </c>
      <c r="D17" s="784">
        <v>50.554000000000002</v>
      </c>
    </row>
    <row r="18" spans="1:4" x14ac:dyDescent="0.25">
      <c r="A18" s="786" t="s">
        <v>427</v>
      </c>
      <c r="B18" s="784" t="s">
        <v>92</v>
      </c>
      <c r="D18" s="784">
        <v>28.084</v>
      </c>
    </row>
    <row r="19" spans="1:4" x14ac:dyDescent="0.25">
      <c r="A19" s="786" t="s">
        <v>428</v>
      </c>
      <c r="B19" s="784" t="s">
        <v>68</v>
      </c>
      <c r="D19" s="784">
        <v>185.108</v>
      </c>
    </row>
    <row r="20" spans="1:4" x14ac:dyDescent="0.25">
      <c r="A20" s="786" t="s">
        <v>429</v>
      </c>
      <c r="B20" s="784" t="s">
        <v>68</v>
      </c>
      <c r="D20" s="784">
        <v>185.108</v>
      </c>
    </row>
    <row r="21" spans="1:4" x14ac:dyDescent="0.25">
      <c r="A21" s="786" t="s">
        <v>430</v>
      </c>
      <c r="B21" s="784" t="s">
        <v>344</v>
      </c>
      <c r="D21" s="784">
        <v>73.540000000000006</v>
      </c>
    </row>
    <row r="22" spans="1:4" x14ac:dyDescent="0.25">
      <c r="A22" s="786" t="s">
        <v>431</v>
      </c>
      <c r="B22" s="784" t="s">
        <v>93</v>
      </c>
      <c r="D22" s="784">
        <v>48.085000000000001</v>
      </c>
    </row>
    <row r="23" spans="1:4" x14ac:dyDescent="0.25">
      <c r="A23" s="786" t="s">
        <v>432</v>
      </c>
      <c r="B23" s="784" t="s">
        <v>345</v>
      </c>
      <c r="D23" s="784">
        <v>25.454999999999998</v>
      </c>
    </row>
    <row r="24" spans="1:4" x14ac:dyDescent="0.25">
      <c r="A24" s="786" t="s">
        <v>433</v>
      </c>
      <c r="B24" s="784" t="s">
        <v>346</v>
      </c>
      <c r="D24" s="784">
        <v>166.67400000000001</v>
      </c>
    </row>
    <row r="25" spans="1:4" x14ac:dyDescent="0.25">
      <c r="A25" s="786" t="s">
        <v>434</v>
      </c>
      <c r="B25" s="784" t="s">
        <v>95</v>
      </c>
      <c r="D25" s="784">
        <v>91.64</v>
      </c>
    </row>
    <row r="26" spans="1:4" x14ac:dyDescent="0.25">
      <c r="A26" s="786" t="s">
        <v>435</v>
      </c>
      <c r="B26" s="784" t="s">
        <v>347</v>
      </c>
      <c r="D26" s="784">
        <v>12.933</v>
      </c>
    </row>
    <row r="27" spans="1:4" x14ac:dyDescent="0.25">
      <c r="A27" s="786" t="s">
        <v>436</v>
      </c>
      <c r="B27" s="784" t="s">
        <v>348</v>
      </c>
      <c r="D27" s="784">
        <v>22.545999999999999</v>
      </c>
    </row>
    <row r="28" spans="1:4" x14ac:dyDescent="0.25">
      <c r="A28" s="786" t="s">
        <v>437</v>
      </c>
      <c r="B28" s="784" t="s">
        <v>98</v>
      </c>
      <c r="D28" s="784">
        <v>13.885</v>
      </c>
    </row>
    <row r="29" spans="1:4" ht="13" x14ac:dyDescent="0.3">
      <c r="A29" s="786" t="s">
        <v>438</v>
      </c>
      <c r="B29" s="785" t="s">
        <v>349</v>
      </c>
      <c r="C29" s="785"/>
      <c r="D29" s="785">
        <v>11.855</v>
      </c>
    </row>
    <row r="30" spans="1:4" x14ac:dyDescent="0.25">
      <c r="A30" s="786" t="s">
        <v>439</v>
      </c>
      <c r="B30" s="784" t="s">
        <v>350</v>
      </c>
      <c r="D30" s="784">
        <v>13.815</v>
      </c>
    </row>
    <row r="31" spans="1:4" ht="15.5" x14ac:dyDescent="0.35">
      <c r="A31" s="786" t="s">
        <v>440</v>
      </c>
      <c r="B31" s="784" t="s">
        <v>351</v>
      </c>
      <c r="C31" s="3"/>
      <c r="D31" s="784">
        <v>209.964</v>
      </c>
    </row>
    <row r="32" spans="1:4" x14ac:dyDescent="0.25">
      <c r="A32" s="786" t="s">
        <v>441</v>
      </c>
      <c r="B32" s="784" t="s">
        <v>101</v>
      </c>
      <c r="D32" s="784">
        <v>107.485</v>
      </c>
    </row>
    <row r="33" spans="1:4" x14ac:dyDescent="0.25">
      <c r="A33" s="786" t="s">
        <v>442</v>
      </c>
      <c r="B33" s="784" t="s">
        <v>102</v>
      </c>
      <c r="D33" s="784">
        <v>102.479</v>
      </c>
    </row>
    <row r="34" spans="1:4" x14ac:dyDescent="0.25">
      <c r="A34" s="786" t="s">
        <v>443</v>
      </c>
      <c r="B34" s="784" t="s">
        <v>352</v>
      </c>
      <c r="D34" s="784">
        <v>113.471</v>
      </c>
    </row>
    <row r="35" spans="1:4" x14ac:dyDescent="0.25">
      <c r="A35" s="786" t="s">
        <v>444</v>
      </c>
      <c r="B35" s="784" t="s">
        <v>103</v>
      </c>
      <c r="D35" s="784">
        <v>30.154</v>
      </c>
    </row>
    <row r="36" spans="1:4" x14ac:dyDescent="0.25">
      <c r="A36" s="786" t="s">
        <v>445</v>
      </c>
      <c r="B36" s="784" t="s">
        <v>353</v>
      </c>
      <c r="D36" s="784">
        <v>12.608000000000001</v>
      </c>
    </row>
    <row r="37" spans="1:4" x14ac:dyDescent="0.25">
      <c r="A37" s="786" t="s">
        <v>446</v>
      </c>
      <c r="B37" s="787" t="s">
        <v>105</v>
      </c>
      <c r="C37" s="787"/>
      <c r="D37" s="787">
        <v>65.111000000000004</v>
      </c>
    </row>
    <row r="38" spans="1:4" x14ac:dyDescent="0.25">
      <c r="A38" s="786" t="s">
        <v>447</v>
      </c>
      <c r="B38" s="784" t="s">
        <v>354</v>
      </c>
      <c r="D38" s="784">
        <v>5.5979999999999999</v>
      </c>
    </row>
    <row r="39" spans="1:4" x14ac:dyDescent="0.25">
      <c r="A39" s="786" t="s">
        <v>448</v>
      </c>
      <c r="B39" s="784" t="s">
        <v>355</v>
      </c>
      <c r="D39" s="784">
        <v>423.5</v>
      </c>
    </row>
    <row r="40" spans="1:4" x14ac:dyDescent="0.25">
      <c r="A40" s="786" t="s">
        <v>449</v>
      </c>
      <c r="B40" s="784" t="s">
        <v>356</v>
      </c>
      <c r="D40" s="784">
        <v>58.970999999999997</v>
      </c>
    </row>
    <row r="41" spans="1:4" x14ac:dyDescent="0.25">
      <c r="A41" s="786" t="s">
        <v>450</v>
      </c>
      <c r="B41" s="784" t="s">
        <v>357</v>
      </c>
      <c r="D41" s="784">
        <v>80.200999999999993</v>
      </c>
    </row>
    <row r="42" spans="1:4" x14ac:dyDescent="0.25">
      <c r="A42" s="786" t="s">
        <v>451</v>
      </c>
      <c r="B42" s="784" t="s">
        <v>109</v>
      </c>
      <c r="D42" s="784">
        <v>64.072999999999993</v>
      </c>
    </row>
    <row r="43" spans="1:4" x14ac:dyDescent="0.25">
      <c r="A43" s="786" t="s">
        <v>452</v>
      </c>
      <c r="B43" s="784" t="s">
        <v>110</v>
      </c>
      <c r="D43" s="784">
        <v>109.467</v>
      </c>
    </row>
    <row r="44" spans="1:4" x14ac:dyDescent="0.25">
      <c r="A44" s="786" t="s">
        <v>453</v>
      </c>
      <c r="B44" s="784" t="s">
        <v>111</v>
      </c>
      <c r="D44" s="784">
        <v>27.067</v>
      </c>
    </row>
    <row r="45" spans="1:4" x14ac:dyDescent="0.25">
      <c r="A45" s="786" t="s">
        <v>454</v>
      </c>
      <c r="B45" s="784" t="s">
        <v>112</v>
      </c>
      <c r="D45" s="784">
        <v>12.629</v>
      </c>
    </row>
    <row r="46" spans="1:4" x14ac:dyDescent="0.25">
      <c r="A46" s="786" t="s">
        <v>455</v>
      </c>
      <c r="B46" s="784" t="s">
        <v>358</v>
      </c>
      <c r="D46" s="784">
        <v>56.076999999999998</v>
      </c>
    </row>
    <row r="47" spans="1:4" x14ac:dyDescent="0.25">
      <c r="A47" s="786" t="s">
        <v>456</v>
      </c>
      <c r="B47" s="784" t="s">
        <v>114</v>
      </c>
      <c r="D47" s="784">
        <v>15.015000000000001</v>
      </c>
    </row>
    <row r="48" spans="1:4" x14ac:dyDescent="0.25">
      <c r="A48" s="786" t="s">
        <v>457</v>
      </c>
      <c r="B48" s="784" t="s">
        <v>359</v>
      </c>
      <c r="D48" s="784">
        <v>174.34800000000001</v>
      </c>
    </row>
    <row r="49" spans="1:4" x14ac:dyDescent="0.25">
      <c r="A49" s="786" t="s">
        <v>458</v>
      </c>
      <c r="B49" s="784" t="s">
        <v>360</v>
      </c>
      <c r="D49" s="784">
        <v>7.5890000000000004</v>
      </c>
    </row>
    <row r="50" spans="1:4" x14ac:dyDescent="0.25">
      <c r="A50" s="786" t="s">
        <v>459</v>
      </c>
      <c r="B50" s="784" t="s">
        <v>361</v>
      </c>
      <c r="D50" s="784">
        <v>35.185000000000002</v>
      </c>
    </row>
    <row r="51" spans="1:4" x14ac:dyDescent="0.25">
      <c r="A51" s="786" t="s">
        <v>460</v>
      </c>
      <c r="B51" s="784" t="s">
        <v>362</v>
      </c>
      <c r="D51" s="784">
        <v>26.698</v>
      </c>
    </row>
    <row r="52" spans="1:4" x14ac:dyDescent="0.25">
      <c r="A52" s="786" t="s">
        <v>461</v>
      </c>
      <c r="B52" s="784" t="s">
        <v>363</v>
      </c>
      <c r="D52" s="784">
        <v>39.393999999999998</v>
      </c>
    </row>
    <row r="53" spans="1:4" x14ac:dyDescent="0.25">
      <c r="A53" s="786" t="s">
        <v>462</v>
      </c>
      <c r="B53" s="784" t="s">
        <v>364</v>
      </c>
      <c r="D53" s="784">
        <v>65.481999999999999</v>
      </c>
    </row>
    <row r="54" spans="1:4" x14ac:dyDescent="0.25">
      <c r="A54" s="786" t="s">
        <v>463</v>
      </c>
      <c r="B54" s="784" t="s">
        <v>365</v>
      </c>
      <c r="D54" s="784">
        <v>149.24199999999999</v>
      </c>
    </row>
    <row r="55" spans="1:4" x14ac:dyDescent="0.25">
      <c r="A55" s="786" t="s">
        <v>464</v>
      </c>
      <c r="B55" s="784" t="s">
        <v>120</v>
      </c>
      <c r="D55" s="784">
        <v>0.497</v>
      </c>
    </row>
    <row r="56" spans="1:4" x14ac:dyDescent="0.25">
      <c r="A56" s="786" t="s">
        <v>465</v>
      </c>
      <c r="B56" s="784" t="s">
        <v>121</v>
      </c>
      <c r="D56" s="784">
        <v>26.667999999999999</v>
      </c>
    </row>
    <row r="57" spans="1:4" x14ac:dyDescent="0.25">
      <c r="A57" s="786" t="s">
        <v>466</v>
      </c>
      <c r="B57" s="784" t="s">
        <v>366</v>
      </c>
      <c r="D57" s="784">
        <v>37.597000000000001</v>
      </c>
    </row>
    <row r="58" spans="1:4" x14ac:dyDescent="0.25">
      <c r="A58" s="786" t="s">
        <v>467</v>
      </c>
      <c r="B58" s="784" t="s">
        <v>367</v>
      </c>
      <c r="D58" s="784">
        <v>84.48</v>
      </c>
    </row>
    <row r="59" spans="1:4" x14ac:dyDescent="0.25">
      <c r="A59" s="786" t="s">
        <v>468</v>
      </c>
      <c r="B59" s="784" t="s">
        <v>368</v>
      </c>
      <c r="D59" s="784">
        <v>72.075999999999993</v>
      </c>
    </row>
    <row r="60" spans="1:4" x14ac:dyDescent="0.25">
      <c r="A60" s="786" t="s">
        <v>469</v>
      </c>
      <c r="B60" s="784" t="s">
        <v>124</v>
      </c>
      <c r="D60" s="784">
        <v>23.879000000000001</v>
      </c>
    </row>
    <row r="61" spans="1:4" x14ac:dyDescent="0.25">
      <c r="A61" s="786" t="s">
        <v>470</v>
      </c>
      <c r="B61" s="784" t="s">
        <v>125</v>
      </c>
      <c r="D61" s="784">
        <v>35.274000000000001</v>
      </c>
    </row>
    <row r="62" spans="1:4" x14ac:dyDescent="0.25">
      <c r="A62" s="786" t="s">
        <v>471</v>
      </c>
      <c r="B62" s="784" t="s">
        <v>369</v>
      </c>
      <c r="D62" s="784">
        <v>12.923</v>
      </c>
    </row>
    <row r="63" spans="1:4" x14ac:dyDescent="0.25">
      <c r="A63" s="786" t="s">
        <v>472</v>
      </c>
      <c r="B63" s="784" t="s">
        <v>370</v>
      </c>
      <c r="D63" s="784">
        <v>151.99799999999999</v>
      </c>
    </row>
    <row r="64" spans="1:4" x14ac:dyDescent="0.25">
      <c r="A64" s="786" t="s">
        <v>473</v>
      </c>
      <c r="B64" s="784" t="s">
        <v>371</v>
      </c>
      <c r="D64" s="784">
        <v>79.070999999999998</v>
      </c>
    </row>
    <row r="65" spans="1:4" x14ac:dyDescent="0.25">
      <c r="A65" s="786" t="s">
        <v>474</v>
      </c>
      <c r="B65" s="784" t="s">
        <v>372</v>
      </c>
      <c r="D65" s="784">
        <v>24.195</v>
      </c>
    </row>
    <row r="66" spans="1:4" x14ac:dyDescent="0.25">
      <c r="A66" s="786" t="s">
        <v>475</v>
      </c>
      <c r="B66" s="784" t="s">
        <v>373</v>
      </c>
      <c r="C66" s="787"/>
      <c r="D66" s="787">
        <v>48.731999999999999</v>
      </c>
    </row>
    <row r="67" spans="1:4" x14ac:dyDescent="0.25">
      <c r="A67" s="786" t="s">
        <v>476</v>
      </c>
      <c r="B67" s="784" t="s">
        <v>374</v>
      </c>
      <c r="D67" s="784">
        <v>268.44200000000001</v>
      </c>
    </row>
    <row r="68" spans="1:4" x14ac:dyDescent="0.25">
      <c r="A68" s="786" t="s">
        <v>477</v>
      </c>
      <c r="B68" s="784" t="s">
        <v>130</v>
      </c>
      <c r="D68" s="784">
        <v>13.672000000000001</v>
      </c>
    </row>
    <row r="69" spans="1:4" x14ac:dyDescent="0.25">
      <c r="A69" s="786" t="s">
        <v>478</v>
      </c>
      <c r="B69" s="784" t="s">
        <v>131</v>
      </c>
      <c r="D69" s="784">
        <v>18.657</v>
      </c>
    </row>
    <row r="70" spans="1:4" x14ac:dyDescent="0.25">
      <c r="A70" s="786" t="s">
        <v>479</v>
      </c>
      <c r="B70" s="784" t="s">
        <v>132</v>
      </c>
      <c r="D70" s="784">
        <v>29.457000000000001</v>
      </c>
    </row>
    <row r="71" spans="1:4" x14ac:dyDescent="0.25">
      <c r="A71" s="786" t="s">
        <v>480</v>
      </c>
      <c r="B71" s="784" t="s">
        <v>375</v>
      </c>
      <c r="D71" s="784">
        <v>1.6990000000000001</v>
      </c>
    </row>
    <row r="72" spans="1:4" x14ac:dyDescent="0.25">
      <c r="A72" s="786" t="s">
        <v>481</v>
      </c>
      <c r="B72" s="784" t="s">
        <v>134</v>
      </c>
      <c r="D72" s="784">
        <v>50.988</v>
      </c>
    </row>
    <row r="73" spans="1:4" x14ac:dyDescent="0.25">
      <c r="A73" s="786" t="s">
        <v>482</v>
      </c>
      <c r="B73" s="784" t="s">
        <v>135</v>
      </c>
      <c r="D73" s="784">
        <v>153.96899999999999</v>
      </c>
    </row>
    <row r="74" spans="1:4" x14ac:dyDescent="0.25">
      <c r="A74" s="786" t="s">
        <v>483</v>
      </c>
      <c r="B74" s="784" t="s">
        <v>376</v>
      </c>
      <c r="D74" s="784">
        <v>421.45800000000003</v>
      </c>
    </row>
    <row r="75" spans="1:4" x14ac:dyDescent="0.25">
      <c r="A75" s="786" t="s">
        <v>484</v>
      </c>
      <c r="B75" s="784" t="s">
        <v>377</v>
      </c>
      <c r="D75" s="784">
        <v>37.598999999999997</v>
      </c>
    </row>
    <row r="76" spans="1:4" x14ac:dyDescent="0.25">
      <c r="A76" s="786" t="s">
        <v>485</v>
      </c>
      <c r="B76" s="784" t="s">
        <v>137</v>
      </c>
      <c r="D76" s="784">
        <v>14.268000000000001</v>
      </c>
    </row>
    <row r="77" spans="1:4" x14ac:dyDescent="0.25">
      <c r="A77" s="786" t="s">
        <v>486</v>
      </c>
      <c r="B77" s="784" t="s">
        <v>138</v>
      </c>
      <c r="D77" s="784">
        <v>41.384999999999998</v>
      </c>
    </row>
    <row r="78" spans="1:4" x14ac:dyDescent="0.25">
      <c r="A78" s="786" t="s">
        <v>487</v>
      </c>
      <c r="B78" s="784" t="s">
        <v>378</v>
      </c>
      <c r="D78" s="784">
        <v>215.42099999999999</v>
      </c>
    </row>
    <row r="79" spans="1:4" x14ac:dyDescent="0.25">
      <c r="A79" s="786" t="s">
        <v>488</v>
      </c>
      <c r="B79" s="784" t="s">
        <v>140</v>
      </c>
      <c r="D79" s="784">
        <v>86.460999999999999</v>
      </c>
    </row>
    <row r="80" spans="1:4" x14ac:dyDescent="0.25">
      <c r="A80" s="786" t="s">
        <v>489</v>
      </c>
      <c r="B80" s="784" t="s">
        <v>141</v>
      </c>
      <c r="D80" s="784">
        <v>26.324000000000002</v>
      </c>
    </row>
    <row r="81" spans="1:4" x14ac:dyDescent="0.25">
      <c r="A81" s="786" t="s">
        <v>490</v>
      </c>
      <c r="B81" s="784" t="s">
        <v>379</v>
      </c>
      <c r="D81" s="784">
        <v>141.173</v>
      </c>
    </row>
    <row r="82" spans="1:4" x14ac:dyDescent="0.25">
      <c r="A82" s="786" t="s">
        <v>491</v>
      </c>
      <c r="B82" s="784" t="s">
        <v>142</v>
      </c>
      <c r="D82" s="784">
        <v>97.492999999999995</v>
      </c>
    </row>
    <row r="83" spans="1:4" x14ac:dyDescent="0.25">
      <c r="A83" s="786" t="s">
        <v>492</v>
      </c>
      <c r="B83" s="784" t="s">
        <v>143</v>
      </c>
      <c r="D83" s="784">
        <v>43.68</v>
      </c>
    </row>
    <row r="84" spans="1:4" x14ac:dyDescent="0.25">
      <c r="A84" s="786" t="s">
        <v>493</v>
      </c>
      <c r="B84" s="784" t="s">
        <v>380</v>
      </c>
      <c r="D84" s="784">
        <v>27.838000000000001</v>
      </c>
    </row>
    <row r="85" spans="1:4" x14ac:dyDescent="0.25">
      <c r="A85" s="786" t="s">
        <v>494</v>
      </c>
      <c r="B85" s="784" t="s">
        <v>381</v>
      </c>
      <c r="D85" s="784">
        <v>0.59899999999999998</v>
      </c>
    </row>
    <row r="86" spans="1:4" x14ac:dyDescent="0.25">
      <c r="A86" s="786" t="s">
        <v>495</v>
      </c>
      <c r="B86" s="784" t="s">
        <v>382</v>
      </c>
      <c r="D86" s="784">
        <v>1.9510000000000001</v>
      </c>
    </row>
    <row r="87" spans="1:4" x14ac:dyDescent="0.25">
      <c r="A87" s="786" t="s">
        <v>496</v>
      </c>
      <c r="B87" s="784" t="s">
        <v>146</v>
      </c>
      <c r="D87" s="784">
        <v>0</v>
      </c>
    </row>
    <row r="88" spans="1:4" x14ac:dyDescent="0.25">
      <c r="A88" s="786" t="s">
        <v>497</v>
      </c>
      <c r="B88" s="784" t="s">
        <v>147</v>
      </c>
      <c r="D88" s="784">
        <v>11.648</v>
      </c>
    </row>
    <row r="89" spans="1:4" x14ac:dyDescent="0.25">
      <c r="A89" s="786" t="s">
        <v>498</v>
      </c>
      <c r="B89" s="784" t="s">
        <v>148</v>
      </c>
      <c r="D89" s="784">
        <v>13.64</v>
      </c>
    </row>
    <row r="90" spans="1:4" x14ac:dyDescent="0.25">
      <c r="A90" s="786" t="s">
        <v>499</v>
      </c>
      <c r="B90" s="784" t="s">
        <v>383</v>
      </c>
      <c r="D90" s="784">
        <v>159.98500000000001</v>
      </c>
    </row>
    <row r="91" spans="1:4" x14ac:dyDescent="0.25">
      <c r="A91" s="786" t="s">
        <v>500</v>
      </c>
      <c r="B91" s="784" t="s">
        <v>384</v>
      </c>
      <c r="D91" s="784">
        <v>36.735999999999997</v>
      </c>
    </row>
    <row r="92" spans="1:4" x14ac:dyDescent="0.25">
      <c r="A92" s="786" t="s">
        <v>501</v>
      </c>
      <c r="B92" s="784" t="s">
        <v>149</v>
      </c>
      <c r="D92" s="784">
        <v>95.290999999999997</v>
      </c>
    </row>
    <row r="93" spans="1:4" x14ac:dyDescent="0.25">
      <c r="A93" s="786" t="s">
        <v>502</v>
      </c>
      <c r="B93" s="784" t="s">
        <v>385</v>
      </c>
      <c r="D93" s="784">
        <v>27.957999999999998</v>
      </c>
    </row>
    <row r="94" spans="1:4" x14ac:dyDescent="0.25">
      <c r="A94" s="786" t="s">
        <v>503</v>
      </c>
      <c r="B94" s="784" t="s">
        <v>69</v>
      </c>
      <c r="D94" s="784">
        <v>1249.818</v>
      </c>
    </row>
    <row r="95" spans="1:4" x14ac:dyDescent="0.25">
      <c r="A95" s="786" t="s">
        <v>504</v>
      </c>
      <c r="B95" s="784" t="s">
        <v>69</v>
      </c>
      <c r="D95" s="784">
        <v>1249.818</v>
      </c>
    </row>
    <row r="96" spans="1:4" x14ac:dyDescent="0.25">
      <c r="A96" s="786" t="s">
        <v>505</v>
      </c>
      <c r="B96" s="784" t="s">
        <v>70</v>
      </c>
      <c r="D96" s="784">
        <v>248.59299999999999</v>
      </c>
    </row>
    <row r="97" spans="1:4" x14ac:dyDescent="0.25">
      <c r="A97" s="786" t="s">
        <v>506</v>
      </c>
      <c r="B97" s="784" t="s">
        <v>70</v>
      </c>
      <c r="D97" s="787">
        <v>248.59299999999999</v>
      </c>
    </row>
    <row r="98" spans="1:4" x14ac:dyDescent="0.25">
      <c r="A98" s="786" t="s">
        <v>507</v>
      </c>
      <c r="B98" s="784" t="s">
        <v>71</v>
      </c>
      <c r="D98" s="788">
        <v>474.21800000000002</v>
      </c>
    </row>
    <row r="99" spans="1:4" x14ac:dyDescent="0.25">
      <c r="A99" s="786" t="s">
        <v>508</v>
      </c>
      <c r="B99" s="784" t="s">
        <v>71</v>
      </c>
      <c r="D99" s="788">
        <v>474.21800000000002</v>
      </c>
    </row>
    <row r="100" spans="1:4" x14ac:dyDescent="0.25">
      <c r="A100" s="786" t="s">
        <v>509</v>
      </c>
      <c r="B100" s="784" t="s">
        <v>72</v>
      </c>
      <c r="D100" s="788">
        <v>995.87800000000004</v>
      </c>
    </row>
    <row r="101" spans="1:4" x14ac:dyDescent="0.25">
      <c r="A101" s="786" t="s">
        <v>510</v>
      </c>
      <c r="B101" s="784" t="s">
        <v>72</v>
      </c>
      <c r="D101" s="788">
        <v>995.87800000000004</v>
      </c>
    </row>
    <row r="102" spans="1:4" x14ac:dyDescent="0.25">
      <c r="A102" s="786" t="s">
        <v>511</v>
      </c>
      <c r="B102" s="784" t="s">
        <v>73</v>
      </c>
      <c r="D102" s="788">
        <v>1439.662</v>
      </c>
    </row>
    <row r="103" spans="1:4" x14ac:dyDescent="0.25">
      <c r="A103" s="786" t="s">
        <v>512</v>
      </c>
      <c r="B103" s="784" t="s">
        <v>73</v>
      </c>
      <c r="D103" s="788">
        <v>1439.662</v>
      </c>
    </row>
    <row r="104" spans="1:4" x14ac:dyDescent="0.25">
      <c r="A104" s="786" t="s">
        <v>513</v>
      </c>
      <c r="B104" s="784" t="s">
        <v>386</v>
      </c>
      <c r="D104" s="788">
        <v>1042.5429999999999</v>
      </c>
    </row>
    <row r="105" spans="1:4" x14ac:dyDescent="0.25">
      <c r="A105" s="786" t="s">
        <v>514</v>
      </c>
      <c r="B105" s="784" t="s">
        <v>152</v>
      </c>
      <c r="D105" s="788">
        <v>96.347999999999999</v>
      </c>
    </row>
    <row r="106" spans="1:4" x14ac:dyDescent="0.25">
      <c r="A106" s="786" t="s">
        <v>515</v>
      </c>
      <c r="B106" s="784" t="s">
        <v>153</v>
      </c>
      <c r="D106" s="788">
        <v>184.85</v>
      </c>
    </row>
    <row r="107" spans="1:4" x14ac:dyDescent="0.25">
      <c r="A107" s="786" t="s">
        <v>516</v>
      </c>
      <c r="B107" s="784" t="s">
        <v>387</v>
      </c>
      <c r="D107" s="788">
        <v>328.404</v>
      </c>
    </row>
    <row r="108" spans="1:4" x14ac:dyDescent="0.25">
      <c r="A108" s="786" t="s">
        <v>517</v>
      </c>
      <c r="B108" s="784" t="s">
        <v>155</v>
      </c>
      <c r="D108" s="788">
        <v>16.832999999999998</v>
      </c>
    </row>
    <row r="109" spans="1:4" x14ac:dyDescent="0.25">
      <c r="A109" s="786" t="s">
        <v>518</v>
      </c>
      <c r="B109" s="784" t="s">
        <v>156</v>
      </c>
      <c r="D109" s="788">
        <v>66.244</v>
      </c>
    </row>
    <row r="110" spans="1:4" x14ac:dyDescent="0.25">
      <c r="A110" s="786" t="s">
        <v>519</v>
      </c>
      <c r="B110" s="784" t="s">
        <v>388</v>
      </c>
      <c r="D110" s="788" t="s">
        <v>412</v>
      </c>
    </row>
    <row r="111" spans="1:4" x14ac:dyDescent="0.25">
      <c r="A111" s="786" t="s">
        <v>520</v>
      </c>
      <c r="B111" s="784" t="s">
        <v>389</v>
      </c>
      <c r="D111" s="784">
        <v>154.94900000000001</v>
      </c>
    </row>
    <row r="112" spans="1:4" x14ac:dyDescent="0.25">
      <c r="A112" s="786" t="s">
        <v>521</v>
      </c>
      <c r="B112" s="784" t="s">
        <v>158</v>
      </c>
      <c r="D112" s="784">
        <v>58.631</v>
      </c>
    </row>
    <row r="113" spans="1:4" x14ac:dyDescent="0.25">
      <c r="A113" s="786" t="s">
        <v>522</v>
      </c>
      <c r="B113" s="784" t="s">
        <v>390</v>
      </c>
      <c r="D113" s="784" t="s">
        <v>412</v>
      </c>
    </row>
    <row r="114" spans="1:4" x14ac:dyDescent="0.25">
      <c r="A114" s="786" t="s">
        <v>523</v>
      </c>
      <c r="B114" s="784" t="s">
        <v>391</v>
      </c>
      <c r="D114" s="784">
        <v>136.28399999999999</v>
      </c>
    </row>
    <row r="115" spans="1:4" x14ac:dyDescent="0.25">
      <c r="A115" s="786" t="s">
        <v>524</v>
      </c>
      <c r="B115" s="784" t="s">
        <v>74</v>
      </c>
      <c r="D115" s="784">
        <v>436.971</v>
      </c>
    </row>
    <row r="116" spans="1:4" x14ac:dyDescent="0.25">
      <c r="A116" s="786" t="s">
        <v>525</v>
      </c>
      <c r="B116" s="784" t="s">
        <v>74</v>
      </c>
      <c r="D116" s="788">
        <v>436.971</v>
      </c>
    </row>
    <row r="117" spans="1:4" x14ac:dyDescent="0.25">
      <c r="A117" s="786" t="s">
        <v>526</v>
      </c>
      <c r="B117" s="784" t="s">
        <v>392</v>
      </c>
      <c r="D117" s="789">
        <v>288.108</v>
      </c>
    </row>
    <row r="118" spans="1:4" x14ac:dyDescent="0.25">
      <c r="A118" s="786" t="s">
        <v>527</v>
      </c>
      <c r="B118" s="784" t="s">
        <v>159</v>
      </c>
      <c r="D118" s="789">
        <v>158.16399999999999</v>
      </c>
    </row>
    <row r="119" spans="1:4" x14ac:dyDescent="0.25">
      <c r="A119" s="786" t="s">
        <v>528</v>
      </c>
      <c r="B119" s="784" t="s">
        <v>160</v>
      </c>
      <c r="D119" s="789">
        <v>129.94399999999999</v>
      </c>
    </row>
    <row r="120" spans="1:4" x14ac:dyDescent="0.25">
      <c r="A120" s="786" t="s">
        <v>529</v>
      </c>
      <c r="B120" s="784" t="s">
        <v>75</v>
      </c>
      <c r="D120" s="789">
        <v>193.297</v>
      </c>
    </row>
    <row r="121" spans="1:4" x14ac:dyDescent="0.25">
      <c r="A121" s="786" t="s">
        <v>530</v>
      </c>
      <c r="B121" s="784" t="s">
        <v>75</v>
      </c>
      <c r="D121" s="789">
        <v>193.297</v>
      </c>
    </row>
    <row r="122" spans="1:4" x14ac:dyDescent="0.25">
      <c r="A122" s="786" t="s">
        <v>531</v>
      </c>
      <c r="B122" s="784" t="s">
        <v>76</v>
      </c>
      <c r="D122" s="784">
        <v>69.510999999999996</v>
      </c>
    </row>
    <row r="123" spans="1:4" x14ac:dyDescent="0.25">
      <c r="A123" s="786" t="s">
        <v>532</v>
      </c>
      <c r="B123" s="784" t="s">
        <v>76</v>
      </c>
      <c r="D123" s="784">
        <v>69.510999999999996</v>
      </c>
    </row>
    <row r="124" spans="1:4" x14ac:dyDescent="0.25">
      <c r="A124" s="786" t="s">
        <v>533</v>
      </c>
      <c r="B124" s="784" t="s">
        <v>393</v>
      </c>
      <c r="D124" s="784">
        <v>444.56700000000001</v>
      </c>
    </row>
    <row r="125" spans="1:4" x14ac:dyDescent="0.25">
      <c r="A125" s="786" t="s">
        <v>534</v>
      </c>
      <c r="B125" s="784" t="s">
        <v>394</v>
      </c>
      <c r="D125" s="784">
        <v>444.56700000000001</v>
      </c>
    </row>
    <row r="126" spans="1:4" x14ac:dyDescent="0.25">
      <c r="A126" s="786" t="s">
        <v>535</v>
      </c>
      <c r="B126" s="784" t="s">
        <v>395</v>
      </c>
      <c r="D126" s="784" t="s">
        <v>412</v>
      </c>
    </row>
    <row r="127" spans="1:4" x14ac:dyDescent="0.25">
      <c r="A127" s="786" t="s">
        <v>536</v>
      </c>
      <c r="B127" s="784" t="s">
        <v>396</v>
      </c>
      <c r="D127" s="784" t="s">
        <v>412</v>
      </c>
    </row>
    <row r="128" spans="1:4" x14ac:dyDescent="0.25">
      <c r="A128" s="786" t="s">
        <v>537</v>
      </c>
      <c r="B128" s="784" t="s">
        <v>397</v>
      </c>
      <c r="D128" s="784">
        <v>1297.1659999999999</v>
      </c>
    </row>
    <row r="129" spans="1:4" x14ac:dyDescent="0.25">
      <c r="A129" s="786" t="s">
        <v>538</v>
      </c>
      <c r="B129" s="784" t="s">
        <v>161</v>
      </c>
      <c r="D129" s="784">
        <v>461.495</v>
      </c>
    </row>
    <row r="130" spans="1:4" x14ac:dyDescent="0.25">
      <c r="A130" s="786" t="s">
        <v>539</v>
      </c>
      <c r="B130" s="784" t="s">
        <v>162</v>
      </c>
      <c r="D130" s="784">
        <v>323.52999999999997</v>
      </c>
    </row>
    <row r="131" spans="1:4" x14ac:dyDescent="0.25">
      <c r="A131" s="786" t="s">
        <v>540</v>
      </c>
      <c r="B131" s="784" t="s">
        <v>163</v>
      </c>
      <c r="D131" s="784">
        <v>124.883</v>
      </c>
    </row>
    <row r="132" spans="1:4" x14ac:dyDescent="0.25">
      <c r="A132" s="786" t="s">
        <v>541</v>
      </c>
      <c r="B132" s="784" t="s">
        <v>164</v>
      </c>
      <c r="D132" s="784">
        <v>105.554</v>
      </c>
    </row>
    <row r="133" spans="1:4" x14ac:dyDescent="0.25">
      <c r="A133" s="786" t="s">
        <v>542</v>
      </c>
      <c r="B133" s="784" t="s">
        <v>165</v>
      </c>
      <c r="D133" s="784">
        <v>281.70400000000001</v>
      </c>
    </row>
    <row r="134" spans="1:4" x14ac:dyDescent="0.25">
      <c r="A134" s="786" t="s">
        <v>543</v>
      </c>
      <c r="B134" s="784" t="s">
        <v>398</v>
      </c>
      <c r="D134" s="784">
        <v>1899.424</v>
      </c>
    </row>
    <row r="135" spans="1:4" x14ac:dyDescent="0.25">
      <c r="A135" s="786" t="s">
        <v>544</v>
      </c>
      <c r="B135" s="784" t="s">
        <v>166</v>
      </c>
      <c r="D135" s="784">
        <v>71.793000000000006</v>
      </c>
    </row>
    <row r="136" spans="1:4" x14ac:dyDescent="0.25">
      <c r="A136" s="786" t="s">
        <v>545</v>
      </c>
      <c r="B136" s="784" t="s">
        <v>167</v>
      </c>
      <c r="D136" s="784">
        <v>786.846</v>
      </c>
    </row>
    <row r="137" spans="1:4" x14ac:dyDescent="0.25">
      <c r="A137" s="786" t="s">
        <v>546</v>
      </c>
      <c r="B137" s="784" t="s">
        <v>399</v>
      </c>
      <c r="D137" s="784">
        <v>953.875</v>
      </c>
    </row>
    <row r="138" spans="1:4" x14ac:dyDescent="0.25">
      <c r="A138" s="786" t="s">
        <v>547</v>
      </c>
      <c r="B138" s="784" t="s">
        <v>400</v>
      </c>
      <c r="D138" s="784">
        <v>86.91</v>
      </c>
    </row>
    <row r="139" spans="1:4" x14ac:dyDescent="0.25">
      <c r="A139" s="786" t="s">
        <v>548</v>
      </c>
      <c r="B139" s="784" t="s">
        <v>401</v>
      </c>
      <c r="D139" s="784">
        <v>221.833</v>
      </c>
    </row>
    <row r="140" spans="1:4" x14ac:dyDescent="0.25">
      <c r="A140" s="786" t="s">
        <v>549</v>
      </c>
      <c r="B140" s="784" t="s">
        <v>170</v>
      </c>
      <c r="D140" s="784">
        <v>136.553</v>
      </c>
    </row>
    <row r="141" spans="1:4" x14ac:dyDescent="0.25">
      <c r="A141" s="786" t="s">
        <v>550</v>
      </c>
      <c r="B141" s="784" t="s">
        <v>171</v>
      </c>
      <c r="D141" s="784">
        <v>85.28</v>
      </c>
    </row>
    <row r="142" spans="1:4" x14ac:dyDescent="0.25">
      <c r="A142" s="786" t="s">
        <v>551</v>
      </c>
      <c r="B142" s="784" t="s">
        <v>77</v>
      </c>
      <c r="D142" s="784">
        <v>752.50699999999995</v>
      </c>
    </row>
    <row r="143" spans="1:4" x14ac:dyDescent="0.25">
      <c r="A143" s="786" t="s">
        <v>552</v>
      </c>
      <c r="B143" s="784" t="s">
        <v>77</v>
      </c>
      <c r="D143" s="784">
        <v>752.50699999999995</v>
      </c>
    </row>
    <row r="144" spans="1:4" x14ac:dyDescent="0.25">
      <c r="A144" s="786" t="s">
        <v>553</v>
      </c>
      <c r="B144" s="784" t="s">
        <v>402</v>
      </c>
      <c r="D144" s="784">
        <v>532.10500000000002</v>
      </c>
    </row>
    <row r="145" spans="1:4" x14ac:dyDescent="0.25">
      <c r="A145" s="786" t="s">
        <v>554</v>
      </c>
      <c r="B145" s="784" t="s">
        <v>172</v>
      </c>
      <c r="D145" s="784">
        <v>69.141000000000005</v>
      </c>
    </row>
    <row r="146" spans="1:4" x14ac:dyDescent="0.25">
      <c r="A146" s="786" t="s">
        <v>555</v>
      </c>
      <c r="B146" s="784" t="s">
        <v>403</v>
      </c>
      <c r="D146" s="784">
        <v>147.227</v>
      </c>
    </row>
    <row r="147" spans="1:4" x14ac:dyDescent="0.25">
      <c r="A147" s="786" t="s">
        <v>556</v>
      </c>
      <c r="B147" s="784" t="s">
        <v>404</v>
      </c>
      <c r="D147" s="784">
        <v>315.73700000000002</v>
      </c>
    </row>
    <row r="148" spans="1:4" x14ac:dyDescent="0.25">
      <c r="A148" s="786" t="s">
        <v>557</v>
      </c>
      <c r="B148" s="784" t="s">
        <v>405</v>
      </c>
      <c r="D148" s="784">
        <v>616.452</v>
      </c>
    </row>
    <row r="149" spans="1:4" x14ac:dyDescent="0.25">
      <c r="A149" s="786" t="s">
        <v>558</v>
      </c>
      <c r="B149" s="784" t="s">
        <v>174</v>
      </c>
      <c r="D149" s="784">
        <v>186.392</v>
      </c>
    </row>
    <row r="150" spans="1:4" x14ac:dyDescent="0.25">
      <c r="A150" s="786" t="s">
        <v>559</v>
      </c>
      <c r="B150" s="784" t="s">
        <v>175</v>
      </c>
      <c r="D150" s="784">
        <v>430.06</v>
      </c>
    </row>
    <row r="151" spans="1:4" x14ac:dyDescent="0.25">
      <c r="A151" s="786" t="s">
        <v>560</v>
      </c>
      <c r="B151" s="784" t="s">
        <v>406</v>
      </c>
      <c r="D151" s="784">
        <v>1722.079</v>
      </c>
    </row>
    <row r="152" spans="1:4" x14ac:dyDescent="0.25">
      <c r="A152" s="786" t="s">
        <v>561</v>
      </c>
      <c r="B152" s="784" t="s">
        <v>176</v>
      </c>
      <c r="D152" s="784">
        <v>94.537999999999997</v>
      </c>
    </row>
    <row r="153" spans="1:4" x14ac:dyDescent="0.25">
      <c r="A153" s="786" t="s">
        <v>562</v>
      </c>
      <c r="B153" s="784" t="s">
        <v>177</v>
      </c>
      <c r="D153" s="784">
        <v>1627.5409999999999</v>
      </c>
    </row>
    <row r="154" spans="1:4" x14ac:dyDescent="0.25">
      <c r="A154" s="786" t="s">
        <v>563</v>
      </c>
      <c r="B154" s="784" t="s">
        <v>407</v>
      </c>
      <c r="D154" s="784">
        <v>1080.18</v>
      </c>
    </row>
    <row r="155" spans="1:4" x14ac:dyDescent="0.25">
      <c r="A155" s="786" t="s">
        <v>564</v>
      </c>
      <c r="B155" s="784" t="s">
        <v>178</v>
      </c>
      <c r="D155" s="784">
        <v>312.88600000000002</v>
      </c>
    </row>
    <row r="156" spans="1:4" x14ac:dyDescent="0.25">
      <c r="A156" s="786" t="s">
        <v>565</v>
      </c>
      <c r="B156" s="784" t="s">
        <v>179</v>
      </c>
      <c r="D156" s="784">
        <v>756.41099999999994</v>
      </c>
    </row>
    <row r="157" spans="1:4" x14ac:dyDescent="0.25">
      <c r="A157" s="786" t="s">
        <v>566</v>
      </c>
      <c r="B157" s="784" t="s">
        <v>180</v>
      </c>
      <c r="D157" s="784">
        <v>10.882999999999999</v>
      </c>
    </row>
    <row r="158" spans="1:4" x14ac:dyDescent="0.25">
      <c r="A158" s="786" t="s">
        <v>567</v>
      </c>
      <c r="B158" s="784" t="s">
        <v>408</v>
      </c>
      <c r="D158" s="784">
        <v>1486.299</v>
      </c>
    </row>
    <row r="159" spans="1:4" x14ac:dyDescent="0.25">
      <c r="A159" s="786" t="s">
        <v>568</v>
      </c>
      <c r="B159" s="784" t="s">
        <v>181</v>
      </c>
      <c r="D159" s="784">
        <v>326.26799999999997</v>
      </c>
    </row>
    <row r="160" spans="1:4" x14ac:dyDescent="0.25">
      <c r="A160" s="786" t="s">
        <v>569</v>
      </c>
      <c r="B160" s="784" t="s">
        <v>182</v>
      </c>
      <c r="D160" s="784">
        <v>1160.0309999999999</v>
      </c>
    </row>
    <row r="161" spans="1:4" x14ac:dyDescent="0.25">
      <c r="A161" s="786" t="s">
        <v>570</v>
      </c>
      <c r="B161" s="784" t="s">
        <v>78</v>
      </c>
      <c r="D161" s="784">
        <v>2187.134</v>
      </c>
    </row>
    <row r="162" spans="1:4" x14ac:dyDescent="0.25">
      <c r="A162" s="786" t="s">
        <v>571</v>
      </c>
      <c r="B162" s="784" t="s">
        <v>78</v>
      </c>
      <c r="D162" s="784">
        <v>2187.134</v>
      </c>
    </row>
    <row r="163" spans="1:4" x14ac:dyDescent="0.25">
      <c r="A163" s="786" t="s">
        <v>572</v>
      </c>
      <c r="B163" s="784" t="s">
        <v>79</v>
      </c>
      <c r="D163" s="784">
        <v>106.129</v>
      </c>
    </row>
    <row r="164" spans="1:4" x14ac:dyDescent="0.25">
      <c r="A164" s="786" t="s">
        <v>573</v>
      </c>
      <c r="B164" s="784" t="s">
        <v>79</v>
      </c>
      <c r="D164" s="784">
        <v>106.129</v>
      </c>
    </row>
    <row r="165" spans="1:4" x14ac:dyDescent="0.25">
      <c r="A165" s="786" t="s">
        <v>65</v>
      </c>
      <c r="B165" s="784" t="s">
        <v>409</v>
      </c>
      <c r="D165" s="784">
        <v>22476.184000000001</v>
      </c>
    </row>
    <row r="169" spans="1:4" x14ac:dyDescent="0.25">
      <c r="B169" s="784" t="s">
        <v>331</v>
      </c>
    </row>
    <row r="171" spans="1:4" x14ac:dyDescent="0.25">
      <c r="B171" s="784" t="s">
        <v>411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V84"/>
  <sheetViews>
    <sheetView zoomScale="85" workbookViewId="0">
      <pane xSplit="1" ySplit="1" topLeftCell="K17" activePane="bottomRight" state="frozen"/>
      <selection pane="topRight" activeCell="B1" sqref="B1"/>
      <selection pane="bottomLeft" activeCell="A2" sqref="A2"/>
      <selection pane="bottomRight" activeCell="O38" sqref="O38"/>
    </sheetView>
  </sheetViews>
  <sheetFormatPr baseColWidth="10" defaultColWidth="11.453125" defaultRowHeight="13" x14ac:dyDescent="0.3"/>
  <cols>
    <col min="1" max="1" width="7.453125" style="1" bestFit="1" customWidth="1"/>
    <col min="6" max="6" width="15.453125" customWidth="1"/>
    <col min="7" max="7" width="17.1796875" customWidth="1"/>
    <col min="15" max="15" width="20" bestFit="1" customWidth="1"/>
    <col min="16" max="18" width="13.1796875" bestFit="1" customWidth="1"/>
    <col min="19" max="19" width="11.54296875" bestFit="1" customWidth="1"/>
    <col min="20" max="21" width="12.453125" bestFit="1" customWidth="1"/>
  </cols>
  <sheetData>
    <row r="1" spans="1:22" s="1" customFormat="1" x14ac:dyDescent="0.3">
      <c r="B1" s="1" t="s">
        <v>333</v>
      </c>
      <c r="C1" s="1" t="s">
        <v>334</v>
      </c>
      <c r="D1" s="1" t="s">
        <v>335</v>
      </c>
      <c r="E1" s="1" t="s">
        <v>336</v>
      </c>
      <c r="F1" s="1" t="s">
        <v>337</v>
      </c>
      <c r="G1" s="781" t="s">
        <v>315</v>
      </c>
      <c r="H1" s="781" t="s">
        <v>332</v>
      </c>
      <c r="I1" s="686" t="s">
        <v>65</v>
      </c>
      <c r="J1" s="690" t="s">
        <v>835</v>
      </c>
      <c r="K1" s="1" t="str">
        <f>CONCATENATE("Taux_",B1)</f>
        <v>Taux_TIPP</v>
      </c>
      <c r="L1" s="1" t="str">
        <f>CONCATENATE("Taux_",C1)</f>
        <v>Taux_TICE</v>
      </c>
      <c r="M1" s="1" t="str">
        <f>CONCATENATE("Taux_",D1)</f>
        <v>Taux_TICGN</v>
      </c>
      <c r="N1" s="1" t="str">
        <f>CONCATENATE("Taux_",E1)</f>
        <v>Taux_TICC</v>
      </c>
      <c r="O1" s="1" t="str">
        <f>CONCATENATE("Taux_",F1)</f>
        <v>Taux_autres impôts</v>
      </c>
      <c r="Q1" s="687" t="s">
        <v>686</v>
      </c>
      <c r="R1" s="687" t="s">
        <v>337</v>
      </c>
      <c r="S1" s="687" t="s">
        <v>890</v>
      </c>
      <c r="T1" s="687" t="str">
        <f>CONCATENATE("Verif_",Q1)</f>
        <v>Verif_TVA</v>
      </c>
      <c r="U1" s="687" t="str">
        <f>CONCATENATE("Verif_",R1)</f>
        <v>Verif_autres impôts</v>
      </c>
      <c r="V1" s="687" t="str">
        <f>CONCATENATE("Verif_",S1)</f>
        <v>Verif_TI..</v>
      </c>
    </row>
    <row r="2" spans="1:22" x14ac:dyDescent="0.3">
      <c r="A2" s="1">
        <v>1</v>
      </c>
      <c r="F2">
        <f>G2-SUM(B2:E2)</f>
        <v>101</v>
      </c>
      <c r="G2" s="782">
        <f>TRP_Simple!J68-TRP_Simple!K68</f>
        <v>101</v>
      </c>
      <c r="H2" s="782">
        <f>TRP_Simple!K68</f>
        <v>1785</v>
      </c>
      <c r="I2" s="657">
        <f>H2+G2</f>
        <v>1886</v>
      </c>
      <c r="J2" s="691">
        <f>I2-TRP_Simple!J68</f>
        <v>0</v>
      </c>
      <c r="K2">
        <f>B2/SUM(TRP_Simple!$C68:$E68)</f>
        <v>0</v>
      </c>
      <c r="L2">
        <f>C2/SUM(TRP_Simple!$C68:$E68)</f>
        <v>0</v>
      </c>
      <c r="M2">
        <f>D2/SUM(TRP_Simple!$C68:$E68)</f>
        <v>0</v>
      </c>
      <c r="N2">
        <f>E2/SUM(TRP_Simple!$C68:$E68)</f>
        <v>0</v>
      </c>
      <c r="O2">
        <f>F2/SUM(TRP_Simple!$C68:$E68)</f>
        <v>1.288134258734909E-3</v>
      </c>
      <c r="P2" s="65"/>
      <c r="Q2" s="8">
        <f t="array" ref="Q2:Q25">[3]Supply_Use_dom!$AW$6:$AW$29+[3]Supply_Use_foreign!$L$6:$L$29</f>
        <v>1785.0000000090113</v>
      </c>
      <c r="R2" s="8">
        <f t="array" ref="R2:R25">[3]Supply_Use_dom!$BA$6:$BA$29+[3]Supply_Use_foreign!$P$6:$P$29</f>
        <v>101.00000000000001</v>
      </c>
      <c r="S2" s="8">
        <f t="array" ref="S2:S25">[3]Supply_Use_dom!$AZ$6:$AZ$29+[3]Supply_Use_foreign!$O$6:$O$29</f>
        <v>0</v>
      </c>
      <c r="T2" s="8">
        <f>Q2-H2</f>
        <v>9.011273505166173E-9</v>
      </c>
      <c r="U2" s="8">
        <f>R2-F2</f>
        <v>0</v>
      </c>
      <c r="V2" s="8">
        <f>S2-SUM(B2:E2)</f>
        <v>0</v>
      </c>
    </row>
    <row r="3" spans="1:22" x14ac:dyDescent="0.3">
      <c r="A3" s="1">
        <v>2</v>
      </c>
      <c r="F3">
        <f t="shared" ref="F3:F25" si="0">G3-SUM(B3:E3)</f>
        <v>13488</v>
      </c>
      <c r="G3" s="782">
        <f>TRP_Simple!J69-TRP_Simple!K69</f>
        <v>13488</v>
      </c>
      <c r="H3" s="782">
        <f>TRP_Simple!K69</f>
        <v>11013</v>
      </c>
      <c r="I3" s="657">
        <f t="shared" ref="I3:I26" si="1">H3+G3</f>
        <v>24501</v>
      </c>
      <c r="J3" s="691">
        <f>I3-TRP_Simple!J69</f>
        <v>0</v>
      </c>
      <c r="K3">
        <f>B3/SUM(TRP_Simple!$C69:$E69)</f>
        <v>0</v>
      </c>
      <c r="L3">
        <f>C3/SUM(TRP_Simple!$C69:$E69)</f>
        <v>0</v>
      </c>
      <c r="M3">
        <f>D3/SUM(TRP_Simple!$C69:$E69)</f>
        <v>0</v>
      </c>
      <c r="N3">
        <f>E3/SUM(TRP_Simple!$C69:$E69)</f>
        <v>0</v>
      </c>
      <c r="O3">
        <f>F3/SUM(TRP_Simple!$C69:$E69)</f>
        <v>8.7262073618720071E-2</v>
      </c>
      <c r="P3" s="65"/>
      <c r="Q3" s="8">
        <v>11013.000000005864</v>
      </c>
      <c r="R3" s="8">
        <v>13488</v>
      </c>
      <c r="S3" s="8">
        <v>0</v>
      </c>
      <c r="T3" s="8">
        <f t="shared" ref="T3:T25" si="2">Q3-H3</f>
        <v>5.8644218370318413E-9</v>
      </c>
      <c r="U3" s="8">
        <f t="shared" ref="U3:U25" si="3">R3-F3</f>
        <v>0</v>
      </c>
      <c r="V3" s="8">
        <f t="shared" ref="V3:V25" si="4">S3-SUM(B3:E3)</f>
        <v>0</v>
      </c>
    </row>
    <row r="4" spans="1:22" x14ac:dyDescent="0.3">
      <c r="A4" s="1">
        <v>3</v>
      </c>
      <c r="F4">
        <f t="shared" si="0"/>
        <v>384.89999999999964</v>
      </c>
      <c r="G4" s="782">
        <f>TRP_Simple!J70-TRP_Simple!K70</f>
        <v>384.89999999999964</v>
      </c>
      <c r="H4" s="782">
        <f>TRP_Simple!K70</f>
        <v>10776.4</v>
      </c>
      <c r="I4" s="657">
        <f t="shared" si="1"/>
        <v>11161.3</v>
      </c>
      <c r="J4" s="691">
        <f>I4-TRP_Simple!J70</f>
        <v>0</v>
      </c>
      <c r="K4">
        <f>B4/SUM(TRP_Simple!$C70:$E70)</f>
        <v>0</v>
      </c>
      <c r="L4">
        <f>C4/SUM(TRP_Simple!$C70:$E70)</f>
        <v>0</v>
      </c>
      <c r="M4">
        <f>D4/SUM(TRP_Simple!$C70:$E70)</f>
        <v>0</v>
      </c>
      <c r="N4">
        <f>E4/SUM(TRP_Simple!$C70:$E70)</f>
        <v>0</v>
      </c>
      <c r="O4">
        <f>F4/SUM(TRP_Simple!$C70:$E70)</f>
        <v>2.843155928656976E-3</v>
      </c>
      <c r="P4" s="65"/>
      <c r="Q4" s="8">
        <v>10776.399999981339</v>
      </c>
      <c r="R4" s="8">
        <v>384.89999999999964</v>
      </c>
      <c r="S4" s="8">
        <v>0</v>
      </c>
      <c r="T4" s="8">
        <f t="shared" si="2"/>
        <v>-1.8661012290976942E-8</v>
      </c>
      <c r="U4" s="8">
        <f t="shared" si="3"/>
        <v>0</v>
      </c>
      <c r="V4" s="8">
        <f t="shared" si="4"/>
        <v>0</v>
      </c>
    </row>
    <row r="5" spans="1:22" x14ac:dyDescent="0.3">
      <c r="A5" s="1">
        <v>4</v>
      </c>
      <c r="F5">
        <f t="shared" si="0"/>
        <v>6</v>
      </c>
      <c r="G5" s="782">
        <f>TRP_Simple!J71-TRP_Simple!K71</f>
        <v>6</v>
      </c>
      <c r="H5" s="782">
        <f>TRP_Simple!K71</f>
        <v>323</v>
      </c>
      <c r="I5" s="657">
        <f t="shared" si="1"/>
        <v>329</v>
      </c>
      <c r="J5" s="691">
        <f>I5-TRP_Simple!J71</f>
        <v>0</v>
      </c>
      <c r="K5">
        <f>B5/SUM(TRP_Simple!$C71:$E71)</f>
        <v>0</v>
      </c>
      <c r="L5">
        <f>C5/SUM(TRP_Simple!$C71:$E71)</f>
        <v>0</v>
      </c>
      <c r="M5">
        <f>D5/SUM(TRP_Simple!$C71:$E71)</f>
        <v>0</v>
      </c>
      <c r="N5">
        <f>E5/SUM(TRP_Simple!$C71:$E71)</f>
        <v>0</v>
      </c>
      <c r="O5">
        <f>F5/SUM(TRP_Simple!$C71:$E71)</f>
        <v>6.6544343342216875E-4</v>
      </c>
      <c r="P5" s="65"/>
      <c r="Q5" s="8">
        <v>322.99999999981765</v>
      </c>
      <c r="R5" s="8">
        <v>6</v>
      </c>
      <c r="S5" s="8">
        <v>0</v>
      </c>
      <c r="T5" s="8">
        <f t="shared" si="2"/>
        <v>-1.8235368770547211E-10</v>
      </c>
      <c r="U5" s="8">
        <f t="shared" si="3"/>
        <v>0</v>
      </c>
      <c r="V5" s="8">
        <f t="shared" si="4"/>
        <v>0</v>
      </c>
    </row>
    <row r="6" spans="1:22" x14ac:dyDescent="0.3">
      <c r="A6" s="1">
        <v>5</v>
      </c>
      <c r="F6">
        <f t="shared" si="0"/>
        <v>12</v>
      </c>
      <c r="G6" s="782">
        <f>TRP_Simple!J72-TRP_Simple!K72</f>
        <v>12</v>
      </c>
      <c r="H6" s="782">
        <f>TRP_Simple!K72</f>
        <v>246</v>
      </c>
      <c r="I6" s="657">
        <f t="shared" si="1"/>
        <v>258</v>
      </c>
      <c r="J6" s="691">
        <f>I6-TRP_Simple!J72</f>
        <v>0</v>
      </c>
      <c r="K6">
        <f>B6/SUM(TRP_Simple!$C72:$E72)</f>
        <v>0</v>
      </c>
      <c r="L6">
        <f>C6/SUM(TRP_Simple!$C72:$E72)</f>
        <v>0</v>
      </c>
      <c r="M6">
        <f>D6/SUM(TRP_Simple!$C72:$E72)</f>
        <v>0</v>
      </c>
      <c r="N6">
        <f>E6/SUM(TRP_Simple!$C72:$E72)</f>
        <v>0</v>
      </c>
      <c r="O6">
        <f>F6/SUM(TRP_Simple!$C72:$E72)</f>
        <v>5.1848834626139911E-4</v>
      </c>
      <c r="P6" s="65"/>
      <c r="Q6" s="8">
        <v>245.99999999956799</v>
      </c>
      <c r="R6" s="8">
        <v>12.000000000000002</v>
      </c>
      <c r="S6" s="8">
        <v>0</v>
      </c>
      <c r="T6" s="8">
        <f t="shared" si="2"/>
        <v>-4.3200998334214091E-10</v>
      </c>
      <c r="U6" s="8">
        <f t="shared" si="3"/>
        <v>0</v>
      </c>
      <c r="V6" s="8">
        <f t="shared" si="4"/>
        <v>0</v>
      </c>
    </row>
    <row r="7" spans="1:22" x14ac:dyDescent="0.3">
      <c r="A7" s="1">
        <v>6</v>
      </c>
      <c r="F7">
        <f t="shared" si="0"/>
        <v>16</v>
      </c>
      <c r="G7" s="782">
        <f>TRP_Simple!J73-TRP_Simple!K73</f>
        <v>16</v>
      </c>
      <c r="H7" s="782">
        <f>TRP_Simple!K73</f>
        <v>846</v>
      </c>
      <c r="I7" s="657">
        <f t="shared" si="1"/>
        <v>862</v>
      </c>
      <c r="J7" s="691">
        <f>I7-TRP_Simple!J73</f>
        <v>0</v>
      </c>
      <c r="K7">
        <f>B7/SUM(TRP_Simple!$C73:$E73)</f>
        <v>0</v>
      </c>
      <c r="L7">
        <f>C7/SUM(TRP_Simple!$C73:$E73)</f>
        <v>0</v>
      </c>
      <c r="M7">
        <f>D7/SUM(TRP_Simple!$C73:$E73)</f>
        <v>0</v>
      </c>
      <c r="N7">
        <f>E7/SUM(TRP_Simple!$C73:$E73)</f>
        <v>0</v>
      </c>
      <c r="O7">
        <f>F7/SUM(TRP_Simple!$C73:$E73)</f>
        <v>5.6911825860185897E-4</v>
      </c>
      <c r="P7" s="65"/>
      <c r="Q7" s="8">
        <v>845.99999999956344</v>
      </c>
      <c r="R7" s="8">
        <v>16</v>
      </c>
      <c r="S7" s="8">
        <v>0</v>
      </c>
      <c r="T7" s="8">
        <f t="shared" si="2"/>
        <v>-4.3655745685100555E-10</v>
      </c>
      <c r="U7" s="8">
        <f t="shared" si="3"/>
        <v>0</v>
      </c>
      <c r="V7" s="8">
        <f t="shared" si="4"/>
        <v>0</v>
      </c>
    </row>
    <row r="8" spans="1:22" x14ac:dyDescent="0.3">
      <c r="A8" s="1">
        <v>7</v>
      </c>
      <c r="F8">
        <f t="shared" si="0"/>
        <v>42</v>
      </c>
      <c r="G8" s="782">
        <f>TRP_Simple!J74-TRP_Simple!K74</f>
        <v>42</v>
      </c>
      <c r="H8" s="782">
        <f>TRP_Simple!K74</f>
        <v>12</v>
      </c>
      <c r="I8" s="657">
        <f t="shared" si="1"/>
        <v>54</v>
      </c>
      <c r="J8" s="691">
        <f>I8-TRP_Simple!J74</f>
        <v>0</v>
      </c>
      <c r="K8">
        <f>B8/SUM(TRP_Simple!$C74:$E74)</f>
        <v>0</v>
      </c>
      <c r="L8">
        <f>C8/SUM(TRP_Simple!$C74:$E74)</f>
        <v>0</v>
      </c>
      <c r="M8">
        <f>D8/SUM(TRP_Simple!$C74:$E74)</f>
        <v>0</v>
      </c>
      <c r="N8">
        <f>E8/SUM(TRP_Simple!$C74:$E74)</f>
        <v>0</v>
      </c>
      <c r="O8">
        <f>F8/SUM(TRP_Simple!$C74:$E74)</f>
        <v>4.2217101578300676E-3</v>
      </c>
      <c r="P8" s="65"/>
      <c r="Q8" s="8">
        <v>11.999999999609827</v>
      </c>
      <c r="R8" s="8">
        <v>42</v>
      </c>
      <c r="S8" s="8">
        <v>0</v>
      </c>
      <c r="T8" s="8">
        <f t="shared" si="2"/>
        <v>-3.9017322706058621E-10</v>
      </c>
      <c r="U8" s="8">
        <f t="shared" si="3"/>
        <v>0</v>
      </c>
      <c r="V8" s="8">
        <f t="shared" si="4"/>
        <v>0</v>
      </c>
    </row>
    <row r="9" spans="1:22" x14ac:dyDescent="0.3">
      <c r="A9" s="1">
        <v>8</v>
      </c>
      <c r="F9">
        <f t="shared" si="0"/>
        <v>54</v>
      </c>
      <c r="G9" s="782">
        <f>TRP_Simple!J75-TRP_Simple!K75</f>
        <v>54</v>
      </c>
      <c r="H9" s="782">
        <f>TRP_Simple!K75</f>
        <v>70</v>
      </c>
      <c r="I9" s="657">
        <f t="shared" si="1"/>
        <v>124</v>
      </c>
      <c r="J9" s="691">
        <f>I9-TRP_Simple!J75</f>
        <v>0</v>
      </c>
      <c r="K9">
        <f>B9/SUM(TRP_Simple!$C75:$E75)</f>
        <v>0</v>
      </c>
      <c r="L9">
        <f>C9/SUM(TRP_Simple!$C75:$E75)</f>
        <v>0</v>
      </c>
      <c r="M9">
        <f>D9/SUM(TRP_Simple!$C75:$E75)</f>
        <v>0</v>
      </c>
      <c r="N9">
        <f>E9/SUM(TRP_Simple!$C75:$E75)</f>
        <v>0</v>
      </c>
      <c r="O9">
        <f>F9/SUM(TRP_Simple!$C75:$E75)</f>
        <v>1.3105857431459855E-3</v>
      </c>
      <c r="P9" s="65"/>
      <c r="Q9" s="8">
        <v>69.999999999759893</v>
      </c>
      <c r="R9" s="8">
        <v>54</v>
      </c>
      <c r="S9" s="8">
        <v>0</v>
      </c>
      <c r="T9" s="8">
        <f t="shared" si="2"/>
        <v>-2.4010660126805305E-10</v>
      </c>
      <c r="U9" s="8">
        <f t="shared" si="3"/>
        <v>0</v>
      </c>
      <c r="V9" s="8">
        <f t="shared" si="4"/>
        <v>0</v>
      </c>
    </row>
    <row r="10" spans="1:22" x14ac:dyDescent="0.3">
      <c r="A10" s="1">
        <v>9</v>
      </c>
      <c r="F10">
        <f t="shared" si="0"/>
        <v>62</v>
      </c>
      <c r="G10" s="782">
        <f>TRP_Simple!J76-TRP_Simple!K76</f>
        <v>62</v>
      </c>
      <c r="H10" s="782">
        <f>TRP_Simple!K76</f>
        <v>768</v>
      </c>
      <c r="I10" s="657">
        <f t="shared" si="1"/>
        <v>830</v>
      </c>
      <c r="J10" s="691">
        <f>I10-TRP_Simple!J76</f>
        <v>0</v>
      </c>
      <c r="K10">
        <f>B10/SUM(TRP_Simple!$C76:$E76)</f>
        <v>0</v>
      </c>
      <c r="L10">
        <f>C10/SUM(TRP_Simple!$C76:$E76)</f>
        <v>0</v>
      </c>
      <c r="M10">
        <f>D10/SUM(TRP_Simple!$C76:$E76)</f>
        <v>0</v>
      </c>
      <c r="N10">
        <f>E10/SUM(TRP_Simple!$C76:$E76)</f>
        <v>0</v>
      </c>
      <c r="O10">
        <f>F10/SUM(TRP_Simple!$C76:$E76)</f>
        <v>1.8302905809658857E-3</v>
      </c>
      <c r="P10" s="65"/>
      <c r="Q10" s="8">
        <v>767.99999999955253</v>
      </c>
      <c r="R10" s="8">
        <v>62.000000000000007</v>
      </c>
      <c r="S10" s="8">
        <v>0</v>
      </c>
      <c r="T10" s="8">
        <f t="shared" si="2"/>
        <v>-4.4747139327228069E-10</v>
      </c>
      <c r="U10" s="8">
        <f t="shared" si="3"/>
        <v>0</v>
      </c>
      <c r="V10" s="8">
        <f t="shared" si="4"/>
        <v>0</v>
      </c>
    </row>
    <row r="11" spans="1:22" x14ac:dyDescent="0.3">
      <c r="A11" s="1">
        <v>10</v>
      </c>
      <c r="F11">
        <f t="shared" si="0"/>
        <v>3</v>
      </c>
      <c r="G11" s="782">
        <f>TRP_Simple!J77-TRP_Simple!K77</f>
        <v>3</v>
      </c>
      <c r="H11" s="782">
        <f>TRP_Simple!K77</f>
        <v>5</v>
      </c>
      <c r="I11" s="657">
        <f t="shared" si="1"/>
        <v>8</v>
      </c>
      <c r="J11" s="691">
        <f>I11-TRP_Simple!J77</f>
        <v>0</v>
      </c>
      <c r="K11">
        <f>B11/SUM(TRP_Simple!$C77:$E77)</f>
        <v>0</v>
      </c>
      <c r="L11">
        <f>C11/SUM(TRP_Simple!$C77:$E77)</f>
        <v>0</v>
      </c>
      <c r="M11">
        <f>D11/SUM(TRP_Simple!$C77:$E77)</f>
        <v>0</v>
      </c>
      <c r="N11">
        <f>E11/SUM(TRP_Simple!$C77:$E77)</f>
        <v>0</v>
      </c>
      <c r="O11">
        <f>F11/SUM(TRP_Simple!$C77:$E77)</f>
        <v>7.190409258645865E-5</v>
      </c>
      <c r="P11" s="65"/>
      <c r="Q11" s="8">
        <v>4.9999999996434781</v>
      </c>
      <c r="R11" s="8">
        <v>3</v>
      </c>
      <c r="S11" s="8">
        <v>0</v>
      </c>
      <c r="T11" s="8">
        <f t="shared" si="2"/>
        <v>-3.5652192309498787E-10</v>
      </c>
      <c r="U11" s="8">
        <f t="shared" si="3"/>
        <v>0</v>
      </c>
      <c r="V11" s="8">
        <f t="shared" si="4"/>
        <v>0</v>
      </c>
    </row>
    <row r="12" spans="1:22" x14ac:dyDescent="0.3">
      <c r="A12" s="1">
        <v>11</v>
      </c>
      <c r="F12">
        <f t="shared" si="0"/>
        <v>12</v>
      </c>
      <c r="G12" s="782">
        <f>TRP_Simple!J78-TRP_Simple!K78</f>
        <v>12</v>
      </c>
      <c r="H12" s="782">
        <f>TRP_Simple!K78</f>
        <v>0</v>
      </c>
      <c r="I12" s="657">
        <f t="shared" si="1"/>
        <v>12</v>
      </c>
      <c r="J12" s="691">
        <f>I12-TRP_Simple!J78</f>
        <v>0</v>
      </c>
      <c r="K12">
        <f>B12/SUM(TRP_Simple!$C78:$E78)</f>
        <v>0</v>
      </c>
      <c r="L12">
        <f>C12/SUM(TRP_Simple!$C78:$E78)</f>
        <v>0</v>
      </c>
      <c r="M12">
        <f>D12/SUM(TRP_Simple!$C78:$E78)</f>
        <v>0</v>
      </c>
      <c r="N12">
        <f>E12/SUM(TRP_Simple!$C78:$E78)</f>
        <v>0</v>
      </c>
      <c r="O12">
        <f>F12/SUM(TRP_Simple!$C78:$E78)</f>
        <v>4.8191283793564733E-4</v>
      </c>
      <c r="P12" s="65"/>
      <c r="Q12" s="8">
        <v>-1.2732925824820995E-10</v>
      </c>
      <c r="R12" s="8">
        <v>12</v>
      </c>
      <c r="S12" s="8">
        <v>0</v>
      </c>
      <c r="T12" s="8">
        <f t="shared" si="2"/>
        <v>-1.2732925824820995E-10</v>
      </c>
      <c r="U12" s="8">
        <f t="shared" si="3"/>
        <v>0</v>
      </c>
      <c r="V12" s="8">
        <f t="shared" si="4"/>
        <v>0</v>
      </c>
    </row>
    <row r="13" spans="1:22" x14ac:dyDescent="0.3">
      <c r="A13" s="1">
        <v>12</v>
      </c>
      <c r="F13">
        <f t="shared" si="0"/>
        <v>2376.0999999999985</v>
      </c>
      <c r="G13" s="782">
        <f>TRP_Simple!J79-TRP_Simple!K79</f>
        <v>2376.0999999999985</v>
      </c>
      <c r="H13" s="782">
        <f>TRP_Simple!K79</f>
        <v>30532.6</v>
      </c>
      <c r="I13" s="657">
        <f t="shared" si="1"/>
        <v>32908.699999999997</v>
      </c>
      <c r="J13" s="691">
        <f>I13-TRP_Simple!J79</f>
        <v>0</v>
      </c>
      <c r="K13">
        <f>B13/SUM(TRP_Simple!$C79:$E79)</f>
        <v>0</v>
      </c>
      <c r="L13">
        <f>C13/SUM(TRP_Simple!$C79:$E79)</f>
        <v>0</v>
      </c>
      <c r="M13">
        <f>D13/SUM(TRP_Simple!$C79:$E79)</f>
        <v>0</v>
      </c>
      <c r="N13">
        <f>E13/SUM(TRP_Simple!$C79:$E79)</f>
        <v>0</v>
      </c>
      <c r="O13">
        <f>F13/SUM(TRP_Simple!$C79:$E79)</f>
        <v>3.709132735711588E-3</v>
      </c>
      <c r="P13" s="65"/>
      <c r="Q13" s="8">
        <v>30532.599999994069</v>
      </c>
      <c r="R13" s="8">
        <v>2376.0999999999985</v>
      </c>
      <c r="S13" s="8">
        <v>0</v>
      </c>
      <c r="T13" s="8">
        <f t="shared" si="2"/>
        <v>-5.9299054555594921E-9</v>
      </c>
      <c r="U13" s="8">
        <f t="shared" si="3"/>
        <v>0</v>
      </c>
      <c r="V13" s="8">
        <f t="shared" si="4"/>
        <v>0</v>
      </c>
    </row>
    <row r="14" spans="1:22" x14ac:dyDescent="0.3">
      <c r="A14" s="1">
        <v>13</v>
      </c>
      <c r="F14">
        <f t="shared" si="0"/>
        <v>798</v>
      </c>
      <c r="G14" s="782">
        <f>TRP_Simple!J80-TRP_Simple!K80</f>
        <v>798</v>
      </c>
      <c r="H14" s="782">
        <f>TRP_Simple!K80</f>
        <v>20944</v>
      </c>
      <c r="I14" s="657">
        <f t="shared" si="1"/>
        <v>21742</v>
      </c>
      <c r="J14" s="691">
        <f>I14-TRP_Simple!J80</f>
        <v>0</v>
      </c>
      <c r="K14">
        <f>B14/SUM(TRP_Simple!$C80:$E80)</f>
        <v>0</v>
      </c>
      <c r="L14">
        <f>C14/SUM(TRP_Simple!$C80:$E80)</f>
        <v>0</v>
      </c>
      <c r="M14">
        <f>D14/SUM(TRP_Simple!$C80:$E80)</f>
        <v>0</v>
      </c>
      <c r="N14">
        <f>E14/SUM(TRP_Simple!$C80:$E80)</f>
        <v>0</v>
      </c>
      <c r="O14">
        <f>F14/SUM(TRP_Simple!$C80:$E80)</f>
        <v>3.4736278517048199E-3</v>
      </c>
      <c r="P14" s="65"/>
      <c r="Q14" s="8">
        <v>20944</v>
      </c>
      <c r="R14" s="8">
        <v>798</v>
      </c>
      <c r="S14" s="8">
        <v>0</v>
      </c>
      <c r="T14" s="8">
        <f t="shared" si="2"/>
        <v>0</v>
      </c>
      <c r="U14" s="8">
        <f t="shared" si="3"/>
        <v>0</v>
      </c>
      <c r="V14" s="8">
        <f t="shared" si="4"/>
        <v>0</v>
      </c>
    </row>
    <row r="15" spans="1:22" x14ac:dyDescent="0.3">
      <c r="A15" s="1">
        <v>14</v>
      </c>
      <c r="F15">
        <f t="shared" si="0"/>
        <v>0</v>
      </c>
      <c r="G15" s="782">
        <f>TRP_Simple!J81-TRP_Simple!K81</f>
        <v>0</v>
      </c>
      <c r="H15" s="782">
        <f>TRP_Simple!K81</f>
        <v>291.27117426031253</v>
      </c>
      <c r="I15" s="657">
        <f t="shared" si="1"/>
        <v>291.27117426031253</v>
      </c>
      <c r="J15" s="691">
        <f>I15-TRP_Simple!J81</f>
        <v>0</v>
      </c>
      <c r="K15">
        <f>B15/SUM(TRP_Simple!$C81:$E81)</f>
        <v>0</v>
      </c>
      <c r="L15">
        <f>C15/SUM(TRP_Simple!$C81:$E81)</f>
        <v>0</v>
      </c>
      <c r="M15">
        <f>D15/SUM(TRP_Simple!$C81:$E81)</f>
        <v>0</v>
      </c>
      <c r="N15">
        <f>E15/SUM(TRP_Simple!$C81:$E81)</f>
        <v>0</v>
      </c>
      <c r="O15">
        <f>F15/SUM(TRP_Simple!$C81:$E81)</f>
        <v>0</v>
      </c>
      <c r="P15" s="65"/>
      <c r="Q15" s="8">
        <v>291.27117426030463</v>
      </c>
      <c r="R15" s="8">
        <v>0</v>
      </c>
      <c r="S15" s="8">
        <v>0</v>
      </c>
      <c r="T15" s="8">
        <f t="shared" si="2"/>
        <v>-7.9012352216523141E-12</v>
      </c>
      <c r="U15" s="8">
        <f t="shared" si="3"/>
        <v>0</v>
      </c>
      <c r="V15" s="8">
        <f t="shared" si="4"/>
        <v>0</v>
      </c>
    </row>
    <row r="16" spans="1:22" x14ac:dyDescent="0.3">
      <c r="A16" s="1">
        <v>15</v>
      </c>
      <c r="F16">
        <f t="shared" si="0"/>
        <v>64</v>
      </c>
      <c r="G16" s="782">
        <f>TRP_Simple!J82-TRP_Simple!K82</f>
        <v>64</v>
      </c>
      <c r="H16" s="782">
        <f>TRP_Simple!K82</f>
        <v>704</v>
      </c>
      <c r="I16" s="657">
        <f t="shared" si="1"/>
        <v>768</v>
      </c>
      <c r="J16" s="691">
        <f>I16-TRP_Simple!J82</f>
        <v>0</v>
      </c>
      <c r="K16">
        <f>B16/SUM(TRP_Simple!$C82:$E82)</f>
        <v>0</v>
      </c>
      <c r="L16">
        <f>C16/SUM(TRP_Simple!$C82:$E82)</f>
        <v>0</v>
      </c>
      <c r="M16">
        <f>D16/SUM(TRP_Simple!$C82:$E82)</f>
        <v>0</v>
      </c>
      <c r="N16">
        <f>E16/SUM(TRP_Simple!$C82:$E82)</f>
        <v>0</v>
      </c>
      <c r="O16">
        <f>F16/SUM(TRP_Simple!$C82:$E82)</f>
        <v>3.6141856787892477E-3</v>
      </c>
      <c r="P16" s="65"/>
      <c r="Q16" s="8">
        <v>704</v>
      </c>
      <c r="R16" s="8">
        <v>64</v>
      </c>
      <c r="S16" s="8">
        <v>0</v>
      </c>
      <c r="T16" s="8">
        <f t="shared" si="2"/>
        <v>0</v>
      </c>
      <c r="U16" s="8">
        <f t="shared" si="3"/>
        <v>0</v>
      </c>
      <c r="V16" s="8">
        <f t="shared" si="4"/>
        <v>0</v>
      </c>
    </row>
    <row r="17" spans="1:22" x14ac:dyDescent="0.3">
      <c r="A17" s="1">
        <v>16</v>
      </c>
      <c r="F17">
        <f t="shared" si="0"/>
        <v>0</v>
      </c>
      <c r="G17" s="782">
        <f>TRP_Simple!J83-TRP_Simple!K83</f>
        <v>0</v>
      </c>
      <c r="H17" s="782">
        <f>TRP_Simple!K83</f>
        <v>243.4210271587846</v>
      </c>
      <c r="I17" s="657">
        <f t="shared" si="1"/>
        <v>243.4210271587846</v>
      </c>
      <c r="J17" s="691">
        <f>I17-TRP_Simple!J83</f>
        <v>0</v>
      </c>
      <c r="K17">
        <f>B17/SUM(TRP_Simple!$C83:$E83)</f>
        <v>0</v>
      </c>
      <c r="L17">
        <f>C17/SUM(TRP_Simple!$C83:$E83)</f>
        <v>0</v>
      </c>
      <c r="M17">
        <f>D17/SUM(TRP_Simple!$C83:$E83)</f>
        <v>0</v>
      </c>
      <c r="N17">
        <f>E17/SUM(TRP_Simple!$C83:$E83)</f>
        <v>0</v>
      </c>
      <c r="O17">
        <f>F17/SUM(TRP_Simple!$C83:$E83)</f>
        <v>0</v>
      </c>
      <c r="P17" s="65"/>
      <c r="Q17" s="8">
        <v>243.42102715878445</v>
      </c>
      <c r="R17" s="8">
        <v>0</v>
      </c>
      <c r="S17" s="8">
        <v>0</v>
      </c>
      <c r="T17" s="8">
        <f t="shared" si="2"/>
        <v>0</v>
      </c>
      <c r="U17" s="8">
        <f t="shared" si="3"/>
        <v>0</v>
      </c>
      <c r="V17" s="8">
        <f t="shared" si="4"/>
        <v>0</v>
      </c>
    </row>
    <row r="18" spans="1:22" x14ac:dyDescent="0.3">
      <c r="A18" s="1">
        <v>17</v>
      </c>
      <c r="F18">
        <f t="shared" si="0"/>
        <v>0</v>
      </c>
      <c r="G18" s="782">
        <f>TRP_Simple!J84-TRP_Simple!K84</f>
        <v>0</v>
      </c>
      <c r="H18" s="782">
        <f>TRP_Simple!K84</f>
        <v>13.289932271699309</v>
      </c>
      <c r="I18" s="657">
        <f t="shared" si="1"/>
        <v>13.289932271699309</v>
      </c>
      <c r="J18" s="691">
        <f>I18-TRP_Simple!J84</f>
        <v>0</v>
      </c>
      <c r="K18">
        <f>B18/SUM(TRP_Simple!$C84:$E84)</f>
        <v>0</v>
      </c>
      <c r="L18">
        <f>C18/SUM(TRP_Simple!$C84:$E84)</f>
        <v>0</v>
      </c>
      <c r="M18">
        <f>D18/SUM(TRP_Simple!$C84:$E84)</f>
        <v>0</v>
      </c>
      <c r="N18">
        <f>E18/SUM(TRP_Simple!$C84:$E84)</f>
        <v>0</v>
      </c>
      <c r="O18">
        <f>F18/SUM(TRP_Simple!$C84:$E84)</f>
        <v>0</v>
      </c>
      <c r="P18" s="65"/>
      <c r="Q18" s="8">
        <v>13.289932271688031</v>
      </c>
      <c r="R18" s="8">
        <v>0</v>
      </c>
      <c r="S18" s="8">
        <v>0</v>
      </c>
      <c r="T18" s="8">
        <f t="shared" si="2"/>
        <v>-1.127808957335219E-11</v>
      </c>
      <c r="U18" s="8">
        <f t="shared" si="3"/>
        <v>0</v>
      </c>
      <c r="V18" s="8">
        <f t="shared" si="4"/>
        <v>0</v>
      </c>
    </row>
    <row r="19" spans="1:22" x14ac:dyDescent="0.3">
      <c r="A19" s="1">
        <v>18</v>
      </c>
      <c r="F19">
        <f t="shared" si="0"/>
        <v>384.99999999999994</v>
      </c>
      <c r="G19" s="782">
        <f>TRP_Simple!J85-TRP_Simple!K85</f>
        <v>384.99999999999994</v>
      </c>
      <c r="H19" s="782">
        <f>TRP_Simple!K85</f>
        <v>158.01786630920361</v>
      </c>
      <c r="I19" s="657">
        <f t="shared" si="1"/>
        <v>543.01786630920355</v>
      </c>
      <c r="J19" s="691">
        <f>I19-TRP_Simple!J85</f>
        <v>0</v>
      </c>
      <c r="K19">
        <f>B19/SUM(TRP_Simple!$C85:$E85)</f>
        <v>0</v>
      </c>
      <c r="L19">
        <f>C19/SUM(TRP_Simple!$C85:$E85)</f>
        <v>0</v>
      </c>
      <c r="M19">
        <f>D19/SUM(TRP_Simple!$C85:$E85)</f>
        <v>0</v>
      </c>
      <c r="N19">
        <f>E19/SUM(TRP_Simple!$C85:$E85)</f>
        <v>0</v>
      </c>
      <c r="O19">
        <f>F19/SUM(TRP_Simple!$C85:$E85)</f>
        <v>1.4500775305562687E-2</v>
      </c>
      <c r="P19" s="65"/>
      <c r="Q19" s="8">
        <v>158.01786630920105</v>
      </c>
      <c r="R19" s="8">
        <v>384.99999999999994</v>
      </c>
      <c r="S19" s="8">
        <v>0</v>
      </c>
      <c r="T19" s="8">
        <f t="shared" si="2"/>
        <v>-2.5579538487363607E-12</v>
      </c>
      <c r="U19" s="8">
        <f t="shared" si="3"/>
        <v>0</v>
      </c>
      <c r="V19" s="8">
        <f t="shared" si="4"/>
        <v>0</v>
      </c>
    </row>
    <row r="20" spans="1:22" x14ac:dyDescent="0.3">
      <c r="A20" s="1">
        <v>19</v>
      </c>
      <c r="F20">
        <f t="shared" si="0"/>
        <v>27269</v>
      </c>
      <c r="G20" s="782">
        <f>TRP_Simple!J86-TRP_Simple!K86</f>
        <v>27269</v>
      </c>
      <c r="H20" s="782">
        <f>TRP_Simple!K86</f>
        <v>37902</v>
      </c>
      <c r="I20" s="657">
        <f t="shared" si="1"/>
        <v>65171</v>
      </c>
      <c r="J20" s="691">
        <f>I20-TRP_Simple!J86</f>
        <v>0</v>
      </c>
      <c r="K20">
        <f>B20/SUM(TRP_Simple!$C86:$E86)</f>
        <v>0</v>
      </c>
      <c r="L20">
        <f>C20/SUM(TRP_Simple!$C86:$E86)</f>
        <v>0</v>
      </c>
      <c r="M20">
        <f>D20/SUM(TRP_Simple!$C86:$E86)</f>
        <v>0</v>
      </c>
      <c r="N20">
        <f>E20/SUM(TRP_Simple!$C86:$E86)</f>
        <v>0</v>
      </c>
      <c r="O20">
        <f>F20/SUM(TRP_Simple!$C86:$E86)</f>
        <v>1.6290493995833735E-2</v>
      </c>
      <c r="P20" s="65"/>
      <c r="Q20" s="8">
        <v>37902.000000000378</v>
      </c>
      <c r="R20" s="8">
        <v>27269</v>
      </c>
      <c r="S20" s="8">
        <v>0</v>
      </c>
      <c r="T20" s="8">
        <f t="shared" si="2"/>
        <v>3.7834979593753815E-10</v>
      </c>
      <c r="U20" s="8">
        <f t="shared" si="3"/>
        <v>0</v>
      </c>
      <c r="V20" s="8">
        <f t="shared" si="4"/>
        <v>0</v>
      </c>
    </row>
    <row r="21" spans="1:22" x14ac:dyDescent="0.3">
      <c r="A21" s="1">
        <v>20</v>
      </c>
      <c r="F21">
        <f t="shared" si="0"/>
        <v>0</v>
      </c>
      <c r="G21" s="782">
        <f>TRP_Simple!J87-TRP_Simple!K87</f>
        <v>0</v>
      </c>
      <c r="H21" s="782">
        <f>TRP_Simple!K87</f>
        <v>0</v>
      </c>
      <c r="I21" s="657">
        <f t="shared" si="1"/>
        <v>0</v>
      </c>
      <c r="J21" s="691">
        <f>I21-TRP_Simple!J87</f>
        <v>0</v>
      </c>
      <c r="K21">
        <f>B21/SUM(TRP_Simple!$C87:$E87)</f>
        <v>0</v>
      </c>
      <c r="L21">
        <f>C21/SUM(TRP_Simple!$C87:$E87)</f>
        <v>0</v>
      </c>
      <c r="M21">
        <f>D21/SUM(TRP_Simple!$C87:$E87)</f>
        <v>0</v>
      </c>
      <c r="N21">
        <f>E21/SUM(TRP_Simple!$C87:$E87)</f>
        <v>0</v>
      </c>
      <c r="O21">
        <f>F21/SUM(TRP_Simple!$C87:$E87)</f>
        <v>0</v>
      </c>
      <c r="P21" s="65"/>
      <c r="Q21" s="8">
        <v>0</v>
      </c>
      <c r="R21" s="8">
        <v>0</v>
      </c>
      <c r="S21" s="8">
        <v>0</v>
      </c>
      <c r="T21" s="8">
        <f t="shared" si="2"/>
        <v>0</v>
      </c>
      <c r="U21" s="8">
        <f t="shared" si="3"/>
        <v>0</v>
      </c>
      <c r="V21" s="8">
        <f t="shared" si="4"/>
        <v>0</v>
      </c>
    </row>
    <row r="22" spans="1:22" x14ac:dyDescent="0.3">
      <c r="A22" s="1">
        <v>21</v>
      </c>
      <c r="E22" s="8">
        <v>5.4</v>
      </c>
      <c r="F22">
        <f t="shared" si="0"/>
        <v>0.59999999999999964</v>
      </c>
      <c r="G22" s="782">
        <f>TRP_Simple!J88-TRP_Simple!K88</f>
        <v>6</v>
      </c>
      <c r="H22" s="782">
        <f>TRP_Simple!K88</f>
        <v>28</v>
      </c>
      <c r="I22" s="657">
        <f t="shared" si="1"/>
        <v>34</v>
      </c>
      <c r="J22" s="691">
        <f>I22-TRP_Simple!J88</f>
        <v>0</v>
      </c>
      <c r="K22">
        <f>B22/SUM(TRP_Simple!$C88:$E88)</f>
        <v>0</v>
      </c>
      <c r="L22">
        <f>C22/SUM(TRP_Simple!$C88:$E88)</f>
        <v>0</v>
      </c>
      <c r="M22">
        <f>D22/SUM(TRP_Simple!$C88:$E88)</f>
        <v>0</v>
      </c>
      <c r="N22">
        <f>E22/SUM(TRP_Simple!$C88:$E88)</f>
        <v>3.4023770207681605E-3</v>
      </c>
      <c r="O22">
        <f>F22/SUM(TRP_Simple!$C88:$E88)</f>
        <v>3.7804189119646203E-4</v>
      </c>
      <c r="P22" s="65"/>
      <c r="Q22" s="8">
        <v>28.00000000018909</v>
      </c>
      <c r="R22" s="8">
        <v>0.59999999999999964</v>
      </c>
      <c r="S22" s="8">
        <v>5.4000000000000012</v>
      </c>
      <c r="T22" s="8">
        <f t="shared" si="2"/>
        <v>1.8908963284047786E-10</v>
      </c>
      <c r="U22" s="8">
        <f t="shared" si="3"/>
        <v>0</v>
      </c>
      <c r="V22" s="8">
        <f t="shared" si="4"/>
        <v>0</v>
      </c>
    </row>
    <row r="23" spans="1:22" x14ac:dyDescent="0.3">
      <c r="A23" s="1">
        <v>22</v>
      </c>
      <c r="B23" s="691">
        <f>G23</f>
        <v>24991.258723348365</v>
      </c>
      <c r="C23" s="776"/>
      <c r="F23">
        <f t="shared" si="0"/>
        <v>0</v>
      </c>
      <c r="G23" s="782">
        <f>TRP_Simple!J89-TRP_Simple!K89</f>
        <v>24991.258723348365</v>
      </c>
      <c r="H23" s="782">
        <f>TRP_Simple!K89</f>
        <v>9330</v>
      </c>
      <c r="I23" s="657">
        <f t="shared" si="1"/>
        <v>34321.258723348365</v>
      </c>
      <c r="J23" s="691">
        <f>I23-TRP_Simple!J89</f>
        <v>0</v>
      </c>
      <c r="K23">
        <f>B23/SUM(TRP_Simple!$C89:$E89)</f>
        <v>0.25575440572864866</v>
      </c>
      <c r="L23">
        <f>C23/SUM(TRP_Simple!$C89:$E89)</f>
        <v>0</v>
      </c>
      <c r="M23">
        <f>D23/SUM(TRP_Simple!$C89:$E89)</f>
        <v>0</v>
      </c>
      <c r="N23">
        <f>E23/SUM(TRP_Simple!$C89:$E89)</f>
        <v>0</v>
      </c>
      <c r="O23">
        <f>F23/SUM(TRP_Simple!$C89:$E89)</f>
        <v>0</v>
      </c>
      <c r="P23" s="65"/>
      <c r="Q23" s="8">
        <v>9330.0000000072614</v>
      </c>
      <c r="R23" s="8">
        <v>0</v>
      </c>
      <c r="S23" s="8">
        <v>24991.258723348365</v>
      </c>
      <c r="T23" s="8">
        <f t="shared" si="2"/>
        <v>7.2614056989550591E-9</v>
      </c>
      <c r="U23" s="8">
        <f t="shared" si="3"/>
        <v>0</v>
      </c>
      <c r="V23" s="8">
        <f t="shared" si="4"/>
        <v>0</v>
      </c>
    </row>
    <row r="24" spans="1:22" x14ac:dyDescent="0.3">
      <c r="A24" s="1">
        <v>23</v>
      </c>
      <c r="B24" s="776"/>
      <c r="C24" s="691">
        <f>1366+2</f>
        <v>1368</v>
      </c>
      <c r="F24">
        <f t="shared" si="0"/>
        <v>2073</v>
      </c>
      <c r="G24" s="782">
        <f>TRP_Simple!J90-TRP_Simple!K90</f>
        <v>3441</v>
      </c>
      <c r="H24" s="782">
        <f>TRP_Simple!K90</f>
        <v>3199</v>
      </c>
      <c r="I24" s="657">
        <f t="shared" si="1"/>
        <v>6640</v>
      </c>
      <c r="J24" s="691">
        <f>I24-TRP_Simple!J90</f>
        <v>0</v>
      </c>
      <c r="K24">
        <f>B24/SUM(TRP_Simple!$C90:$E90)</f>
        <v>0</v>
      </c>
      <c r="L24">
        <f>C24/SUM(TRP_Simple!$C90:$E90)</f>
        <v>2.9365675646667384E-2</v>
      </c>
      <c r="M24">
        <f>D24/SUM(TRP_Simple!$C90:$E90)</f>
        <v>0</v>
      </c>
      <c r="N24">
        <f>E24/SUM(TRP_Simple!$C90:$E90)</f>
        <v>0</v>
      </c>
      <c r="O24">
        <f>F24/SUM(TRP_Simple!$C90:$E90)</f>
        <v>4.4499302350542017E-2</v>
      </c>
      <c r="P24" s="65"/>
      <c r="Q24" s="8">
        <v>3199.0000000000082</v>
      </c>
      <c r="R24" s="8">
        <v>2072.9999999999995</v>
      </c>
      <c r="S24" s="8">
        <v>1367.9999999999998</v>
      </c>
      <c r="T24" s="8">
        <f t="shared" si="2"/>
        <v>8.1854523159563541E-12</v>
      </c>
      <c r="U24" s="8">
        <f t="shared" si="3"/>
        <v>0</v>
      </c>
      <c r="V24" s="8">
        <f t="shared" si="4"/>
        <v>0</v>
      </c>
    </row>
    <row r="25" spans="1:22" x14ac:dyDescent="0.3">
      <c r="A25" s="1">
        <v>24</v>
      </c>
      <c r="D25" s="8">
        <v>190</v>
      </c>
      <c r="F25">
        <f t="shared" si="0"/>
        <v>22.741276651635189</v>
      </c>
      <c r="G25" s="782">
        <f>TRP_Simple!J91-TRP_Simple!K91</f>
        <v>212.74127665163519</v>
      </c>
      <c r="H25" s="782">
        <f>TRP_Simple!K91</f>
        <v>1827</v>
      </c>
      <c r="I25" s="657">
        <f t="shared" si="1"/>
        <v>2039.7412766516352</v>
      </c>
      <c r="J25" s="691">
        <f>I25-TRP_Simple!J91</f>
        <v>0</v>
      </c>
      <c r="K25">
        <f>B25/SUM(TRP_Simple!$C91:$E91)</f>
        <v>0</v>
      </c>
      <c r="L25">
        <f>C25/SUM(TRP_Simple!$C91:$E91)</f>
        <v>0</v>
      </c>
      <c r="M25">
        <f>D25/SUM(TRP_Simple!$C91:$E91)</f>
        <v>5.5301483521691674E-3</v>
      </c>
      <c r="N25">
        <f>E25/SUM(TRP_Simple!$C91:$E91)</f>
        <v>0</v>
      </c>
      <c r="O25">
        <f>F25/SUM(TRP_Simple!$C91:$E91)</f>
        <v>6.6190859790138683E-4</v>
      </c>
      <c r="P25" s="65"/>
      <c r="Q25" s="8">
        <v>1827.0000000047603</v>
      </c>
      <c r="R25" s="8">
        <v>22.741276651635189</v>
      </c>
      <c r="S25" s="8">
        <v>190</v>
      </c>
      <c r="T25" s="8">
        <f t="shared" si="2"/>
        <v>4.7602952690795064E-9</v>
      </c>
      <c r="U25" s="8">
        <f t="shared" si="3"/>
        <v>0</v>
      </c>
      <c r="V25" s="8">
        <f t="shared" si="4"/>
        <v>0</v>
      </c>
    </row>
    <row r="26" spans="1:22" x14ac:dyDescent="0.3">
      <c r="A26" s="686" t="s">
        <v>65</v>
      </c>
      <c r="B26" s="657">
        <f>SUM(B2:B25)</f>
        <v>24991.258723348365</v>
      </c>
      <c r="C26" s="657">
        <f t="shared" ref="C26:H26" si="5">SUM(C2:C25)</f>
        <v>1368</v>
      </c>
      <c r="D26" s="657">
        <f t="shared" si="5"/>
        <v>190</v>
      </c>
      <c r="E26" s="657">
        <f t="shared" si="5"/>
        <v>5.4</v>
      </c>
      <c r="F26" s="657">
        <f t="shared" si="5"/>
        <v>47169.341276651634</v>
      </c>
      <c r="G26" s="657">
        <f t="shared" si="5"/>
        <v>73724</v>
      </c>
      <c r="H26" s="657">
        <f t="shared" si="5"/>
        <v>131017</v>
      </c>
      <c r="I26" s="657">
        <f t="shared" si="1"/>
        <v>204741</v>
      </c>
      <c r="J26" s="691">
        <f>I26-TRP_Simple!J94</f>
        <v>0</v>
      </c>
    </row>
    <row r="27" spans="1:22" x14ac:dyDescent="0.3">
      <c r="A27" s="687" t="s">
        <v>835</v>
      </c>
      <c r="B27" s="8"/>
      <c r="C27" s="8"/>
      <c r="D27" s="8"/>
      <c r="E27" s="8"/>
      <c r="F27" s="8"/>
      <c r="G27" s="8">
        <f>G26-(TRP_Simple!J94-TRP_Simple!K94)</f>
        <v>0</v>
      </c>
      <c r="H27" s="8">
        <f>H26-TRP_Simple!K94</f>
        <v>0</v>
      </c>
      <c r="I27" s="691">
        <f>I26-TRP_Simple!J94</f>
        <v>0</v>
      </c>
      <c r="R27" s="816"/>
    </row>
    <row r="28" spans="1:22" x14ac:dyDescent="0.3">
      <c r="R28" s="816"/>
    </row>
    <row r="29" spans="1:22" x14ac:dyDescent="0.3">
      <c r="R29" s="816"/>
    </row>
    <row r="30" spans="1:22" s="685" customFormat="1" x14ac:dyDescent="0.3">
      <c r="A30" s="684"/>
      <c r="R30" s="816"/>
    </row>
    <row r="31" spans="1:22" s="684" customFormat="1" x14ac:dyDescent="0.3">
      <c r="I31" s="688"/>
      <c r="R31" s="816"/>
    </row>
    <row r="32" spans="1:22" s="685" customFormat="1" x14ac:dyDescent="0.3">
      <c r="A32" s="684"/>
      <c r="I32" s="689"/>
      <c r="R32" s="816"/>
    </row>
    <row r="33" spans="1:18" s="685" customFormat="1" x14ac:dyDescent="0.3">
      <c r="A33" s="684"/>
      <c r="I33" s="689"/>
      <c r="R33" s="816"/>
    </row>
    <row r="34" spans="1:18" s="685" customFormat="1" x14ac:dyDescent="0.3">
      <c r="A34" s="684"/>
      <c r="I34" s="689"/>
      <c r="R34" s="816"/>
    </row>
    <row r="35" spans="1:18" s="685" customFormat="1" x14ac:dyDescent="0.3">
      <c r="A35" s="684"/>
      <c r="I35" s="689"/>
      <c r="R35" s="816"/>
    </row>
    <row r="36" spans="1:18" s="685" customFormat="1" x14ac:dyDescent="0.3">
      <c r="A36" s="684"/>
      <c r="I36" s="689"/>
      <c r="R36" s="816"/>
    </row>
    <row r="37" spans="1:18" s="685" customFormat="1" x14ac:dyDescent="0.3">
      <c r="A37" s="684"/>
      <c r="I37" s="689"/>
      <c r="R37" s="816"/>
    </row>
    <row r="38" spans="1:18" s="685" customFormat="1" x14ac:dyDescent="0.3">
      <c r="A38" s="684"/>
      <c r="I38" s="689"/>
      <c r="R38" s="816"/>
    </row>
    <row r="39" spans="1:18" s="685" customFormat="1" x14ac:dyDescent="0.3">
      <c r="A39" s="684"/>
      <c r="I39" s="689"/>
      <c r="R39" s="816"/>
    </row>
    <row r="40" spans="1:18" s="685" customFormat="1" x14ac:dyDescent="0.3">
      <c r="A40" s="684"/>
      <c r="I40" s="689"/>
      <c r="R40" s="816"/>
    </row>
    <row r="41" spans="1:18" s="685" customFormat="1" x14ac:dyDescent="0.3">
      <c r="A41" s="684"/>
      <c r="I41" s="689"/>
      <c r="R41" s="816"/>
    </row>
    <row r="42" spans="1:18" s="685" customFormat="1" x14ac:dyDescent="0.3">
      <c r="A42" s="684"/>
      <c r="I42" s="689"/>
      <c r="R42" s="816"/>
    </row>
    <row r="43" spans="1:18" s="685" customFormat="1" x14ac:dyDescent="0.3">
      <c r="A43" s="684"/>
      <c r="I43" s="689"/>
      <c r="R43" s="816"/>
    </row>
    <row r="44" spans="1:18" s="685" customFormat="1" x14ac:dyDescent="0.3">
      <c r="A44" s="684"/>
      <c r="I44" s="689"/>
      <c r="R44" s="816"/>
    </row>
    <row r="45" spans="1:18" s="685" customFormat="1" x14ac:dyDescent="0.3">
      <c r="A45" s="684"/>
      <c r="I45" s="689"/>
      <c r="R45" s="816"/>
    </row>
    <row r="46" spans="1:18" s="685" customFormat="1" x14ac:dyDescent="0.3">
      <c r="A46" s="684"/>
      <c r="I46" s="689"/>
      <c r="R46" s="816"/>
    </row>
    <row r="47" spans="1:18" s="685" customFormat="1" x14ac:dyDescent="0.3">
      <c r="A47" s="684"/>
      <c r="I47" s="689"/>
      <c r="R47" s="816"/>
    </row>
    <row r="48" spans="1:18" s="685" customFormat="1" x14ac:dyDescent="0.3">
      <c r="A48" s="684"/>
      <c r="I48" s="689"/>
      <c r="R48" s="816"/>
    </row>
    <row r="49" spans="1:18" s="685" customFormat="1" x14ac:dyDescent="0.3">
      <c r="A49" s="684"/>
      <c r="I49" s="689"/>
      <c r="R49" s="816"/>
    </row>
    <row r="50" spans="1:18" s="685" customFormat="1" x14ac:dyDescent="0.3">
      <c r="A50" s="684"/>
      <c r="I50" s="689"/>
      <c r="R50" s="816"/>
    </row>
    <row r="51" spans="1:18" s="685" customFormat="1" x14ac:dyDescent="0.3">
      <c r="A51" s="684"/>
      <c r="I51" s="689"/>
    </row>
    <row r="52" spans="1:18" s="685" customFormat="1" x14ac:dyDescent="0.3">
      <c r="A52" s="684"/>
      <c r="I52" s="689"/>
    </row>
    <row r="53" spans="1:18" s="685" customFormat="1" x14ac:dyDescent="0.3">
      <c r="A53" s="684"/>
      <c r="I53" s="689"/>
    </row>
    <row r="54" spans="1:18" s="685" customFormat="1" x14ac:dyDescent="0.3">
      <c r="A54" s="684"/>
      <c r="I54" s="689"/>
    </row>
    <row r="55" spans="1:18" s="685" customFormat="1" x14ac:dyDescent="0.3">
      <c r="A55" s="684"/>
      <c r="I55" s="689"/>
    </row>
    <row r="56" spans="1:18" s="685" customFormat="1" x14ac:dyDescent="0.3">
      <c r="A56" s="684"/>
      <c r="I56" s="689"/>
    </row>
    <row r="57" spans="1:18" s="8" customFormat="1" x14ac:dyDescent="0.3">
      <c r="A57" s="687"/>
    </row>
    <row r="58" spans="1:18" s="8" customFormat="1" x14ac:dyDescent="0.3">
      <c r="A58" s="687"/>
    </row>
    <row r="59" spans="1:18" s="8" customFormat="1" x14ac:dyDescent="0.3">
      <c r="A59" s="687"/>
      <c r="B59" s="687"/>
      <c r="C59" s="687"/>
      <c r="D59" s="687"/>
      <c r="E59" s="687"/>
      <c r="F59" s="687"/>
      <c r="G59" s="687"/>
      <c r="H59" s="687"/>
    </row>
    <row r="60" spans="1:18" s="8" customFormat="1" x14ac:dyDescent="0.3">
      <c r="A60" s="687"/>
    </row>
    <row r="61" spans="1:18" s="8" customFormat="1" x14ac:dyDescent="0.3">
      <c r="A61" s="687"/>
    </row>
    <row r="62" spans="1:18" s="8" customFormat="1" x14ac:dyDescent="0.3">
      <c r="A62" s="687"/>
    </row>
    <row r="63" spans="1:18" s="8" customFormat="1" x14ac:dyDescent="0.3">
      <c r="A63" s="687"/>
    </row>
    <row r="64" spans="1:18" s="8" customFormat="1" x14ac:dyDescent="0.3">
      <c r="A64" s="687"/>
    </row>
    <row r="65" spans="1:1" s="8" customFormat="1" x14ac:dyDescent="0.3">
      <c r="A65" s="687"/>
    </row>
    <row r="66" spans="1:1" s="8" customFormat="1" x14ac:dyDescent="0.3">
      <c r="A66" s="687"/>
    </row>
    <row r="67" spans="1:1" s="8" customFormat="1" x14ac:dyDescent="0.3">
      <c r="A67" s="687"/>
    </row>
    <row r="68" spans="1:1" s="8" customFormat="1" x14ac:dyDescent="0.3">
      <c r="A68" s="687"/>
    </row>
    <row r="69" spans="1:1" s="8" customFormat="1" x14ac:dyDescent="0.3">
      <c r="A69" s="687"/>
    </row>
    <row r="70" spans="1:1" s="8" customFormat="1" x14ac:dyDescent="0.3">
      <c r="A70" s="687"/>
    </row>
    <row r="71" spans="1:1" s="8" customFormat="1" x14ac:dyDescent="0.3">
      <c r="A71" s="687"/>
    </row>
    <row r="72" spans="1:1" s="8" customFormat="1" x14ac:dyDescent="0.3">
      <c r="A72" s="687"/>
    </row>
    <row r="73" spans="1:1" s="8" customFormat="1" x14ac:dyDescent="0.3">
      <c r="A73" s="687"/>
    </row>
    <row r="74" spans="1:1" s="8" customFormat="1" x14ac:dyDescent="0.3">
      <c r="A74" s="687"/>
    </row>
    <row r="75" spans="1:1" s="8" customFormat="1" x14ac:dyDescent="0.3">
      <c r="A75" s="687"/>
    </row>
    <row r="76" spans="1:1" s="8" customFormat="1" x14ac:dyDescent="0.3">
      <c r="A76" s="687"/>
    </row>
    <row r="77" spans="1:1" s="8" customFormat="1" x14ac:dyDescent="0.3">
      <c r="A77" s="687"/>
    </row>
    <row r="78" spans="1:1" s="8" customFormat="1" x14ac:dyDescent="0.3">
      <c r="A78" s="687"/>
    </row>
    <row r="79" spans="1:1" s="8" customFormat="1" x14ac:dyDescent="0.3">
      <c r="A79" s="687"/>
    </row>
    <row r="80" spans="1:1" s="8" customFormat="1" x14ac:dyDescent="0.3">
      <c r="A80" s="687"/>
    </row>
    <row r="81" spans="1:1" s="8" customFormat="1" x14ac:dyDescent="0.3">
      <c r="A81" s="687"/>
    </row>
    <row r="82" spans="1:1" s="8" customFormat="1" x14ac:dyDescent="0.3">
      <c r="A82" s="687"/>
    </row>
    <row r="83" spans="1:1" s="8" customFormat="1" x14ac:dyDescent="0.3">
      <c r="A83" s="687"/>
    </row>
    <row r="84" spans="1:1" s="8" customFormat="1" x14ac:dyDescent="0.3">
      <c r="A84" s="687"/>
    </row>
  </sheetData>
  <phoneticPr fontId="12" type="noConversion"/>
  <pageMargins left="0.78740157499999996" right="0.78740157499999996" top="0.984251969" bottom="0.984251969" header="0.4921259845" footer="0.4921259845"/>
  <pageSetup paperSize="9" orientation="portrait" verticalDpi="0"/>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J143"/>
  <sheetViews>
    <sheetView zoomScale="55" zoomScaleNormal="55" zoomScaleSheetLayoutView="70" workbookViewId="0">
      <pane xSplit="1" ySplit="1" topLeftCell="W55" activePane="bottomRight" state="frozen"/>
      <selection pane="topRight"/>
      <selection pane="bottomLeft"/>
      <selection pane="bottomRight" activeCell="AC70" sqref="AC70"/>
    </sheetView>
  </sheetViews>
  <sheetFormatPr baseColWidth="10" defaultColWidth="9.1796875" defaultRowHeight="14.5" x14ac:dyDescent="0.35"/>
  <cols>
    <col min="1" max="1" width="9.1796875" style="10"/>
    <col min="2" max="2" width="9.54296875" style="10" bestFit="1" customWidth="1"/>
    <col min="3" max="3" width="15.81640625" style="10" bestFit="1" customWidth="1"/>
    <col min="4" max="5" width="9.54296875" style="10" bestFit="1" customWidth="1"/>
    <col min="6" max="6" width="15.54296875" style="10" bestFit="1" customWidth="1"/>
    <col min="7" max="7" width="16.453125" style="10" customWidth="1"/>
    <col min="8" max="8" width="17.1796875" style="10" bestFit="1" customWidth="1"/>
    <col min="9" max="10" width="9.54296875" style="10" bestFit="1" customWidth="1"/>
    <col min="11" max="11" width="14.81640625" style="10" bestFit="1" customWidth="1"/>
    <col min="12" max="12" width="9.54296875" style="10" bestFit="1" customWidth="1"/>
    <col min="13" max="13" width="14.81640625" style="10" bestFit="1" customWidth="1"/>
    <col min="14" max="14" width="15.54296875" style="10" bestFit="1" customWidth="1"/>
    <col min="15" max="17" width="9.54296875" style="10" bestFit="1" customWidth="1"/>
    <col min="18" max="18" width="15.81640625" style="10" bestFit="1" customWidth="1"/>
    <col min="19" max="19" width="9.54296875" style="10" bestFit="1" customWidth="1"/>
    <col min="20" max="20" width="10.1796875" style="10" bestFit="1" customWidth="1"/>
    <col min="21" max="21" width="9.54296875" style="10" bestFit="1" customWidth="1"/>
    <col min="22" max="22" width="11.1796875" style="10" customWidth="1"/>
    <col min="23" max="23" width="9.54296875" style="10" bestFit="1" customWidth="1"/>
    <col min="24" max="24" width="9.453125" style="10" bestFit="1" customWidth="1"/>
    <col min="25" max="25" width="14.54296875" style="10" bestFit="1" customWidth="1"/>
    <col min="26" max="26" width="16.453125" style="10" customWidth="1"/>
    <col min="27" max="27" width="16" style="10" bestFit="1" customWidth="1"/>
    <col min="28" max="28" width="10.453125" style="10" customWidth="1"/>
    <col min="29" max="29" width="13.81640625" style="10" customWidth="1"/>
    <col min="30" max="30" width="11" style="10" bestFit="1" customWidth="1"/>
    <col min="31" max="32" width="9.1796875" style="10"/>
    <col min="33" max="33" width="14.453125" style="10" customWidth="1"/>
    <col min="34" max="34" width="9.1796875" style="10"/>
    <col min="35" max="35" width="12.1796875" style="10" customWidth="1"/>
    <col min="36" max="36" width="15.453125" style="10" bestFit="1" customWidth="1"/>
    <col min="37" max="16384" width="9.1796875" style="10"/>
  </cols>
  <sheetData>
    <row r="1" spans="1:32" x14ac:dyDescent="0.35">
      <c r="B1" s="10" t="s">
        <v>587</v>
      </c>
      <c r="C1" s="10" t="s">
        <v>588</v>
      </c>
      <c r="D1" s="10" t="s">
        <v>589</v>
      </c>
      <c r="E1" s="10" t="s">
        <v>590</v>
      </c>
      <c r="F1" s="10" t="s">
        <v>591</v>
      </c>
      <c r="G1" s="10" t="s">
        <v>592</v>
      </c>
      <c r="H1" s="10" t="s">
        <v>593</v>
      </c>
      <c r="I1" s="10" t="s">
        <v>594</v>
      </c>
      <c r="J1" s="10" t="s">
        <v>595</v>
      </c>
      <c r="K1" s="10" t="s">
        <v>596</v>
      </c>
      <c r="L1" s="10" t="s">
        <v>597</v>
      </c>
      <c r="M1" s="10" t="s">
        <v>598</v>
      </c>
      <c r="N1" s="10" t="s">
        <v>599</v>
      </c>
      <c r="O1" s="10" t="s">
        <v>600</v>
      </c>
      <c r="P1" s="10" t="s">
        <v>601</v>
      </c>
      <c r="Q1" s="10" t="s">
        <v>602</v>
      </c>
      <c r="R1" s="10" t="s">
        <v>603</v>
      </c>
      <c r="S1" s="10" t="s">
        <v>604</v>
      </c>
      <c r="T1" s="10" t="s">
        <v>605</v>
      </c>
      <c r="U1" s="10" t="s">
        <v>606</v>
      </c>
      <c r="V1" s="10" t="s">
        <v>607</v>
      </c>
      <c r="W1" s="10" t="s">
        <v>608</v>
      </c>
      <c r="X1" s="10" t="s">
        <v>609</v>
      </c>
      <c r="Y1" s="10" t="s">
        <v>610</v>
      </c>
      <c r="Z1" s="10" t="s">
        <v>330</v>
      </c>
      <c r="AA1" s="11">
        <f>SUM(AA2:AA25)</f>
        <v>0</v>
      </c>
      <c r="AC1" s="10" t="s">
        <v>326</v>
      </c>
      <c r="AE1" s="10" t="s">
        <v>661</v>
      </c>
      <c r="AF1" s="10" t="s">
        <v>611</v>
      </c>
    </row>
    <row r="2" spans="1:32" x14ac:dyDescent="0.35">
      <c r="A2" s="10" t="s">
        <v>612</v>
      </c>
      <c r="B2" s="10">
        <f t="shared" ref="B2:Y12" si="0">B32*$Z2</f>
        <v>69531</v>
      </c>
      <c r="C2" s="10">
        <f t="shared" si="0"/>
        <v>6387.858309975778</v>
      </c>
      <c r="D2" s="10">
        <f t="shared" si="0"/>
        <v>0</v>
      </c>
      <c r="E2" s="10">
        <f t="shared" si="0"/>
        <v>0</v>
      </c>
      <c r="F2" s="10">
        <f t="shared" si="0"/>
        <v>0</v>
      </c>
      <c r="G2" s="10">
        <f t="shared" si="0"/>
        <v>0</v>
      </c>
      <c r="H2" s="10">
        <f t="shared" si="0"/>
        <v>0</v>
      </c>
      <c r="I2" s="10">
        <f t="shared" si="0"/>
        <v>0</v>
      </c>
      <c r="J2" s="10">
        <f t="shared" si="0"/>
        <v>0</v>
      </c>
      <c r="K2" s="10">
        <f t="shared" si="0"/>
        <v>0</v>
      </c>
      <c r="L2" s="10">
        <f t="shared" si="0"/>
        <v>0</v>
      </c>
      <c r="M2" s="10">
        <f t="shared" si="0"/>
        <v>0</v>
      </c>
      <c r="N2" s="10">
        <f t="shared" si="0"/>
        <v>0</v>
      </c>
      <c r="O2" s="10">
        <f t="shared" si="0"/>
        <v>0</v>
      </c>
      <c r="P2" s="10">
        <f t="shared" si="0"/>
        <v>0</v>
      </c>
      <c r="Q2" s="10">
        <f t="shared" si="0"/>
        <v>0</v>
      </c>
      <c r="R2" s="10">
        <f t="shared" si="0"/>
        <v>0</v>
      </c>
      <c r="S2" s="10">
        <f t="shared" si="0"/>
        <v>0</v>
      </c>
      <c r="T2" s="10">
        <f t="shared" si="0"/>
        <v>0</v>
      </c>
      <c r="U2" s="10">
        <f t="shared" si="0"/>
        <v>0</v>
      </c>
      <c r="V2" s="10">
        <f t="shared" si="0"/>
        <v>0</v>
      </c>
      <c r="W2" s="11">
        <f>W26-W23</f>
        <v>204.14169002421841</v>
      </c>
      <c r="X2" s="10">
        <f t="shared" si="0"/>
        <v>0</v>
      </c>
      <c r="Y2" s="11">
        <f>Y26-Y25</f>
        <v>1309</v>
      </c>
      <c r="Z2" s="10">
        <f>AC2</f>
        <v>77432</v>
      </c>
      <c r="AA2" s="12">
        <f>SUM(B2:Y2)-Z2</f>
        <v>0</v>
      </c>
      <c r="AC2" s="25">
        <f>AF2-AE2</f>
        <v>77432</v>
      </c>
      <c r="AD2" s="13" t="s">
        <v>613</v>
      </c>
      <c r="AE2" s="692">
        <f>CPR_CEB_Simple!C34</f>
        <v>-7901</v>
      </c>
      <c r="AF2" s="692">
        <f>CPR_CEB_Simple!B34</f>
        <v>69531</v>
      </c>
    </row>
    <row r="3" spans="1:32" x14ac:dyDescent="0.35">
      <c r="A3" s="10" t="s">
        <v>614</v>
      </c>
      <c r="B3" s="10">
        <f t="shared" si="0"/>
        <v>0</v>
      </c>
      <c r="C3" s="10">
        <f t="shared" si="0"/>
        <v>121342</v>
      </c>
      <c r="D3" s="10">
        <f t="shared" si="0"/>
        <v>0</v>
      </c>
      <c r="E3" s="10">
        <f t="shared" si="0"/>
        <v>0</v>
      </c>
      <c r="F3" s="10">
        <f t="shared" si="0"/>
        <v>0</v>
      </c>
      <c r="G3" s="10">
        <f t="shared" si="0"/>
        <v>0</v>
      </c>
      <c r="H3" s="10">
        <f t="shared" si="0"/>
        <v>0</v>
      </c>
      <c r="I3" s="10">
        <f t="shared" si="0"/>
        <v>0</v>
      </c>
      <c r="J3" s="10">
        <f t="shared" si="0"/>
        <v>0</v>
      </c>
      <c r="K3" s="10">
        <f t="shared" si="0"/>
        <v>0</v>
      </c>
      <c r="L3" s="10">
        <f t="shared" si="0"/>
        <v>0</v>
      </c>
      <c r="M3" s="10">
        <f t="shared" si="0"/>
        <v>0</v>
      </c>
      <c r="N3" s="10">
        <f t="shared" si="0"/>
        <v>0</v>
      </c>
      <c r="O3" s="10">
        <f t="shared" si="0"/>
        <v>0</v>
      </c>
      <c r="P3" s="10">
        <f t="shared" si="0"/>
        <v>0</v>
      </c>
      <c r="Q3" s="10">
        <f t="shared" si="0"/>
        <v>0</v>
      </c>
      <c r="R3" s="10">
        <f t="shared" si="0"/>
        <v>0</v>
      </c>
      <c r="S3" s="10">
        <f t="shared" si="0"/>
        <v>0</v>
      </c>
      <c r="T3" s="10">
        <f t="shared" si="0"/>
        <v>0</v>
      </c>
      <c r="U3" s="10">
        <f t="shared" si="0"/>
        <v>0</v>
      </c>
      <c r="V3" s="10">
        <f t="shared" si="0"/>
        <v>0</v>
      </c>
      <c r="W3" s="10">
        <f t="shared" si="0"/>
        <v>0</v>
      </c>
      <c r="X3" s="10">
        <f t="shared" si="0"/>
        <v>0</v>
      </c>
      <c r="Y3" s="10">
        <f t="shared" si="0"/>
        <v>0</v>
      </c>
      <c r="Z3" s="10">
        <f t="shared" ref="Z3:Z25" si="1">AC3</f>
        <v>121342</v>
      </c>
      <c r="AA3" s="12">
        <f t="shared" ref="AA3:AA25" si="2">SUM(B3:Y3)-Z3</f>
        <v>0</v>
      </c>
      <c r="AC3" s="25">
        <f t="shared" ref="AC3:AC25" si="3">AF3-AE3</f>
        <v>121342</v>
      </c>
      <c r="AD3" s="13" t="s">
        <v>615</v>
      </c>
      <c r="AE3" s="692">
        <f>CPR_CEB_Simple!C35</f>
        <v>8274</v>
      </c>
      <c r="AF3" s="692">
        <f>CPR_CEB_Simple!B35</f>
        <v>129616</v>
      </c>
    </row>
    <row r="4" spans="1:32" x14ac:dyDescent="0.35">
      <c r="A4" s="10" t="s">
        <v>616</v>
      </c>
      <c r="B4" s="10">
        <f t="shared" si="0"/>
        <v>0</v>
      </c>
      <c r="C4" s="10">
        <f t="shared" si="0"/>
        <v>0</v>
      </c>
      <c r="D4" s="10">
        <f t="shared" si="0"/>
        <v>89251.199999999997</v>
      </c>
      <c r="E4" s="10">
        <f t="shared" si="0"/>
        <v>0</v>
      </c>
      <c r="F4" s="10">
        <f t="shared" si="0"/>
        <v>0</v>
      </c>
      <c r="G4" s="10">
        <f t="shared" si="0"/>
        <v>0</v>
      </c>
      <c r="H4" s="10">
        <f t="shared" si="0"/>
        <v>0</v>
      </c>
      <c r="I4" s="10">
        <f t="shared" si="0"/>
        <v>0</v>
      </c>
      <c r="J4" s="10">
        <f t="shared" si="0"/>
        <v>0</v>
      </c>
      <c r="K4" s="10">
        <f t="shared" si="0"/>
        <v>0</v>
      </c>
      <c r="L4" s="10">
        <f t="shared" si="0"/>
        <v>0</v>
      </c>
      <c r="M4" s="10">
        <f t="shared" si="0"/>
        <v>0</v>
      </c>
      <c r="N4" s="10">
        <f t="shared" si="0"/>
        <v>0</v>
      </c>
      <c r="O4" s="10">
        <f t="shared" si="0"/>
        <v>0</v>
      </c>
      <c r="P4" s="10">
        <f t="shared" si="0"/>
        <v>0</v>
      </c>
      <c r="Q4" s="10">
        <f t="shared" si="0"/>
        <v>0</v>
      </c>
      <c r="R4" s="10">
        <f t="shared" si="0"/>
        <v>0</v>
      </c>
      <c r="S4" s="10">
        <f t="shared" si="0"/>
        <v>0</v>
      </c>
      <c r="T4" s="10">
        <f t="shared" si="0"/>
        <v>0</v>
      </c>
      <c r="U4" s="10">
        <f t="shared" si="0"/>
        <v>0</v>
      </c>
      <c r="V4" s="10">
        <f t="shared" si="0"/>
        <v>0</v>
      </c>
      <c r="W4" s="10">
        <f t="shared" si="0"/>
        <v>0</v>
      </c>
      <c r="X4" s="10">
        <f t="shared" si="0"/>
        <v>0</v>
      </c>
      <c r="Y4" s="10">
        <f t="shared" si="0"/>
        <v>0</v>
      </c>
      <c r="Z4" s="10">
        <f t="shared" si="1"/>
        <v>89251.199999999997</v>
      </c>
      <c r="AA4" s="12">
        <f t="shared" si="2"/>
        <v>0</v>
      </c>
      <c r="AC4" s="25">
        <f t="shared" si="3"/>
        <v>89251.199999999997</v>
      </c>
      <c r="AD4" s="13" t="s">
        <v>617</v>
      </c>
      <c r="AE4" s="692">
        <f>CPR_CEB_Simple!C36</f>
        <v>189</v>
      </c>
      <c r="AF4" s="692">
        <f>CPR_CEB_Simple!B36</f>
        <v>89440.2</v>
      </c>
    </row>
    <row r="5" spans="1:32" x14ac:dyDescent="0.35">
      <c r="A5" s="10" t="s">
        <v>618</v>
      </c>
      <c r="B5" s="10">
        <f t="shared" si="0"/>
        <v>0</v>
      </c>
      <c r="C5" s="10">
        <f t="shared" si="0"/>
        <v>0</v>
      </c>
      <c r="D5" s="10">
        <f t="shared" si="0"/>
        <v>0</v>
      </c>
      <c r="E5" s="10">
        <f t="shared" si="0"/>
        <v>6652</v>
      </c>
      <c r="F5" s="10">
        <f t="shared" si="0"/>
        <v>0</v>
      </c>
      <c r="G5" s="10">
        <f t="shared" si="0"/>
        <v>0</v>
      </c>
      <c r="H5" s="10">
        <f t="shared" si="0"/>
        <v>0</v>
      </c>
      <c r="I5" s="10">
        <f t="shared" si="0"/>
        <v>0</v>
      </c>
      <c r="J5" s="10">
        <f t="shared" si="0"/>
        <v>0</v>
      </c>
      <c r="K5" s="10">
        <f t="shared" si="0"/>
        <v>0</v>
      </c>
      <c r="L5" s="10">
        <f t="shared" si="0"/>
        <v>0</v>
      </c>
      <c r="M5" s="10">
        <f t="shared" si="0"/>
        <v>0</v>
      </c>
      <c r="N5" s="10">
        <f t="shared" si="0"/>
        <v>0</v>
      </c>
      <c r="O5" s="10">
        <f t="shared" si="0"/>
        <v>0</v>
      </c>
      <c r="P5" s="10">
        <f t="shared" si="0"/>
        <v>0</v>
      </c>
      <c r="Q5" s="10">
        <f t="shared" si="0"/>
        <v>0</v>
      </c>
      <c r="R5" s="10">
        <f t="shared" si="0"/>
        <v>0</v>
      </c>
      <c r="S5" s="10">
        <f t="shared" si="0"/>
        <v>0</v>
      </c>
      <c r="T5" s="10">
        <f t="shared" si="0"/>
        <v>0</v>
      </c>
      <c r="U5" s="10">
        <f t="shared" si="0"/>
        <v>0</v>
      </c>
      <c r="V5" s="10">
        <f t="shared" si="0"/>
        <v>0</v>
      </c>
      <c r="W5" s="10">
        <f t="shared" si="0"/>
        <v>0</v>
      </c>
      <c r="X5" s="10">
        <f t="shared" si="0"/>
        <v>0</v>
      </c>
      <c r="Y5" s="10">
        <f t="shared" si="0"/>
        <v>0</v>
      </c>
      <c r="Z5" s="10">
        <f t="shared" si="1"/>
        <v>6652</v>
      </c>
      <c r="AA5" s="12">
        <f t="shared" si="2"/>
        <v>0</v>
      </c>
      <c r="AC5" s="25">
        <f t="shared" si="3"/>
        <v>6652</v>
      </c>
      <c r="AD5" s="13" t="s">
        <v>619</v>
      </c>
      <c r="AE5" s="692">
        <f>CPR_CEB_Simple!C37</f>
        <v>102</v>
      </c>
      <c r="AF5" s="692">
        <f>CPR_CEB_Simple!B37</f>
        <v>6754</v>
      </c>
    </row>
    <row r="6" spans="1:32" x14ac:dyDescent="0.35">
      <c r="A6" s="10" t="s">
        <v>620</v>
      </c>
      <c r="B6" s="10">
        <f t="shared" si="0"/>
        <v>0</v>
      </c>
      <c r="C6" s="10">
        <f t="shared" si="0"/>
        <v>0</v>
      </c>
      <c r="D6" s="10">
        <f t="shared" si="0"/>
        <v>0</v>
      </c>
      <c r="E6" s="10">
        <f t="shared" si="0"/>
        <v>0</v>
      </c>
      <c r="F6" s="10">
        <f t="shared" si="0"/>
        <v>19621</v>
      </c>
      <c r="G6" s="10">
        <f t="shared" si="0"/>
        <v>0</v>
      </c>
      <c r="H6" s="10">
        <f t="shared" si="0"/>
        <v>0</v>
      </c>
      <c r="I6" s="10">
        <f t="shared" si="0"/>
        <v>0</v>
      </c>
      <c r="J6" s="10">
        <f t="shared" si="0"/>
        <v>0</v>
      </c>
      <c r="K6" s="10">
        <f t="shared" si="0"/>
        <v>0</v>
      </c>
      <c r="L6" s="10">
        <f t="shared" si="0"/>
        <v>0</v>
      </c>
      <c r="M6" s="10">
        <f t="shared" si="0"/>
        <v>0</v>
      </c>
      <c r="N6" s="10">
        <f t="shared" si="0"/>
        <v>0</v>
      </c>
      <c r="O6" s="10">
        <f t="shared" si="0"/>
        <v>0</v>
      </c>
      <c r="P6" s="10">
        <f t="shared" si="0"/>
        <v>0</v>
      </c>
      <c r="Q6" s="10">
        <f t="shared" si="0"/>
        <v>0</v>
      </c>
      <c r="R6" s="10">
        <f t="shared" si="0"/>
        <v>0</v>
      </c>
      <c r="S6" s="10">
        <f t="shared" si="0"/>
        <v>0</v>
      </c>
      <c r="T6" s="10">
        <f t="shared" si="0"/>
        <v>0</v>
      </c>
      <c r="U6" s="10">
        <f t="shared" si="0"/>
        <v>0</v>
      </c>
      <c r="V6" s="10">
        <f t="shared" si="0"/>
        <v>0</v>
      </c>
      <c r="W6" s="10">
        <f t="shared" si="0"/>
        <v>0</v>
      </c>
      <c r="X6" s="10">
        <f t="shared" si="0"/>
        <v>0</v>
      </c>
      <c r="Y6" s="10">
        <f t="shared" si="0"/>
        <v>0</v>
      </c>
      <c r="Z6" s="10">
        <f t="shared" si="1"/>
        <v>19621</v>
      </c>
      <c r="AA6" s="12">
        <f t="shared" si="2"/>
        <v>0</v>
      </c>
      <c r="AC6" s="25">
        <f t="shared" si="3"/>
        <v>19621</v>
      </c>
      <c r="AD6" s="13" t="s">
        <v>621</v>
      </c>
      <c r="AE6" s="692">
        <f>CPR_CEB_Simple!C38</f>
        <v>46</v>
      </c>
      <c r="AF6" s="692">
        <f>CPR_CEB_Simple!B38</f>
        <v>19667</v>
      </c>
    </row>
    <row r="7" spans="1:32" x14ac:dyDescent="0.35">
      <c r="A7" s="10" t="s">
        <v>622</v>
      </c>
      <c r="B7" s="10">
        <f t="shared" si="0"/>
        <v>0</v>
      </c>
      <c r="C7" s="10">
        <f t="shared" si="0"/>
        <v>0</v>
      </c>
      <c r="D7" s="10">
        <f t="shared" si="0"/>
        <v>0</v>
      </c>
      <c r="E7" s="10">
        <f t="shared" si="0"/>
        <v>0</v>
      </c>
      <c r="F7" s="10">
        <f t="shared" si="0"/>
        <v>0</v>
      </c>
      <c r="G7" s="10">
        <f t="shared" si="0"/>
        <v>19256</v>
      </c>
      <c r="H7" s="10">
        <f t="shared" si="0"/>
        <v>0</v>
      </c>
      <c r="I7" s="10">
        <f t="shared" si="0"/>
        <v>0</v>
      </c>
      <c r="J7" s="10">
        <f t="shared" si="0"/>
        <v>0</v>
      </c>
      <c r="K7" s="10">
        <f t="shared" si="0"/>
        <v>0</v>
      </c>
      <c r="L7" s="10">
        <f t="shared" si="0"/>
        <v>0</v>
      </c>
      <c r="M7" s="10">
        <f t="shared" si="0"/>
        <v>0</v>
      </c>
      <c r="N7" s="10">
        <f t="shared" si="0"/>
        <v>0</v>
      </c>
      <c r="O7" s="10">
        <f t="shared" si="0"/>
        <v>0</v>
      </c>
      <c r="P7" s="10">
        <f t="shared" si="0"/>
        <v>0</v>
      </c>
      <c r="Q7" s="10">
        <f t="shared" si="0"/>
        <v>0</v>
      </c>
      <c r="R7" s="10">
        <f t="shared" si="0"/>
        <v>0</v>
      </c>
      <c r="S7" s="10">
        <f t="shared" si="0"/>
        <v>0</v>
      </c>
      <c r="T7" s="10">
        <f t="shared" si="0"/>
        <v>0</v>
      </c>
      <c r="U7" s="10">
        <f t="shared" si="0"/>
        <v>0</v>
      </c>
      <c r="V7" s="10">
        <f t="shared" si="0"/>
        <v>0</v>
      </c>
      <c r="W7" s="10">
        <f t="shared" si="0"/>
        <v>0</v>
      </c>
      <c r="X7" s="10">
        <f t="shared" si="0"/>
        <v>0</v>
      </c>
      <c r="Y7" s="10">
        <f t="shared" si="0"/>
        <v>0</v>
      </c>
      <c r="Z7" s="10">
        <f t="shared" si="1"/>
        <v>19256</v>
      </c>
      <c r="AA7" s="12">
        <f t="shared" si="2"/>
        <v>0</v>
      </c>
      <c r="AC7" s="25">
        <f t="shared" si="3"/>
        <v>19256</v>
      </c>
      <c r="AD7" s="13" t="s">
        <v>623</v>
      </c>
      <c r="AE7" s="692">
        <f>CPR_CEB_Simple!C39</f>
        <v>652</v>
      </c>
      <c r="AF7" s="692">
        <f>CPR_CEB_Simple!B39</f>
        <v>19908</v>
      </c>
    </row>
    <row r="8" spans="1:32" x14ac:dyDescent="0.35">
      <c r="A8" s="10" t="s">
        <v>624</v>
      </c>
      <c r="B8" s="10">
        <f t="shared" si="0"/>
        <v>0</v>
      </c>
      <c r="C8" s="10">
        <f t="shared" si="0"/>
        <v>0</v>
      </c>
      <c r="D8" s="10">
        <f t="shared" si="0"/>
        <v>0</v>
      </c>
      <c r="E8" s="10">
        <f t="shared" si="0"/>
        <v>0</v>
      </c>
      <c r="F8" s="10">
        <f t="shared" si="0"/>
        <v>0</v>
      </c>
      <c r="G8" s="10">
        <f t="shared" si="0"/>
        <v>0</v>
      </c>
      <c r="H8" s="10">
        <f t="shared" si="0"/>
        <v>5975</v>
      </c>
      <c r="I8" s="10">
        <f t="shared" si="0"/>
        <v>0</v>
      </c>
      <c r="J8" s="10">
        <f t="shared" si="0"/>
        <v>0</v>
      </c>
      <c r="K8" s="10">
        <f t="shared" si="0"/>
        <v>0</v>
      </c>
      <c r="L8" s="10">
        <f t="shared" si="0"/>
        <v>0</v>
      </c>
      <c r="M8" s="10">
        <f t="shared" si="0"/>
        <v>0</v>
      </c>
      <c r="N8" s="10">
        <f t="shared" si="0"/>
        <v>0</v>
      </c>
      <c r="O8" s="10">
        <f t="shared" si="0"/>
        <v>0</v>
      </c>
      <c r="P8" s="10">
        <f t="shared" si="0"/>
        <v>0</v>
      </c>
      <c r="Q8" s="10">
        <f t="shared" si="0"/>
        <v>0</v>
      </c>
      <c r="R8" s="10">
        <f t="shared" si="0"/>
        <v>0</v>
      </c>
      <c r="S8" s="10">
        <f t="shared" si="0"/>
        <v>0</v>
      </c>
      <c r="T8" s="10">
        <f t="shared" si="0"/>
        <v>0</v>
      </c>
      <c r="U8" s="10">
        <f t="shared" si="0"/>
        <v>0</v>
      </c>
      <c r="V8" s="10">
        <f t="shared" si="0"/>
        <v>0</v>
      </c>
      <c r="W8" s="10">
        <f t="shared" si="0"/>
        <v>0</v>
      </c>
      <c r="X8" s="10">
        <f t="shared" si="0"/>
        <v>0</v>
      </c>
      <c r="Y8" s="10">
        <f t="shared" si="0"/>
        <v>0</v>
      </c>
      <c r="Z8" s="10">
        <f t="shared" si="1"/>
        <v>5975</v>
      </c>
      <c r="AA8" s="12">
        <f t="shared" si="2"/>
        <v>0</v>
      </c>
      <c r="AC8" s="25">
        <f t="shared" si="3"/>
        <v>5975</v>
      </c>
      <c r="AD8" s="13" t="s">
        <v>625</v>
      </c>
      <c r="AE8" s="692">
        <f>CPR_CEB_Simple!C40</f>
        <v>18</v>
      </c>
      <c r="AF8" s="692">
        <f>CPR_CEB_Simple!B40</f>
        <v>5993</v>
      </c>
    </row>
    <row r="9" spans="1:32" x14ac:dyDescent="0.35">
      <c r="A9" s="10" t="s">
        <v>626</v>
      </c>
      <c r="B9" s="10">
        <f t="shared" si="0"/>
        <v>0</v>
      </c>
      <c r="C9" s="10">
        <f t="shared" si="0"/>
        <v>0</v>
      </c>
      <c r="D9" s="10">
        <f t="shared" si="0"/>
        <v>0</v>
      </c>
      <c r="E9" s="10">
        <f t="shared" si="0"/>
        <v>0</v>
      </c>
      <c r="F9" s="10">
        <f t="shared" si="0"/>
        <v>0</v>
      </c>
      <c r="G9" s="10">
        <f t="shared" si="0"/>
        <v>0</v>
      </c>
      <c r="H9" s="10">
        <f t="shared" si="0"/>
        <v>0</v>
      </c>
      <c r="I9" s="10">
        <f t="shared" si="0"/>
        <v>23268</v>
      </c>
      <c r="J9" s="10">
        <f t="shared" si="0"/>
        <v>0</v>
      </c>
      <c r="K9" s="10">
        <f t="shared" si="0"/>
        <v>0</v>
      </c>
      <c r="L9" s="10">
        <f t="shared" si="0"/>
        <v>0</v>
      </c>
      <c r="M9" s="10">
        <f t="shared" si="0"/>
        <v>0</v>
      </c>
      <c r="N9" s="10">
        <f t="shared" si="0"/>
        <v>0</v>
      </c>
      <c r="O9" s="10">
        <f t="shared" si="0"/>
        <v>0</v>
      </c>
      <c r="P9" s="10">
        <f t="shared" si="0"/>
        <v>0</v>
      </c>
      <c r="Q9" s="10">
        <f t="shared" si="0"/>
        <v>0</v>
      </c>
      <c r="R9" s="10">
        <f t="shared" si="0"/>
        <v>0</v>
      </c>
      <c r="S9" s="10">
        <f t="shared" si="0"/>
        <v>0</v>
      </c>
      <c r="T9" s="10">
        <f t="shared" si="0"/>
        <v>0</v>
      </c>
      <c r="U9" s="10">
        <f t="shared" si="0"/>
        <v>0</v>
      </c>
      <c r="V9" s="10">
        <f t="shared" si="0"/>
        <v>0</v>
      </c>
      <c r="W9" s="10">
        <f t="shared" si="0"/>
        <v>0</v>
      </c>
      <c r="X9" s="10">
        <f t="shared" si="0"/>
        <v>0</v>
      </c>
      <c r="Y9" s="10">
        <f t="shared" si="0"/>
        <v>0</v>
      </c>
      <c r="Z9" s="10">
        <f t="shared" si="1"/>
        <v>23268</v>
      </c>
      <c r="AA9" s="12">
        <f t="shared" si="2"/>
        <v>0</v>
      </c>
      <c r="AC9" s="25">
        <f t="shared" si="3"/>
        <v>23268</v>
      </c>
      <c r="AD9" s="13" t="s">
        <v>627</v>
      </c>
      <c r="AE9" s="692">
        <f>CPR_CEB_Simple!C41</f>
        <v>496</v>
      </c>
      <c r="AF9" s="692">
        <f>CPR_CEB_Simple!B41</f>
        <v>23764</v>
      </c>
    </row>
    <row r="10" spans="1:32" x14ac:dyDescent="0.35">
      <c r="A10" s="10" t="s">
        <v>628</v>
      </c>
      <c r="B10" s="10">
        <f t="shared" si="0"/>
        <v>0</v>
      </c>
      <c r="C10" s="10">
        <f t="shared" si="0"/>
        <v>0</v>
      </c>
      <c r="D10" s="10">
        <f t="shared" si="0"/>
        <v>0</v>
      </c>
      <c r="E10" s="10">
        <f t="shared" si="0"/>
        <v>0</v>
      </c>
      <c r="F10" s="10">
        <f t="shared" si="0"/>
        <v>0</v>
      </c>
      <c r="G10" s="10">
        <f t="shared" si="0"/>
        <v>0</v>
      </c>
      <c r="H10" s="10">
        <f t="shared" si="0"/>
        <v>0</v>
      </c>
      <c r="I10" s="10">
        <f t="shared" si="0"/>
        <v>0</v>
      </c>
      <c r="J10" s="10">
        <f t="shared" si="0"/>
        <v>25169</v>
      </c>
      <c r="K10" s="10">
        <f t="shared" si="0"/>
        <v>0</v>
      </c>
      <c r="L10" s="10">
        <f t="shared" si="0"/>
        <v>0</v>
      </c>
      <c r="M10" s="10">
        <f t="shared" si="0"/>
        <v>0</v>
      </c>
      <c r="N10" s="10">
        <f t="shared" si="0"/>
        <v>0</v>
      </c>
      <c r="O10" s="10">
        <f t="shared" si="0"/>
        <v>0</v>
      </c>
      <c r="P10" s="10">
        <f t="shared" si="0"/>
        <v>0</v>
      </c>
      <c r="Q10" s="10">
        <f t="shared" si="0"/>
        <v>0</v>
      </c>
      <c r="R10" s="10">
        <f t="shared" si="0"/>
        <v>0</v>
      </c>
      <c r="S10" s="10">
        <f t="shared" si="0"/>
        <v>0</v>
      </c>
      <c r="T10" s="10">
        <f t="shared" si="0"/>
        <v>0</v>
      </c>
      <c r="U10" s="10">
        <f t="shared" si="0"/>
        <v>0</v>
      </c>
      <c r="V10" s="10">
        <f t="shared" si="0"/>
        <v>0</v>
      </c>
      <c r="W10" s="10">
        <f t="shared" si="0"/>
        <v>0</v>
      </c>
      <c r="X10" s="10">
        <f t="shared" si="0"/>
        <v>0</v>
      </c>
      <c r="Y10" s="10">
        <f t="shared" si="0"/>
        <v>0</v>
      </c>
      <c r="Z10" s="10">
        <f t="shared" si="1"/>
        <v>25169</v>
      </c>
      <c r="AA10" s="12">
        <f t="shared" si="2"/>
        <v>0</v>
      </c>
      <c r="AC10" s="25">
        <f t="shared" si="3"/>
        <v>25169</v>
      </c>
      <c r="AD10" s="13" t="s">
        <v>629</v>
      </c>
      <c r="AE10" s="692">
        <f>CPR_CEB_Simple!C42</f>
        <v>0</v>
      </c>
      <c r="AF10" s="692">
        <f>CPR_CEB_Simple!B42</f>
        <v>25169</v>
      </c>
    </row>
    <row r="11" spans="1:32" x14ac:dyDescent="0.35">
      <c r="A11" s="10" t="s">
        <v>630</v>
      </c>
      <c r="B11" s="10">
        <f t="shared" si="0"/>
        <v>0</v>
      </c>
      <c r="C11" s="10">
        <f t="shared" si="0"/>
        <v>0</v>
      </c>
      <c r="D11" s="10">
        <f t="shared" si="0"/>
        <v>0</v>
      </c>
      <c r="E11" s="10">
        <f t="shared" si="0"/>
        <v>0</v>
      </c>
      <c r="F11" s="10">
        <f t="shared" si="0"/>
        <v>0</v>
      </c>
      <c r="G11" s="10">
        <f t="shared" si="0"/>
        <v>0</v>
      </c>
      <c r="H11" s="10">
        <f t="shared" si="0"/>
        <v>0</v>
      </c>
      <c r="I11" s="10">
        <f t="shared" si="0"/>
        <v>0</v>
      </c>
      <c r="J11" s="10">
        <f t="shared" si="0"/>
        <v>0</v>
      </c>
      <c r="K11" s="10">
        <f t="shared" si="0"/>
        <v>24196</v>
      </c>
      <c r="L11" s="10">
        <f t="shared" si="0"/>
        <v>0</v>
      </c>
      <c r="M11" s="10">
        <f t="shared" si="0"/>
        <v>0</v>
      </c>
      <c r="N11" s="10">
        <f t="shared" si="0"/>
        <v>0</v>
      </c>
      <c r="O11" s="10">
        <f t="shared" si="0"/>
        <v>0</v>
      </c>
      <c r="P11" s="10">
        <f t="shared" si="0"/>
        <v>0</v>
      </c>
      <c r="Q11" s="10">
        <f t="shared" si="0"/>
        <v>0</v>
      </c>
      <c r="R11" s="10">
        <f t="shared" si="0"/>
        <v>0</v>
      </c>
      <c r="S11" s="10">
        <f t="shared" si="0"/>
        <v>0</v>
      </c>
      <c r="T11" s="10">
        <f t="shared" si="0"/>
        <v>0</v>
      </c>
      <c r="U11" s="10">
        <f t="shared" si="0"/>
        <v>0</v>
      </c>
      <c r="V11" s="10">
        <f t="shared" si="0"/>
        <v>0</v>
      </c>
      <c r="W11" s="10">
        <f t="shared" si="0"/>
        <v>0</v>
      </c>
      <c r="X11" s="10">
        <f t="shared" si="0"/>
        <v>0</v>
      </c>
      <c r="Y11" s="10">
        <f t="shared" si="0"/>
        <v>0</v>
      </c>
      <c r="Z11" s="10">
        <f t="shared" si="1"/>
        <v>24196</v>
      </c>
      <c r="AA11" s="12">
        <f t="shared" si="2"/>
        <v>0</v>
      </c>
      <c r="AC11" s="25">
        <f t="shared" si="3"/>
        <v>24196</v>
      </c>
      <c r="AD11" s="13" t="s">
        <v>631</v>
      </c>
      <c r="AE11" s="692">
        <f>CPR_CEB_Simple!C43</f>
        <v>3200</v>
      </c>
      <c r="AF11" s="692">
        <f>CPR_CEB_Simple!B43</f>
        <v>27396</v>
      </c>
    </row>
    <row r="12" spans="1:32" x14ac:dyDescent="0.35">
      <c r="A12" s="10" t="s">
        <v>632</v>
      </c>
      <c r="B12" s="10">
        <f t="shared" si="0"/>
        <v>0</v>
      </c>
      <c r="C12" s="10">
        <f t="shared" si="0"/>
        <v>0</v>
      </c>
      <c r="D12" s="10">
        <f t="shared" si="0"/>
        <v>0</v>
      </c>
      <c r="E12" s="10">
        <f t="shared" si="0"/>
        <v>0</v>
      </c>
      <c r="F12" s="10">
        <f t="shared" si="0"/>
        <v>0</v>
      </c>
      <c r="G12" s="10">
        <f t="shared" si="0"/>
        <v>0</v>
      </c>
      <c r="H12" s="10">
        <f t="shared" si="0"/>
        <v>0</v>
      </c>
      <c r="I12" s="10">
        <f t="shared" si="0"/>
        <v>0</v>
      </c>
      <c r="J12" s="10">
        <f t="shared" si="0"/>
        <v>0</v>
      </c>
      <c r="K12" s="10">
        <f t="shared" si="0"/>
        <v>0</v>
      </c>
      <c r="L12" s="10">
        <f t="shared" si="0"/>
        <v>11506</v>
      </c>
      <c r="M12" s="10">
        <f t="shared" si="0"/>
        <v>0</v>
      </c>
      <c r="N12" s="10">
        <f t="shared" si="0"/>
        <v>0</v>
      </c>
      <c r="O12" s="10">
        <f t="shared" si="0"/>
        <v>0</v>
      </c>
      <c r="P12" s="10">
        <f t="shared" si="0"/>
        <v>0</v>
      </c>
      <c r="Q12" s="10">
        <f t="shared" ref="Q12:Y12" si="4">Q42*$Z12</f>
        <v>0</v>
      </c>
      <c r="R12" s="10">
        <f t="shared" si="4"/>
        <v>0</v>
      </c>
      <c r="S12" s="10">
        <f t="shared" si="4"/>
        <v>0</v>
      </c>
      <c r="T12" s="10">
        <f t="shared" si="4"/>
        <v>0</v>
      </c>
      <c r="U12" s="10">
        <f t="shared" si="4"/>
        <v>0</v>
      </c>
      <c r="V12" s="10">
        <f t="shared" si="4"/>
        <v>0</v>
      </c>
      <c r="W12" s="10">
        <f t="shared" si="4"/>
        <v>0</v>
      </c>
      <c r="X12" s="10">
        <f t="shared" si="4"/>
        <v>0</v>
      </c>
      <c r="Y12" s="10">
        <f t="shared" si="4"/>
        <v>0</v>
      </c>
      <c r="Z12" s="10">
        <f t="shared" si="1"/>
        <v>11506</v>
      </c>
      <c r="AA12" s="12">
        <f t="shared" si="2"/>
        <v>0</v>
      </c>
      <c r="AC12" s="25">
        <f t="shared" si="3"/>
        <v>11506</v>
      </c>
      <c r="AD12" s="13" t="s">
        <v>633</v>
      </c>
      <c r="AE12" s="692">
        <f>CPR_CEB_Simple!C44</f>
        <v>1155</v>
      </c>
      <c r="AF12" s="692">
        <f>CPR_CEB_Simple!B44</f>
        <v>12661</v>
      </c>
    </row>
    <row r="13" spans="1:32" x14ac:dyDescent="0.35">
      <c r="A13" s="10" t="s">
        <v>634</v>
      </c>
      <c r="B13" s="10">
        <f t="shared" ref="B13:Y23" si="5">B43*$Z13</f>
        <v>0</v>
      </c>
      <c r="C13" s="10">
        <f t="shared" si="5"/>
        <v>1886.1416900242191</v>
      </c>
      <c r="D13" s="10">
        <f t="shared" si="5"/>
        <v>188.99999999999545</v>
      </c>
      <c r="E13" s="10">
        <f t="shared" si="5"/>
        <v>102</v>
      </c>
      <c r="F13" s="10">
        <f t="shared" si="5"/>
        <v>45.999999999999083</v>
      </c>
      <c r="G13" s="10">
        <f t="shared" si="5"/>
        <v>651.99999999999898</v>
      </c>
      <c r="H13" s="10">
        <f t="shared" si="5"/>
        <v>17.999999999999996</v>
      </c>
      <c r="I13" s="10">
        <f t="shared" si="5"/>
        <v>495.99999999999898</v>
      </c>
      <c r="J13" s="10">
        <f t="shared" si="5"/>
        <v>0</v>
      </c>
      <c r="K13" s="10">
        <f t="shared" si="5"/>
        <v>2413.2969947969336</v>
      </c>
      <c r="L13" s="10">
        <f t="shared" si="5"/>
        <v>1154.9999999999991</v>
      </c>
      <c r="M13" s="10">
        <f t="shared" si="5"/>
        <v>434125.36131517886</v>
      </c>
      <c r="N13" s="10">
        <f t="shared" si="5"/>
        <v>1057.0000000000093</v>
      </c>
      <c r="O13" s="10">
        <f t="shared" si="5"/>
        <v>0</v>
      </c>
      <c r="P13" s="10">
        <f t="shared" si="5"/>
        <v>496.99999999999903</v>
      </c>
      <c r="Q13" s="10">
        <f t="shared" si="5"/>
        <v>0</v>
      </c>
      <c r="R13" s="10">
        <f t="shared" si="5"/>
        <v>2.00000000001</v>
      </c>
      <c r="S13" s="10">
        <f t="shared" si="5"/>
        <v>1.9999999999990863</v>
      </c>
      <c r="T13" s="10">
        <f t="shared" si="5"/>
        <v>159.00000000001074</v>
      </c>
      <c r="U13" s="10">
        <f t="shared" si="5"/>
        <v>0</v>
      </c>
      <c r="V13" s="10">
        <f t="shared" si="5"/>
        <v>95.999999999999986</v>
      </c>
      <c r="W13" s="10">
        <f t="shared" si="5"/>
        <v>0</v>
      </c>
      <c r="X13" s="10">
        <f t="shared" si="5"/>
        <v>1.9999999999981715</v>
      </c>
      <c r="Y13" s="10">
        <f t="shared" si="5"/>
        <v>0</v>
      </c>
      <c r="Z13" s="10">
        <f t="shared" si="1"/>
        <v>442897.8</v>
      </c>
      <c r="AA13" s="12">
        <f t="shared" si="2"/>
        <v>0</v>
      </c>
      <c r="AC13" s="25">
        <f t="shared" si="3"/>
        <v>442897.8</v>
      </c>
      <c r="AD13" s="13" t="s">
        <v>635</v>
      </c>
      <c r="AE13" s="692">
        <f>CPR_CEB_Simple!C45</f>
        <v>-7940</v>
      </c>
      <c r="AF13" s="692">
        <f>CPR_CEB_Simple!B45</f>
        <v>434957.8</v>
      </c>
    </row>
    <row r="14" spans="1:32" x14ac:dyDescent="0.35">
      <c r="A14" s="10" t="s">
        <v>636</v>
      </c>
      <c r="B14" s="10">
        <f t="shared" si="5"/>
        <v>0</v>
      </c>
      <c r="C14" s="10">
        <f t="shared" si="5"/>
        <v>0</v>
      </c>
      <c r="D14" s="10">
        <f t="shared" si="5"/>
        <v>0</v>
      </c>
      <c r="E14" s="10">
        <f t="shared" si="5"/>
        <v>0</v>
      </c>
      <c r="F14" s="10">
        <f t="shared" si="5"/>
        <v>0</v>
      </c>
      <c r="G14" s="10">
        <f t="shared" si="5"/>
        <v>0</v>
      </c>
      <c r="H14" s="10">
        <f t="shared" si="5"/>
        <v>0</v>
      </c>
      <c r="I14" s="10">
        <f t="shared" si="5"/>
        <v>0</v>
      </c>
      <c r="J14" s="10">
        <f t="shared" si="5"/>
        <v>0</v>
      </c>
      <c r="K14" s="10">
        <f t="shared" si="5"/>
        <v>0</v>
      </c>
      <c r="L14" s="10">
        <f t="shared" si="5"/>
        <v>0</v>
      </c>
      <c r="M14" s="10">
        <f t="shared" si="5"/>
        <v>0</v>
      </c>
      <c r="N14" s="10">
        <f t="shared" si="5"/>
        <v>228674</v>
      </c>
      <c r="O14" s="10">
        <f t="shared" si="5"/>
        <v>0</v>
      </c>
      <c r="P14" s="10">
        <f t="shared" si="5"/>
        <v>0</v>
      </c>
      <c r="Q14" s="10">
        <f t="shared" si="5"/>
        <v>0</v>
      </c>
      <c r="R14" s="10">
        <f t="shared" si="5"/>
        <v>0</v>
      </c>
      <c r="S14" s="10">
        <f t="shared" si="5"/>
        <v>0</v>
      </c>
      <c r="T14" s="10">
        <f t="shared" si="5"/>
        <v>0</v>
      </c>
      <c r="U14" s="10">
        <f t="shared" si="5"/>
        <v>0</v>
      </c>
      <c r="V14" s="10">
        <f t="shared" si="5"/>
        <v>0</v>
      </c>
      <c r="W14" s="10">
        <f t="shared" si="5"/>
        <v>0</v>
      </c>
      <c r="X14" s="10">
        <f t="shared" si="5"/>
        <v>0</v>
      </c>
      <c r="Y14" s="10">
        <f t="shared" si="5"/>
        <v>0</v>
      </c>
      <c r="Z14" s="10">
        <f t="shared" si="1"/>
        <v>228674</v>
      </c>
      <c r="AA14" s="12">
        <f t="shared" si="2"/>
        <v>0</v>
      </c>
      <c r="AC14" s="25">
        <f t="shared" si="3"/>
        <v>228674</v>
      </c>
      <c r="AD14" s="13" t="s">
        <v>637</v>
      </c>
      <c r="AE14" s="692">
        <f>CPR_CEB_Simple!C46</f>
        <v>1057</v>
      </c>
      <c r="AF14" s="692">
        <f>CPR_CEB_Simple!B46</f>
        <v>229731</v>
      </c>
    </row>
    <row r="15" spans="1:32" x14ac:dyDescent="0.35">
      <c r="A15" s="10" t="s">
        <v>638</v>
      </c>
      <c r="B15" s="10">
        <f t="shared" si="5"/>
        <v>0</v>
      </c>
      <c r="C15" s="10">
        <f t="shared" si="5"/>
        <v>0</v>
      </c>
      <c r="D15" s="10">
        <f t="shared" si="5"/>
        <v>0</v>
      </c>
      <c r="E15" s="10">
        <f t="shared" si="5"/>
        <v>0</v>
      </c>
      <c r="F15" s="10">
        <f t="shared" si="5"/>
        <v>0</v>
      </c>
      <c r="G15" s="10">
        <f t="shared" si="5"/>
        <v>0</v>
      </c>
      <c r="H15" s="10">
        <f t="shared" si="5"/>
        <v>0</v>
      </c>
      <c r="I15" s="10">
        <f t="shared" si="5"/>
        <v>0</v>
      </c>
      <c r="J15" s="10">
        <f t="shared" si="5"/>
        <v>0</v>
      </c>
      <c r="K15" s="10">
        <f t="shared" si="5"/>
        <v>0</v>
      </c>
      <c r="L15" s="10">
        <f t="shared" si="5"/>
        <v>0</v>
      </c>
      <c r="M15" s="10">
        <f t="shared" si="5"/>
        <v>0</v>
      </c>
      <c r="N15" s="10">
        <f t="shared" si="5"/>
        <v>0</v>
      </c>
      <c r="O15" s="10">
        <f t="shared" si="5"/>
        <v>10144.709689341518</v>
      </c>
      <c r="P15" s="10">
        <f t="shared" si="5"/>
        <v>7.0000000000004636</v>
      </c>
      <c r="Q15" s="10">
        <f t="shared" si="5"/>
        <v>0</v>
      </c>
      <c r="R15" s="10">
        <f t="shared" si="5"/>
        <v>0</v>
      </c>
      <c r="S15" s="10">
        <f t="shared" si="5"/>
        <v>0</v>
      </c>
      <c r="T15" s="10">
        <f t="shared" si="5"/>
        <v>0</v>
      </c>
      <c r="U15" s="10">
        <f t="shared" si="5"/>
        <v>0</v>
      </c>
      <c r="V15" s="10">
        <f t="shared" si="5"/>
        <v>0</v>
      </c>
      <c r="W15" s="10">
        <f t="shared" si="5"/>
        <v>0</v>
      </c>
      <c r="X15" s="10">
        <f t="shared" si="5"/>
        <v>0</v>
      </c>
      <c r="Y15" s="10">
        <f t="shared" si="5"/>
        <v>0</v>
      </c>
      <c r="Z15" s="10">
        <f t="shared" si="1"/>
        <v>10151.709689341518</v>
      </c>
      <c r="AA15" s="12">
        <f t="shared" si="2"/>
        <v>0</v>
      </c>
      <c r="AC15" s="25">
        <f t="shared" si="3"/>
        <v>10151.709689341518</v>
      </c>
      <c r="AD15" s="13" t="s">
        <v>639</v>
      </c>
      <c r="AE15" s="692">
        <f>CPR_CEB_Simple!C47</f>
        <v>-7</v>
      </c>
      <c r="AF15" s="692">
        <f>CPR_CEB_Simple!B47</f>
        <v>10144.709689341518</v>
      </c>
    </row>
    <row r="16" spans="1:32" x14ac:dyDescent="0.35">
      <c r="A16" s="10" t="s">
        <v>640</v>
      </c>
      <c r="B16" s="10">
        <f t="shared" si="5"/>
        <v>0</v>
      </c>
      <c r="C16" s="10">
        <f t="shared" si="5"/>
        <v>0</v>
      </c>
      <c r="D16" s="10">
        <f t="shared" si="5"/>
        <v>0</v>
      </c>
      <c r="E16" s="10">
        <f t="shared" si="5"/>
        <v>0</v>
      </c>
      <c r="F16" s="10">
        <f t="shared" si="5"/>
        <v>0</v>
      </c>
      <c r="G16" s="10">
        <f t="shared" si="5"/>
        <v>0</v>
      </c>
      <c r="H16" s="10">
        <f t="shared" si="5"/>
        <v>0</v>
      </c>
      <c r="I16" s="10">
        <f t="shared" si="5"/>
        <v>0</v>
      </c>
      <c r="J16" s="10">
        <f t="shared" si="5"/>
        <v>0</v>
      </c>
      <c r="K16" s="10">
        <f t="shared" si="5"/>
        <v>0</v>
      </c>
      <c r="L16" s="10">
        <f t="shared" si="5"/>
        <v>0</v>
      </c>
      <c r="M16" s="10">
        <f t="shared" si="5"/>
        <v>0</v>
      </c>
      <c r="N16" s="10">
        <f t="shared" si="5"/>
        <v>0</v>
      </c>
      <c r="O16" s="10">
        <f t="shared" si="5"/>
        <v>0</v>
      </c>
      <c r="P16" s="10">
        <f t="shared" si="5"/>
        <v>17204</v>
      </c>
      <c r="Q16" s="10">
        <f t="shared" si="5"/>
        <v>0</v>
      </c>
      <c r="R16" s="10">
        <f t="shared" si="5"/>
        <v>0</v>
      </c>
      <c r="S16" s="10">
        <f t="shared" si="5"/>
        <v>0</v>
      </c>
      <c r="T16" s="10">
        <f t="shared" si="5"/>
        <v>0</v>
      </c>
      <c r="U16" s="10">
        <f t="shared" si="5"/>
        <v>0</v>
      </c>
      <c r="V16" s="10">
        <f t="shared" si="5"/>
        <v>0</v>
      </c>
      <c r="W16" s="10">
        <f t="shared" si="5"/>
        <v>0</v>
      </c>
      <c r="X16" s="10">
        <f t="shared" si="5"/>
        <v>0</v>
      </c>
      <c r="Y16" s="10">
        <f t="shared" si="5"/>
        <v>0</v>
      </c>
      <c r="Z16" s="10">
        <f t="shared" si="1"/>
        <v>17204</v>
      </c>
      <c r="AA16" s="12">
        <f t="shared" si="2"/>
        <v>0</v>
      </c>
      <c r="AC16" s="25">
        <f t="shared" si="3"/>
        <v>17204</v>
      </c>
      <c r="AD16" s="13" t="s">
        <v>641</v>
      </c>
      <c r="AE16" s="692">
        <f>CPR_CEB_Simple!C48</f>
        <v>504</v>
      </c>
      <c r="AF16" s="692">
        <f>CPR_CEB_Simple!B48</f>
        <v>17708</v>
      </c>
    </row>
    <row r="17" spans="1:32" x14ac:dyDescent="0.35">
      <c r="A17" s="10" t="s">
        <v>642</v>
      </c>
      <c r="B17" s="10">
        <f t="shared" si="5"/>
        <v>0</v>
      </c>
      <c r="C17" s="10">
        <f t="shared" si="5"/>
        <v>0</v>
      </c>
      <c r="D17" s="10">
        <f t="shared" si="5"/>
        <v>0</v>
      </c>
      <c r="E17" s="10">
        <f t="shared" si="5"/>
        <v>0</v>
      </c>
      <c r="F17" s="10">
        <f t="shared" si="5"/>
        <v>0</v>
      </c>
      <c r="G17" s="10">
        <f t="shared" si="5"/>
        <v>0</v>
      </c>
      <c r="H17" s="10">
        <f t="shared" si="5"/>
        <v>0</v>
      </c>
      <c r="I17" s="10">
        <f t="shared" si="5"/>
        <v>0</v>
      </c>
      <c r="J17" s="10">
        <f t="shared" si="5"/>
        <v>0</v>
      </c>
      <c r="K17" s="10">
        <f t="shared" si="5"/>
        <v>0</v>
      </c>
      <c r="L17" s="10">
        <f t="shared" si="5"/>
        <v>0</v>
      </c>
      <c r="M17" s="10">
        <f t="shared" si="5"/>
        <v>0</v>
      </c>
      <c r="N17" s="10">
        <f t="shared" si="5"/>
        <v>0</v>
      </c>
      <c r="O17" s="10">
        <f t="shared" si="5"/>
        <v>0</v>
      </c>
      <c r="P17" s="10">
        <f t="shared" si="5"/>
        <v>0</v>
      </c>
      <c r="Q17" s="10">
        <f t="shared" si="5"/>
        <v>51998.142604885004</v>
      </c>
      <c r="R17" s="10">
        <f t="shared" si="5"/>
        <v>0</v>
      </c>
      <c r="S17" s="10">
        <f t="shared" si="5"/>
        <v>0</v>
      </c>
      <c r="T17" s="10">
        <f t="shared" si="5"/>
        <v>0</v>
      </c>
      <c r="U17" s="10">
        <f t="shared" si="5"/>
        <v>0</v>
      </c>
      <c r="V17" s="10">
        <f t="shared" si="5"/>
        <v>0</v>
      </c>
      <c r="W17" s="10">
        <f t="shared" si="5"/>
        <v>0</v>
      </c>
      <c r="X17" s="10">
        <f t="shared" si="5"/>
        <v>0</v>
      </c>
      <c r="Y17" s="10">
        <f t="shared" si="5"/>
        <v>0</v>
      </c>
      <c r="Z17" s="10">
        <f t="shared" si="1"/>
        <v>51998.142604885004</v>
      </c>
      <c r="AA17" s="12">
        <f t="shared" si="2"/>
        <v>0</v>
      </c>
      <c r="AC17" s="25">
        <f t="shared" si="3"/>
        <v>51998.142604885004</v>
      </c>
      <c r="AD17" s="13" t="s">
        <v>643</v>
      </c>
      <c r="AE17" s="692">
        <f>CPR_CEB_Simple!C49</f>
        <v>0</v>
      </c>
      <c r="AF17" s="692">
        <f>CPR_CEB_Simple!B49</f>
        <v>51998.142604885004</v>
      </c>
    </row>
    <row r="18" spans="1:32" x14ac:dyDescent="0.35">
      <c r="A18" s="10" t="s">
        <v>644</v>
      </c>
      <c r="B18" s="10">
        <f t="shared" si="5"/>
        <v>0</v>
      </c>
      <c r="C18" s="10">
        <f t="shared" si="5"/>
        <v>0</v>
      </c>
      <c r="D18" s="10">
        <f t="shared" si="5"/>
        <v>0</v>
      </c>
      <c r="E18" s="10">
        <f t="shared" si="5"/>
        <v>0</v>
      </c>
      <c r="F18" s="10">
        <f t="shared" si="5"/>
        <v>0</v>
      </c>
      <c r="G18" s="10">
        <f t="shared" si="5"/>
        <v>0</v>
      </c>
      <c r="H18" s="10">
        <f t="shared" si="5"/>
        <v>0</v>
      </c>
      <c r="I18" s="10">
        <f t="shared" si="5"/>
        <v>0</v>
      </c>
      <c r="J18" s="10">
        <f t="shared" si="5"/>
        <v>0</v>
      </c>
      <c r="K18" s="10">
        <f t="shared" si="5"/>
        <v>0</v>
      </c>
      <c r="L18" s="10">
        <f t="shared" si="5"/>
        <v>0</v>
      </c>
      <c r="M18" s="10">
        <f t="shared" si="5"/>
        <v>0</v>
      </c>
      <c r="N18" s="10">
        <f t="shared" si="5"/>
        <v>0</v>
      </c>
      <c r="O18" s="10">
        <f t="shared" si="5"/>
        <v>0</v>
      </c>
      <c r="P18" s="10">
        <f t="shared" si="5"/>
        <v>0</v>
      </c>
      <c r="Q18" s="10">
        <f t="shared" si="5"/>
        <v>0</v>
      </c>
      <c r="R18" s="10">
        <f t="shared" si="5"/>
        <v>12379.120558721816</v>
      </c>
      <c r="S18" s="10">
        <f t="shared" si="5"/>
        <v>0</v>
      </c>
      <c r="T18" s="10">
        <f t="shared" si="5"/>
        <v>0</v>
      </c>
      <c r="U18" s="10">
        <f t="shared" si="5"/>
        <v>0</v>
      </c>
      <c r="V18" s="10">
        <f t="shared" si="5"/>
        <v>0</v>
      </c>
      <c r="W18" s="10">
        <f t="shared" si="5"/>
        <v>0</v>
      </c>
      <c r="X18" s="10">
        <f t="shared" si="5"/>
        <v>0</v>
      </c>
      <c r="Y18" s="10">
        <f t="shared" si="5"/>
        <v>0</v>
      </c>
      <c r="Z18" s="10">
        <f t="shared" si="1"/>
        <v>12379.120558721816</v>
      </c>
      <c r="AA18" s="12">
        <f t="shared" si="2"/>
        <v>0</v>
      </c>
      <c r="AC18" s="25">
        <f t="shared" si="3"/>
        <v>12379.120558721816</v>
      </c>
      <c r="AD18" s="13" t="s">
        <v>645</v>
      </c>
      <c r="AE18" s="692">
        <f>CPR_CEB_Simple!C50</f>
        <v>2</v>
      </c>
      <c r="AF18" s="692">
        <f>CPR_CEB_Simple!B50</f>
        <v>12381.120558721816</v>
      </c>
    </row>
    <row r="19" spans="1:32" x14ac:dyDescent="0.35">
      <c r="A19" s="10" t="s">
        <v>646</v>
      </c>
      <c r="B19" s="10">
        <f t="shared" si="5"/>
        <v>0</v>
      </c>
      <c r="C19" s="10">
        <f t="shared" si="5"/>
        <v>0</v>
      </c>
      <c r="D19" s="10">
        <f t="shared" si="5"/>
        <v>0</v>
      </c>
      <c r="E19" s="10">
        <f t="shared" si="5"/>
        <v>0</v>
      </c>
      <c r="F19" s="10">
        <f t="shared" si="5"/>
        <v>0</v>
      </c>
      <c r="G19" s="10">
        <f t="shared" si="5"/>
        <v>0</v>
      </c>
      <c r="H19" s="10">
        <f t="shared" si="5"/>
        <v>0</v>
      </c>
      <c r="I19" s="10">
        <f t="shared" si="5"/>
        <v>0</v>
      </c>
      <c r="J19" s="10">
        <f t="shared" si="5"/>
        <v>0</v>
      </c>
      <c r="K19" s="10">
        <f t="shared" si="5"/>
        <v>0</v>
      </c>
      <c r="L19" s="10">
        <f t="shared" si="5"/>
        <v>0</v>
      </c>
      <c r="M19" s="10">
        <f t="shared" si="5"/>
        <v>0</v>
      </c>
      <c r="N19" s="10">
        <f t="shared" si="5"/>
        <v>0</v>
      </c>
      <c r="O19" s="10">
        <f t="shared" si="5"/>
        <v>0</v>
      </c>
      <c r="P19" s="10">
        <f t="shared" si="5"/>
        <v>0</v>
      </c>
      <c r="Q19" s="10">
        <f t="shared" si="5"/>
        <v>0</v>
      </c>
      <c r="R19" s="10">
        <f t="shared" si="5"/>
        <v>0</v>
      </c>
      <c r="S19" s="10">
        <f t="shared" si="5"/>
        <v>18847.027147051664</v>
      </c>
      <c r="T19" s="10">
        <f t="shared" si="5"/>
        <v>0</v>
      </c>
      <c r="U19" s="10">
        <f t="shared" si="5"/>
        <v>0</v>
      </c>
      <c r="V19" s="10">
        <f t="shared" si="5"/>
        <v>0</v>
      </c>
      <c r="W19" s="10">
        <f t="shared" si="5"/>
        <v>0</v>
      </c>
      <c r="X19" s="10">
        <f t="shared" si="5"/>
        <v>0</v>
      </c>
      <c r="Y19" s="10">
        <f t="shared" si="5"/>
        <v>0</v>
      </c>
      <c r="Z19" s="10">
        <f t="shared" si="1"/>
        <v>18847.027147051664</v>
      </c>
      <c r="AA19" s="12">
        <f t="shared" si="2"/>
        <v>0</v>
      </c>
      <c r="AC19" s="25">
        <f t="shared" si="3"/>
        <v>18847.027147051664</v>
      </c>
      <c r="AD19" s="13" t="s">
        <v>647</v>
      </c>
      <c r="AE19" s="692">
        <f>CPR_CEB_Simple!C51</f>
        <v>2</v>
      </c>
      <c r="AF19" s="692">
        <f>CPR_CEB_Simple!B51</f>
        <v>18849.027147051664</v>
      </c>
    </row>
    <row r="20" spans="1:32" x14ac:dyDescent="0.35">
      <c r="A20" s="10" t="s">
        <v>648</v>
      </c>
      <c r="B20" s="10">
        <f t="shared" si="5"/>
        <v>0</v>
      </c>
      <c r="C20" s="10">
        <f t="shared" si="5"/>
        <v>0</v>
      </c>
      <c r="D20" s="10">
        <f t="shared" si="5"/>
        <v>0</v>
      </c>
      <c r="E20" s="10">
        <f t="shared" si="5"/>
        <v>0</v>
      </c>
      <c r="F20" s="10">
        <f t="shared" si="5"/>
        <v>0</v>
      </c>
      <c r="G20" s="10">
        <f t="shared" si="5"/>
        <v>0</v>
      </c>
      <c r="H20" s="10">
        <f t="shared" si="5"/>
        <v>0</v>
      </c>
      <c r="I20" s="10">
        <f t="shared" si="5"/>
        <v>0</v>
      </c>
      <c r="J20" s="10">
        <f t="shared" si="5"/>
        <v>0</v>
      </c>
      <c r="K20" s="10">
        <f t="shared" si="5"/>
        <v>0</v>
      </c>
      <c r="L20" s="10">
        <f t="shared" si="5"/>
        <v>0</v>
      </c>
      <c r="M20" s="10">
        <f t="shared" si="5"/>
        <v>0</v>
      </c>
      <c r="N20" s="10">
        <f t="shared" si="5"/>
        <v>0</v>
      </c>
      <c r="O20" s="10">
        <f t="shared" si="5"/>
        <v>0</v>
      </c>
      <c r="P20" s="10">
        <f t="shared" si="5"/>
        <v>0</v>
      </c>
      <c r="Q20" s="10">
        <f t="shared" si="5"/>
        <v>0</v>
      </c>
      <c r="R20" s="10">
        <f t="shared" si="5"/>
        <v>0</v>
      </c>
      <c r="S20" s="10">
        <f t="shared" si="5"/>
        <v>0</v>
      </c>
      <c r="T20" s="10">
        <f t="shared" si="5"/>
        <v>1572980</v>
      </c>
      <c r="U20" s="10">
        <f t="shared" si="5"/>
        <v>0</v>
      </c>
      <c r="V20" s="10">
        <f t="shared" si="5"/>
        <v>0</v>
      </c>
      <c r="W20" s="10">
        <f t="shared" si="5"/>
        <v>0</v>
      </c>
      <c r="X20" s="10">
        <f t="shared" si="5"/>
        <v>0</v>
      </c>
      <c r="Y20" s="10">
        <f t="shared" si="5"/>
        <v>0</v>
      </c>
      <c r="Z20" s="10">
        <f t="shared" si="1"/>
        <v>1572980</v>
      </c>
      <c r="AA20" s="12">
        <f t="shared" si="2"/>
        <v>0</v>
      </c>
      <c r="AC20" s="25">
        <f t="shared" si="3"/>
        <v>1572980</v>
      </c>
      <c r="AD20" s="13" t="s">
        <v>649</v>
      </c>
      <c r="AE20" s="692">
        <f>CPR_CEB_Simple!C52</f>
        <v>33229</v>
      </c>
      <c r="AF20" s="692">
        <f>CPR_CEB_Simple!B52</f>
        <v>1606209</v>
      </c>
    </row>
    <row r="21" spans="1:32" x14ac:dyDescent="0.35">
      <c r="A21" s="10" t="s">
        <v>650</v>
      </c>
      <c r="B21" s="10">
        <f t="shared" si="5"/>
        <v>0</v>
      </c>
      <c r="C21" s="10">
        <f t="shared" si="5"/>
        <v>0</v>
      </c>
      <c r="D21" s="10">
        <f t="shared" si="5"/>
        <v>0</v>
      </c>
      <c r="E21" s="10">
        <f t="shared" si="5"/>
        <v>0</v>
      </c>
      <c r="F21" s="10">
        <f t="shared" si="5"/>
        <v>0</v>
      </c>
      <c r="G21" s="10">
        <f t="shared" si="5"/>
        <v>0</v>
      </c>
      <c r="H21" s="10">
        <f t="shared" si="5"/>
        <v>0</v>
      </c>
      <c r="I21" s="10">
        <f t="shared" si="5"/>
        <v>0</v>
      </c>
      <c r="J21" s="10">
        <f t="shared" si="5"/>
        <v>0</v>
      </c>
      <c r="K21" s="10">
        <f t="shared" si="5"/>
        <v>0</v>
      </c>
      <c r="L21" s="10">
        <f t="shared" si="5"/>
        <v>0</v>
      </c>
      <c r="M21" s="10">
        <f t="shared" si="5"/>
        <v>0</v>
      </c>
      <c r="N21" s="10">
        <f t="shared" si="5"/>
        <v>0</v>
      </c>
      <c r="O21" s="10">
        <f t="shared" si="5"/>
        <v>0</v>
      </c>
      <c r="P21" s="10">
        <f t="shared" si="5"/>
        <v>0</v>
      </c>
      <c r="Q21" s="10">
        <f t="shared" si="5"/>
        <v>0</v>
      </c>
      <c r="R21" s="10">
        <f t="shared" si="5"/>
        <v>0</v>
      </c>
      <c r="S21" s="10">
        <f t="shared" si="5"/>
        <v>0</v>
      </c>
      <c r="T21" s="10">
        <f t="shared" si="5"/>
        <v>33069.999999999993</v>
      </c>
      <c r="U21" s="10">
        <f t="shared" si="5"/>
        <v>343672</v>
      </c>
      <c r="V21" s="10">
        <f t="shared" si="5"/>
        <v>0</v>
      </c>
      <c r="W21" s="10">
        <f t="shared" si="5"/>
        <v>0</v>
      </c>
      <c r="X21" s="10">
        <f t="shared" si="5"/>
        <v>0</v>
      </c>
      <c r="Y21" s="10">
        <f t="shared" si="5"/>
        <v>0</v>
      </c>
      <c r="Z21" s="10">
        <f t="shared" si="1"/>
        <v>376742</v>
      </c>
      <c r="AA21" s="12">
        <f t="shared" si="2"/>
        <v>0</v>
      </c>
      <c r="AC21" s="25">
        <f t="shared" si="3"/>
        <v>376742</v>
      </c>
      <c r="AD21" s="13" t="s">
        <v>651</v>
      </c>
      <c r="AE21" s="692">
        <f>CPR_CEB_Simple!C53</f>
        <v>-33070</v>
      </c>
      <c r="AF21" s="692">
        <f>CPR_CEB_Simple!B53</f>
        <v>343672</v>
      </c>
    </row>
    <row r="22" spans="1:32" x14ac:dyDescent="0.35">
      <c r="A22" s="10" t="s">
        <v>652</v>
      </c>
      <c r="B22" s="10">
        <f t="shared" si="5"/>
        <v>0</v>
      </c>
      <c r="C22" s="10">
        <f t="shared" si="5"/>
        <v>0</v>
      </c>
      <c r="D22" s="10">
        <f t="shared" si="5"/>
        <v>0</v>
      </c>
      <c r="E22" s="10">
        <f t="shared" si="5"/>
        <v>0</v>
      </c>
      <c r="F22" s="10">
        <f t="shared" si="5"/>
        <v>0</v>
      </c>
      <c r="G22" s="10">
        <f t="shared" si="5"/>
        <v>0</v>
      </c>
      <c r="H22" s="10">
        <f t="shared" si="5"/>
        <v>0</v>
      </c>
      <c r="I22" s="10">
        <f t="shared" si="5"/>
        <v>0</v>
      </c>
      <c r="J22" s="10">
        <f t="shared" si="5"/>
        <v>0</v>
      </c>
      <c r="K22" s="10">
        <f t="shared" si="5"/>
        <v>0</v>
      </c>
      <c r="L22" s="10">
        <f t="shared" si="5"/>
        <v>0</v>
      </c>
      <c r="M22" s="10">
        <f t="shared" si="5"/>
        <v>0</v>
      </c>
      <c r="N22" s="10">
        <f t="shared" si="5"/>
        <v>0</v>
      </c>
      <c r="O22" s="10">
        <f t="shared" si="5"/>
        <v>0</v>
      </c>
      <c r="P22" s="10">
        <f t="shared" si="5"/>
        <v>0</v>
      </c>
      <c r="Q22" s="10">
        <f t="shared" si="5"/>
        <v>0</v>
      </c>
      <c r="R22" s="10">
        <f t="shared" si="5"/>
        <v>0</v>
      </c>
      <c r="S22" s="10">
        <f t="shared" si="5"/>
        <v>0</v>
      </c>
      <c r="T22" s="10">
        <f t="shared" si="5"/>
        <v>0</v>
      </c>
      <c r="U22" s="10">
        <f t="shared" si="5"/>
        <v>0</v>
      </c>
      <c r="V22" s="10">
        <f t="shared" si="5"/>
        <v>35</v>
      </c>
      <c r="W22" s="10">
        <f t="shared" si="5"/>
        <v>0</v>
      </c>
      <c r="X22" s="10">
        <f t="shared" si="5"/>
        <v>0</v>
      </c>
      <c r="Y22" s="10">
        <f t="shared" si="5"/>
        <v>0</v>
      </c>
      <c r="Z22" s="10">
        <f t="shared" si="1"/>
        <v>35</v>
      </c>
      <c r="AA22" s="12">
        <f t="shared" si="2"/>
        <v>0</v>
      </c>
      <c r="AC22" s="25">
        <f t="shared" si="3"/>
        <v>35</v>
      </c>
      <c r="AD22" s="13" t="s">
        <v>653</v>
      </c>
      <c r="AE22" s="692">
        <f>CPR_CEB_Simple!C54</f>
        <v>96</v>
      </c>
      <c r="AF22" s="692">
        <f>CPR_CEB_Simple!B54</f>
        <v>131</v>
      </c>
    </row>
    <row r="23" spans="1:32" x14ac:dyDescent="0.35">
      <c r="A23" s="10" t="s">
        <v>654</v>
      </c>
      <c r="B23" s="14">
        <f t="shared" si="5"/>
        <v>0</v>
      </c>
      <c r="C23" s="14">
        <f t="shared" si="5"/>
        <v>0</v>
      </c>
      <c r="D23" s="14">
        <f t="shared" si="5"/>
        <v>0</v>
      </c>
      <c r="E23" s="14">
        <f t="shared" si="5"/>
        <v>0</v>
      </c>
      <c r="F23" s="14">
        <f t="shared" si="5"/>
        <v>0</v>
      </c>
      <c r="G23" s="14">
        <f t="shared" si="5"/>
        <v>0</v>
      </c>
      <c r="H23" s="14">
        <f t="shared" si="5"/>
        <v>0</v>
      </c>
      <c r="I23" s="14">
        <f t="shared" si="5"/>
        <v>0</v>
      </c>
      <c r="J23" s="14">
        <f t="shared" si="5"/>
        <v>0</v>
      </c>
      <c r="K23" s="14">
        <f t="shared" si="5"/>
        <v>786.70300520306375</v>
      </c>
      <c r="L23" s="14">
        <f t="shared" si="5"/>
        <v>0</v>
      </c>
      <c r="M23" s="14">
        <f t="shared" si="5"/>
        <v>0</v>
      </c>
      <c r="N23" s="14">
        <f t="shared" si="5"/>
        <v>0</v>
      </c>
      <c r="O23" s="14">
        <f t="shared" si="5"/>
        <v>0</v>
      </c>
      <c r="P23" s="14">
        <f t="shared" si="5"/>
        <v>0</v>
      </c>
      <c r="Q23" s="14">
        <f t="shared" ref="Q23:Y23" si="6">Q53*$Z23</f>
        <v>0</v>
      </c>
      <c r="R23" s="14">
        <f t="shared" si="6"/>
        <v>0</v>
      </c>
      <c r="S23" s="14">
        <f t="shared" si="6"/>
        <v>0</v>
      </c>
      <c r="T23" s="14">
        <f t="shared" si="6"/>
        <v>0</v>
      </c>
      <c r="U23" s="14">
        <f t="shared" si="6"/>
        <v>0</v>
      </c>
      <c r="V23" s="14">
        <f t="shared" si="6"/>
        <v>0</v>
      </c>
      <c r="W23" s="14">
        <f t="shared" si="6"/>
        <v>50172.194788238558</v>
      </c>
      <c r="X23" s="14">
        <f t="shared" si="6"/>
        <v>0</v>
      </c>
      <c r="Y23" s="14">
        <f t="shared" si="6"/>
        <v>0</v>
      </c>
      <c r="Z23" s="10">
        <f t="shared" si="1"/>
        <v>50958.897793441618</v>
      </c>
      <c r="AA23" s="12">
        <f t="shared" si="2"/>
        <v>0</v>
      </c>
      <c r="AC23" s="25">
        <f t="shared" si="3"/>
        <v>50958.897793441618</v>
      </c>
      <c r="AD23" s="13" t="s">
        <v>655</v>
      </c>
      <c r="AE23" s="692">
        <f>CPR_CEB_Simple!C55</f>
        <v>-582.56131517884501</v>
      </c>
      <c r="AF23" s="692">
        <f>CPR_CEB_Simple!B55</f>
        <v>50376.336478262776</v>
      </c>
    </row>
    <row r="24" spans="1:32" x14ac:dyDescent="0.35">
      <c r="A24" s="10" t="s">
        <v>656</v>
      </c>
      <c r="B24" s="14">
        <f t="shared" ref="B24:Y25" si="7">B54*$Z24</f>
        <v>0</v>
      </c>
      <c r="C24" s="14">
        <f t="shared" si="7"/>
        <v>0</v>
      </c>
      <c r="D24" s="14">
        <f t="shared" si="7"/>
        <v>0</v>
      </c>
      <c r="E24" s="14">
        <f t="shared" si="7"/>
        <v>0</v>
      </c>
      <c r="F24" s="14">
        <f t="shared" si="7"/>
        <v>0</v>
      </c>
      <c r="G24" s="14">
        <f t="shared" si="7"/>
        <v>0</v>
      </c>
      <c r="H24" s="14">
        <f t="shared" si="7"/>
        <v>0</v>
      </c>
      <c r="I24" s="14">
        <f t="shared" si="7"/>
        <v>0</v>
      </c>
      <c r="J24" s="14">
        <f t="shared" si="7"/>
        <v>0</v>
      </c>
      <c r="K24" s="14">
        <f t="shared" si="7"/>
        <v>0</v>
      </c>
      <c r="L24" s="14">
        <f t="shared" si="7"/>
        <v>0</v>
      </c>
      <c r="M24" s="14">
        <f t="shared" si="7"/>
        <v>0</v>
      </c>
      <c r="N24" s="14">
        <f t="shared" si="7"/>
        <v>0</v>
      </c>
      <c r="O24" s="14">
        <f t="shared" si="7"/>
        <v>0</v>
      </c>
      <c r="P24" s="14">
        <f t="shared" si="7"/>
        <v>0</v>
      </c>
      <c r="Q24" s="14">
        <f t="shared" si="7"/>
        <v>0</v>
      </c>
      <c r="R24" s="14">
        <f t="shared" si="7"/>
        <v>0</v>
      </c>
      <c r="S24" s="14">
        <f t="shared" si="7"/>
        <v>0</v>
      </c>
      <c r="T24" s="14">
        <f t="shared" si="7"/>
        <v>0</v>
      </c>
      <c r="U24" s="14">
        <f t="shared" si="7"/>
        <v>0</v>
      </c>
      <c r="V24" s="14">
        <f t="shared" si="7"/>
        <v>0</v>
      </c>
      <c r="W24" s="14">
        <f t="shared" si="7"/>
        <v>0</v>
      </c>
      <c r="X24" s="14">
        <f t="shared" si="7"/>
        <v>46035</v>
      </c>
      <c r="Y24" s="14">
        <f t="shared" si="7"/>
        <v>0</v>
      </c>
      <c r="Z24" s="10">
        <f t="shared" si="1"/>
        <v>46035</v>
      </c>
      <c r="AA24" s="12">
        <f t="shared" si="2"/>
        <v>0</v>
      </c>
      <c r="AC24" s="25">
        <f t="shared" si="3"/>
        <v>46035</v>
      </c>
      <c r="AD24" s="13" t="s">
        <v>657</v>
      </c>
      <c r="AE24" s="692">
        <f>CPR_CEB_Simple!C56</f>
        <v>2</v>
      </c>
      <c r="AF24" s="692">
        <f>CPR_CEB_Simple!B56</f>
        <v>46037</v>
      </c>
    </row>
    <row r="25" spans="1:32" x14ac:dyDescent="0.35">
      <c r="A25" s="10" t="s">
        <v>658</v>
      </c>
      <c r="B25" s="14">
        <f t="shared" si="7"/>
        <v>0</v>
      </c>
      <c r="C25" s="14">
        <f t="shared" si="7"/>
        <v>0</v>
      </c>
      <c r="D25" s="14">
        <f t="shared" si="7"/>
        <v>0</v>
      </c>
      <c r="E25" s="14">
        <f t="shared" si="7"/>
        <v>0</v>
      </c>
      <c r="F25" s="14">
        <f t="shared" si="7"/>
        <v>0</v>
      </c>
      <c r="G25" s="14">
        <f t="shared" si="7"/>
        <v>0</v>
      </c>
      <c r="H25" s="14">
        <f t="shared" si="7"/>
        <v>0</v>
      </c>
      <c r="I25" s="14">
        <f t="shared" si="7"/>
        <v>0</v>
      </c>
      <c r="J25" s="14">
        <f t="shared" si="7"/>
        <v>0</v>
      </c>
      <c r="K25" s="14">
        <f t="shared" si="7"/>
        <v>0</v>
      </c>
      <c r="L25" s="14">
        <f t="shared" si="7"/>
        <v>0</v>
      </c>
      <c r="M25" s="14">
        <f t="shared" si="7"/>
        <v>832.43868482115352</v>
      </c>
      <c r="N25" s="14">
        <f t="shared" si="7"/>
        <v>0</v>
      </c>
      <c r="O25" s="14">
        <f t="shared" si="7"/>
        <v>0</v>
      </c>
      <c r="P25" s="14">
        <f t="shared" si="7"/>
        <v>0</v>
      </c>
      <c r="Q25" s="14">
        <f t="shared" si="7"/>
        <v>0</v>
      </c>
      <c r="R25" s="14">
        <f t="shared" si="7"/>
        <v>0</v>
      </c>
      <c r="S25" s="14">
        <f t="shared" si="7"/>
        <v>0</v>
      </c>
      <c r="T25" s="14">
        <f t="shared" si="7"/>
        <v>0</v>
      </c>
      <c r="U25" s="14">
        <f t="shared" si="7"/>
        <v>0</v>
      </c>
      <c r="V25" s="14">
        <f t="shared" si="7"/>
        <v>0</v>
      </c>
      <c r="W25" s="14">
        <f t="shared" si="7"/>
        <v>0</v>
      </c>
      <c r="X25" s="14">
        <f t="shared" si="7"/>
        <v>0</v>
      </c>
      <c r="Y25" s="14">
        <f t="shared" si="7"/>
        <v>22680.663521737228</v>
      </c>
      <c r="Z25" s="10">
        <f t="shared" si="1"/>
        <v>23513.102206558382</v>
      </c>
      <c r="AA25" s="12">
        <f t="shared" si="2"/>
        <v>0</v>
      </c>
      <c r="AC25" s="25">
        <f t="shared" si="3"/>
        <v>23513.102206558382</v>
      </c>
      <c r="AD25" s="13" t="s">
        <v>659</v>
      </c>
      <c r="AE25" s="692">
        <f>CPR_CEB_Simple!C57</f>
        <v>476.56131517884506</v>
      </c>
      <c r="AF25" s="692">
        <f>CPR_CEB_Simple!B57</f>
        <v>23989.663521737228</v>
      </c>
    </row>
    <row r="26" spans="1:32" x14ac:dyDescent="0.35">
      <c r="A26" s="10" t="s">
        <v>330</v>
      </c>
      <c r="B26" s="10">
        <f t="array" ref="B26:Y26">TRANSPOSE(AF2:AF25)</f>
        <v>69531</v>
      </c>
      <c r="C26" s="10">
        <v>129616</v>
      </c>
      <c r="D26" s="10">
        <v>89440.2</v>
      </c>
      <c r="E26" s="10">
        <v>6754</v>
      </c>
      <c r="F26" s="10">
        <v>19667</v>
      </c>
      <c r="G26" s="10">
        <v>19908</v>
      </c>
      <c r="H26" s="10">
        <v>5993</v>
      </c>
      <c r="I26" s="10">
        <v>23764</v>
      </c>
      <c r="J26" s="10">
        <v>25169</v>
      </c>
      <c r="K26" s="10">
        <v>27396</v>
      </c>
      <c r="L26" s="10">
        <v>12661</v>
      </c>
      <c r="M26" s="10">
        <v>434957.8</v>
      </c>
      <c r="N26" s="10">
        <v>229731</v>
      </c>
      <c r="O26" s="10">
        <v>10144.709689341518</v>
      </c>
      <c r="P26" s="10">
        <v>17708</v>
      </c>
      <c r="Q26" s="10">
        <v>51998.142604885004</v>
      </c>
      <c r="R26" s="10">
        <v>12381.120558721816</v>
      </c>
      <c r="S26" s="10">
        <v>18849.027147051664</v>
      </c>
      <c r="T26" s="10">
        <v>1606209</v>
      </c>
      <c r="U26" s="10">
        <v>343672</v>
      </c>
      <c r="V26" s="10">
        <v>131</v>
      </c>
      <c r="W26" s="10">
        <v>50376.336478262776</v>
      </c>
      <c r="X26" s="10">
        <v>46037</v>
      </c>
      <c r="Y26" s="10">
        <v>23989.663521737228</v>
      </c>
      <c r="Z26" s="10">
        <f>SUM(B26:Y26)</f>
        <v>3276084</v>
      </c>
      <c r="AA26" s="15">
        <f>SUM(AA2:AA25)</f>
        <v>0</v>
      </c>
      <c r="AB26" s="10">
        <f>SUM(Z2:Z25)-Z26</f>
        <v>0</v>
      </c>
    </row>
    <row r="27" spans="1:32" x14ac:dyDescent="0.35">
      <c r="A27" s="52" t="s">
        <v>660</v>
      </c>
      <c r="B27" s="53">
        <f t="shared" ref="B27:Y27" si="8">-(SUM(B2:B25)-B26)</f>
        <v>0</v>
      </c>
      <c r="C27" s="53">
        <f t="shared" si="8"/>
        <v>0</v>
      </c>
      <c r="D27" s="53">
        <f t="shared" si="8"/>
        <v>0</v>
      </c>
      <c r="E27" s="53">
        <f t="shared" si="8"/>
        <v>0</v>
      </c>
      <c r="F27" s="53">
        <f t="shared" si="8"/>
        <v>0</v>
      </c>
      <c r="G27" s="53">
        <f t="shared" si="8"/>
        <v>0</v>
      </c>
      <c r="H27" s="53">
        <f t="shared" si="8"/>
        <v>0</v>
      </c>
      <c r="I27" s="53">
        <f t="shared" si="8"/>
        <v>0</v>
      </c>
      <c r="J27" s="54">
        <f t="shared" si="8"/>
        <v>0</v>
      </c>
      <c r="K27" s="53">
        <f t="shared" si="8"/>
        <v>3.637978807091713E-12</v>
      </c>
      <c r="L27" s="53">
        <f t="shared" si="8"/>
        <v>0</v>
      </c>
      <c r="M27" s="53">
        <f t="shared" si="8"/>
        <v>0</v>
      </c>
      <c r="N27" s="53">
        <f t="shared" si="8"/>
        <v>0</v>
      </c>
      <c r="O27" s="53">
        <f t="shared" si="8"/>
        <v>0</v>
      </c>
      <c r="P27" s="53">
        <f t="shared" si="8"/>
        <v>0</v>
      </c>
      <c r="Q27" s="54">
        <f t="shared" si="8"/>
        <v>0</v>
      </c>
      <c r="R27" s="53">
        <f t="shared" si="8"/>
        <v>-9.0949470177292824E-12</v>
      </c>
      <c r="S27" s="53">
        <f t="shared" si="8"/>
        <v>0</v>
      </c>
      <c r="T27" s="53">
        <f t="shared" si="8"/>
        <v>0</v>
      </c>
      <c r="U27" s="53">
        <f t="shared" si="8"/>
        <v>0</v>
      </c>
      <c r="V27" s="53">
        <f t="shared" si="8"/>
        <v>0</v>
      </c>
      <c r="W27" s="53">
        <f t="shared" si="8"/>
        <v>0</v>
      </c>
      <c r="X27" s="53">
        <f t="shared" si="8"/>
        <v>0</v>
      </c>
      <c r="Y27" s="53">
        <f t="shared" si="8"/>
        <v>0</v>
      </c>
      <c r="Z27" s="55">
        <f>SUM(B27:Y27)</f>
        <v>-5.4569682106375694E-12</v>
      </c>
      <c r="AB27" s="12">
        <f>SUM(B26:Y26)-Z26</f>
        <v>0</v>
      </c>
    </row>
    <row r="28" spans="1:32" x14ac:dyDescent="0.35">
      <c r="A28" s="10" t="s">
        <v>661</v>
      </c>
      <c r="B28" s="11">
        <f t="array" ref="B28:Y28">TRANSPOSE(AE2:AE25)</f>
        <v>-7901</v>
      </c>
      <c r="C28" s="10">
        <v>8274</v>
      </c>
      <c r="D28" s="10">
        <v>189</v>
      </c>
      <c r="E28" s="10">
        <v>102</v>
      </c>
      <c r="F28" s="10">
        <v>46</v>
      </c>
      <c r="G28" s="10">
        <v>652</v>
      </c>
      <c r="H28" s="10">
        <v>18</v>
      </c>
      <c r="I28" s="10">
        <v>496</v>
      </c>
      <c r="J28" s="51">
        <v>0</v>
      </c>
      <c r="K28" s="10">
        <v>3200</v>
      </c>
      <c r="L28" s="10">
        <v>1155</v>
      </c>
      <c r="M28" s="11">
        <v>-7940</v>
      </c>
      <c r="N28" s="10">
        <v>1057</v>
      </c>
      <c r="O28" s="11">
        <v>-7</v>
      </c>
      <c r="P28" s="10">
        <v>504</v>
      </c>
      <c r="Q28" s="51">
        <v>0</v>
      </c>
      <c r="R28" s="10">
        <v>2</v>
      </c>
      <c r="S28" s="10">
        <v>2</v>
      </c>
      <c r="T28" s="10">
        <v>33229</v>
      </c>
      <c r="U28" s="11">
        <v>-33070</v>
      </c>
      <c r="V28" s="10">
        <v>96</v>
      </c>
      <c r="W28" s="11">
        <v>-582.56131517884501</v>
      </c>
      <c r="X28" s="10">
        <v>2</v>
      </c>
      <c r="Y28" s="10">
        <v>476.56131517884506</v>
      </c>
      <c r="Z28" s="16">
        <f>SUM(B28:Y28)</f>
        <v>0</v>
      </c>
    </row>
    <row r="29" spans="1:32" x14ac:dyDescent="0.35">
      <c r="B29" s="18">
        <f>B27/B26</f>
        <v>0</v>
      </c>
      <c r="C29" s="18">
        <f t="shared" ref="C29:Y29" si="9">C27/C26</f>
        <v>0</v>
      </c>
      <c r="D29" s="18">
        <f t="shared" si="9"/>
        <v>0</v>
      </c>
      <c r="E29" s="18">
        <f t="shared" si="9"/>
        <v>0</v>
      </c>
      <c r="F29" s="18">
        <f t="shared" si="9"/>
        <v>0</v>
      </c>
      <c r="G29" s="18">
        <f t="shared" si="9"/>
        <v>0</v>
      </c>
      <c r="H29" s="18">
        <f t="shared" si="9"/>
        <v>0</v>
      </c>
      <c r="I29" s="18">
        <f t="shared" si="9"/>
        <v>0</v>
      </c>
      <c r="J29" s="17">
        <f t="shared" si="9"/>
        <v>0</v>
      </c>
      <c r="K29" s="18">
        <f t="shared" si="9"/>
        <v>1.3279233490625321E-16</v>
      </c>
      <c r="L29" s="18">
        <f t="shared" si="9"/>
        <v>0</v>
      </c>
      <c r="M29" s="18">
        <f t="shared" si="9"/>
        <v>0</v>
      </c>
      <c r="N29" s="18">
        <f t="shared" si="9"/>
        <v>0</v>
      </c>
      <c r="O29" s="18">
        <f t="shared" si="9"/>
        <v>0</v>
      </c>
      <c r="P29" s="18">
        <f t="shared" si="9"/>
        <v>0</v>
      </c>
      <c r="Q29" s="17">
        <f t="shared" si="9"/>
        <v>0</v>
      </c>
      <c r="R29" s="18">
        <f t="shared" si="9"/>
        <v>-7.345818962502869E-16</v>
      </c>
      <c r="S29" s="18">
        <f t="shared" si="9"/>
        <v>0</v>
      </c>
      <c r="T29" s="18">
        <f t="shared" si="9"/>
        <v>0</v>
      </c>
      <c r="U29" s="18">
        <f t="shared" si="9"/>
        <v>0</v>
      </c>
      <c r="V29" s="18">
        <f t="shared" si="9"/>
        <v>0</v>
      </c>
      <c r="W29" s="18">
        <f t="shared" si="9"/>
        <v>0</v>
      </c>
      <c r="X29" s="18">
        <f t="shared" si="9"/>
        <v>0</v>
      </c>
      <c r="Y29" s="18">
        <f t="shared" si="9"/>
        <v>0</v>
      </c>
    </row>
    <row r="30" spans="1:32" x14ac:dyDescent="0.35">
      <c r="B30" s="807">
        <f>B28/B26</f>
        <v>-0.11363276811781794</v>
      </c>
      <c r="C30" s="807">
        <f t="shared" ref="C30:Y30" si="10">C28/C26</f>
        <v>6.3834711763979757E-2</v>
      </c>
      <c r="D30" s="807">
        <f t="shared" si="10"/>
        <v>2.1131437541508182E-3</v>
      </c>
      <c r="E30" s="807">
        <f t="shared" si="10"/>
        <v>1.5102161681966242E-2</v>
      </c>
      <c r="F30" s="807">
        <f t="shared" si="10"/>
        <v>2.3389434077388518E-3</v>
      </c>
      <c r="G30" s="807">
        <f t="shared" si="10"/>
        <v>3.2750653003817562E-2</v>
      </c>
      <c r="H30" s="807">
        <f t="shared" si="10"/>
        <v>3.0035040881027865E-3</v>
      </c>
      <c r="I30" s="807">
        <f t="shared" si="10"/>
        <v>2.08719070863491E-2</v>
      </c>
      <c r="J30" s="807">
        <f t="shared" si="10"/>
        <v>0</v>
      </c>
      <c r="K30" s="807">
        <f t="shared" si="10"/>
        <v>0.11680537304716017</v>
      </c>
      <c r="L30" s="807">
        <f t="shared" si="10"/>
        <v>9.1225021720243271E-2</v>
      </c>
      <c r="M30" s="807">
        <f t="shared" si="10"/>
        <v>-1.8254644473555827E-2</v>
      </c>
      <c r="N30" s="807">
        <f t="shared" si="10"/>
        <v>4.6010333825212968E-3</v>
      </c>
      <c r="O30" s="807">
        <f t="shared" si="10"/>
        <v>-6.9001481701881629E-4</v>
      </c>
      <c r="P30" s="807">
        <f t="shared" si="10"/>
        <v>2.8461712220465327E-2</v>
      </c>
      <c r="Q30" s="807">
        <f t="shared" si="10"/>
        <v>0</v>
      </c>
      <c r="R30" s="807">
        <f t="shared" si="10"/>
        <v>1.6153626729618672E-4</v>
      </c>
      <c r="S30" s="807">
        <f t="shared" si="10"/>
        <v>1.0610627192570185E-4</v>
      </c>
      <c r="T30" s="807">
        <f t="shared" si="10"/>
        <v>2.0687843238333243E-2</v>
      </c>
      <c r="U30" s="807">
        <f t="shared" si="10"/>
        <v>-9.6225470797737384E-2</v>
      </c>
      <c r="V30" s="807">
        <f t="shared" si="10"/>
        <v>0.73282442748091603</v>
      </c>
      <c r="W30" s="807">
        <f t="shared" si="10"/>
        <v>-1.1564185804384928E-2</v>
      </c>
      <c r="X30" s="807">
        <f t="shared" si="10"/>
        <v>4.3443317331711449E-5</v>
      </c>
      <c r="Y30" s="807">
        <f t="shared" si="10"/>
        <v>1.9865277174355905E-2</v>
      </c>
    </row>
    <row r="31" spans="1:32" x14ac:dyDescent="0.35">
      <c r="A31" s="10">
        <v>1</v>
      </c>
      <c r="B31" s="10">
        <f>A31+1</f>
        <v>2</v>
      </c>
      <c r="C31" s="10">
        <f t="shared" ref="C31:Y31" si="11">B31+1</f>
        <v>3</v>
      </c>
      <c r="D31" s="10">
        <f t="shared" si="11"/>
        <v>4</v>
      </c>
      <c r="E31" s="10">
        <f t="shared" si="11"/>
        <v>5</v>
      </c>
      <c r="F31" s="10">
        <f t="shared" si="11"/>
        <v>6</v>
      </c>
      <c r="G31" s="10">
        <f t="shared" si="11"/>
        <v>7</v>
      </c>
      <c r="H31" s="10">
        <f t="shared" si="11"/>
        <v>8</v>
      </c>
      <c r="I31" s="10">
        <f t="shared" si="11"/>
        <v>9</v>
      </c>
      <c r="J31" s="10">
        <f t="shared" si="11"/>
        <v>10</v>
      </c>
      <c r="K31" s="10">
        <f t="shared" si="11"/>
        <v>11</v>
      </c>
      <c r="L31" s="10">
        <f t="shared" si="11"/>
        <v>12</v>
      </c>
      <c r="M31" s="10">
        <f t="shared" si="11"/>
        <v>13</v>
      </c>
      <c r="N31" s="10">
        <f t="shared" si="11"/>
        <v>14</v>
      </c>
      <c r="O31" s="10">
        <f t="shared" si="11"/>
        <v>15</v>
      </c>
      <c r="P31" s="10">
        <f t="shared" si="11"/>
        <v>16</v>
      </c>
      <c r="Q31" s="10">
        <f t="shared" si="11"/>
        <v>17</v>
      </c>
      <c r="R31" s="10">
        <f t="shared" si="11"/>
        <v>18</v>
      </c>
      <c r="S31" s="10">
        <f t="shared" si="11"/>
        <v>19</v>
      </c>
      <c r="T31" s="10">
        <f t="shared" si="11"/>
        <v>20</v>
      </c>
      <c r="U31" s="10">
        <f t="shared" si="11"/>
        <v>21</v>
      </c>
      <c r="V31" s="10">
        <f t="shared" si="11"/>
        <v>22</v>
      </c>
      <c r="W31" s="10">
        <f t="shared" si="11"/>
        <v>23</v>
      </c>
      <c r="X31" s="10">
        <f t="shared" si="11"/>
        <v>24</v>
      </c>
      <c r="Y31" s="10">
        <f t="shared" si="11"/>
        <v>25</v>
      </c>
    </row>
    <row r="32" spans="1:32" x14ac:dyDescent="0.35">
      <c r="A32" s="11" t="s">
        <v>612</v>
      </c>
      <c r="B32" s="20">
        <f>B26/Z2</f>
        <v>0.89796208285979962</v>
      </c>
      <c r="C32" s="19">
        <f>1-B32-Y32-W32</f>
        <v>8.2496362098044451E-2</v>
      </c>
      <c r="D32" s="19"/>
      <c r="E32" s="19"/>
      <c r="F32" s="19"/>
      <c r="G32" s="19"/>
      <c r="H32" s="19"/>
      <c r="I32" s="19"/>
      <c r="J32" s="19"/>
      <c r="K32" s="19"/>
      <c r="L32" s="19"/>
      <c r="M32" s="19"/>
      <c r="N32" s="19"/>
      <c r="O32" s="19"/>
      <c r="P32" s="19"/>
      <c r="Q32" s="19"/>
      <c r="R32" s="19"/>
      <c r="S32" s="19"/>
      <c r="T32" s="19"/>
      <c r="U32" s="19"/>
      <c r="V32" s="19"/>
      <c r="W32" s="815">
        <f>W2/$Z2</f>
        <v>2.6363995508861763E-3</v>
      </c>
      <c r="X32" s="19"/>
      <c r="Y32" s="815">
        <v>1.6905155491269759E-2</v>
      </c>
      <c r="Z32" s="21">
        <f>SUM(B32:Y32)</f>
        <v>1</v>
      </c>
    </row>
    <row r="33" spans="1:26" x14ac:dyDescent="0.35">
      <c r="A33" s="10" t="s">
        <v>614</v>
      </c>
      <c r="B33" s="19"/>
      <c r="C33" s="19">
        <v>1</v>
      </c>
      <c r="D33" s="19"/>
      <c r="E33" s="19"/>
      <c r="F33" s="19"/>
      <c r="G33" s="19"/>
      <c r="H33" s="19"/>
      <c r="I33" s="19"/>
      <c r="J33" s="19"/>
      <c r="K33" s="19"/>
      <c r="L33" s="19"/>
      <c r="M33" s="19"/>
      <c r="N33" s="19"/>
      <c r="O33" s="19"/>
      <c r="P33" s="19"/>
      <c r="Q33" s="19"/>
      <c r="R33" s="19"/>
      <c r="S33" s="19"/>
      <c r="T33" s="19"/>
      <c r="U33" s="19"/>
      <c r="V33" s="19"/>
      <c r="W33" s="19"/>
      <c r="X33" s="19"/>
      <c r="Y33" s="19"/>
      <c r="Z33" s="22">
        <f t="shared" ref="Z33:Z55" si="12">SUM(B33:Y33)</f>
        <v>1</v>
      </c>
    </row>
    <row r="34" spans="1:26" x14ac:dyDescent="0.35">
      <c r="A34" s="10" t="s">
        <v>616</v>
      </c>
      <c r="B34" s="19"/>
      <c r="C34" s="19"/>
      <c r="D34" s="19">
        <v>1</v>
      </c>
      <c r="E34" s="19"/>
      <c r="F34" s="19"/>
      <c r="G34" s="19"/>
      <c r="H34" s="19"/>
      <c r="I34" s="19"/>
      <c r="J34" s="19"/>
      <c r="K34" s="19"/>
      <c r="L34" s="19"/>
      <c r="M34" s="19"/>
      <c r="N34" s="19"/>
      <c r="O34" s="19"/>
      <c r="P34" s="19"/>
      <c r="Q34" s="19"/>
      <c r="R34" s="19"/>
      <c r="S34" s="19"/>
      <c r="T34" s="19"/>
      <c r="U34" s="19"/>
      <c r="V34" s="19"/>
      <c r="W34" s="19"/>
      <c r="X34" s="19"/>
      <c r="Y34" s="19"/>
      <c r="Z34" s="22">
        <f t="shared" si="12"/>
        <v>1</v>
      </c>
    </row>
    <row r="35" spans="1:26" x14ac:dyDescent="0.35">
      <c r="A35" s="10" t="s">
        <v>618</v>
      </c>
      <c r="B35" s="19"/>
      <c r="C35" s="19"/>
      <c r="D35" s="19"/>
      <c r="E35" s="19">
        <v>1</v>
      </c>
      <c r="F35" s="19"/>
      <c r="G35" s="19"/>
      <c r="H35" s="19"/>
      <c r="I35" s="19"/>
      <c r="J35" s="19"/>
      <c r="K35" s="19"/>
      <c r="L35" s="19"/>
      <c r="M35" s="19"/>
      <c r="N35" s="19"/>
      <c r="O35" s="19"/>
      <c r="P35" s="19"/>
      <c r="Q35" s="19"/>
      <c r="R35" s="19"/>
      <c r="S35" s="19"/>
      <c r="T35" s="19"/>
      <c r="U35" s="19"/>
      <c r="V35" s="19"/>
      <c r="W35" s="19"/>
      <c r="X35" s="19"/>
      <c r="Y35" s="19"/>
      <c r="Z35" s="22">
        <f t="shared" si="12"/>
        <v>1</v>
      </c>
    </row>
    <row r="36" spans="1:26" x14ac:dyDescent="0.35">
      <c r="A36" s="10" t="s">
        <v>620</v>
      </c>
      <c r="B36" s="19"/>
      <c r="C36" s="19"/>
      <c r="D36" s="19"/>
      <c r="E36" s="19"/>
      <c r="F36" s="19">
        <v>1</v>
      </c>
      <c r="G36" s="19"/>
      <c r="H36" s="19"/>
      <c r="I36" s="19"/>
      <c r="J36" s="19"/>
      <c r="K36" s="19"/>
      <c r="L36" s="19"/>
      <c r="M36" s="19"/>
      <c r="N36" s="19"/>
      <c r="O36" s="19"/>
      <c r="P36" s="19"/>
      <c r="Q36" s="19"/>
      <c r="R36" s="19"/>
      <c r="S36" s="19"/>
      <c r="T36" s="19"/>
      <c r="U36" s="19"/>
      <c r="V36" s="19"/>
      <c r="W36" s="19"/>
      <c r="X36" s="19"/>
      <c r="Y36" s="19"/>
      <c r="Z36" s="22">
        <f t="shared" si="12"/>
        <v>1</v>
      </c>
    </row>
    <row r="37" spans="1:26" x14ac:dyDescent="0.35">
      <c r="A37" s="10" t="s">
        <v>622</v>
      </c>
      <c r="B37" s="19"/>
      <c r="C37" s="19"/>
      <c r="D37" s="19"/>
      <c r="E37" s="19"/>
      <c r="F37" s="19"/>
      <c r="G37" s="19">
        <v>1</v>
      </c>
      <c r="H37" s="19"/>
      <c r="I37" s="19"/>
      <c r="J37" s="19"/>
      <c r="K37" s="19"/>
      <c r="L37" s="19"/>
      <c r="M37" s="19"/>
      <c r="N37" s="19"/>
      <c r="O37" s="19"/>
      <c r="P37" s="19"/>
      <c r="Q37" s="19"/>
      <c r="R37" s="19"/>
      <c r="S37" s="19"/>
      <c r="T37" s="19"/>
      <c r="U37" s="19"/>
      <c r="V37" s="19"/>
      <c r="W37" s="19"/>
      <c r="X37" s="19"/>
      <c r="Y37" s="19"/>
      <c r="Z37" s="22">
        <f t="shared" si="12"/>
        <v>1</v>
      </c>
    </row>
    <row r="38" spans="1:26" x14ac:dyDescent="0.35">
      <c r="A38" s="10" t="s">
        <v>624</v>
      </c>
      <c r="B38" s="19"/>
      <c r="C38" s="19"/>
      <c r="D38" s="19"/>
      <c r="E38" s="19"/>
      <c r="F38" s="19"/>
      <c r="G38" s="19"/>
      <c r="H38" s="19">
        <v>1</v>
      </c>
      <c r="I38" s="19"/>
      <c r="J38" s="19"/>
      <c r="K38" s="19"/>
      <c r="L38" s="19"/>
      <c r="M38" s="19"/>
      <c r="N38" s="19"/>
      <c r="O38" s="19"/>
      <c r="P38" s="19"/>
      <c r="Q38" s="19"/>
      <c r="R38" s="19"/>
      <c r="S38" s="19"/>
      <c r="T38" s="19"/>
      <c r="U38" s="19"/>
      <c r="V38" s="19"/>
      <c r="W38" s="19"/>
      <c r="X38" s="19"/>
      <c r="Y38" s="19"/>
      <c r="Z38" s="22">
        <f t="shared" si="12"/>
        <v>1</v>
      </c>
    </row>
    <row r="39" spans="1:26" x14ac:dyDescent="0.35">
      <c r="A39" s="10" t="s">
        <v>626</v>
      </c>
      <c r="B39" s="19"/>
      <c r="C39" s="19"/>
      <c r="D39" s="19"/>
      <c r="E39" s="19"/>
      <c r="F39" s="19"/>
      <c r="G39" s="19"/>
      <c r="H39" s="19"/>
      <c r="I39" s="19">
        <v>1</v>
      </c>
      <c r="J39" s="19"/>
      <c r="K39" s="19"/>
      <c r="L39" s="19"/>
      <c r="M39" s="19"/>
      <c r="N39" s="19"/>
      <c r="O39" s="19"/>
      <c r="P39" s="19"/>
      <c r="Q39" s="19"/>
      <c r="R39" s="19"/>
      <c r="S39" s="19"/>
      <c r="T39" s="19"/>
      <c r="U39" s="19"/>
      <c r="V39" s="19"/>
      <c r="W39" s="19"/>
      <c r="X39" s="19"/>
      <c r="Y39" s="19"/>
      <c r="Z39" s="22">
        <f t="shared" si="12"/>
        <v>1</v>
      </c>
    </row>
    <row r="40" spans="1:26" x14ac:dyDescent="0.35">
      <c r="A40" s="10" t="s">
        <v>628</v>
      </c>
      <c r="B40" s="19"/>
      <c r="C40" s="19"/>
      <c r="D40" s="19"/>
      <c r="E40" s="19"/>
      <c r="F40" s="19"/>
      <c r="G40" s="19"/>
      <c r="H40" s="19"/>
      <c r="I40" s="19"/>
      <c r="J40" s="19">
        <v>1</v>
      </c>
      <c r="K40" s="19"/>
      <c r="L40" s="19"/>
      <c r="M40" s="19"/>
      <c r="N40" s="19"/>
      <c r="O40" s="19"/>
      <c r="P40" s="19"/>
      <c r="Q40" s="19"/>
      <c r="R40" s="19"/>
      <c r="S40" s="19"/>
      <c r="T40" s="19"/>
      <c r="U40" s="19"/>
      <c r="V40" s="19"/>
      <c r="W40" s="19"/>
      <c r="X40" s="19"/>
      <c r="Y40" s="19"/>
      <c r="Z40" s="22">
        <f t="shared" si="12"/>
        <v>1</v>
      </c>
    </row>
    <row r="41" spans="1:26" x14ac:dyDescent="0.35">
      <c r="A41" s="10" t="s">
        <v>630</v>
      </c>
      <c r="B41" s="19"/>
      <c r="C41" s="19"/>
      <c r="D41" s="19"/>
      <c r="E41" s="19"/>
      <c r="F41" s="19"/>
      <c r="G41" s="19"/>
      <c r="H41" s="19"/>
      <c r="I41" s="19"/>
      <c r="J41" s="19"/>
      <c r="K41" s="19">
        <v>1</v>
      </c>
      <c r="L41" s="19"/>
      <c r="M41" s="19"/>
      <c r="N41" s="19"/>
      <c r="O41" s="19"/>
      <c r="P41" s="19"/>
      <c r="Q41" s="19"/>
      <c r="R41" s="19"/>
      <c r="S41" s="19"/>
      <c r="T41" s="19"/>
      <c r="U41" s="19"/>
      <c r="V41" s="19"/>
      <c r="W41" s="19"/>
      <c r="X41" s="19"/>
      <c r="Y41" s="19"/>
      <c r="Z41" s="22">
        <f t="shared" si="12"/>
        <v>1</v>
      </c>
    </row>
    <row r="42" spans="1:26" x14ac:dyDescent="0.35">
      <c r="A42" s="10" t="s">
        <v>632</v>
      </c>
      <c r="B42" s="19"/>
      <c r="C42" s="19"/>
      <c r="D42" s="19"/>
      <c r="E42" s="19"/>
      <c r="F42" s="19"/>
      <c r="G42" s="19"/>
      <c r="H42" s="19"/>
      <c r="I42" s="19"/>
      <c r="J42" s="19"/>
      <c r="K42" s="19"/>
      <c r="L42" s="19">
        <v>1</v>
      </c>
      <c r="M42" s="19"/>
      <c r="N42" s="19"/>
      <c r="O42" s="19"/>
      <c r="P42" s="19"/>
      <c r="Q42" s="19"/>
      <c r="R42" s="19"/>
      <c r="S42" s="19"/>
      <c r="T42" s="19"/>
      <c r="U42" s="19"/>
      <c r="V42" s="19"/>
      <c r="W42" s="19"/>
      <c r="X42" s="19"/>
      <c r="Y42" s="19"/>
      <c r="Z42" s="22">
        <f t="shared" si="12"/>
        <v>1</v>
      </c>
    </row>
    <row r="43" spans="1:26" x14ac:dyDescent="0.35">
      <c r="A43" s="11" t="s">
        <v>634</v>
      </c>
      <c r="B43" s="19"/>
      <c r="C43" s="640">
        <v>4.2586386521319798E-3</v>
      </c>
      <c r="D43" s="640">
        <v>4.267350165207311E-4</v>
      </c>
      <c r="E43" s="640">
        <v>2.3030143748738424E-4</v>
      </c>
      <c r="F43" s="640">
        <v>1.0386143259234769E-4</v>
      </c>
      <c r="G43" s="640">
        <v>1.4721229141350419E-3</v>
      </c>
      <c r="H43" s="640">
        <v>4.0641430144832506E-5</v>
      </c>
      <c r="I43" s="640">
        <v>1.1198971862131602E-3</v>
      </c>
      <c r="J43" s="19"/>
      <c r="K43" s="640">
        <v>5.4488800684874342E-3</v>
      </c>
      <c r="L43" s="640">
        <v>2.6078251009600843E-3</v>
      </c>
      <c r="M43" s="20">
        <f>1-SUM(B43:L43,N43:Y43)</f>
        <v>0.98019308588838971</v>
      </c>
      <c r="N43" s="640">
        <v>2.3865550923937969E-3</v>
      </c>
      <c r="O43" s="19"/>
      <c r="P43" s="640">
        <v>1.1221550434434289E-3</v>
      </c>
      <c r="Q43" s="19"/>
      <c r="R43" s="640">
        <v>4.5157144605595239E-6</v>
      </c>
      <c r="S43" s="640">
        <v>4.5157144605348828E-6</v>
      </c>
      <c r="T43" s="640">
        <v>3.5899929961271141E-4</v>
      </c>
      <c r="U43" s="19"/>
      <c r="V43" s="640">
        <v>2.1675429410577336E-4</v>
      </c>
      <c r="W43" s="19"/>
      <c r="X43" s="640">
        <v>4.5157144605328169E-6</v>
      </c>
      <c r="Y43" s="19"/>
      <c r="Z43" s="21">
        <f t="shared" si="12"/>
        <v>1</v>
      </c>
    </row>
    <row r="44" spans="1:26" x14ac:dyDescent="0.35">
      <c r="A44" s="10" t="s">
        <v>636</v>
      </c>
      <c r="B44" s="19"/>
      <c r="C44" s="19"/>
      <c r="D44" s="19"/>
      <c r="E44" s="19"/>
      <c r="F44" s="19"/>
      <c r="G44" s="19"/>
      <c r="H44" s="19"/>
      <c r="I44" s="19"/>
      <c r="J44" s="19"/>
      <c r="K44" s="19"/>
      <c r="L44" s="19"/>
      <c r="M44" s="19"/>
      <c r="N44" s="19">
        <v>1</v>
      </c>
      <c r="O44" s="19"/>
      <c r="P44" s="19"/>
      <c r="Q44" s="19"/>
      <c r="R44" s="19"/>
      <c r="S44" s="19"/>
      <c r="T44" s="19"/>
      <c r="U44" s="19"/>
      <c r="V44" s="19"/>
      <c r="W44" s="19"/>
      <c r="X44" s="19"/>
      <c r="Y44" s="19"/>
      <c r="Z44" s="22">
        <f t="shared" si="12"/>
        <v>1</v>
      </c>
    </row>
    <row r="45" spans="1:26" x14ac:dyDescent="0.35">
      <c r="A45" s="11" t="s">
        <v>638</v>
      </c>
      <c r="B45" s="19"/>
      <c r="C45" s="19"/>
      <c r="D45" s="19"/>
      <c r="E45" s="19"/>
      <c r="F45" s="19"/>
      <c r="G45" s="19"/>
      <c r="H45" s="19"/>
      <c r="I45" s="19"/>
      <c r="J45" s="19"/>
      <c r="K45" s="19"/>
      <c r="L45" s="19"/>
      <c r="M45" s="19"/>
      <c r="N45" s="19"/>
      <c r="O45" s="20">
        <f>O26/Z15</f>
        <v>0.99931046097512521</v>
      </c>
      <c r="P45" s="19">
        <f>1-O45</f>
        <v>6.8953902487478569E-4</v>
      </c>
      <c r="Q45" s="19"/>
      <c r="R45" s="19"/>
      <c r="S45" s="19"/>
      <c r="T45" s="19"/>
      <c r="U45" s="19"/>
      <c r="V45" s="19"/>
      <c r="W45" s="19"/>
      <c r="X45" s="19"/>
      <c r="Y45" s="19"/>
      <c r="Z45" s="21">
        <f t="shared" si="12"/>
        <v>1</v>
      </c>
    </row>
    <row r="46" spans="1:26" x14ac:dyDescent="0.35">
      <c r="A46" s="10" t="s">
        <v>640</v>
      </c>
      <c r="B46" s="19"/>
      <c r="C46" s="19"/>
      <c r="D46" s="19"/>
      <c r="E46" s="19"/>
      <c r="F46" s="19"/>
      <c r="G46" s="19"/>
      <c r="H46" s="19"/>
      <c r="I46" s="19"/>
      <c r="J46" s="19"/>
      <c r="K46" s="19"/>
      <c r="L46" s="19"/>
      <c r="M46" s="19"/>
      <c r="N46" s="19"/>
      <c r="O46" s="19"/>
      <c r="P46" s="19">
        <v>1</v>
      </c>
      <c r="Q46" s="19"/>
      <c r="R46" s="19"/>
      <c r="S46" s="19"/>
      <c r="T46" s="19"/>
      <c r="U46" s="19"/>
      <c r="V46" s="19"/>
      <c r="W46" s="19"/>
      <c r="X46" s="19"/>
      <c r="Y46" s="19"/>
      <c r="Z46" s="22">
        <f t="shared" si="12"/>
        <v>1</v>
      </c>
    </row>
    <row r="47" spans="1:26" x14ac:dyDescent="0.35">
      <c r="A47" s="10" t="s">
        <v>642</v>
      </c>
      <c r="B47" s="19"/>
      <c r="C47" s="19"/>
      <c r="D47" s="19"/>
      <c r="E47" s="19"/>
      <c r="F47" s="19"/>
      <c r="G47" s="19"/>
      <c r="H47" s="19"/>
      <c r="I47" s="19"/>
      <c r="J47" s="19"/>
      <c r="K47" s="19"/>
      <c r="L47" s="19"/>
      <c r="M47" s="19"/>
      <c r="N47" s="19"/>
      <c r="O47" s="19"/>
      <c r="P47" s="19"/>
      <c r="Q47" s="19">
        <v>1</v>
      </c>
      <c r="R47" s="19"/>
      <c r="S47" s="19"/>
      <c r="T47" s="19"/>
      <c r="U47" s="19"/>
      <c r="V47" s="19"/>
      <c r="W47" s="19"/>
      <c r="X47" s="19"/>
      <c r="Y47" s="19"/>
      <c r="Z47" s="22">
        <f t="shared" si="12"/>
        <v>1</v>
      </c>
    </row>
    <row r="48" spans="1:26" x14ac:dyDescent="0.35">
      <c r="A48" s="10" t="s">
        <v>644</v>
      </c>
      <c r="B48" s="19"/>
      <c r="C48" s="19"/>
      <c r="D48" s="19"/>
      <c r="E48" s="19"/>
      <c r="F48" s="19"/>
      <c r="G48" s="19"/>
      <c r="H48" s="19"/>
      <c r="I48" s="19"/>
      <c r="J48" s="19"/>
      <c r="K48" s="19"/>
      <c r="L48" s="19"/>
      <c r="M48" s="19"/>
      <c r="N48" s="19"/>
      <c r="O48" s="19"/>
      <c r="P48" s="19"/>
      <c r="Q48" s="19"/>
      <c r="R48" s="19">
        <v>1</v>
      </c>
      <c r="S48" s="19"/>
      <c r="T48" s="19"/>
      <c r="U48" s="19"/>
      <c r="V48" s="19"/>
      <c r="W48" s="19"/>
      <c r="X48" s="19"/>
      <c r="Y48" s="19"/>
      <c r="Z48" s="22">
        <f t="shared" si="12"/>
        <v>1</v>
      </c>
    </row>
    <row r="49" spans="1:36" x14ac:dyDescent="0.35">
      <c r="A49" s="10" t="s">
        <v>646</v>
      </c>
      <c r="B49" s="19"/>
      <c r="C49" s="19"/>
      <c r="D49" s="19"/>
      <c r="E49" s="19"/>
      <c r="F49" s="19"/>
      <c r="G49" s="19"/>
      <c r="H49" s="19"/>
      <c r="I49" s="19"/>
      <c r="J49" s="19"/>
      <c r="K49" s="19"/>
      <c r="L49" s="19"/>
      <c r="M49" s="19"/>
      <c r="N49" s="19"/>
      <c r="O49" s="19"/>
      <c r="P49" s="19"/>
      <c r="Q49" s="19"/>
      <c r="R49" s="19"/>
      <c r="S49" s="19">
        <v>1</v>
      </c>
      <c r="T49" s="19"/>
      <c r="U49" s="19"/>
      <c r="V49" s="19"/>
      <c r="W49" s="19"/>
      <c r="X49" s="19"/>
      <c r="Y49" s="19"/>
      <c r="Z49" s="22">
        <f t="shared" si="12"/>
        <v>1</v>
      </c>
    </row>
    <row r="50" spans="1:36" x14ac:dyDescent="0.35">
      <c r="A50" s="10" t="s">
        <v>648</v>
      </c>
      <c r="B50" s="19"/>
      <c r="C50" s="19"/>
      <c r="D50" s="19"/>
      <c r="E50" s="19"/>
      <c r="F50" s="19"/>
      <c r="G50" s="19"/>
      <c r="H50" s="19"/>
      <c r="I50" s="19"/>
      <c r="J50" s="19"/>
      <c r="K50" s="19"/>
      <c r="L50" s="19"/>
      <c r="M50" s="19"/>
      <c r="N50" s="19"/>
      <c r="O50" s="19"/>
      <c r="P50" s="19"/>
      <c r="Q50" s="19"/>
      <c r="R50" s="19"/>
      <c r="S50" s="19"/>
      <c r="T50" s="19">
        <v>1</v>
      </c>
      <c r="U50" s="19"/>
      <c r="V50" s="19"/>
      <c r="W50" s="19"/>
      <c r="X50" s="19"/>
      <c r="Y50" s="19"/>
      <c r="Z50" s="22">
        <f t="shared" si="12"/>
        <v>1</v>
      </c>
    </row>
    <row r="51" spans="1:36" x14ac:dyDescent="0.35">
      <c r="A51" s="11" t="s">
        <v>650</v>
      </c>
      <c r="B51" s="19"/>
      <c r="C51" s="19"/>
      <c r="D51" s="19"/>
      <c r="E51" s="19"/>
      <c r="F51" s="19"/>
      <c r="G51" s="19"/>
      <c r="H51" s="19"/>
      <c r="I51" s="19"/>
      <c r="J51" s="19"/>
      <c r="K51" s="19"/>
      <c r="L51" s="19"/>
      <c r="M51" s="19"/>
      <c r="N51" s="19"/>
      <c r="O51" s="19"/>
      <c r="P51" s="19"/>
      <c r="Q51" s="19"/>
      <c r="R51" s="19"/>
      <c r="S51" s="19"/>
      <c r="T51" s="19">
        <f>1-U51</f>
        <v>8.7778904396111912E-2</v>
      </c>
      <c r="U51" s="20">
        <f>U26/Z21</f>
        <v>0.91222109560388809</v>
      </c>
      <c r="V51" s="19"/>
      <c r="W51" s="19"/>
      <c r="X51" s="19"/>
      <c r="Y51" s="19"/>
      <c r="Z51" s="22">
        <f t="shared" si="12"/>
        <v>1</v>
      </c>
    </row>
    <row r="52" spans="1:36" x14ac:dyDescent="0.35">
      <c r="A52" s="10" t="s">
        <v>652</v>
      </c>
      <c r="B52" s="19"/>
      <c r="C52" s="19"/>
      <c r="D52" s="19"/>
      <c r="E52" s="19"/>
      <c r="F52" s="19"/>
      <c r="G52" s="19"/>
      <c r="H52" s="19"/>
      <c r="I52" s="19"/>
      <c r="J52" s="19"/>
      <c r="K52" s="19"/>
      <c r="L52" s="19"/>
      <c r="M52" s="19"/>
      <c r="N52" s="19"/>
      <c r="O52" s="19"/>
      <c r="P52" s="19"/>
      <c r="Q52" s="19"/>
      <c r="R52" s="19"/>
      <c r="S52" s="19"/>
      <c r="T52" s="19"/>
      <c r="U52" s="19"/>
      <c r="V52" s="19">
        <v>1</v>
      </c>
      <c r="W52" s="19"/>
      <c r="X52" s="19"/>
      <c r="Y52" s="19"/>
      <c r="Z52" s="22">
        <f t="shared" si="12"/>
        <v>1</v>
      </c>
    </row>
    <row r="53" spans="1:36" x14ac:dyDescent="0.35">
      <c r="A53" s="11" t="s">
        <v>654</v>
      </c>
      <c r="B53" s="19"/>
      <c r="C53" s="19"/>
      <c r="D53" s="19"/>
      <c r="E53" s="19"/>
      <c r="F53" s="19"/>
      <c r="G53" s="19"/>
      <c r="H53" s="19"/>
      <c r="I53" s="19"/>
      <c r="J53" s="19"/>
      <c r="K53" s="19">
        <f>1-W53-X53</f>
        <v>1.5437990994073503E-2</v>
      </c>
      <c r="L53" s="19"/>
      <c r="M53" s="19"/>
      <c r="N53" s="19"/>
      <c r="O53" s="19"/>
      <c r="P53" s="19"/>
      <c r="Q53" s="19"/>
      <c r="R53" s="19"/>
      <c r="S53" s="19"/>
      <c r="T53" s="19"/>
      <c r="U53" s="19"/>
      <c r="V53" s="19"/>
      <c r="W53" s="18">
        <v>0.9845620090059265</v>
      </c>
      <c r="X53" s="640"/>
      <c r="Y53" s="19"/>
      <c r="Z53" s="21">
        <f t="shared" si="12"/>
        <v>1</v>
      </c>
    </row>
    <row r="54" spans="1:36" x14ac:dyDescent="0.35">
      <c r="A54" s="10" t="s">
        <v>656</v>
      </c>
      <c r="B54" s="19"/>
      <c r="C54" s="19"/>
      <c r="D54" s="19"/>
      <c r="E54" s="19"/>
      <c r="F54" s="19"/>
      <c r="G54" s="19"/>
      <c r="H54" s="19"/>
      <c r="I54" s="19"/>
      <c r="J54" s="19"/>
      <c r="K54" s="19"/>
      <c r="L54" s="19"/>
      <c r="M54" s="19"/>
      <c r="N54" s="19"/>
      <c r="O54" s="19"/>
      <c r="P54" s="19"/>
      <c r="Q54" s="19"/>
      <c r="R54" s="19"/>
      <c r="S54" s="19"/>
      <c r="T54" s="19"/>
      <c r="U54" s="19"/>
      <c r="V54" s="19"/>
      <c r="W54" s="19"/>
      <c r="X54" s="19">
        <v>1</v>
      </c>
      <c r="Y54" s="19"/>
      <c r="Z54" s="22">
        <f t="shared" si="12"/>
        <v>1</v>
      </c>
    </row>
    <row r="55" spans="1:36" x14ac:dyDescent="0.35">
      <c r="A55" s="10" t="s">
        <v>658</v>
      </c>
      <c r="B55" s="19"/>
      <c r="C55" s="19"/>
      <c r="D55" s="19"/>
      <c r="E55" s="19"/>
      <c r="F55" s="19"/>
      <c r="G55" s="19"/>
      <c r="H55" s="19"/>
      <c r="I55" s="19"/>
      <c r="J55" s="19"/>
      <c r="K55" s="19"/>
      <c r="L55" s="19"/>
      <c r="M55" s="815">
        <f>1-Y55</f>
        <v>3.5403184042170577E-2</v>
      </c>
      <c r="N55" s="19"/>
      <c r="O55" s="19"/>
      <c r="P55" s="19"/>
      <c r="Q55" s="19"/>
      <c r="R55" s="19"/>
      <c r="S55" s="19"/>
      <c r="T55" s="19"/>
      <c r="U55" s="19"/>
      <c r="V55" s="19"/>
      <c r="W55" s="19"/>
      <c r="X55" s="19"/>
      <c r="Y55" s="640">
        <v>0.96459681595782942</v>
      </c>
      <c r="Z55" s="22">
        <f t="shared" si="12"/>
        <v>1</v>
      </c>
    </row>
    <row r="56" spans="1:36" x14ac:dyDescent="0.35">
      <c r="B56" s="19"/>
      <c r="C56" s="19"/>
      <c r="D56" s="19"/>
      <c r="E56" s="19"/>
      <c r="F56" s="19"/>
      <c r="G56" s="19"/>
      <c r="H56" s="19"/>
      <c r="I56" s="19"/>
      <c r="J56" s="19"/>
      <c r="K56" s="19"/>
      <c r="L56" s="19"/>
      <c r="M56" s="19"/>
      <c r="N56" s="19"/>
      <c r="O56" s="19"/>
      <c r="P56" s="19"/>
      <c r="Q56" s="19"/>
      <c r="R56" s="19"/>
      <c r="S56" s="19"/>
      <c r="T56" s="19"/>
      <c r="U56" s="19"/>
      <c r="V56" s="19"/>
      <c r="W56" s="19"/>
      <c r="X56" s="19"/>
      <c r="Y56" s="19"/>
      <c r="Z56" s="23"/>
    </row>
    <row r="57" spans="1:36" x14ac:dyDescent="0.35">
      <c r="B57" s="24"/>
      <c r="C57" s="24"/>
      <c r="D57" s="24"/>
      <c r="E57" s="24"/>
      <c r="F57" s="24"/>
      <c r="G57" s="24"/>
      <c r="H57" s="24"/>
      <c r="I57" s="24"/>
      <c r="J57" s="19"/>
      <c r="K57" s="19"/>
      <c r="L57" s="19"/>
      <c r="M57" s="19"/>
      <c r="N57" s="19"/>
      <c r="O57" s="19"/>
      <c r="P57" s="19"/>
      <c r="Q57" s="19"/>
      <c r="R57" s="19"/>
      <c r="S57" s="19"/>
      <c r="T57" s="19"/>
      <c r="U57" s="19"/>
      <c r="V57" s="19"/>
      <c r="W57" s="19"/>
      <c r="X57" s="19"/>
      <c r="Y57" s="19"/>
      <c r="Z57" s="23"/>
      <c r="AA57" s="37" t="s">
        <v>678</v>
      </c>
      <c r="AB57" s="37" t="s">
        <v>912</v>
      </c>
      <c r="AC57" s="27" t="s">
        <v>913</v>
      </c>
      <c r="AF57" s="46"/>
      <c r="AG57" s="47"/>
      <c r="AH57" s="48"/>
      <c r="AI57" s="49"/>
      <c r="AJ57" s="40"/>
    </row>
    <row r="58" spans="1:36" x14ac:dyDescent="0.35">
      <c r="A58" s="28" t="s">
        <v>662</v>
      </c>
      <c r="B58" s="29">
        <f>B$23*$AC58</f>
        <v>0</v>
      </c>
      <c r="C58" s="29">
        <f t="shared" ref="C58:Y59" si="13">C$23*$AC58</f>
        <v>0</v>
      </c>
      <c r="D58" s="29">
        <f t="shared" si="13"/>
        <v>0</v>
      </c>
      <c r="E58" s="29">
        <f t="shared" si="13"/>
        <v>0</v>
      </c>
      <c r="F58" s="29">
        <f t="shared" si="13"/>
        <v>0</v>
      </c>
      <c r="G58" s="29">
        <f t="shared" si="13"/>
        <v>0</v>
      </c>
      <c r="H58" s="29">
        <f t="shared" si="13"/>
        <v>0</v>
      </c>
      <c r="I58" s="29">
        <f t="shared" si="13"/>
        <v>0</v>
      </c>
      <c r="J58" s="29">
        <f t="shared" si="13"/>
        <v>0</v>
      </c>
      <c r="K58" s="808">
        <f>K$23</f>
        <v>786.70300520306375</v>
      </c>
      <c r="L58" s="29">
        <f t="shared" si="13"/>
        <v>0</v>
      </c>
      <c r="M58" s="29">
        <f t="shared" si="13"/>
        <v>0</v>
      </c>
      <c r="N58" s="29">
        <f t="shared" si="13"/>
        <v>0</v>
      </c>
      <c r="O58" s="29">
        <f t="shared" si="13"/>
        <v>0</v>
      </c>
      <c r="P58" s="29">
        <f t="shared" si="13"/>
        <v>0</v>
      </c>
      <c r="Q58" s="29">
        <f t="shared" si="13"/>
        <v>0</v>
      </c>
      <c r="R58" s="29">
        <f t="shared" si="13"/>
        <v>0</v>
      </c>
      <c r="S58" s="29">
        <f t="shared" si="13"/>
        <v>0</v>
      </c>
      <c r="T58" s="29">
        <f t="shared" si="13"/>
        <v>0</v>
      </c>
      <c r="U58" s="29">
        <f t="shared" si="13"/>
        <v>0</v>
      </c>
      <c r="V58" s="29">
        <f t="shared" si="13"/>
        <v>0</v>
      </c>
      <c r="W58" s="817">
        <f>W$23*$AC58</f>
        <v>49765.565908398719</v>
      </c>
      <c r="X58" s="29">
        <f t="shared" si="13"/>
        <v>0</v>
      </c>
      <c r="Y58" s="29">
        <f t="shared" si="13"/>
        <v>0</v>
      </c>
      <c r="Z58" s="29">
        <f>SUM(B58:Y58)</f>
        <v>50552.26891360178</v>
      </c>
      <c r="AA58" s="30">
        <f>SUM(Z58:Z59)-Z23</f>
        <v>0</v>
      </c>
      <c r="AB58" s="37"/>
      <c r="AC58" s="41">
        <f>[4]Donnees_energie!H5</f>
        <v>0.99189533402801899</v>
      </c>
      <c r="AD58" s="42">
        <f>SUM(AC58:AC59)</f>
        <v>1</v>
      </c>
      <c r="AE58" s="10">
        <f>W58/$W$26</f>
        <v>0.98787584384728722</v>
      </c>
      <c r="AF58" s="792">
        <f>SUM(AE58:AE59)</f>
        <v>0.9959476670140095</v>
      </c>
      <c r="AG58" s="793"/>
      <c r="AH58" s="48"/>
      <c r="AI58" s="49"/>
      <c r="AJ58" s="40"/>
    </row>
    <row r="59" spans="1:36" x14ac:dyDescent="0.35">
      <c r="A59" s="31" t="s">
        <v>663</v>
      </c>
      <c r="B59" s="32">
        <f>B$23*$AC59</f>
        <v>0</v>
      </c>
      <c r="C59" s="32">
        <f t="shared" si="13"/>
        <v>0</v>
      </c>
      <c r="D59" s="32">
        <f t="shared" si="13"/>
        <v>0</v>
      </c>
      <c r="E59" s="32">
        <f t="shared" si="13"/>
        <v>0</v>
      </c>
      <c r="F59" s="32">
        <f t="shared" si="13"/>
        <v>0</v>
      </c>
      <c r="G59" s="32">
        <f t="shared" si="13"/>
        <v>0</v>
      </c>
      <c r="H59" s="32">
        <f t="shared" si="13"/>
        <v>0</v>
      </c>
      <c r="I59" s="32">
        <f t="shared" si="13"/>
        <v>0</v>
      </c>
      <c r="J59" s="32">
        <f t="shared" si="13"/>
        <v>0</v>
      </c>
      <c r="K59" s="809">
        <v>0</v>
      </c>
      <c r="L59" s="32">
        <f t="shared" si="13"/>
        <v>0</v>
      </c>
      <c r="M59" s="32">
        <f t="shared" si="13"/>
        <v>0</v>
      </c>
      <c r="N59" s="32">
        <f t="shared" si="13"/>
        <v>0</v>
      </c>
      <c r="O59" s="32">
        <f t="shared" si="13"/>
        <v>0</v>
      </c>
      <c r="P59" s="32">
        <f t="shared" si="13"/>
        <v>0</v>
      </c>
      <c r="Q59" s="32">
        <f t="shared" si="13"/>
        <v>0</v>
      </c>
      <c r="R59" s="32">
        <f t="shared" si="13"/>
        <v>0</v>
      </c>
      <c r="S59" s="32">
        <f t="shared" si="13"/>
        <v>0</v>
      </c>
      <c r="T59" s="32">
        <f t="shared" si="13"/>
        <v>0</v>
      </c>
      <c r="U59" s="32">
        <f t="shared" si="13"/>
        <v>0</v>
      </c>
      <c r="V59" s="32">
        <f t="shared" si="13"/>
        <v>0</v>
      </c>
      <c r="W59" s="818">
        <f>W$23*$AC59</f>
        <v>406.62887983984012</v>
      </c>
      <c r="X59" s="32">
        <f t="shared" si="13"/>
        <v>0</v>
      </c>
      <c r="Y59" s="32">
        <f t="shared" si="13"/>
        <v>0</v>
      </c>
      <c r="Z59" s="32">
        <f t="shared" ref="Z59:Z73" si="14">SUM(B59:Y59)</f>
        <v>406.62887983984012</v>
      </c>
      <c r="AA59" s="33">
        <f>SUM(W58:W59)-W23</f>
        <v>0</v>
      </c>
      <c r="AB59" s="38"/>
      <c r="AC59" s="41">
        <f>[4]Donnees_energie!H6</f>
        <v>8.1046659719810118E-3</v>
      </c>
      <c r="AD59" s="43"/>
      <c r="AE59" s="10">
        <f>W59/$W$26</f>
        <v>8.0718231667223188E-3</v>
      </c>
      <c r="AF59" s="792"/>
      <c r="AG59" s="793"/>
      <c r="AH59" s="48"/>
      <c r="AI59" s="49"/>
      <c r="AJ59" s="40"/>
    </row>
    <row r="60" spans="1:36" x14ac:dyDescent="0.35">
      <c r="A60" s="28" t="s">
        <v>664</v>
      </c>
      <c r="B60" s="29">
        <f t="shared" ref="B60:Q67" si="15">B$24*$AC60</f>
        <v>0</v>
      </c>
      <c r="C60" s="29">
        <f t="shared" si="15"/>
        <v>0</v>
      </c>
      <c r="D60" s="29">
        <f t="shared" si="15"/>
        <v>0</v>
      </c>
      <c r="E60" s="29">
        <f t="shared" si="15"/>
        <v>0</v>
      </c>
      <c r="F60" s="29">
        <f t="shared" si="15"/>
        <v>0</v>
      </c>
      <c r="G60" s="29">
        <f t="shared" si="15"/>
        <v>0</v>
      </c>
      <c r="H60" s="29">
        <f t="shared" si="15"/>
        <v>0</v>
      </c>
      <c r="I60" s="29">
        <f t="shared" si="15"/>
        <v>0</v>
      </c>
      <c r="J60" s="29">
        <f t="shared" si="15"/>
        <v>0</v>
      </c>
      <c r="K60" s="29">
        <f t="shared" si="15"/>
        <v>0</v>
      </c>
      <c r="L60" s="29">
        <f t="shared" si="15"/>
        <v>0</v>
      </c>
      <c r="M60" s="29">
        <f t="shared" si="15"/>
        <v>0</v>
      </c>
      <c r="N60" s="29">
        <f t="shared" si="15"/>
        <v>0</v>
      </c>
      <c r="O60" s="29">
        <f t="shared" si="15"/>
        <v>0</v>
      </c>
      <c r="P60" s="29">
        <f t="shared" si="15"/>
        <v>0</v>
      </c>
      <c r="Q60" s="29">
        <f t="shared" si="15"/>
        <v>0</v>
      </c>
      <c r="R60" s="29">
        <f t="shared" ref="R60:Y67" si="16">R$24*$AC60</f>
        <v>0</v>
      </c>
      <c r="S60" s="29">
        <f t="shared" si="16"/>
        <v>0</v>
      </c>
      <c r="T60" s="29">
        <f t="shared" si="16"/>
        <v>0</v>
      </c>
      <c r="U60" s="29">
        <f t="shared" si="16"/>
        <v>0</v>
      </c>
      <c r="V60" s="29">
        <f t="shared" si="16"/>
        <v>0</v>
      </c>
      <c r="W60" s="29">
        <f t="shared" si="16"/>
        <v>0</v>
      </c>
      <c r="X60" s="29">
        <f t="shared" si="16"/>
        <v>36780.298422740205</v>
      </c>
      <c r="Y60" s="29">
        <f t="shared" si="16"/>
        <v>0</v>
      </c>
      <c r="Z60" s="29">
        <f t="shared" si="14"/>
        <v>36780.298422740205</v>
      </c>
      <c r="AA60" s="30">
        <f>SUM(Z60:Z67)-Z24</f>
        <v>0</v>
      </c>
      <c r="AB60" s="37"/>
      <c r="AC60" s="41">
        <f>[4]Donnees_energie!H7</f>
        <v>0.79896379760487024</v>
      </c>
      <c r="AD60" s="44">
        <f>SUM(AC60:AC67)</f>
        <v>1</v>
      </c>
      <c r="AE60" s="10">
        <f>X60/$X$26</f>
        <v>0.7989290879670744</v>
      </c>
      <c r="AF60" s="792">
        <f>SUM(AE60:AE67)</f>
        <v>0.99995655668266836</v>
      </c>
      <c r="AG60" s="793"/>
      <c r="AH60" s="48"/>
      <c r="AI60" s="49"/>
      <c r="AJ60" s="40"/>
    </row>
    <row r="61" spans="1:36" x14ac:dyDescent="0.35">
      <c r="A61" s="34" t="s">
        <v>665</v>
      </c>
      <c r="B61" s="35">
        <f t="shared" si="15"/>
        <v>0</v>
      </c>
      <c r="C61" s="35">
        <f t="shared" si="15"/>
        <v>0</v>
      </c>
      <c r="D61" s="35">
        <f t="shared" si="15"/>
        <v>0</v>
      </c>
      <c r="E61" s="35">
        <f t="shared" si="15"/>
        <v>0</v>
      </c>
      <c r="F61" s="35">
        <f t="shared" si="15"/>
        <v>0</v>
      </c>
      <c r="G61" s="35">
        <f t="shared" si="15"/>
        <v>0</v>
      </c>
      <c r="H61" s="35">
        <f t="shared" si="15"/>
        <v>0</v>
      </c>
      <c r="I61" s="35">
        <f t="shared" si="15"/>
        <v>0</v>
      </c>
      <c r="J61" s="35">
        <f t="shared" si="15"/>
        <v>0</v>
      </c>
      <c r="K61" s="35">
        <f t="shared" si="15"/>
        <v>0</v>
      </c>
      <c r="L61" s="35">
        <f t="shared" si="15"/>
        <v>0</v>
      </c>
      <c r="M61" s="35">
        <f t="shared" si="15"/>
        <v>0</v>
      </c>
      <c r="N61" s="35">
        <f t="shared" si="15"/>
        <v>0</v>
      </c>
      <c r="O61" s="35">
        <f t="shared" si="15"/>
        <v>0</v>
      </c>
      <c r="P61" s="35">
        <f t="shared" si="15"/>
        <v>0</v>
      </c>
      <c r="Q61" s="35">
        <f t="shared" si="15"/>
        <v>0</v>
      </c>
      <c r="R61" s="35">
        <f t="shared" si="16"/>
        <v>0</v>
      </c>
      <c r="S61" s="35">
        <f t="shared" si="16"/>
        <v>0</v>
      </c>
      <c r="T61" s="35">
        <f t="shared" si="16"/>
        <v>0</v>
      </c>
      <c r="U61" s="35">
        <f t="shared" si="16"/>
        <v>0</v>
      </c>
      <c r="V61" s="35">
        <f t="shared" si="16"/>
        <v>0</v>
      </c>
      <c r="W61" s="35">
        <f t="shared" si="16"/>
        <v>0</v>
      </c>
      <c r="X61" s="35">
        <f t="shared" si="16"/>
        <v>472.03129392341037</v>
      </c>
      <c r="Y61" s="35">
        <f t="shared" si="16"/>
        <v>0</v>
      </c>
      <c r="Z61" s="35">
        <f t="shared" si="14"/>
        <v>472.03129392341037</v>
      </c>
      <c r="AA61" s="36"/>
      <c r="AB61" s="39"/>
      <c r="AC61" s="41">
        <f>[4]Donnees_energie!H8</f>
        <v>1.0253748103039218E-2</v>
      </c>
      <c r="AD61" s="45"/>
      <c r="AE61" s="10">
        <f t="shared" ref="AE61:AE67" si="17">X61/$X$26</f>
        <v>1.0253302646206537E-2</v>
      </c>
      <c r="AF61" s="792"/>
      <c r="AG61" s="793"/>
      <c r="AH61" s="48"/>
      <c r="AI61" s="49"/>
      <c r="AJ61" s="40"/>
    </row>
    <row r="62" spans="1:36" x14ac:dyDescent="0.35">
      <c r="A62" s="34" t="s">
        <v>666</v>
      </c>
      <c r="B62" s="35">
        <f t="shared" si="15"/>
        <v>0</v>
      </c>
      <c r="C62" s="35">
        <f t="shared" si="15"/>
        <v>0</v>
      </c>
      <c r="D62" s="35">
        <f t="shared" si="15"/>
        <v>0</v>
      </c>
      <c r="E62" s="35">
        <f t="shared" si="15"/>
        <v>0</v>
      </c>
      <c r="F62" s="35">
        <f t="shared" si="15"/>
        <v>0</v>
      </c>
      <c r="G62" s="35">
        <f t="shared" si="15"/>
        <v>0</v>
      </c>
      <c r="H62" s="35">
        <f t="shared" si="15"/>
        <v>0</v>
      </c>
      <c r="I62" s="35">
        <f t="shared" si="15"/>
        <v>0</v>
      </c>
      <c r="J62" s="35">
        <f t="shared" si="15"/>
        <v>0</v>
      </c>
      <c r="K62" s="35">
        <f t="shared" si="15"/>
        <v>0</v>
      </c>
      <c r="L62" s="35">
        <f t="shared" si="15"/>
        <v>0</v>
      </c>
      <c r="M62" s="35">
        <f t="shared" si="15"/>
        <v>0</v>
      </c>
      <c r="N62" s="35">
        <f t="shared" si="15"/>
        <v>0</v>
      </c>
      <c r="O62" s="35">
        <f t="shared" si="15"/>
        <v>0</v>
      </c>
      <c r="P62" s="35">
        <f t="shared" si="15"/>
        <v>0</v>
      </c>
      <c r="Q62" s="35">
        <f t="shared" si="15"/>
        <v>0</v>
      </c>
      <c r="R62" s="35">
        <f t="shared" si="16"/>
        <v>0</v>
      </c>
      <c r="S62" s="35">
        <f t="shared" si="16"/>
        <v>0</v>
      </c>
      <c r="T62" s="35">
        <f t="shared" si="16"/>
        <v>0</v>
      </c>
      <c r="U62" s="35">
        <f t="shared" si="16"/>
        <v>0</v>
      </c>
      <c r="V62" s="35">
        <f t="shared" si="16"/>
        <v>0</v>
      </c>
      <c r="W62" s="35">
        <f t="shared" si="16"/>
        <v>0</v>
      </c>
      <c r="X62" s="35">
        <f t="shared" si="16"/>
        <v>1885.090824266251</v>
      </c>
      <c r="Y62" s="35">
        <f t="shared" si="16"/>
        <v>0</v>
      </c>
      <c r="Z62" s="35">
        <f t="shared" si="14"/>
        <v>1885.090824266251</v>
      </c>
      <c r="AA62" s="36">
        <f>SUM(X60:X67)-X24</f>
        <v>0</v>
      </c>
      <c r="AB62" s="39"/>
      <c r="AC62" s="41">
        <f>[4]Donnees_energie!H9</f>
        <v>4.094907840265561E-2</v>
      </c>
      <c r="AD62" s="45"/>
      <c r="AE62" s="10">
        <f t="shared" si="17"/>
        <v>4.0947299438848124E-2</v>
      </c>
      <c r="AF62" s="792"/>
      <c r="AG62" s="793"/>
      <c r="AH62" s="48"/>
      <c r="AI62" s="49"/>
      <c r="AJ62" s="40"/>
    </row>
    <row r="63" spans="1:36" x14ac:dyDescent="0.35">
      <c r="A63" s="34" t="s">
        <v>667</v>
      </c>
      <c r="B63" s="35">
        <f t="shared" si="15"/>
        <v>0</v>
      </c>
      <c r="C63" s="35">
        <f t="shared" si="15"/>
        <v>0</v>
      </c>
      <c r="D63" s="35">
        <f t="shared" si="15"/>
        <v>0</v>
      </c>
      <c r="E63" s="35">
        <f t="shared" si="15"/>
        <v>0</v>
      </c>
      <c r="F63" s="35">
        <f t="shared" si="15"/>
        <v>0</v>
      </c>
      <c r="G63" s="35">
        <f t="shared" si="15"/>
        <v>0</v>
      </c>
      <c r="H63" s="35">
        <f t="shared" si="15"/>
        <v>0</v>
      </c>
      <c r="I63" s="35">
        <f t="shared" si="15"/>
        <v>0</v>
      </c>
      <c r="J63" s="35">
        <f t="shared" si="15"/>
        <v>0</v>
      </c>
      <c r="K63" s="35">
        <f t="shared" si="15"/>
        <v>0</v>
      </c>
      <c r="L63" s="35">
        <f t="shared" si="15"/>
        <v>0</v>
      </c>
      <c r="M63" s="35">
        <f t="shared" si="15"/>
        <v>0</v>
      </c>
      <c r="N63" s="35">
        <f t="shared" si="15"/>
        <v>0</v>
      </c>
      <c r="O63" s="35">
        <f t="shared" si="15"/>
        <v>0</v>
      </c>
      <c r="P63" s="35">
        <f t="shared" si="15"/>
        <v>0</v>
      </c>
      <c r="Q63" s="35">
        <f t="shared" si="15"/>
        <v>0</v>
      </c>
      <c r="R63" s="35">
        <f t="shared" si="16"/>
        <v>0</v>
      </c>
      <c r="S63" s="35">
        <f t="shared" si="16"/>
        <v>0</v>
      </c>
      <c r="T63" s="35">
        <f t="shared" si="16"/>
        <v>0</v>
      </c>
      <c r="U63" s="35">
        <f t="shared" si="16"/>
        <v>0</v>
      </c>
      <c r="V63" s="35">
        <f t="shared" si="16"/>
        <v>0</v>
      </c>
      <c r="W63" s="35">
        <f t="shared" si="16"/>
        <v>0</v>
      </c>
      <c r="X63" s="35">
        <f t="shared" si="16"/>
        <v>1880.9185910535891</v>
      </c>
      <c r="Y63" s="35">
        <f t="shared" si="16"/>
        <v>0</v>
      </c>
      <c r="Z63" s="35">
        <f t="shared" si="14"/>
        <v>1880.9185910535891</v>
      </c>
      <c r="AA63" s="36"/>
      <c r="AB63" s="39"/>
      <c r="AC63" s="41">
        <f>[4]Donnees_energie!H10</f>
        <v>4.085844663959138E-2</v>
      </c>
      <c r="AD63" s="45"/>
      <c r="AE63" s="10">
        <f t="shared" si="17"/>
        <v>4.0856671613128337E-2</v>
      </c>
      <c r="AF63" s="792"/>
      <c r="AG63" s="793"/>
      <c r="AH63" s="48"/>
      <c r="AI63" s="49"/>
      <c r="AJ63" s="40"/>
    </row>
    <row r="64" spans="1:36" x14ac:dyDescent="0.35">
      <c r="A64" s="34" t="s">
        <v>668</v>
      </c>
      <c r="B64" s="35">
        <f t="shared" si="15"/>
        <v>0</v>
      </c>
      <c r="C64" s="35">
        <f t="shared" si="15"/>
        <v>0</v>
      </c>
      <c r="D64" s="35">
        <f t="shared" si="15"/>
        <v>0</v>
      </c>
      <c r="E64" s="35">
        <f t="shared" si="15"/>
        <v>0</v>
      </c>
      <c r="F64" s="35">
        <f t="shared" si="15"/>
        <v>0</v>
      </c>
      <c r="G64" s="35">
        <f t="shared" si="15"/>
        <v>0</v>
      </c>
      <c r="H64" s="35">
        <f t="shared" si="15"/>
        <v>0</v>
      </c>
      <c r="I64" s="35">
        <f t="shared" si="15"/>
        <v>0</v>
      </c>
      <c r="J64" s="35">
        <f t="shared" si="15"/>
        <v>0</v>
      </c>
      <c r="K64" s="35">
        <f t="shared" si="15"/>
        <v>0</v>
      </c>
      <c r="L64" s="35">
        <f t="shared" si="15"/>
        <v>0</v>
      </c>
      <c r="M64" s="35">
        <f t="shared" si="15"/>
        <v>0</v>
      </c>
      <c r="N64" s="35">
        <f t="shared" si="15"/>
        <v>0</v>
      </c>
      <c r="O64" s="35">
        <f t="shared" si="15"/>
        <v>0</v>
      </c>
      <c r="P64" s="35">
        <f t="shared" si="15"/>
        <v>0</v>
      </c>
      <c r="Q64" s="35">
        <f t="shared" si="15"/>
        <v>0</v>
      </c>
      <c r="R64" s="35">
        <f t="shared" si="16"/>
        <v>0</v>
      </c>
      <c r="S64" s="35">
        <f t="shared" si="16"/>
        <v>0</v>
      </c>
      <c r="T64" s="35">
        <f t="shared" si="16"/>
        <v>0</v>
      </c>
      <c r="U64" s="35">
        <f t="shared" si="16"/>
        <v>0</v>
      </c>
      <c r="V64" s="35">
        <f t="shared" si="16"/>
        <v>0</v>
      </c>
      <c r="W64" s="35">
        <f t="shared" si="16"/>
        <v>0</v>
      </c>
      <c r="X64" s="35">
        <f t="shared" si="16"/>
        <v>380.0049429453781</v>
      </c>
      <c r="Y64" s="35">
        <f t="shared" si="16"/>
        <v>0</v>
      </c>
      <c r="Z64" s="35">
        <f t="shared" si="14"/>
        <v>380.0049429453781</v>
      </c>
      <c r="AA64" s="36"/>
      <c r="AB64" s="39"/>
      <c r="AC64" s="41">
        <f>[4]Donnees_energie!H11</f>
        <v>8.2546962733871642E-3</v>
      </c>
      <c r="AD64" s="45"/>
      <c r="AE64" s="10">
        <f t="shared" si="17"/>
        <v>8.2543376619974834E-3</v>
      </c>
      <c r="AF64" s="792"/>
      <c r="AG64" s="793"/>
      <c r="AH64" s="48"/>
      <c r="AI64" s="49"/>
      <c r="AJ64" s="40"/>
    </row>
    <row r="65" spans="1:36" x14ac:dyDescent="0.35">
      <c r="A65" s="34" t="s">
        <v>669</v>
      </c>
      <c r="B65" s="35">
        <f t="shared" si="15"/>
        <v>0</v>
      </c>
      <c r="C65" s="35">
        <f t="shared" si="15"/>
        <v>0</v>
      </c>
      <c r="D65" s="35">
        <f t="shared" si="15"/>
        <v>0</v>
      </c>
      <c r="E65" s="35">
        <f t="shared" si="15"/>
        <v>0</v>
      </c>
      <c r="F65" s="35">
        <f t="shared" si="15"/>
        <v>0</v>
      </c>
      <c r="G65" s="35">
        <f t="shared" si="15"/>
        <v>0</v>
      </c>
      <c r="H65" s="35">
        <f t="shared" si="15"/>
        <v>0</v>
      </c>
      <c r="I65" s="35">
        <f t="shared" si="15"/>
        <v>0</v>
      </c>
      <c r="J65" s="35">
        <f t="shared" si="15"/>
        <v>0</v>
      </c>
      <c r="K65" s="35">
        <f t="shared" si="15"/>
        <v>0</v>
      </c>
      <c r="L65" s="35">
        <f t="shared" si="15"/>
        <v>0</v>
      </c>
      <c r="M65" s="35">
        <f t="shared" si="15"/>
        <v>0</v>
      </c>
      <c r="N65" s="35">
        <f t="shared" si="15"/>
        <v>0</v>
      </c>
      <c r="O65" s="35">
        <f t="shared" si="15"/>
        <v>0</v>
      </c>
      <c r="P65" s="35">
        <f t="shared" si="15"/>
        <v>0</v>
      </c>
      <c r="Q65" s="35">
        <f t="shared" si="15"/>
        <v>0</v>
      </c>
      <c r="R65" s="35">
        <f t="shared" si="16"/>
        <v>0</v>
      </c>
      <c r="S65" s="35">
        <f t="shared" si="16"/>
        <v>0</v>
      </c>
      <c r="T65" s="35">
        <f t="shared" si="16"/>
        <v>0</v>
      </c>
      <c r="U65" s="35">
        <f t="shared" si="16"/>
        <v>0</v>
      </c>
      <c r="V65" s="35">
        <f t="shared" si="16"/>
        <v>0</v>
      </c>
      <c r="W65" s="35">
        <f t="shared" si="16"/>
        <v>0</v>
      </c>
      <c r="X65" s="35">
        <f t="shared" si="16"/>
        <v>85.501112162710072</v>
      </c>
      <c r="Y65" s="35">
        <f t="shared" si="16"/>
        <v>0</v>
      </c>
      <c r="Z65" s="35">
        <f t="shared" si="14"/>
        <v>85.501112162710072</v>
      </c>
      <c r="AA65" s="36"/>
      <c r="AB65" s="39"/>
      <c r="AC65" s="41">
        <f>[4]Donnees_energie!H12</f>
        <v>1.857306661512112E-3</v>
      </c>
      <c r="AD65" s="45"/>
      <c r="AE65" s="10">
        <f t="shared" si="17"/>
        <v>1.8572259739494336E-3</v>
      </c>
      <c r="AF65" s="792"/>
      <c r="AG65" s="793"/>
      <c r="AH65" s="48"/>
      <c r="AI65" s="50"/>
      <c r="AJ65" s="40"/>
    </row>
    <row r="66" spans="1:36" x14ac:dyDescent="0.35">
      <c r="A66" s="34" t="s">
        <v>670</v>
      </c>
      <c r="B66" s="35">
        <f t="shared" si="15"/>
        <v>0</v>
      </c>
      <c r="C66" s="35">
        <f t="shared" si="15"/>
        <v>0</v>
      </c>
      <c r="D66" s="35">
        <f t="shared" si="15"/>
        <v>0</v>
      </c>
      <c r="E66" s="35">
        <f t="shared" si="15"/>
        <v>0</v>
      </c>
      <c r="F66" s="35">
        <f t="shared" si="15"/>
        <v>0</v>
      </c>
      <c r="G66" s="35">
        <f t="shared" si="15"/>
        <v>0</v>
      </c>
      <c r="H66" s="35">
        <f t="shared" si="15"/>
        <v>0</v>
      </c>
      <c r="I66" s="35">
        <f t="shared" si="15"/>
        <v>0</v>
      </c>
      <c r="J66" s="35">
        <f t="shared" si="15"/>
        <v>0</v>
      </c>
      <c r="K66" s="35">
        <f t="shared" si="15"/>
        <v>0</v>
      </c>
      <c r="L66" s="35">
        <f t="shared" si="15"/>
        <v>0</v>
      </c>
      <c r="M66" s="35">
        <f t="shared" si="15"/>
        <v>0</v>
      </c>
      <c r="N66" s="35">
        <f t="shared" si="15"/>
        <v>0</v>
      </c>
      <c r="O66" s="35">
        <f t="shared" si="15"/>
        <v>0</v>
      </c>
      <c r="P66" s="35">
        <f t="shared" si="15"/>
        <v>0</v>
      </c>
      <c r="Q66" s="35">
        <f t="shared" si="15"/>
        <v>0</v>
      </c>
      <c r="R66" s="35">
        <f t="shared" si="16"/>
        <v>0</v>
      </c>
      <c r="S66" s="35">
        <f t="shared" si="16"/>
        <v>0</v>
      </c>
      <c r="T66" s="35">
        <f t="shared" si="16"/>
        <v>0</v>
      </c>
      <c r="U66" s="35">
        <f t="shared" si="16"/>
        <v>0</v>
      </c>
      <c r="V66" s="35">
        <f t="shared" si="16"/>
        <v>0</v>
      </c>
      <c r="W66" s="35">
        <f t="shared" si="16"/>
        <v>0</v>
      </c>
      <c r="X66" s="35">
        <f t="shared" si="16"/>
        <v>4274.2702451590949</v>
      </c>
      <c r="Y66" s="35">
        <f t="shared" si="16"/>
        <v>0</v>
      </c>
      <c r="Z66" s="35">
        <f t="shared" si="14"/>
        <v>4274.2702451590949</v>
      </c>
      <c r="AA66" s="36"/>
      <c r="AB66" s="39"/>
      <c r="AC66" s="41">
        <f>[4]Donnees_energie!H13</f>
        <v>9.284827294795471E-2</v>
      </c>
      <c r="AD66" s="45"/>
      <c r="AE66" s="10">
        <f t="shared" si="17"/>
        <v>9.2844239310969329E-2</v>
      </c>
      <c r="AF66" s="792"/>
      <c r="AG66" s="793"/>
      <c r="AH66" s="48"/>
      <c r="AI66" s="48"/>
      <c r="AJ66" s="40"/>
    </row>
    <row r="67" spans="1:36" x14ac:dyDescent="0.35">
      <c r="A67" s="31" t="s">
        <v>671</v>
      </c>
      <c r="B67" s="32">
        <f t="shared" si="15"/>
        <v>0</v>
      </c>
      <c r="C67" s="32">
        <f t="shared" si="15"/>
        <v>0</v>
      </c>
      <c r="D67" s="32">
        <f t="shared" si="15"/>
        <v>0</v>
      </c>
      <c r="E67" s="32">
        <f t="shared" si="15"/>
        <v>0</v>
      </c>
      <c r="F67" s="32">
        <f t="shared" si="15"/>
        <v>0</v>
      </c>
      <c r="G67" s="32">
        <f t="shared" si="15"/>
        <v>0</v>
      </c>
      <c r="H67" s="32">
        <f t="shared" si="15"/>
        <v>0</v>
      </c>
      <c r="I67" s="32">
        <f t="shared" si="15"/>
        <v>0</v>
      </c>
      <c r="J67" s="32">
        <f t="shared" si="15"/>
        <v>0</v>
      </c>
      <c r="K67" s="32">
        <f t="shared" si="15"/>
        <v>0</v>
      </c>
      <c r="L67" s="32">
        <f t="shared" si="15"/>
        <v>0</v>
      </c>
      <c r="M67" s="32">
        <f t="shared" si="15"/>
        <v>0</v>
      </c>
      <c r="N67" s="32">
        <f t="shared" si="15"/>
        <v>0</v>
      </c>
      <c r="O67" s="32">
        <f t="shared" si="15"/>
        <v>0</v>
      </c>
      <c r="P67" s="32">
        <f t="shared" si="15"/>
        <v>0</v>
      </c>
      <c r="Q67" s="32">
        <f t="shared" si="15"/>
        <v>0</v>
      </c>
      <c r="R67" s="32">
        <f t="shared" si="16"/>
        <v>0</v>
      </c>
      <c r="S67" s="32">
        <f t="shared" si="16"/>
        <v>0</v>
      </c>
      <c r="T67" s="32">
        <f t="shared" si="16"/>
        <v>0</v>
      </c>
      <c r="U67" s="32">
        <f t="shared" si="16"/>
        <v>0</v>
      </c>
      <c r="V67" s="32">
        <f t="shared" si="16"/>
        <v>0</v>
      </c>
      <c r="W67" s="32">
        <f t="shared" si="16"/>
        <v>0</v>
      </c>
      <c r="X67" s="32">
        <f t="shared" si="16"/>
        <v>276.88456774936884</v>
      </c>
      <c r="Y67" s="32">
        <f t="shared" si="16"/>
        <v>0</v>
      </c>
      <c r="Z67" s="32">
        <f t="shared" si="14"/>
        <v>276.88456774936884</v>
      </c>
      <c r="AA67" s="33"/>
      <c r="AB67" s="38"/>
      <c r="AC67" s="41">
        <f>[4]Donnees_energie!H14</f>
        <v>6.0146533669896566E-3</v>
      </c>
      <c r="AD67" s="45"/>
      <c r="AE67" s="10">
        <f t="shared" si="17"/>
        <v>6.0143920704947944E-3</v>
      </c>
      <c r="AF67" s="792"/>
      <c r="AG67" s="793"/>
      <c r="AH67" s="48"/>
      <c r="AI67" s="48"/>
      <c r="AJ67" s="40"/>
    </row>
    <row r="68" spans="1:36" x14ac:dyDescent="0.35">
      <c r="A68" s="28" t="s">
        <v>672</v>
      </c>
      <c r="B68" s="29">
        <f t="shared" ref="B68:Q73" si="18">B$25*$AC68</f>
        <v>0</v>
      </c>
      <c r="C68" s="29">
        <f t="shared" si="18"/>
        <v>0</v>
      </c>
      <c r="D68" s="29">
        <f t="shared" si="18"/>
        <v>0</v>
      </c>
      <c r="E68" s="29">
        <f t="shared" si="18"/>
        <v>0</v>
      </c>
      <c r="F68" s="29">
        <f t="shared" si="18"/>
        <v>0</v>
      </c>
      <c r="G68" s="29">
        <f t="shared" si="18"/>
        <v>0</v>
      </c>
      <c r="H68" s="29">
        <f t="shared" si="18"/>
        <v>0</v>
      </c>
      <c r="I68" s="29">
        <f t="shared" si="18"/>
        <v>0</v>
      </c>
      <c r="J68" s="29">
        <f t="shared" si="18"/>
        <v>0</v>
      </c>
      <c r="K68" s="29">
        <f t="shared" si="18"/>
        <v>0</v>
      </c>
      <c r="L68" s="29">
        <f t="shared" si="18"/>
        <v>0</v>
      </c>
      <c r="M68" s="29">
        <f t="shared" si="18"/>
        <v>768.23128721047067</v>
      </c>
      <c r="N68" s="29">
        <f t="shared" si="18"/>
        <v>0</v>
      </c>
      <c r="O68" s="29">
        <f t="shared" si="18"/>
        <v>0</v>
      </c>
      <c r="P68" s="29">
        <f t="shared" si="18"/>
        <v>0</v>
      </c>
      <c r="Q68" s="29">
        <f t="shared" si="18"/>
        <v>0</v>
      </c>
      <c r="R68" s="29">
        <f t="shared" ref="R68:Y73" si="19">R$25*$AC68</f>
        <v>0</v>
      </c>
      <c r="S68" s="29">
        <f t="shared" si="19"/>
        <v>0</v>
      </c>
      <c r="T68" s="29">
        <f t="shared" si="19"/>
        <v>0</v>
      </c>
      <c r="U68" s="29">
        <f t="shared" si="19"/>
        <v>0</v>
      </c>
      <c r="V68" s="29">
        <f t="shared" si="19"/>
        <v>0</v>
      </c>
      <c r="W68" s="29">
        <f t="shared" si="19"/>
        <v>0</v>
      </c>
      <c r="X68" s="29">
        <f t="shared" si="19"/>
        <v>0</v>
      </c>
      <c r="Y68" s="817">
        <f>Y$25*$AC68</f>
        <v>20931.265749423022</v>
      </c>
      <c r="Z68" s="29">
        <f>SUM(B68:Y68)</f>
        <v>21699.497036633493</v>
      </c>
      <c r="AA68" s="30">
        <f>SUM(Z68:Z73)-Z25</f>
        <v>0</v>
      </c>
      <c r="AB68" s="37"/>
      <c r="AC68" s="41">
        <f>[4]Donnees_energie!H15</f>
        <v>0.92286831597155095</v>
      </c>
      <c r="AD68" s="42">
        <f>SUM(AC68:AC73)</f>
        <v>1.0000000000000002</v>
      </c>
      <c r="AE68" s="10">
        <f t="shared" ref="AE68:AE73" si="20">Y68/SUM(Z$68:Z$73)</f>
        <v>0.89019583913452216</v>
      </c>
      <c r="AF68" s="792">
        <f>SUM(AE68:AE73)</f>
        <v>0.96459681595782942</v>
      </c>
      <c r="AG68" s="793"/>
      <c r="AH68" s="48"/>
      <c r="AI68" s="48"/>
      <c r="AJ68" s="40"/>
    </row>
    <row r="69" spans="1:36" x14ac:dyDescent="0.35">
      <c r="A69" s="34" t="s">
        <v>673</v>
      </c>
      <c r="B69" s="35">
        <f t="shared" si="18"/>
        <v>0</v>
      </c>
      <c r="C69" s="35">
        <f t="shared" si="18"/>
        <v>0</v>
      </c>
      <c r="D69" s="35">
        <f t="shared" si="18"/>
        <v>0</v>
      </c>
      <c r="E69" s="35">
        <f t="shared" si="18"/>
        <v>0</v>
      </c>
      <c r="F69" s="35">
        <f t="shared" si="18"/>
        <v>0</v>
      </c>
      <c r="G69" s="35">
        <f t="shared" si="18"/>
        <v>0</v>
      </c>
      <c r="H69" s="35">
        <f t="shared" si="18"/>
        <v>0</v>
      </c>
      <c r="I69" s="35">
        <f t="shared" si="18"/>
        <v>0</v>
      </c>
      <c r="J69" s="35">
        <f t="shared" si="18"/>
        <v>0</v>
      </c>
      <c r="K69" s="35">
        <f t="shared" si="18"/>
        <v>0</v>
      </c>
      <c r="L69" s="35">
        <f t="shared" si="18"/>
        <v>0</v>
      </c>
      <c r="M69" s="35">
        <f t="shared" si="18"/>
        <v>34.334359204937243</v>
      </c>
      <c r="N69" s="35">
        <f t="shared" si="18"/>
        <v>0</v>
      </c>
      <c r="O69" s="35">
        <f t="shared" si="18"/>
        <v>0</v>
      </c>
      <c r="P69" s="35">
        <f t="shared" si="18"/>
        <v>0</v>
      </c>
      <c r="Q69" s="35">
        <f t="shared" si="18"/>
        <v>0</v>
      </c>
      <c r="R69" s="35">
        <f t="shared" si="19"/>
        <v>0</v>
      </c>
      <c r="S69" s="35">
        <f t="shared" si="19"/>
        <v>0</v>
      </c>
      <c r="T69" s="35">
        <f t="shared" si="19"/>
        <v>0</v>
      </c>
      <c r="U69" s="35">
        <f t="shared" si="19"/>
        <v>0</v>
      </c>
      <c r="V69" s="35">
        <f t="shared" si="19"/>
        <v>0</v>
      </c>
      <c r="W69" s="35">
        <f t="shared" si="19"/>
        <v>0</v>
      </c>
      <c r="X69" s="35">
        <f t="shared" si="19"/>
        <v>0</v>
      </c>
      <c r="Y69" s="819">
        <f t="shared" si="19"/>
        <v>935.47556422002344</v>
      </c>
      <c r="Z69" s="35">
        <f t="shared" si="14"/>
        <v>969.80992342496074</v>
      </c>
      <c r="AA69" s="36"/>
      <c r="AB69" s="810"/>
      <c r="AC69" s="41">
        <f>[4]Donnees_energie!H16</f>
        <v>4.1245511328337481E-2</v>
      </c>
      <c r="AD69" s="45"/>
      <c r="AE69" s="10">
        <f t="shared" si="20"/>
        <v>3.9785288899866912E-2</v>
      </c>
      <c r="AF69" s="792"/>
      <c r="AG69" s="793"/>
      <c r="AH69" s="48"/>
      <c r="AI69" s="50"/>
      <c r="AJ69" s="40"/>
    </row>
    <row r="70" spans="1:36" x14ac:dyDescent="0.35">
      <c r="A70" s="34" t="s">
        <v>674</v>
      </c>
      <c r="B70" s="35">
        <f t="shared" si="18"/>
        <v>0</v>
      </c>
      <c r="C70" s="35">
        <f t="shared" si="18"/>
        <v>0</v>
      </c>
      <c r="D70" s="35">
        <f t="shared" si="18"/>
        <v>0</v>
      </c>
      <c r="E70" s="35">
        <f t="shared" si="18"/>
        <v>0</v>
      </c>
      <c r="F70" s="35">
        <f t="shared" si="18"/>
        <v>0</v>
      </c>
      <c r="G70" s="35">
        <f t="shared" si="18"/>
        <v>0</v>
      </c>
      <c r="H70" s="35">
        <f t="shared" si="18"/>
        <v>0</v>
      </c>
      <c r="I70" s="35">
        <f t="shared" si="18"/>
        <v>0</v>
      </c>
      <c r="J70" s="35">
        <f t="shared" si="18"/>
        <v>0</v>
      </c>
      <c r="K70" s="35">
        <f t="shared" si="18"/>
        <v>0</v>
      </c>
      <c r="L70" s="35">
        <f t="shared" si="18"/>
        <v>0</v>
      </c>
      <c r="M70" s="35">
        <f t="shared" si="18"/>
        <v>4.2939407980674611</v>
      </c>
      <c r="N70" s="35">
        <f t="shared" si="18"/>
        <v>0</v>
      </c>
      <c r="O70" s="35">
        <f t="shared" si="18"/>
        <v>0</v>
      </c>
      <c r="P70" s="35">
        <f t="shared" si="18"/>
        <v>0</v>
      </c>
      <c r="Q70" s="35">
        <f t="shared" si="18"/>
        <v>0</v>
      </c>
      <c r="R70" s="35">
        <f t="shared" si="19"/>
        <v>0</v>
      </c>
      <c r="S70" s="35">
        <f t="shared" si="19"/>
        <v>0</v>
      </c>
      <c r="T70" s="35">
        <f t="shared" si="19"/>
        <v>0</v>
      </c>
      <c r="U70" s="35">
        <f t="shared" si="19"/>
        <v>0</v>
      </c>
      <c r="V70" s="35">
        <f t="shared" si="19"/>
        <v>0</v>
      </c>
      <c r="W70" s="35">
        <f t="shared" si="19"/>
        <v>0</v>
      </c>
      <c r="X70" s="35">
        <f t="shared" si="19"/>
        <v>0</v>
      </c>
      <c r="Y70" s="819">
        <f t="shared" si="19"/>
        <v>116.99291275026663</v>
      </c>
      <c r="Z70" s="35">
        <f t="shared" si="14"/>
        <v>121.28685354833409</v>
      </c>
      <c r="AA70" s="36">
        <f>SUM(Y68:Y73)-Y25</f>
        <v>0</v>
      </c>
      <c r="AB70" s="810"/>
      <c r="AC70" s="41">
        <f>[4]Donnees_energie!H17</f>
        <v>5.1582667605002035E-3</v>
      </c>
      <c r="AD70" s="45"/>
      <c r="AE70" s="10">
        <f t="shared" si="20"/>
        <v>4.9756476930396037E-3</v>
      </c>
      <c r="AF70" s="792"/>
      <c r="AG70" s="793"/>
      <c r="AH70" s="48"/>
      <c r="AI70" s="48"/>
      <c r="AJ70" s="40"/>
    </row>
    <row r="71" spans="1:36" x14ac:dyDescent="0.35">
      <c r="A71" s="34" t="s">
        <v>675</v>
      </c>
      <c r="B71" s="35">
        <f t="shared" si="18"/>
        <v>0</v>
      </c>
      <c r="C71" s="35">
        <f t="shared" si="18"/>
        <v>0</v>
      </c>
      <c r="D71" s="35">
        <f t="shared" si="18"/>
        <v>0</v>
      </c>
      <c r="E71" s="35">
        <f t="shared" si="18"/>
        <v>0</v>
      </c>
      <c r="F71" s="35">
        <f t="shared" si="18"/>
        <v>0</v>
      </c>
      <c r="G71" s="35">
        <f t="shared" si="18"/>
        <v>0</v>
      </c>
      <c r="H71" s="35">
        <f t="shared" si="18"/>
        <v>0</v>
      </c>
      <c r="I71" s="35">
        <f t="shared" si="18"/>
        <v>0</v>
      </c>
      <c r="J71" s="35">
        <f t="shared" si="18"/>
        <v>0</v>
      </c>
      <c r="K71" s="35">
        <f t="shared" si="18"/>
        <v>0</v>
      </c>
      <c r="L71" s="35">
        <f t="shared" si="18"/>
        <v>0</v>
      </c>
      <c r="M71" s="35">
        <f t="shared" si="18"/>
        <v>12.703712905826771</v>
      </c>
      <c r="N71" s="35">
        <f t="shared" si="18"/>
        <v>0</v>
      </c>
      <c r="O71" s="35">
        <f t="shared" si="18"/>
        <v>0</v>
      </c>
      <c r="P71" s="35">
        <f t="shared" si="18"/>
        <v>0</v>
      </c>
      <c r="Q71" s="35">
        <f t="shared" si="18"/>
        <v>0</v>
      </c>
      <c r="R71" s="35">
        <f t="shared" si="19"/>
        <v>0</v>
      </c>
      <c r="S71" s="35">
        <f t="shared" si="19"/>
        <v>0</v>
      </c>
      <c r="T71" s="35">
        <f t="shared" si="19"/>
        <v>0</v>
      </c>
      <c r="U71" s="35">
        <f t="shared" si="19"/>
        <v>0</v>
      </c>
      <c r="V71" s="35">
        <f t="shared" si="19"/>
        <v>0</v>
      </c>
      <c r="W71" s="35">
        <f t="shared" si="19"/>
        <v>0</v>
      </c>
      <c r="X71" s="35">
        <f t="shared" si="19"/>
        <v>0</v>
      </c>
      <c r="Y71" s="819">
        <f t="shared" si="19"/>
        <v>346.12595876140847</v>
      </c>
      <c r="Z71" s="35">
        <f t="shared" si="14"/>
        <v>358.82967166723523</v>
      </c>
      <c r="AA71" s="36"/>
      <c r="AB71" s="39"/>
      <c r="AC71" s="41">
        <f>[4]Donnees_energie!H18</f>
        <v>1.5260839191484859E-2</v>
      </c>
      <c r="AD71" s="45"/>
      <c r="AE71" s="10">
        <f t="shared" si="20"/>
        <v>1.4720556892950749E-2</v>
      </c>
      <c r="AF71" s="792"/>
      <c r="AG71" s="793"/>
      <c r="AH71" s="48"/>
      <c r="AI71" s="48"/>
      <c r="AJ71" s="40"/>
    </row>
    <row r="72" spans="1:36" x14ac:dyDescent="0.35">
      <c r="A72" s="34" t="s">
        <v>676</v>
      </c>
      <c r="B72" s="35">
        <f t="shared" si="18"/>
        <v>0</v>
      </c>
      <c r="C72" s="35">
        <f t="shared" si="18"/>
        <v>0</v>
      </c>
      <c r="D72" s="35">
        <f t="shared" si="18"/>
        <v>0</v>
      </c>
      <c r="E72" s="35">
        <f t="shared" si="18"/>
        <v>0</v>
      </c>
      <c r="F72" s="35">
        <f t="shared" si="18"/>
        <v>0</v>
      </c>
      <c r="G72" s="35">
        <f t="shared" si="18"/>
        <v>0</v>
      </c>
      <c r="H72" s="35">
        <f t="shared" si="18"/>
        <v>0</v>
      </c>
      <c r="I72" s="35">
        <f t="shared" si="18"/>
        <v>0</v>
      </c>
      <c r="J72" s="35">
        <f t="shared" si="18"/>
        <v>0</v>
      </c>
      <c r="K72" s="35">
        <f t="shared" si="18"/>
        <v>0</v>
      </c>
      <c r="L72" s="35">
        <f t="shared" si="18"/>
        <v>0</v>
      </c>
      <c r="M72" s="35">
        <f t="shared" si="18"/>
        <v>4.2917949006171527</v>
      </c>
      <c r="N72" s="35">
        <f t="shared" si="18"/>
        <v>0</v>
      </c>
      <c r="O72" s="35">
        <f t="shared" si="18"/>
        <v>0</v>
      </c>
      <c r="P72" s="35">
        <f t="shared" si="18"/>
        <v>0</v>
      </c>
      <c r="Q72" s="35">
        <f t="shared" si="18"/>
        <v>0</v>
      </c>
      <c r="R72" s="35">
        <f t="shared" si="19"/>
        <v>0</v>
      </c>
      <c r="S72" s="35">
        <f t="shared" si="19"/>
        <v>0</v>
      </c>
      <c r="T72" s="35">
        <f t="shared" si="19"/>
        <v>0</v>
      </c>
      <c r="U72" s="35">
        <f t="shared" si="19"/>
        <v>0</v>
      </c>
      <c r="V72" s="35">
        <f t="shared" si="19"/>
        <v>0</v>
      </c>
      <c r="W72" s="35">
        <f t="shared" si="19"/>
        <v>0</v>
      </c>
      <c r="X72" s="35">
        <f t="shared" si="19"/>
        <v>0</v>
      </c>
      <c r="Y72" s="819">
        <f t="shared" si="19"/>
        <v>116.93444552750287</v>
      </c>
      <c r="Z72" s="35">
        <f t="shared" si="14"/>
        <v>121.22624042812002</v>
      </c>
      <c r="AA72" s="36"/>
      <c r="AB72" s="39"/>
      <c r="AC72" s="41">
        <f>[4]Donnees_energie!H19</f>
        <v>5.1556889160421825E-3</v>
      </c>
      <c r="AD72" s="45"/>
      <c r="AE72" s="10">
        <f t="shared" si="20"/>
        <v>4.9731611124833623E-3</v>
      </c>
      <c r="AF72" s="792"/>
      <c r="AG72" s="793"/>
      <c r="AH72" s="48"/>
      <c r="AI72" s="48"/>
      <c r="AJ72" s="40"/>
    </row>
    <row r="73" spans="1:36" x14ac:dyDescent="0.35">
      <c r="A73" s="31" t="s">
        <v>677</v>
      </c>
      <c r="B73" s="32">
        <f t="shared" si="18"/>
        <v>0</v>
      </c>
      <c r="C73" s="32">
        <f t="shared" si="18"/>
        <v>0</v>
      </c>
      <c r="D73" s="32">
        <f t="shared" si="18"/>
        <v>0</v>
      </c>
      <c r="E73" s="32">
        <f t="shared" si="18"/>
        <v>0</v>
      </c>
      <c r="F73" s="32">
        <f t="shared" si="18"/>
        <v>0</v>
      </c>
      <c r="G73" s="32">
        <f t="shared" si="18"/>
        <v>0</v>
      </c>
      <c r="H73" s="32">
        <f t="shared" si="18"/>
        <v>0</v>
      </c>
      <c r="I73" s="32">
        <f t="shared" si="18"/>
        <v>0</v>
      </c>
      <c r="J73" s="32">
        <f t="shared" si="18"/>
        <v>0</v>
      </c>
      <c r="K73" s="32">
        <f t="shared" si="18"/>
        <v>0</v>
      </c>
      <c r="L73" s="32">
        <f t="shared" si="18"/>
        <v>0</v>
      </c>
      <c r="M73" s="32">
        <f t="shared" si="18"/>
        <v>8.5835898012343055</v>
      </c>
      <c r="N73" s="32">
        <f t="shared" si="18"/>
        <v>0</v>
      </c>
      <c r="O73" s="32">
        <f t="shared" si="18"/>
        <v>0</v>
      </c>
      <c r="P73" s="32">
        <f t="shared" si="18"/>
        <v>0</v>
      </c>
      <c r="Q73" s="32">
        <f t="shared" si="18"/>
        <v>0</v>
      </c>
      <c r="R73" s="32">
        <f t="shared" si="19"/>
        <v>0</v>
      </c>
      <c r="S73" s="32">
        <f t="shared" si="19"/>
        <v>0</v>
      </c>
      <c r="T73" s="32">
        <f t="shared" si="19"/>
        <v>0</v>
      </c>
      <c r="U73" s="32">
        <f t="shared" si="19"/>
        <v>0</v>
      </c>
      <c r="V73" s="32">
        <f t="shared" si="19"/>
        <v>0</v>
      </c>
      <c r="W73" s="32">
        <f t="shared" si="19"/>
        <v>0</v>
      </c>
      <c r="X73" s="32">
        <f t="shared" si="19"/>
        <v>0</v>
      </c>
      <c r="Y73" s="818">
        <f t="shared" si="19"/>
        <v>233.86889105500575</v>
      </c>
      <c r="Z73" s="32">
        <f t="shared" si="14"/>
        <v>242.45248085624004</v>
      </c>
      <c r="AA73" s="33"/>
      <c r="AB73" s="38"/>
      <c r="AC73" s="41">
        <f>[4]Donnees_energie!H20</f>
        <v>1.0311377832084365E-2</v>
      </c>
      <c r="AD73" s="43"/>
      <c r="AE73" s="10">
        <f t="shared" si="20"/>
        <v>9.9463222249667246E-3</v>
      </c>
      <c r="AF73" s="792"/>
      <c r="AG73" s="793"/>
    </row>
    <row r="80" spans="1:36" ht="18.5" x14ac:dyDescent="0.45">
      <c r="H80" s="641" t="s">
        <v>803</v>
      </c>
    </row>
    <row r="81" spans="7:8" ht="18.5" x14ac:dyDescent="0.45">
      <c r="G81" s="12" t="s">
        <v>838</v>
      </c>
      <c r="H81" s="641">
        <f>STDEVPA(B27:Y27)</f>
        <v>1.9865399163004677E-12</v>
      </c>
    </row>
    <row r="110" spans="1:1" x14ac:dyDescent="0.35">
      <c r="A110" s="28"/>
    </row>
    <row r="111" spans="1:1" x14ac:dyDescent="0.35">
      <c r="A111" s="31"/>
    </row>
    <row r="112" spans="1:1" x14ac:dyDescent="0.35">
      <c r="A112" s="28"/>
    </row>
    <row r="113" spans="1:25" x14ac:dyDescent="0.35">
      <c r="A113" s="34"/>
    </row>
    <row r="114" spans="1:25" x14ac:dyDescent="0.35">
      <c r="A114" s="34"/>
    </row>
    <row r="115" spans="1:25" x14ac:dyDescent="0.35">
      <c r="A115" s="34"/>
    </row>
    <row r="116" spans="1:25" x14ac:dyDescent="0.35">
      <c r="A116" s="34"/>
    </row>
    <row r="117" spans="1:25" x14ac:dyDescent="0.35">
      <c r="A117" s="34"/>
    </row>
    <row r="118" spans="1:25" x14ac:dyDescent="0.35">
      <c r="A118" s="34"/>
    </row>
    <row r="119" spans="1:25" x14ac:dyDescent="0.35">
      <c r="A119" s="31"/>
    </row>
    <row r="120" spans="1:25" x14ac:dyDescent="0.35">
      <c r="A120" s="28"/>
    </row>
    <row r="121" spans="1:25" x14ac:dyDescent="0.35">
      <c r="A121" s="34"/>
    </row>
    <row r="122" spans="1:25" x14ac:dyDescent="0.35">
      <c r="A122" s="34"/>
    </row>
    <row r="123" spans="1:25" x14ac:dyDescent="0.35">
      <c r="A123" s="34"/>
    </row>
    <row r="124" spans="1:25" x14ac:dyDescent="0.35">
      <c r="A124" s="34"/>
    </row>
    <row r="125" spans="1:25" x14ac:dyDescent="0.35">
      <c r="A125" s="31"/>
    </row>
    <row r="126" spans="1:25" x14ac:dyDescent="0.35">
      <c r="A126" s="820"/>
      <c r="B126" s="806"/>
      <c r="C126" s="806"/>
      <c r="D126" s="806"/>
      <c r="E126" s="806"/>
      <c r="F126" s="806"/>
      <c r="G126" s="806"/>
      <c r="H126" s="806"/>
      <c r="I126" s="806"/>
      <c r="J126" s="806"/>
      <c r="K126" s="806"/>
      <c r="L126" s="806"/>
      <c r="M126" s="806"/>
      <c r="N126" s="806"/>
      <c r="O126" s="806"/>
      <c r="P126" s="806"/>
      <c r="Q126" s="806"/>
      <c r="R126" s="806"/>
      <c r="S126" s="806"/>
      <c r="T126" s="806"/>
      <c r="U126" s="806"/>
      <c r="V126" s="806"/>
      <c r="W126" s="806"/>
      <c r="X126" s="806"/>
      <c r="Y126" s="806"/>
    </row>
    <row r="127" spans="1:25" x14ac:dyDescent="0.35">
      <c r="B127" s="806"/>
      <c r="C127" s="806"/>
      <c r="D127" s="806"/>
      <c r="E127" s="806"/>
      <c r="F127" s="806"/>
      <c r="G127" s="806"/>
      <c r="H127" s="806"/>
      <c r="I127" s="806"/>
      <c r="J127" s="806"/>
      <c r="K127" s="806"/>
      <c r="L127" s="806"/>
      <c r="M127" s="806"/>
      <c r="N127" s="806"/>
      <c r="O127" s="806"/>
      <c r="P127" s="806"/>
      <c r="Q127" s="806"/>
      <c r="R127" s="806"/>
      <c r="S127" s="806"/>
      <c r="T127" s="806"/>
      <c r="U127" s="806"/>
      <c r="V127" s="806"/>
      <c r="W127" s="806"/>
      <c r="X127" s="806"/>
      <c r="Y127" s="806"/>
    </row>
    <row r="128" spans="1:25" x14ac:dyDescent="0.35">
      <c r="B128" s="806"/>
      <c r="C128" s="806"/>
      <c r="D128" s="806"/>
      <c r="E128" s="806"/>
      <c r="F128" s="806"/>
      <c r="G128" s="806"/>
      <c r="H128" s="806"/>
      <c r="I128" s="806"/>
      <c r="J128" s="806"/>
      <c r="K128" s="806"/>
      <c r="L128" s="806"/>
      <c r="M128" s="806"/>
      <c r="N128" s="806"/>
      <c r="O128" s="806"/>
      <c r="P128" s="806"/>
      <c r="Q128" s="806"/>
      <c r="R128" s="806"/>
      <c r="S128" s="806"/>
      <c r="T128" s="806"/>
      <c r="U128" s="806"/>
      <c r="V128" s="806"/>
      <c r="W128" s="806"/>
      <c r="X128" s="806"/>
      <c r="Y128" s="806"/>
    </row>
    <row r="129" spans="2:25" x14ac:dyDescent="0.35">
      <c r="B129" s="806"/>
      <c r="C129" s="806"/>
      <c r="D129" s="806"/>
      <c r="E129" s="806"/>
      <c r="F129" s="806"/>
      <c r="G129" s="806"/>
      <c r="H129" s="806"/>
      <c r="I129" s="806"/>
      <c r="J129" s="806"/>
      <c r="K129" s="806"/>
      <c r="L129" s="806"/>
      <c r="M129" s="806"/>
      <c r="N129" s="806"/>
      <c r="O129" s="806"/>
      <c r="P129" s="806"/>
      <c r="Q129" s="806"/>
      <c r="R129" s="806"/>
      <c r="S129" s="806"/>
      <c r="T129" s="806"/>
      <c r="U129" s="806"/>
      <c r="V129" s="806"/>
      <c r="W129" s="806"/>
      <c r="X129" s="806"/>
      <c r="Y129" s="806"/>
    </row>
    <row r="130" spans="2:25" x14ac:dyDescent="0.35">
      <c r="B130" s="806"/>
      <c r="C130" s="806"/>
      <c r="D130" s="806"/>
      <c r="E130" s="806"/>
      <c r="F130" s="806"/>
      <c r="G130" s="806"/>
      <c r="H130" s="806"/>
      <c r="I130" s="806"/>
      <c r="J130" s="806"/>
      <c r="K130" s="806"/>
      <c r="L130" s="806"/>
      <c r="M130" s="806"/>
      <c r="N130" s="806"/>
      <c r="O130" s="806"/>
      <c r="P130" s="806"/>
      <c r="Q130" s="806"/>
      <c r="R130" s="806"/>
      <c r="S130" s="806"/>
      <c r="T130" s="806"/>
      <c r="U130" s="806"/>
      <c r="V130" s="806"/>
      <c r="W130" s="806"/>
      <c r="X130" s="806"/>
      <c r="Y130" s="806"/>
    </row>
    <row r="131" spans="2:25" x14ac:dyDescent="0.35">
      <c r="B131" s="806"/>
      <c r="C131" s="806"/>
      <c r="D131" s="806"/>
      <c r="E131" s="806"/>
      <c r="F131" s="806"/>
      <c r="G131" s="806"/>
      <c r="H131" s="806"/>
      <c r="I131" s="806"/>
      <c r="J131" s="806"/>
      <c r="K131" s="806"/>
      <c r="L131" s="806"/>
      <c r="M131" s="806"/>
      <c r="N131" s="806"/>
      <c r="O131" s="806"/>
      <c r="P131" s="806"/>
      <c r="Q131" s="806"/>
      <c r="R131" s="806"/>
      <c r="S131" s="806"/>
      <c r="T131" s="806"/>
      <c r="U131" s="806"/>
      <c r="V131" s="806"/>
      <c r="W131" s="806"/>
      <c r="X131" s="806"/>
      <c r="Y131" s="806"/>
    </row>
    <row r="132" spans="2:25" x14ac:dyDescent="0.35">
      <c r="B132" s="806"/>
      <c r="C132" s="806"/>
      <c r="D132" s="806"/>
      <c r="E132" s="806"/>
      <c r="F132" s="806"/>
      <c r="G132" s="806"/>
      <c r="H132" s="806"/>
      <c r="I132" s="806"/>
      <c r="J132" s="806"/>
      <c r="K132" s="806"/>
      <c r="L132" s="806"/>
      <c r="M132" s="806"/>
      <c r="N132" s="806"/>
      <c r="O132" s="806"/>
      <c r="P132" s="806"/>
      <c r="Q132" s="806"/>
      <c r="R132" s="806"/>
      <c r="S132" s="806"/>
      <c r="T132" s="806"/>
      <c r="U132" s="806"/>
      <c r="V132" s="806"/>
      <c r="W132" s="806"/>
      <c r="X132" s="806"/>
      <c r="Y132" s="806"/>
    </row>
    <row r="133" spans="2:25" x14ac:dyDescent="0.35">
      <c r="B133" s="806"/>
      <c r="C133" s="806"/>
      <c r="D133" s="806"/>
      <c r="E133" s="806"/>
      <c r="F133" s="806"/>
      <c r="G133" s="806"/>
      <c r="H133" s="806"/>
      <c r="I133" s="806"/>
      <c r="J133" s="806"/>
      <c r="K133" s="806"/>
      <c r="L133" s="806"/>
      <c r="M133" s="806"/>
      <c r="N133" s="806"/>
      <c r="O133" s="806"/>
      <c r="P133" s="806"/>
      <c r="Q133" s="806"/>
      <c r="R133" s="806"/>
      <c r="S133" s="806"/>
      <c r="T133" s="806"/>
      <c r="U133" s="806"/>
      <c r="V133" s="806"/>
      <c r="W133" s="806"/>
      <c r="X133" s="806"/>
      <c r="Y133" s="806"/>
    </row>
    <row r="134" spans="2:25" x14ac:dyDescent="0.35">
      <c r="B134" s="806"/>
      <c r="C134" s="806"/>
      <c r="D134" s="806"/>
      <c r="E134" s="806"/>
      <c r="F134" s="806"/>
      <c r="G134" s="806"/>
      <c r="H134" s="806"/>
      <c r="I134" s="806"/>
      <c r="J134" s="806"/>
      <c r="K134" s="806"/>
      <c r="L134" s="806"/>
      <c r="M134" s="806"/>
      <c r="N134" s="806"/>
      <c r="O134" s="806"/>
      <c r="P134" s="806"/>
      <c r="Q134" s="806"/>
      <c r="R134" s="806"/>
      <c r="S134" s="806"/>
      <c r="T134" s="806"/>
      <c r="U134" s="806"/>
      <c r="V134" s="806"/>
      <c r="W134" s="806"/>
      <c r="X134" s="806"/>
      <c r="Y134" s="806"/>
    </row>
    <row r="135" spans="2:25" x14ac:dyDescent="0.35">
      <c r="B135" s="806"/>
      <c r="C135" s="806"/>
      <c r="D135" s="806"/>
      <c r="E135" s="806"/>
      <c r="F135" s="806"/>
      <c r="G135" s="806"/>
      <c r="H135" s="806"/>
      <c r="I135" s="806"/>
      <c r="J135" s="806"/>
      <c r="K135" s="806"/>
      <c r="L135" s="806"/>
      <c r="M135" s="806"/>
      <c r="N135" s="806"/>
      <c r="O135" s="806"/>
      <c r="P135" s="806"/>
      <c r="Q135" s="806"/>
      <c r="R135" s="806"/>
      <c r="S135" s="806"/>
      <c r="T135" s="806"/>
      <c r="U135" s="806"/>
      <c r="V135" s="806"/>
      <c r="W135" s="806"/>
      <c r="X135" s="806"/>
      <c r="Y135" s="806"/>
    </row>
    <row r="136" spans="2:25" x14ac:dyDescent="0.35">
      <c r="B136" s="806"/>
      <c r="C136" s="806"/>
      <c r="D136" s="806"/>
      <c r="E136" s="806"/>
      <c r="F136" s="806"/>
      <c r="G136" s="806"/>
      <c r="H136" s="806"/>
      <c r="I136" s="806"/>
      <c r="J136" s="806"/>
      <c r="K136" s="806"/>
      <c r="L136" s="806"/>
      <c r="M136" s="806"/>
      <c r="N136" s="806"/>
      <c r="O136" s="806"/>
      <c r="P136" s="806"/>
      <c r="Q136" s="806"/>
      <c r="R136" s="806"/>
      <c r="S136" s="806"/>
      <c r="T136" s="806"/>
      <c r="U136" s="806"/>
      <c r="V136" s="806"/>
      <c r="W136" s="806"/>
      <c r="X136" s="806"/>
      <c r="Y136" s="806"/>
    </row>
    <row r="137" spans="2:25" x14ac:dyDescent="0.35">
      <c r="B137" s="806"/>
      <c r="C137" s="806"/>
      <c r="D137" s="806"/>
      <c r="E137" s="806"/>
      <c r="F137" s="806"/>
      <c r="G137" s="806"/>
      <c r="H137" s="806"/>
      <c r="I137" s="806"/>
      <c r="J137" s="806"/>
      <c r="K137" s="806"/>
      <c r="L137" s="806"/>
      <c r="M137" s="806"/>
      <c r="N137" s="806"/>
      <c r="O137" s="806"/>
      <c r="P137" s="806"/>
      <c r="Q137" s="806"/>
      <c r="R137" s="806"/>
      <c r="S137" s="806"/>
      <c r="T137" s="806"/>
      <c r="U137" s="806"/>
      <c r="V137" s="806"/>
      <c r="W137" s="806"/>
      <c r="X137" s="806"/>
      <c r="Y137" s="806"/>
    </row>
    <row r="138" spans="2:25" x14ac:dyDescent="0.35">
      <c r="B138" s="806"/>
      <c r="C138" s="806"/>
      <c r="D138" s="806"/>
      <c r="E138" s="806"/>
      <c r="F138" s="806"/>
      <c r="G138" s="806"/>
      <c r="H138" s="806"/>
      <c r="I138" s="806"/>
      <c r="J138" s="806"/>
      <c r="K138" s="806"/>
      <c r="L138" s="806"/>
      <c r="M138" s="806"/>
      <c r="N138" s="806"/>
      <c r="O138" s="806"/>
      <c r="P138" s="806"/>
      <c r="Q138" s="806"/>
      <c r="R138" s="806"/>
      <c r="S138" s="806"/>
      <c r="T138" s="806"/>
      <c r="U138" s="806"/>
      <c r="V138" s="806"/>
      <c r="W138" s="806"/>
      <c r="X138" s="806"/>
      <c r="Y138" s="806"/>
    </row>
    <row r="139" spans="2:25" x14ac:dyDescent="0.35">
      <c r="B139" s="806"/>
      <c r="C139" s="806"/>
      <c r="D139" s="806"/>
      <c r="E139" s="806"/>
      <c r="F139" s="806"/>
      <c r="G139" s="806"/>
      <c r="H139" s="806"/>
      <c r="I139" s="806"/>
      <c r="J139" s="806"/>
      <c r="K139" s="806"/>
      <c r="L139" s="806"/>
      <c r="M139" s="806"/>
      <c r="N139" s="806"/>
      <c r="O139" s="806"/>
      <c r="P139" s="806"/>
      <c r="Q139" s="806"/>
      <c r="R139" s="806"/>
      <c r="S139" s="806"/>
      <c r="T139" s="806"/>
      <c r="U139" s="806"/>
      <c r="V139" s="806"/>
      <c r="W139" s="806"/>
      <c r="X139" s="806"/>
      <c r="Y139" s="806"/>
    </row>
    <row r="140" spans="2:25" x14ac:dyDescent="0.35">
      <c r="B140" s="806"/>
      <c r="C140" s="806"/>
      <c r="D140" s="806"/>
      <c r="E140" s="806"/>
      <c r="F140" s="806"/>
      <c r="G140" s="806"/>
      <c r="H140" s="806"/>
      <c r="I140" s="806"/>
      <c r="J140" s="806"/>
      <c r="K140" s="806"/>
      <c r="L140" s="806"/>
      <c r="M140" s="806"/>
      <c r="N140" s="806"/>
      <c r="O140" s="806"/>
      <c r="P140" s="806"/>
      <c r="Q140" s="806"/>
      <c r="R140" s="806"/>
      <c r="S140" s="806"/>
      <c r="T140" s="806"/>
      <c r="U140" s="806"/>
      <c r="V140" s="806"/>
      <c r="W140" s="806"/>
      <c r="X140" s="806"/>
      <c r="Y140" s="806"/>
    </row>
    <row r="141" spans="2:25" x14ac:dyDescent="0.35">
      <c r="B141" s="806"/>
      <c r="C141" s="806"/>
      <c r="D141" s="806"/>
      <c r="E141" s="806"/>
      <c r="F141" s="806"/>
      <c r="G141" s="806"/>
      <c r="H141" s="806"/>
      <c r="I141" s="806"/>
      <c r="J141" s="806"/>
      <c r="K141" s="806"/>
      <c r="L141" s="806"/>
      <c r="M141" s="806"/>
      <c r="N141" s="806"/>
      <c r="O141" s="806"/>
      <c r="P141" s="806"/>
      <c r="Q141" s="806"/>
      <c r="R141" s="806"/>
      <c r="S141" s="806"/>
      <c r="T141" s="806"/>
      <c r="U141" s="806"/>
      <c r="V141" s="806"/>
      <c r="W141" s="806"/>
      <c r="X141" s="806"/>
      <c r="Y141" s="806"/>
    </row>
    <row r="142" spans="2:25" x14ac:dyDescent="0.35">
      <c r="B142" s="806"/>
      <c r="C142" s="806"/>
      <c r="D142" s="806"/>
      <c r="E142" s="806"/>
      <c r="F142" s="806"/>
      <c r="G142" s="806"/>
      <c r="H142" s="806"/>
      <c r="I142" s="806"/>
      <c r="J142" s="806"/>
      <c r="K142" s="806"/>
      <c r="L142" s="806"/>
      <c r="M142" s="806"/>
      <c r="N142" s="806"/>
      <c r="O142" s="806"/>
      <c r="P142" s="806"/>
      <c r="Q142" s="806"/>
      <c r="R142" s="806"/>
      <c r="S142" s="806"/>
      <c r="T142" s="806"/>
      <c r="U142" s="806"/>
      <c r="V142" s="806"/>
      <c r="W142" s="806"/>
      <c r="X142" s="806"/>
      <c r="Y142" s="806"/>
    </row>
    <row r="143" spans="2:25" x14ac:dyDescent="0.35">
      <c r="B143" s="806"/>
      <c r="C143" s="806"/>
      <c r="D143" s="806"/>
      <c r="E143" s="806"/>
      <c r="F143" s="806"/>
      <c r="G143" s="806"/>
      <c r="H143" s="806"/>
      <c r="I143" s="806"/>
      <c r="J143" s="806"/>
      <c r="K143" s="806"/>
      <c r="L143" s="806"/>
      <c r="M143" s="806"/>
      <c r="N143" s="806"/>
      <c r="O143" s="806"/>
      <c r="P143" s="806"/>
      <c r="Q143" s="806"/>
      <c r="R143" s="806"/>
      <c r="S143" s="806"/>
      <c r="T143" s="806"/>
      <c r="U143" s="806"/>
      <c r="V143" s="806"/>
      <c r="W143" s="806"/>
      <c r="X143" s="806"/>
      <c r="Y143" s="806"/>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Equilibre_Transferts">
                <anchor moveWithCells="1" sizeWithCells="1">
                  <from>
                    <xdr:col>9</xdr:col>
                    <xdr:colOff>336550</xdr:colOff>
                    <xdr:row>76</xdr:row>
                    <xdr:rowOff>69850</xdr:rowOff>
                  </from>
                  <to>
                    <xdr:col>20</xdr:col>
                    <xdr:colOff>146050</xdr:colOff>
                    <xdr:row>84</xdr:row>
                    <xdr:rowOff>12700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C61"/>
  <sheetViews>
    <sheetView workbookViewId="0">
      <pane xSplit="1" ySplit="1" topLeftCell="N35" activePane="bottomRight" state="frozen"/>
      <selection pane="topRight" activeCell="B1" sqref="B1"/>
      <selection pane="bottomLeft" activeCell="A2" sqref="A2"/>
      <selection pane="bottomRight" activeCell="V55" sqref="V55"/>
    </sheetView>
  </sheetViews>
  <sheetFormatPr baseColWidth="10" defaultColWidth="9.1796875" defaultRowHeight="10" outlineLevelRow="1" x14ac:dyDescent="0.2"/>
  <cols>
    <col min="1" max="1" width="13.54296875" style="57" customWidth="1"/>
    <col min="2" max="2" width="7.1796875" style="57" customWidth="1"/>
    <col min="3" max="21" width="10.453125" style="57" customWidth="1"/>
    <col min="22" max="22" width="8" style="57" customWidth="1"/>
    <col min="23" max="25" width="10.453125" style="57" customWidth="1"/>
    <col min="26" max="26" width="10.453125" style="677" customWidth="1"/>
    <col min="27" max="27" width="9.1796875" style="57"/>
    <col min="28" max="28" width="12.1796875" style="57" bestFit="1" customWidth="1"/>
    <col min="29" max="16384" width="9.1796875" style="57"/>
  </cols>
  <sheetData>
    <row r="1" spans="1:26" s="681" customFormat="1" ht="10.5" x14ac:dyDescent="0.25">
      <c r="A1" s="681" t="s">
        <v>831</v>
      </c>
      <c r="B1" s="681">
        <v>1</v>
      </c>
      <c r="C1" s="681">
        <f>B1+1</f>
        <v>2</v>
      </c>
      <c r="D1" s="681">
        <f t="shared" ref="D1:Y1" si="0">C1+1</f>
        <v>3</v>
      </c>
      <c r="E1" s="681">
        <f t="shared" si="0"/>
        <v>4</v>
      </c>
      <c r="F1" s="681">
        <f t="shared" si="0"/>
        <v>5</v>
      </c>
      <c r="G1" s="681">
        <f t="shared" si="0"/>
        <v>6</v>
      </c>
      <c r="H1" s="681">
        <f t="shared" si="0"/>
        <v>7</v>
      </c>
      <c r="I1" s="681">
        <f t="shared" si="0"/>
        <v>8</v>
      </c>
      <c r="J1" s="681">
        <f t="shared" si="0"/>
        <v>9</v>
      </c>
      <c r="K1" s="681">
        <f t="shared" si="0"/>
        <v>10</v>
      </c>
      <c r="L1" s="681">
        <f t="shared" si="0"/>
        <v>11</v>
      </c>
      <c r="M1" s="681">
        <f t="shared" si="0"/>
        <v>12</v>
      </c>
      <c r="N1" s="681">
        <f t="shared" si="0"/>
        <v>13</v>
      </c>
      <c r="O1" s="681">
        <f t="shared" si="0"/>
        <v>14</v>
      </c>
      <c r="P1" s="681">
        <f t="shared" si="0"/>
        <v>15</v>
      </c>
      <c r="Q1" s="681">
        <f t="shared" si="0"/>
        <v>16</v>
      </c>
      <c r="R1" s="681">
        <f t="shared" si="0"/>
        <v>17</v>
      </c>
      <c r="S1" s="681">
        <f t="shared" si="0"/>
        <v>18</v>
      </c>
      <c r="T1" s="681">
        <f t="shared" si="0"/>
        <v>19</v>
      </c>
      <c r="U1" s="681">
        <f t="shared" si="0"/>
        <v>20</v>
      </c>
      <c r="V1" s="681">
        <f t="shared" si="0"/>
        <v>21</v>
      </c>
      <c r="W1" s="681">
        <f t="shared" si="0"/>
        <v>22</v>
      </c>
      <c r="X1" s="681">
        <f t="shared" si="0"/>
        <v>23</v>
      </c>
      <c r="Y1" s="681">
        <f t="shared" si="0"/>
        <v>24</v>
      </c>
      <c r="Z1" s="681" t="s">
        <v>65</v>
      </c>
    </row>
    <row r="2" spans="1:26" hidden="1" outlineLevel="1" x14ac:dyDescent="0.2">
      <c r="Z2" s="670"/>
    </row>
    <row r="3" spans="1:26" hidden="1" outlineLevel="1" x14ac:dyDescent="0.2">
      <c r="A3" s="658"/>
      <c r="B3" s="659" t="s">
        <v>779</v>
      </c>
      <c r="C3" s="660"/>
      <c r="D3" s="660"/>
      <c r="E3" s="660"/>
      <c r="F3" s="660"/>
      <c r="G3" s="660"/>
      <c r="H3" s="660"/>
      <c r="I3" s="660"/>
      <c r="J3" s="660"/>
      <c r="K3" s="660"/>
      <c r="L3" s="660"/>
      <c r="M3" s="660"/>
      <c r="N3" s="660"/>
      <c r="O3" s="660"/>
      <c r="P3" s="660"/>
      <c r="Q3" s="660"/>
      <c r="R3" s="660"/>
      <c r="S3" s="660"/>
      <c r="T3" s="660"/>
      <c r="U3" s="660"/>
      <c r="V3" s="660"/>
      <c r="W3" s="660"/>
      <c r="X3" s="660"/>
      <c r="Y3" s="660"/>
      <c r="Z3" s="671"/>
    </row>
    <row r="4" spans="1:26" hidden="1" outlineLevel="1" x14ac:dyDescent="0.2">
      <c r="A4" s="659" t="s">
        <v>325</v>
      </c>
      <c r="B4" s="658" t="s">
        <v>804</v>
      </c>
      <c r="C4" s="661" t="s">
        <v>805</v>
      </c>
      <c r="D4" s="661" t="s">
        <v>806</v>
      </c>
      <c r="E4" s="661" t="s">
        <v>807</v>
      </c>
      <c r="F4" s="661" t="s">
        <v>808</v>
      </c>
      <c r="G4" s="661" t="s">
        <v>809</v>
      </c>
      <c r="H4" s="661" t="s">
        <v>810</v>
      </c>
      <c r="I4" s="661" t="s">
        <v>811</v>
      </c>
      <c r="J4" s="661" t="s">
        <v>812</v>
      </c>
      <c r="K4" s="661" t="s">
        <v>813</v>
      </c>
      <c r="L4" s="661" t="s">
        <v>814</v>
      </c>
      <c r="M4" s="661" t="s">
        <v>815</v>
      </c>
      <c r="N4" s="661" t="s">
        <v>816</v>
      </c>
      <c r="O4" s="661" t="s">
        <v>817</v>
      </c>
      <c r="P4" s="661" t="s">
        <v>818</v>
      </c>
      <c r="Q4" s="661" t="s">
        <v>819</v>
      </c>
      <c r="R4" s="661" t="s">
        <v>820</v>
      </c>
      <c r="S4" s="661" t="s">
        <v>821</v>
      </c>
      <c r="T4" s="661" t="s">
        <v>822</v>
      </c>
      <c r="U4" s="661" t="s">
        <v>823</v>
      </c>
      <c r="V4" s="661" t="s">
        <v>824</v>
      </c>
      <c r="W4" s="661" t="s">
        <v>825</v>
      </c>
      <c r="X4" s="661" t="s">
        <v>826</v>
      </c>
      <c r="Y4" s="661" t="s">
        <v>827</v>
      </c>
      <c r="Z4" s="672" t="s">
        <v>828</v>
      </c>
    </row>
    <row r="5" spans="1:26" hidden="1" outlineLevel="1" x14ac:dyDescent="0.2">
      <c r="A5" s="658">
        <v>1</v>
      </c>
      <c r="B5" s="662">
        <v>14230</v>
      </c>
      <c r="C5" s="663">
        <v>30463</v>
      </c>
      <c r="D5" s="663">
        <v>0</v>
      </c>
      <c r="E5" s="663">
        <v>0</v>
      </c>
      <c r="F5" s="663">
        <v>0</v>
      </c>
      <c r="G5" s="663">
        <v>226</v>
      </c>
      <c r="H5" s="663">
        <v>0</v>
      </c>
      <c r="I5" s="663">
        <v>53</v>
      </c>
      <c r="J5" s="663">
        <v>0</v>
      </c>
      <c r="K5" s="663">
        <v>0</v>
      </c>
      <c r="L5" s="663">
        <v>0</v>
      </c>
      <c r="M5" s="663">
        <v>2878</v>
      </c>
      <c r="N5" s="663">
        <v>1861</v>
      </c>
      <c r="O5" s="663">
        <v>0</v>
      </c>
      <c r="P5" s="663">
        <v>0</v>
      </c>
      <c r="Q5" s="663">
        <v>0</v>
      </c>
      <c r="R5" s="663">
        <v>22</v>
      </c>
      <c r="S5" s="663">
        <v>0</v>
      </c>
      <c r="T5" s="663">
        <v>2306</v>
      </c>
      <c r="U5" s="663">
        <v>538</v>
      </c>
      <c r="V5" s="663">
        <v>0</v>
      </c>
      <c r="W5" s="663">
        <v>0</v>
      </c>
      <c r="X5" s="663">
        <v>250</v>
      </c>
      <c r="Y5" s="663">
        <v>0</v>
      </c>
      <c r="Z5" s="673">
        <v>52827</v>
      </c>
    </row>
    <row r="6" spans="1:26" hidden="1" outlineLevel="1" x14ac:dyDescent="0.2">
      <c r="A6" s="664">
        <v>2</v>
      </c>
      <c r="B6" s="665">
        <v>6284</v>
      </c>
      <c r="C6" s="228">
        <v>27915</v>
      </c>
      <c r="D6" s="228">
        <v>63.1</v>
      </c>
      <c r="E6" s="228">
        <v>5</v>
      </c>
      <c r="F6" s="228">
        <v>7</v>
      </c>
      <c r="G6" s="228">
        <v>201</v>
      </c>
      <c r="H6" s="228">
        <v>12</v>
      </c>
      <c r="I6" s="228">
        <v>439</v>
      </c>
      <c r="J6" s="228">
        <v>56</v>
      </c>
      <c r="K6" s="228">
        <v>39</v>
      </c>
      <c r="L6" s="228">
        <v>21</v>
      </c>
      <c r="M6" s="228">
        <v>2865.9</v>
      </c>
      <c r="N6" s="228">
        <v>142</v>
      </c>
      <c r="O6" s="228">
        <v>5.9921360080487851</v>
      </c>
      <c r="P6" s="228">
        <v>19</v>
      </c>
      <c r="Q6" s="228">
        <v>63.182265099539187</v>
      </c>
      <c r="R6" s="228">
        <v>61.470191041326288</v>
      </c>
      <c r="S6" s="228">
        <v>210.35540785108572</v>
      </c>
      <c r="T6" s="228">
        <v>26837</v>
      </c>
      <c r="U6" s="228">
        <v>3301</v>
      </c>
      <c r="V6" s="228">
        <v>0</v>
      </c>
      <c r="W6" s="228">
        <v>46</v>
      </c>
      <c r="X6" s="228">
        <v>27</v>
      </c>
      <c r="Y6" s="228">
        <v>6</v>
      </c>
      <c r="Z6" s="674">
        <v>68627</v>
      </c>
    </row>
    <row r="7" spans="1:26" hidden="1" outlineLevel="1" x14ac:dyDescent="0.2">
      <c r="A7" s="664">
        <v>3</v>
      </c>
      <c r="B7" s="665">
        <v>178</v>
      </c>
      <c r="C7" s="228">
        <v>225.1</v>
      </c>
      <c r="D7" s="228">
        <v>25643.81</v>
      </c>
      <c r="E7" s="228">
        <v>12.7</v>
      </c>
      <c r="F7" s="228">
        <v>69.8</v>
      </c>
      <c r="G7" s="228">
        <v>19.399999999999999</v>
      </c>
      <c r="H7" s="228">
        <v>6</v>
      </c>
      <c r="I7" s="228">
        <v>18.399999999999999</v>
      </c>
      <c r="J7" s="228">
        <v>10.1</v>
      </c>
      <c r="K7" s="228">
        <v>20.399999999999999</v>
      </c>
      <c r="L7" s="228">
        <v>16</v>
      </c>
      <c r="M7" s="228">
        <v>760.89000000000044</v>
      </c>
      <c r="N7" s="228">
        <v>85.5</v>
      </c>
      <c r="O7" s="228">
        <v>4.9129622405190645</v>
      </c>
      <c r="P7" s="228">
        <v>49.7</v>
      </c>
      <c r="Q7" s="228">
        <v>488.57017989504902</v>
      </c>
      <c r="R7" s="228">
        <v>53.475337101557251</v>
      </c>
      <c r="S7" s="228">
        <v>73.541520762874683</v>
      </c>
      <c r="T7" s="228">
        <v>7595.0999999999985</v>
      </c>
      <c r="U7" s="228">
        <v>296.39999999999998</v>
      </c>
      <c r="V7" s="228">
        <v>0</v>
      </c>
      <c r="W7" s="228">
        <v>60.7</v>
      </c>
      <c r="X7" s="228">
        <v>65.7</v>
      </c>
      <c r="Y7" s="228">
        <v>3.7</v>
      </c>
      <c r="Z7" s="674">
        <v>35757.899999999994</v>
      </c>
    </row>
    <row r="8" spans="1:26" hidden="1" outlineLevel="1" x14ac:dyDescent="0.2">
      <c r="A8" s="664">
        <v>4</v>
      </c>
      <c r="B8" s="665">
        <v>323</v>
      </c>
      <c r="C8" s="228">
        <v>841</v>
      </c>
      <c r="D8" s="228">
        <v>746.5</v>
      </c>
      <c r="E8" s="228">
        <v>340</v>
      </c>
      <c r="F8" s="228">
        <v>73</v>
      </c>
      <c r="G8" s="228">
        <v>45</v>
      </c>
      <c r="H8" s="228">
        <v>6</v>
      </c>
      <c r="I8" s="228">
        <v>34</v>
      </c>
      <c r="J8" s="228">
        <v>95</v>
      </c>
      <c r="K8" s="228">
        <v>7</v>
      </c>
      <c r="L8" s="228">
        <v>2</v>
      </c>
      <c r="M8" s="228">
        <v>1647.5</v>
      </c>
      <c r="N8" s="228">
        <v>613</v>
      </c>
      <c r="O8" s="228">
        <v>3.0541445085518344</v>
      </c>
      <c r="P8" s="228">
        <v>0</v>
      </c>
      <c r="Q8" s="228">
        <v>24.568656668260388</v>
      </c>
      <c r="R8" s="228">
        <v>9.8745779814091819</v>
      </c>
      <c r="S8" s="228">
        <v>4.5026208417785938</v>
      </c>
      <c r="T8" s="228">
        <v>573</v>
      </c>
      <c r="U8" s="228">
        <v>334</v>
      </c>
      <c r="V8" s="228">
        <v>0</v>
      </c>
      <c r="W8" s="228">
        <v>0</v>
      </c>
      <c r="X8" s="228">
        <v>0</v>
      </c>
      <c r="Y8" s="228">
        <v>0</v>
      </c>
      <c r="Z8" s="674">
        <v>5722</v>
      </c>
    </row>
    <row r="9" spans="1:26" hidden="1" outlineLevel="1" x14ac:dyDescent="0.2">
      <c r="A9" s="664">
        <v>5</v>
      </c>
      <c r="B9" s="665">
        <v>61</v>
      </c>
      <c r="C9" s="228">
        <v>51</v>
      </c>
      <c r="D9" s="228">
        <v>505.2</v>
      </c>
      <c r="E9" s="228">
        <v>487</v>
      </c>
      <c r="F9" s="228">
        <v>3853</v>
      </c>
      <c r="G9" s="228">
        <v>87</v>
      </c>
      <c r="H9" s="228">
        <v>41</v>
      </c>
      <c r="I9" s="228">
        <v>79</v>
      </c>
      <c r="J9" s="228">
        <v>88</v>
      </c>
      <c r="K9" s="228">
        <v>107</v>
      </c>
      <c r="L9" s="228">
        <v>26</v>
      </c>
      <c r="M9" s="228">
        <v>1889.8</v>
      </c>
      <c r="N9" s="228">
        <v>17528</v>
      </c>
      <c r="O9" s="228">
        <v>2.4340595035213437</v>
      </c>
      <c r="P9" s="228">
        <v>43</v>
      </c>
      <c r="Q9" s="228">
        <v>164.70474098104839</v>
      </c>
      <c r="R9" s="228">
        <v>4.8307085805802519</v>
      </c>
      <c r="S9" s="228">
        <v>1.0304909348500093</v>
      </c>
      <c r="T9" s="228">
        <v>2553</v>
      </c>
      <c r="U9" s="228">
        <v>436</v>
      </c>
      <c r="V9" s="228">
        <v>0</v>
      </c>
      <c r="W9" s="228">
        <v>25</v>
      </c>
      <c r="X9" s="228">
        <v>26</v>
      </c>
      <c r="Y9" s="228">
        <v>0</v>
      </c>
      <c r="Z9" s="674">
        <v>28059</v>
      </c>
    </row>
    <row r="10" spans="1:26" hidden="1" outlineLevel="1" x14ac:dyDescent="0.2">
      <c r="A10" s="664">
        <v>6</v>
      </c>
      <c r="B10" s="665">
        <v>131</v>
      </c>
      <c r="C10" s="228">
        <v>2051</v>
      </c>
      <c r="D10" s="228">
        <v>112.89999999999999</v>
      </c>
      <c r="E10" s="228">
        <v>203</v>
      </c>
      <c r="F10" s="228">
        <v>115</v>
      </c>
      <c r="G10" s="228">
        <v>6404</v>
      </c>
      <c r="H10" s="228">
        <v>30</v>
      </c>
      <c r="I10" s="228">
        <v>209</v>
      </c>
      <c r="J10" s="228">
        <v>492</v>
      </c>
      <c r="K10" s="228">
        <v>0</v>
      </c>
      <c r="L10" s="228">
        <v>38</v>
      </c>
      <c r="M10" s="228">
        <v>7696.1</v>
      </c>
      <c r="N10" s="228">
        <v>383</v>
      </c>
      <c r="O10" s="228">
        <v>2.077284766852145</v>
      </c>
      <c r="P10" s="228">
        <v>12</v>
      </c>
      <c r="Q10" s="228">
        <v>64.444117552160179</v>
      </c>
      <c r="R10" s="228">
        <v>33.54696249277692</v>
      </c>
      <c r="S10" s="228">
        <v>6.931635188210759</v>
      </c>
      <c r="T10" s="228">
        <v>4551</v>
      </c>
      <c r="U10" s="228">
        <v>850</v>
      </c>
      <c r="V10" s="228">
        <v>0</v>
      </c>
      <c r="W10" s="228">
        <v>16</v>
      </c>
      <c r="X10" s="228">
        <v>26</v>
      </c>
      <c r="Y10" s="228">
        <v>3</v>
      </c>
      <c r="Z10" s="674">
        <v>23430</v>
      </c>
    </row>
    <row r="11" spans="1:26" hidden="1" outlineLevel="1" x14ac:dyDescent="0.2">
      <c r="A11" s="664">
        <v>7</v>
      </c>
      <c r="B11" s="665">
        <v>2958</v>
      </c>
      <c r="C11" s="228">
        <v>16</v>
      </c>
      <c r="D11" s="228">
        <v>218.7</v>
      </c>
      <c r="E11" s="228">
        <v>203</v>
      </c>
      <c r="F11" s="228">
        <v>44</v>
      </c>
      <c r="G11" s="228">
        <v>176</v>
      </c>
      <c r="H11" s="228">
        <v>1734</v>
      </c>
      <c r="I11" s="228">
        <v>1186</v>
      </c>
      <c r="J11" s="228">
        <v>99</v>
      </c>
      <c r="K11" s="228">
        <v>209</v>
      </c>
      <c r="L11" s="228">
        <v>54</v>
      </c>
      <c r="M11" s="228">
        <v>2418.3000000000002</v>
      </c>
      <c r="N11" s="228">
        <v>131</v>
      </c>
      <c r="O11" s="228">
        <v>1.0930127507545737</v>
      </c>
      <c r="P11" s="228">
        <v>2</v>
      </c>
      <c r="Q11" s="228">
        <v>4.0795873530817985</v>
      </c>
      <c r="R11" s="228">
        <v>3.6065804101243399</v>
      </c>
      <c r="S11" s="228">
        <v>2.2208194860392876</v>
      </c>
      <c r="T11" s="228">
        <v>312</v>
      </c>
      <c r="U11" s="228">
        <v>27</v>
      </c>
      <c r="V11" s="228">
        <v>0</v>
      </c>
      <c r="W11" s="228">
        <v>24</v>
      </c>
      <c r="X11" s="228">
        <v>0</v>
      </c>
      <c r="Y11" s="228">
        <v>6</v>
      </c>
      <c r="Z11" s="674">
        <v>9829</v>
      </c>
    </row>
    <row r="12" spans="1:26" hidden="1" outlineLevel="1" x14ac:dyDescent="0.2">
      <c r="A12" s="664">
        <v>8</v>
      </c>
      <c r="B12" s="665">
        <v>0</v>
      </c>
      <c r="C12" s="228">
        <v>165</v>
      </c>
      <c r="D12" s="228">
        <v>386.1</v>
      </c>
      <c r="E12" s="228">
        <v>60</v>
      </c>
      <c r="F12" s="228">
        <v>106</v>
      </c>
      <c r="G12" s="228">
        <v>719</v>
      </c>
      <c r="H12" s="228">
        <v>108</v>
      </c>
      <c r="I12" s="228">
        <v>4411</v>
      </c>
      <c r="J12" s="228">
        <v>8377</v>
      </c>
      <c r="K12" s="228">
        <v>47</v>
      </c>
      <c r="L12" s="228">
        <v>40</v>
      </c>
      <c r="M12" s="228">
        <v>9059.9</v>
      </c>
      <c r="N12" s="228">
        <v>65</v>
      </c>
      <c r="O12" s="228">
        <v>1.1240170010060981</v>
      </c>
      <c r="P12" s="228">
        <v>3</v>
      </c>
      <c r="Q12" s="228">
        <v>4.7727831374423992</v>
      </c>
      <c r="R12" s="228">
        <v>3.808773880165786</v>
      </c>
      <c r="S12" s="228">
        <v>2.2944259813857171</v>
      </c>
      <c r="T12" s="228">
        <v>1174</v>
      </c>
      <c r="U12" s="228">
        <v>212</v>
      </c>
      <c r="V12" s="228">
        <v>0</v>
      </c>
      <c r="W12" s="228">
        <v>1065</v>
      </c>
      <c r="X12" s="228">
        <v>17</v>
      </c>
      <c r="Y12" s="228">
        <v>5</v>
      </c>
      <c r="Z12" s="674">
        <v>26032</v>
      </c>
    </row>
    <row r="13" spans="1:26" hidden="1" outlineLevel="1" x14ac:dyDescent="0.2">
      <c r="A13" s="664">
        <v>9</v>
      </c>
      <c r="B13" s="665">
        <v>249</v>
      </c>
      <c r="C13" s="228">
        <v>2677</v>
      </c>
      <c r="D13" s="228">
        <v>3550.8</v>
      </c>
      <c r="E13" s="228">
        <v>41</v>
      </c>
      <c r="F13" s="228">
        <v>148</v>
      </c>
      <c r="G13" s="228">
        <v>269</v>
      </c>
      <c r="H13" s="228">
        <v>138</v>
      </c>
      <c r="I13" s="228">
        <v>312</v>
      </c>
      <c r="J13" s="228">
        <v>1767</v>
      </c>
      <c r="K13" s="228">
        <v>86</v>
      </c>
      <c r="L13" s="228">
        <v>88</v>
      </c>
      <c r="M13" s="228">
        <v>8110.2</v>
      </c>
      <c r="N13" s="228">
        <v>3569</v>
      </c>
      <c r="O13" s="228">
        <v>1.9301275075457365</v>
      </c>
      <c r="P13" s="228">
        <v>1</v>
      </c>
      <c r="Q13" s="228">
        <v>28.795873530817993</v>
      </c>
      <c r="R13" s="228">
        <v>18.065804101243398</v>
      </c>
      <c r="S13" s="228">
        <v>30.208194860392876</v>
      </c>
      <c r="T13" s="228">
        <v>4259</v>
      </c>
      <c r="U13" s="228">
        <v>1</v>
      </c>
      <c r="V13" s="228">
        <v>0</v>
      </c>
      <c r="W13" s="228">
        <v>551</v>
      </c>
      <c r="X13" s="228">
        <v>336</v>
      </c>
      <c r="Y13" s="228">
        <v>4</v>
      </c>
      <c r="Z13" s="674">
        <v>26236</v>
      </c>
    </row>
    <row r="14" spans="1:26" hidden="1" outlineLevel="1" x14ac:dyDescent="0.2">
      <c r="A14" s="664">
        <v>10</v>
      </c>
      <c r="B14" s="665">
        <v>26</v>
      </c>
      <c r="C14" s="228">
        <v>0</v>
      </c>
      <c r="D14" s="228">
        <v>3629.1</v>
      </c>
      <c r="E14" s="228">
        <v>15</v>
      </c>
      <c r="F14" s="228">
        <v>283</v>
      </c>
      <c r="G14" s="228">
        <v>0</v>
      </c>
      <c r="H14" s="228">
        <v>0</v>
      </c>
      <c r="I14" s="228">
        <v>96</v>
      </c>
      <c r="J14" s="228">
        <v>133</v>
      </c>
      <c r="K14" s="228">
        <v>7915</v>
      </c>
      <c r="L14" s="228">
        <v>1</v>
      </c>
      <c r="M14" s="228">
        <v>13839.9</v>
      </c>
      <c r="N14" s="228">
        <v>2284</v>
      </c>
      <c r="O14" s="228">
        <v>10.147157259306407</v>
      </c>
      <c r="P14" s="228">
        <v>0</v>
      </c>
      <c r="Q14" s="228">
        <v>32.648244021342194</v>
      </c>
      <c r="R14" s="228">
        <v>12.481158391533523</v>
      </c>
      <c r="S14" s="228">
        <v>3.7234403278178818</v>
      </c>
      <c r="T14" s="228">
        <v>491</v>
      </c>
      <c r="U14" s="228">
        <v>0</v>
      </c>
      <c r="V14" s="228">
        <v>0</v>
      </c>
      <c r="W14" s="228">
        <v>87</v>
      </c>
      <c r="X14" s="228">
        <v>47</v>
      </c>
      <c r="Y14" s="228">
        <v>4</v>
      </c>
      <c r="Z14" s="674">
        <v>28910</v>
      </c>
    </row>
    <row r="15" spans="1:26" hidden="1" outlineLevel="1" x14ac:dyDescent="0.2">
      <c r="A15" s="664">
        <v>11</v>
      </c>
      <c r="B15" s="665">
        <v>0</v>
      </c>
      <c r="C15" s="228">
        <v>87</v>
      </c>
      <c r="D15" s="228">
        <v>470.1</v>
      </c>
      <c r="E15" s="228">
        <v>141</v>
      </c>
      <c r="F15" s="228">
        <v>110</v>
      </c>
      <c r="G15" s="228">
        <v>9</v>
      </c>
      <c r="H15" s="228">
        <v>98</v>
      </c>
      <c r="I15" s="228">
        <v>11</v>
      </c>
      <c r="J15" s="228">
        <v>40</v>
      </c>
      <c r="K15" s="228">
        <v>817</v>
      </c>
      <c r="L15" s="228">
        <v>4969</v>
      </c>
      <c r="M15" s="228">
        <v>8925.9</v>
      </c>
      <c r="N15" s="228">
        <v>1225</v>
      </c>
      <c r="O15" s="228">
        <v>0</v>
      </c>
      <c r="P15" s="228">
        <v>0</v>
      </c>
      <c r="Q15" s="228">
        <v>0</v>
      </c>
      <c r="R15" s="228">
        <v>0</v>
      </c>
      <c r="S15" s="228">
        <v>0</v>
      </c>
      <c r="T15" s="228">
        <v>384</v>
      </c>
      <c r="U15" s="228">
        <v>0</v>
      </c>
      <c r="V15" s="228">
        <v>0</v>
      </c>
      <c r="W15" s="228">
        <v>71</v>
      </c>
      <c r="X15" s="228">
        <v>0</v>
      </c>
      <c r="Y15" s="228">
        <v>0</v>
      </c>
      <c r="Z15" s="674">
        <v>17358</v>
      </c>
    </row>
    <row r="16" spans="1:26" hidden="1" outlineLevel="1" x14ac:dyDescent="0.2">
      <c r="A16" s="664">
        <v>12</v>
      </c>
      <c r="B16" s="665">
        <v>8645</v>
      </c>
      <c r="C16" s="228">
        <v>4343.8999999999996</v>
      </c>
      <c r="D16" s="228">
        <v>26565.690000000002</v>
      </c>
      <c r="E16" s="228">
        <v>754.3</v>
      </c>
      <c r="F16" s="228">
        <v>3491.2</v>
      </c>
      <c r="G16" s="228">
        <v>1757.6</v>
      </c>
      <c r="H16" s="228">
        <v>906</v>
      </c>
      <c r="I16" s="228">
        <v>1665.6</v>
      </c>
      <c r="J16" s="228">
        <v>1951.9</v>
      </c>
      <c r="K16" s="228">
        <v>5135.6000000000004</v>
      </c>
      <c r="L16" s="228">
        <v>2082</v>
      </c>
      <c r="M16" s="228">
        <v>156859.60999999999</v>
      </c>
      <c r="N16" s="228">
        <v>31466.5</v>
      </c>
      <c r="O16" s="228">
        <v>63.068147752705165</v>
      </c>
      <c r="P16" s="228">
        <v>216.3</v>
      </c>
      <c r="Q16" s="228">
        <v>1233.7501435816509</v>
      </c>
      <c r="R16" s="228">
        <v>902.04574842852162</v>
      </c>
      <c r="S16" s="228">
        <v>1677.6359602371233</v>
      </c>
      <c r="T16" s="228">
        <v>58364.9</v>
      </c>
      <c r="U16" s="228">
        <v>23996.6</v>
      </c>
      <c r="V16" s="228">
        <v>0</v>
      </c>
      <c r="W16" s="228">
        <v>1227.3</v>
      </c>
      <c r="X16" s="228">
        <v>4686.3</v>
      </c>
      <c r="Y16" s="228">
        <v>165.3</v>
      </c>
      <c r="Z16" s="674">
        <v>338158.1</v>
      </c>
    </row>
    <row r="17" spans="1:26" hidden="1" outlineLevel="1" x14ac:dyDescent="0.2">
      <c r="A17" s="664">
        <v>13</v>
      </c>
      <c r="B17" s="665">
        <v>254</v>
      </c>
      <c r="C17" s="228">
        <v>186</v>
      </c>
      <c r="D17" s="228">
        <v>160.6</v>
      </c>
      <c r="E17" s="228">
        <v>34</v>
      </c>
      <c r="F17" s="228">
        <v>66</v>
      </c>
      <c r="G17" s="228">
        <v>45</v>
      </c>
      <c r="H17" s="228">
        <v>24</v>
      </c>
      <c r="I17" s="228">
        <v>63</v>
      </c>
      <c r="J17" s="228">
        <v>43</v>
      </c>
      <c r="K17" s="228">
        <v>56</v>
      </c>
      <c r="L17" s="228">
        <v>50</v>
      </c>
      <c r="M17" s="228">
        <v>1692.4</v>
      </c>
      <c r="N17" s="228">
        <v>29456</v>
      </c>
      <c r="O17" s="228">
        <v>31.038416524649406</v>
      </c>
      <c r="P17" s="228">
        <v>61</v>
      </c>
      <c r="Q17" s="228">
        <v>157.93318686733878</v>
      </c>
      <c r="R17" s="228">
        <v>159.81496006406178</v>
      </c>
      <c r="S17" s="228">
        <v>133.21343654395005</v>
      </c>
      <c r="T17" s="228">
        <v>12031</v>
      </c>
      <c r="U17" s="228">
        <v>6537</v>
      </c>
      <c r="V17" s="228">
        <v>0</v>
      </c>
      <c r="W17" s="228">
        <v>580.6512959152401</v>
      </c>
      <c r="X17" s="228">
        <v>2483</v>
      </c>
      <c r="Y17" s="228">
        <v>206.34870408475987</v>
      </c>
      <c r="Z17" s="674">
        <v>54511</v>
      </c>
    </row>
    <row r="18" spans="1:26" hidden="1" outlineLevel="1" x14ac:dyDescent="0.2">
      <c r="A18" s="664">
        <v>14</v>
      </c>
      <c r="B18" s="665">
        <v>1</v>
      </c>
      <c r="C18" s="228">
        <v>24.525717101615914</v>
      </c>
      <c r="D18" s="228">
        <v>8.2397182925076482</v>
      </c>
      <c r="E18" s="228">
        <v>2.3021785105640311</v>
      </c>
      <c r="F18" s="228">
        <v>4.0384165246494064</v>
      </c>
      <c r="G18" s="228">
        <v>7.2323060181097674</v>
      </c>
      <c r="H18" s="228">
        <v>2.3410467527667702</v>
      </c>
      <c r="I18" s="228">
        <v>5.271174260312506</v>
      </c>
      <c r="J18" s="228">
        <v>5.6432252633308009</v>
      </c>
      <c r="K18" s="228">
        <v>9.6117692955259422</v>
      </c>
      <c r="L18" s="228">
        <v>3.1471572593064083</v>
      </c>
      <c r="M18" s="228">
        <v>150.9723425661663</v>
      </c>
      <c r="N18" s="228">
        <v>42.734882861425376</v>
      </c>
      <c r="O18" s="228">
        <v>19.745682587453167</v>
      </c>
      <c r="P18" s="228">
        <v>1.9611317577972609</v>
      </c>
      <c r="Q18" s="228">
        <v>43.457257747681773</v>
      </c>
      <c r="R18" s="228">
        <v>17.126745481360032</v>
      </c>
      <c r="S18" s="228">
        <v>15.159154706676086</v>
      </c>
      <c r="T18" s="228">
        <v>1026.9201075909079</v>
      </c>
      <c r="U18" s="228">
        <v>777.57335277087657</v>
      </c>
      <c r="V18" s="228">
        <v>0</v>
      </c>
      <c r="W18" s="228">
        <v>26.053241073445168</v>
      </c>
      <c r="X18" s="228">
        <v>15.960228322690595</v>
      </c>
      <c r="Y18" s="228">
        <v>1.5270722542759172</v>
      </c>
      <c r="Z18" s="674">
        <v>2212.5439089994456</v>
      </c>
    </row>
    <row r="19" spans="1:26" hidden="1" outlineLevel="1" x14ac:dyDescent="0.2">
      <c r="A19" s="664">
        <v>15</v>
      </c>
      <c r="B19" s="665">
        <v>0</v>
      </c>
      <c r="C19" s="228">
        <v>91</v>
      </c>
      <c r="D19" s="228">
        <v>24</v>
      </c>
      <c r="E19" s="228">
        <v>2</v>
      </c>
      <c r="F19" s="228">
        <v>8</v>
      </c>
      <c r="G19" s="228">
        <v>4</v>
      </c>
      <c r="H19" s="228">
        <v>1</v>
      </c>
      <c r="I19" s="228">
        <v>12</v>
      </c>
      <c r="J19" s="228">
        <v>11</v>
      </c>
      <c r="K19" s="228">
        <v>3</v>
      </c>
      <c r="L19" s="228">
        <v>1</v>
      </c>
      <c r="M19" s="228">
        <v>208</v>
      </c>
      <c r="N19" s="228">
        <v>60</v>
      </c>
      <c r="O19" s="228">
        <v>2.5890807547789665</v>
      </c>
      <c r="P19" s="228">
        <v>397</v>
      </c>
      <c r="Q19" s="228">
        <v>27.170719902851395</v>
      </c>
      <c r="R19" s="228">
        <v>19.841675930787485</v>
      </c>
      <c r="S19" s="228">
        <v>26.398523411582154</v>
      </c>
      <c r="T19" s="228">
        <v>1420</v>
      </c>
      <c r="U19" s="228">
        <v>1860</v>
      </c>
      <c r="V19" s="228">
        <v>0</v>
      </c>
      <c r="W19" s="228">
        <v>21</v>
      </c>
      <c r="X19" s="228">
        <v>14</v>
      </c>
      <c r="Y19" s="228">
        <v>2</v>
      </c>
      <c r="Z19" s="674">
        <v>4215</v>
      </c>
    </row>
    <row r="20" spans="1:26" hidden="1" outlineLevel="1" x14ac:dyDescent="0.2">
      <c r="A20" s="664">
        <v>16</v>
      </c>
      <c r="B20" s="665">
        <v>37</v>
      </c>
      <c r="C20" s="228">
        <v>293.05109688168227</v>
      </c>
      <c r="D20" s="228">
        <v>125.15008755694134</v>
      </c>
      <c r="E20" s="228">
        <v>31.114222943145187</v>
      </c>
      <c r="F20" s="228">
        <v>69.933186867338776</v>
      </c>
      <c r="G20" s="228">
        <v>52.910096473963179</v>
      </c>
      <c r="H20" s="228">
        <v>8.625153627966597</v>
      </c>
      <c r="I20" s="228">
        <v>31.421027158784586</v>
      </c>
      <c r="J20" s="228">
        <v>41.739376571111784</v>
      </c>
      <c r="K20" s="228">
        <v>128.46843696926857</v>
      </c>
      <c r="L20" s="228">
        <v>26.64824402134219</v>
      </c>
      <c r="M20" s="228">
        <v>947.34710094127377</v>
      </c>
      <c r="N20" s="228">
        <v>332.0857324717457</v>
      </c>
      <c r="O20" s="228">
        <v>38.979240846405524</v>
      </c>
      <c r="P20" s="228">
        <v>49.48906931517859</v>
      </c>
      <c r="Q20" s="228">
        <v>5165.0511709322427</v>
      </c>
      <c r="R20" s="228">
        <v>347.18840809499818</v>
      </c>
      <c r="S20" s="228">
        <v>246.62841159640078</v>
      </c>
      <c r="T20" s="228">
        <v>10564.499945735228</v>
      </c>
      <c r="U20" s="228">
        <v>767.53525010192971</v>
      </c>
      <c r="V20" s="228">
        <v>0</v>
      </c>
      <c r="W20" s="228">
        <v>206.41316903329511</v>
      </c>
      <c r="X20" s="228">
        <v>202.33358168021331</v>
      </c>
      <c r="Y20" s="228">
        <v>12.784328334130194</v>
      </c>
      <c r="Z20" s="674">
        <v>19726.396338154584</v>
      </c>
    </row>
    <row r="21" spans="1:26" hidden="1" outlineLevel="1" x14ac:dyDescent="0.2">
      <c r="A21" s="664">
        <v>17</v>
      </c>
      <c r="B21" s="665">
        <v>0</v>
      </c>
      <c r="C21" s="228">
        <v>81.686161896744409</v>
      </c>
      <c r="D21" s="228">
        <v>34.170696437004466</v>
      </c>
      <c r="E21" s="228">
        <v>8.4921257417407556</v>
      </c>
      <c r="F21" s="228">
        <v>19.814960064061761</v>
      </c>
      <c r="G21" s="228">
        <v>14.557929842984151</v>
      </c>
      <c r="H21" s="228">
        <v>2.2241281704559119</v>
      </c>
      <c r="I21" s="228">
        <v>8.2899322716993087</v>
      </c>
      <c r="J21" s="228">
        <v>10.716253912196667</v>
      </c>
      <c r="K21" s="228">
        <v>36.597018077501829</v>
      </c>
      <c r="L21" s="228">
        <v>7.4811583915335227</v>
      </c>
      <c r="M21" s="228">
        <v>254.15719184209837</v>
      </c>
      <c r="N21" s="228">
        <v>89.571707228360822</v>
      </c>
      <c r="O21" s="228">
        <v>13.457716586102777</v>
      </c>
      <c r="P21" s="228">
        <v>6.2679975712848428</v>
      </c>
      <c r="Q21" s="228">
        <v>316.7173018856418</v>
      </c>
      <c r="R21" s="228">
        <v>1689.6910904033648</v>
      </c>
      <c r="S21" s="228">
        <v>77.696308811099499</v>
      </c>
      <c r="T21" s="228">
        <v>1579.8540072333467</v>
      </c>
      <c r="U21" s="228">
        <v>18.782058013440064</v>
      </c>
      <c r="V21" s="228">
        <v>0</v>
      </c>
      <c r="W21" s="228">
        <v>59.040493252102394</v>
      </c>
      <c r="X21" s="228">
        <v>58.433912841978056</v>
      </c>
      <c r="Y21" s="228">
        <v>3.4372889907045914</v>
      </c>
      <c r="Z21" s="674">
        <v>4391.1374394654504</v>
      </c>
    </row>
    <row r="22" spans="1:26" hidden="1" outlineLevel="1" x14ac:dyDescent="0.2">
      <c r="A22" s="664">
        <v>18</v>
      </c>
      <c r="B22" s="665">
        <v>9</v>
      </c>
      <c r="C22" s="228">
        <v>171.73702411995743</v>
      </c>
      <c r="D22" s="228">
        <v>55.139497713546547</v>
      </c>
      <c r="E22" s="228">
        <v>15.091472804550028</v>
      </c>
      <c r="F22" s="228">
        <v>46.213436543950067</v>
      </c>
      <c r="G22" s="228">
        <v>23.299667664942906</v>
      </c>
      <c r="H22" s="228">
        <v>12.809671448810722</v>
      </c>
      <c r="I22" s="228">
        <v>27.017866309203598</v>
      </c>
      <c r="J22" s="228">
        <v>30.901144253360748</v>
      </c>
      <c r="K22" s="228">
        <v>30.322775657703694</v>
      </c>
      <c r="L22" s="228">
        <v>12.723440327817881</v>
      </c>
      <c r="M22" s="228">
        <v>559.82336465046149</v>
      </c>
      <c r="N22" s="228">
        <v>171.60767743846816</v>
      </c>
      <c r="O22" s="228">
        <v>12.810584216738533</v>
      </c>
      <c r="P22" s="228">
        <v>17.281801355739308</v>
      </c>
      <c r="Q22" s="228">
        <v>263.10811217219396</v>
      </c>
      <c r="R22" s="228">
        <v>107.23812055047608</v>
      </c>
      <c r="S22" s="228">
        <v>2431.9446933811641</v>
      </c>
      <c r="T22" s="228">
        <v>4843.7259394405164</v>
      </c>
      <c r="U22" s="228">
        <v>318.10933911375366</v>
      </c>
      <c r="V22" s="228">
        <v>0</v>
      </c>
      <c r="W22" s="228">
        <v>74.493096641157337</v>
      </c>
      <c r="X22" s="228">
        <v>49.272277155118047</v>
      </c>
      <c r="Y22" s="228">
        <v>5.2513104208892969</v>
      </c>
      <c r="Z22" s="674">
        <v>9288.922313380519</v>
      </c>
    </row>
    <row r="23" spans="1:26" hidden="1" outlineLevel="1" x14ac:dyDescent="0.2">
      <c r="A23" s="664">
        <v>19</v>
      </c>
      <c r="B23" s="665">
        <v>5883</v>
      </c>
      <c r="C23" s="228">
        <v>19552</v>
      </c>
      <c r="D23" s="228">
        <v>12508.300000000001</v>
      </c>
      <c r="E23" s="228">
        <v>1338</v>
      </c>
      <c r="F23" s="228">
        <v>3515</v>
      </c>
      <c r="G23" s="228">
        <v>3328</v>
      </c>
      <c r="H23" s="228">
        <v>924</v>
      </c>
      <c r="I23" s="228">
        <v>2550</v>
      </c>
      <c r="J23" s="228">
        <v>3747</v>
      </c>
      <c r="K23" s="228">
        <v>3660</v>
      </c>
      <c r="L23" s="228">
        <v>1682</v>
      </c>
      <c r="M23" s="228">
        <v>81094.700000000012</v>
      </c>
      <c r="N23" s="228">
        <v>35131</v>
      </c>
      <c r="O23" s="228">
        <v>2989.2803112744596</v>
      </c>
      <c r="P23" s="228">
        <v>3014</v>
      </c>
      <c r="Q23" s="228">
        <v>14099.386429700722</v>
      </c>
      <c r="R23" s="228">
        <v>4572.5340034788123</v>
      </c>
      <c r="S23" s="228">
        <v>4286.799255546006</v>
      </c>
      <c r="T23" s="228">
        <v>490248</v>
      </c>
      <c r="U23" s="228">
        <v>44833</v>
      </c>
      <c r="V23" s="228">
        <v>27</v>
      </c>
      <c r="W23" s="228">
        <v>3999.3307539074472</v>
      </c>
      <c r="X23" s="228">
        <v>6382</v>
      </c>
      <c r="Y23" s="228">
        <v>1264.6692460925531</v>
      </c>
      <c r="Z23" s="674">
        <v>750629</v>
      </c>
    </row>
    <row r="24" spans="1:26" hidden="1" outlineLevel="1" x14ac:dyDescent="0.2">
      <c r="A24" s="664">
        <v>20</v>
      </c>
      <c r="B24" s="665">
        <v>14</v>
      </c>
      <c r="C24" s="228">
        <v>61</v>
      </c>
      <c r="D24" s="228">
        <v>19.100000000000001</v>
      </c>
      <c r="E24" s="228">
        <v>23</v>
      </c>
      <c r="F24" s="228">
        <v>5</v>
      </c>
      <c r="G24" s="228">
        <v>7</v>
      </c>
      <c r="H24" s="228">
        <v>18</v>
      </c>
      <c r="I24" s="228">
        <v>12</v>
      </c>
      <c r="J24" s="228">
        <v>15</v>
      </c>
      <c r="K24" s="228">
        <v>10</v>
      </c>
      <c r="L24" s="228">
        <v>12</v>
      </c>
      <c r="M24" s="228">
        <v>564.9</v>
      </c>
      <c r="N24" s="228">
        <v>78</v>
      </c>
      <c r="O24" s="228">
        <v>5.4724760281707496</v>
      </c>
      <c r="P24" s="228">
        <v>22</v>
      </c>
      <c r="Q24" s="228">
        <v>79.637927848387164</v>
      </c>
      <c r="R24" s="228">
        <v>37.645668644642015</v>
      </c>
      <c r="S24" s="228">
        <v>9.2439274788000745</v>
      </c>
      <c r="T24" s="228">
        <v>1640</v>
      </c>
      <c r="U24" s="228">
        <v>0</v>
      </c>
      <c r="V24" s="228">
        <v>0</v>
      </c>
      <c r="W24" s="228">
        <v>40</v>
      </c>
      <c r="X24" s="228">
        <v>3</v>
      </c>
      <c r="Y24" s="228">
        <v>10</v>
      </c>
      <c r="Z24" s="674">
        <v>2686</v>
      </c>
    </row>
    <row r="25" spans="1:26" hidden="1" outlineLevel="1" x14ac:dyDescent="0.2">
      <c r="A25" s="664">
        <v>21</v>
      </c>
      <c r="B25" s="665">
        <v>0</v>
      </c>
      <c r="C25" s="228">
        <v>0</v>
      </c>
      <c r="D25" s="228">
        <v>0</v>
      </c>
      <c r="E25" s="228">
        <v>0</v>
      </c>
      <c r="F25" s="228">
        <v>2</v>
      </c>
      <c r="G25" s="228">
        <v>7</v>
      </c>
      <c r="H25" s="228">
        <v>10</v>
      </c>
      <c r="I25" s="228">
        <v>3</v>
      </c>
      <c r="J25" s="228">
        <v>0</v>
      </c>
      <c r="K25" s="228">
        <v>380</v>
      </c>
      <c r="L25" s="228">
        <v>0</v>
      </c>
      <c r="M25" s="228">
        <v>486</v>
      </c>
      <c r="N25" s="228">
        <v>0</v>
      </c>
      <c r="O25" s="228">
        <v>0</v>
      </c>
      <c r="P25" s="228">
        <v>0</v>
      </c>
      <c r="Q25" s="228">
        <v>0</v>
      </c>
      <c r="R25" s="228">
        <v>0</v>
      </c>
      <c r="S25" s="228">
        <v>0</v>
      </c>
      <c r="T25" s="228">
        <v>37</v>
      </c>
      <c r="U25" s="228">
        <v>106</v>
      </c>
      <c r="V25" s="228">
        <v>5</v>
      </c>
      <c r="W25" s="228">
        <v>0</v>
      </c>
      <c r="X25" s="228">
        <v>724</v>
      </c>
      <c r="Y25" s="228">
        <v>47</v>
      </c>
      <c r="Z25" s="674">
        <v>1807</v>
      </c>
    </row>
    <row r="26" spans="1:26" hidden="1" outlineLevel="1" x14ac:dyDescent="0.2">
      <c r="A26" s="664">
        <v>22</v>
      </c>
      <c r="B26" s="665">
        <v>3931</v>
      </c>
      <c r="C26" s="228">
        <v>984</v>
      </c>
      <c r="D26" s="228">
        <v>475</v>
      </c>
      <c r="E26" s="228">
        <v>91</v>
      </c>
      <c r="F26" s="228">
        <v>533</v>
      </c>
      <c r="G26" s="228">
        <v>202</v>
      </c>
      <c r="H26" s="228">
        <v>129.73678910730703</v>
      </c>
      <c r="I26" s="228">
        <v>6931</v>
      </c>
      <c r="J26" s="228">
        <v>168</v>
      </c>
      <c r="K26" s="228">
        <v>0</v>
      </c>
      <c r="L26" s="228">
        <v>0</v>
      </c>
      <c r="M26" s="228">
        <v>2953</v>
      </c>
      <c r="N26" s="228">
        <v>3778</v>
      </c>
      <c r="O26" s="228">
        <v>121</v>
      </c>
      <c r="P26" s="228">
        <v>1407</v>
      </c>
      <c r="Q26" s="228">
        <v>6850</v>
      </c>
      <c r="R26" s="228">
        <v>951</v>
      </c>
      <c r="S26" s="228">
        <v>2459</v>
      </c>
      <c r="T26" s="228">
        <v>19200</v>
      </c>
      <c r="U26" s="228">
        <v>1867</v>
      </c>
      <c r="V26" s="228">
        <v>0</v>
      </c>
      <c r="W26" s="228">
        <v>31399.100511705845</v>
      </c>
      <c r="X26" s="228">
        <v>490</v>
      </c>
      <c r="Y26" s="228">
        <v>7293.3985688948287</v>
      </c>
      <c r="Z26" s="674">
        <v>92213.235869707976</v>
      </c>
    </row>
    <row r="27" spans="1:26" hidden="1" outlineLevel="1" x14ac:dyDescent="0.2">
      <c r="A27" s="664">
        <v>23</v>
      </c>
      <c r="B27" s="665">
        <v>784</v>
      </c>
      <c r="C27" s="228">
        <v>1323</v>
      </c>
      <c r="D27" s="228">
        <v>384.1</v>
      </c>
      <c r="E27" s="228">
        <v>184</v>
      </c>
      <c r="F27" s="228">
        <v>304</v>
      </c>
      <c r="G27" s="228">
        <v>646</v>
      </c>
      <c r="H27" s="228">
        <v>351</v>
      </c>
      <c r="I27" s="228">
        <v>413</v>
      </c>
      <c r="J27" s="228">
        <v>400</v>
      </c>
      <c r="K27" s="228">
        <v>520</v>
      </c>
      <c r="L27" s="228">
        <v>259</v>
      </c>
      <c r="M27" s="228">
        <v>2921.9</v>
      </c>
      <c r="N27" s="228">
        <v>566</v>
      </c>
      <c r="O27" s="228">
        <v>383.39519126131859</v>
      </c>
      <c r="P27" s="228">
        <v>143</v>
      </c>
      <c r="Q27" s="228">
        <v>80.193810296226985</v>
      </c>
      <c r="R27" s="228">
        <v>9.0987061518650947</v>
      </c>
      <c r="S27" s="228">
        <v>13.312292290589316</v>
      </c>
      <c r="T27" s="228">
        <v>6894</v>
      </c>
      <c r="U27" s="228">
        <v>2975</v>
      </c>
      <c r="V27" s="228">
        <v>3</v>
      </c>
      <c r="W27" s="228">
        <v>203.21709863841338</v>
      </c>
      <c r="X27" s="228">
        <v>10864</v>
      </c>
      <c r="Y27" s="228">
        <v>99.782901361586624</v>
      </c>
      <c r="Z27" s="674">
        <v>30724</v>
      </c>
    </row>
    <row r="28" spans="1:26" hidden="1" outlineLevel="1" x14ac:dyDescent="0.2">
      <c r="A28" s="664">
        <v>24</v>
      </c>
      <c r="B28" s="665">
        <v>175</v>
      </c>
      <c r="C28" s="228">
        <v>1047</v>
      </c>
      <c r="D28" s="228">
        <v>198.2</v>
      </c>
      <c r="E28" s="228">
        <v>198</v>
      </c>
      <c r="F28" s="228">
        <v>310</v>
      </c>
      <c r="G28" s="228">
        <v>451</v>
      </c>
      <c r="H28" s="228">
        <v>587.263210892693</v>
      </c>
      <c r="I28" s="228">
        <v>846</v>
      </c>
      <c r="J28" s="228">
        <v>79</v>
      </c>
      <c r="K28" s="228">
        <v>328</v>
      </c>
      <c r="L28" s="228">
        <v>102</v>
      </c>
      <c r="M28" s="228">
        <v>1217.8</v>
      </c>
      <c r="N28" s="228">
        <v>48</v>
      </c>
      <c r="O28" s="228">
        <v>46.434059503521347</v>
      </c>
      <c r="P28" s="228">
        <v>63</v>
      </c>
      <c r="Q28" s="228">
        <v>61.704740981048396</v>
      </c>
      <c r="R28" s="228">
        <v>2.8307085805802519</v>
      </c>
      <c r="S28" s="228">
        <v>2.0304909348500093</v>
      </c>
      <c r="T28" s="228">
        <v>2639</v>
      </c>
      <c r="U28" s="228">
        <v>1494</v>
      </c>
      <c r="V28" s="228">
        <v>0</v>
      </c>
      <c r="W28" s="228">
        <v>8482.2459486067492</v>
      </c>
      <c r="X28" s="228">
        <v>436</v>
      </c>
      <c r="Y28" s="228">
        <v>9216.2549707925755</v>
      </c>
      <c r="Z28" s="674">
        <v>28030.764130292016</v>
      </c>
    </row>
    <row r="29" spans="1:26" hidden="1" outlineLevel="1" x14ac:dyDescent="0.2">
      <c r="A29" s="664">
        <v>27</v>
      </c>
      <c r="B29" s="665">
        <v>44173</v>
      </c>
      <c r="C29" s="228">
        <v>92650</v>
      </c>
      <c r="D29" s="228">
        <v>75884</v>
      </c>
      <c r="E29" s="228">
        <v>4189</v>
      </c>
      <c r="F29" s="228">
        <v>13183</v>
      </c>
      <c r="G29" s="228">
        <v>14701</v>
      </c>
      <c r="H29" s="228">
        <v>5150</v>
      </c>
      <c r="I29" s="228">
        <v>19416</v>
      </c>
      <c r="J29" s="228">
        <v>17661</v>
      </c>
      <c r="K29" s="228">
        <v>19545</v>
      </c>
      <c r="L29" s="228">
        <v>9493</v>
      </c>
      <c r="M29" s="228">
        <v>310003</v>
      </c>
      <c r="N29" s="228">
        <v>129106</v>
      </c>
      <c r="O29" s="228">
        <v>3760.0358088824096</v>
      </c>
      <c r="P29" s="228">
        <v>5528</v>
      </c>
      <c r="Q29" s="228">
        <v>29253.877250154728</v>
      </c>
      <c r="R29" s="228">
        <v>9039.2159297901853</v>
      </c>
      <c r="S29" s="228">
        <v>11713.871011172676</v>
      </c>
      <c r="T29" s="228">
        <v>661524</v>
      </c>
      <c r="U29" s="228">
        <v>91546</v>
      </c>
      <c r="V29" s="228">
        <v>35</v>
      </c>
      <c r="W29" s="228">
        <v>48264.545608773697</v>
      </c>
      <c r="X29" s="228">
        <v>27203</v>
      </c>
      <c r="Y29" s="228">
        <v>18359.454391226303</v>
      </c>
      <c r="Z29" s="674">
        <v>1661381</v>
      </c>
    </row>
    <row r="30" spans="1:26" hidden="1" outlineLevel="1" x14ac:dyDescent="0.2">
      <c r="A30" s="666" t="s">
        <v>862</v>
      </c>
      <c r="B30" s="667">
        <v>88346</v>
      </c>
      <c r="C30" s="668">
        <v>185300</v>
      </c>
      <c r="D30" s="668">
        <v>151768</v>
      </c>
      <c r="E30" s="668">
        <v>8378</v>
      </c>
      <c r="F30" s="668">
        <v>26366</v>
      </c>
      <c r="G30" s="668">
        <v>29402</v>
      </c>
      <c r="H30" s="668">
        <v>10300</v>
      </c>
      <c r="I30" s="668">
        <v>38832</v>
      </c>
      <c r="J30" s="668">
        <v>35322</v>
      </c>
      <c r="K30" s="668">
        <v>39090</v>
      </c>
      <c r="L30" s="668">
        <v>18986</v>
      </c>
      <c r="M30" s="668">
        <v>620006</v>
      </c>
      <c r="N30" s="668">
        <v>258212</v>
      </c>
      <c r="O30" s="668">
        <v>7520.0716177648192</v>
      </c>
      <c r="P30" s="668">
        <v>11056</v>
      </c>
      <c r="Q30" s="668">
        <v>58507.754500309456</v>
      </c>
      <c r="R30" s="668">
        <v>18078.431859580371</v>
      </c>
      <c r="S30" s="668">
        <v>23427.742022345352</v>
      </c>
      <c r="T30" s="668">
        <v>1323048</v>
      </c>
      <c r="U30" s="668">
        <v>183092</v>
      </c>
      <c r="V30" s="668">
        <v>70</v>
      </c>
      <c r="W30" s="668">
        <v>96529.091217547393</v>
      </c>
      <c r="X30" s="668">
        <v>54406</v>
      </c>
      <c r="Y30" s="668">
        <v>36718.908782452607</v>
      </c>
      <c r="Z30" s="675">
        <v>3322762</v>
      </c>
    </row>
    <row r="31" spans="1:26" hidden="1" outlineLevel="1" x14ac:dyDescent="0.2">
      <c r="Z31" s="670"/>
    </row>
    <row r="32" spans="1:26" collapsed="1" x14ac:dyDescent="0.2">
      <c r="Z32" s="670"/>
    </row>
    <row r="33" spans="1:28" ht="10.5" x14ac:dyDescent="0.25">
      <c r="A33" s="680" t="s">
        <v>829</v>
      </c>
      <c r="Z33" s="670"/>
    </row>
    <row r="34" spans="1:28" s="678" customFormat="1" ht="10.5" x14ac:dyDescent="0.25">
      <c r="A34" s="678" t="s">
        <v>830</v>
      </c>
      <c r="B34" s="682">
        <f>B1</f>
        <v>1</v>
      </c>
      <c r="C34" s="682">
        <f t="shared" ref="C34:Y34" si="1">C1</f>
        <v>2</v>
      </c>
      <c r="D34" s="682">
        <f t="shared" si="1"/>
        <v>3</v>
      </c>
      <c r="E34" s="682">
        <f t="shared" si="1"/>
        <v>4</v>
      </c>
      <c r="F34" s="682">
        <f t="shared" si="1"/>
        <v>5</v>
      </c>
      <c r="G34" s="682">
        <f t="shared" si="1"/>
        <v>6</v>
      </c>
      <c r="H34" s="682">
        <f t="shared" si="1"/>
        <v>7</v>
      </c>
      <c r="I34" s="682">
        <f t="shared" si="1"/>
        <v>8</v>
      </c>
      <c r="J34" s="682">
        <f t="shared" si="1"/>
        <v>9</v>
      </c>
      <c r="K34" s="682">
        <f t="shared" si="1"/>
        <v>10</v>
      </c>
      <c r="L34" s="682">
        <f t="shared" si="1"/>
        <v>11</v>
      </c>
      <c r="M34" s="682">
        <f t="shared" si="1"/>
        <v>12</v>
      </c>
      <c r="N34" s="682">
        <f t="shared" si="1"/>
        <v>13</v>
      </c>
      <c r="O34" s="682">
        <f t="shared" si="1"/>
        <v>14</v>
      </c>
      <c r="P34" s="682">
        <f t="shared" si="1"/>
        <v>15</v>
      </c>
      <c r="Q34" s="682">
        <f t="shared" si="1"/>
        <v>16</v>
      </c>
      <c r="R34" s="682">
        <f t="shared" si="1"/>
        <v>17</v>
      </c>
      <c r="S34" s="682">
        <f t="shared" si="1"/>
        <v>18</v>
      </c>
      <c r="T34" s="682">
        <f t="shared" si="1"/>
        <v>19</v>
      </c>
      <c r="U34" s="682">
        <f t="shared" si="1"/>
        <v>20</v>
      </c>
      <c r="V34" s="682">
        <f t="shared" si="1"/>
        <v>21</v>
      </c>
      <c r="W34" s="682">
        <f t="shared" si="1"/>
        <v>22</v>
      </c>
      <c r="X34" s="682">
        <f t="shared" si="1"/>
        <v>23</v>
      </c>
      <c r="Y34" s="682">
        <f t="shared" si="1"/>
        <v>24</v>
      </c>
      <c r="Z34" s="683" t="str">
        <f>Z1</f>
        <v>TOTAL</v>
      </c>
      <c r="AA34" s="680" t="s">
        <v>832</v>
      </c>
      <c r="AB34" s="680" t="s">
        <v>833</v>
      </c>
    </row>
    <row r="35" spans="1:28" ht="10.5" x14ac:dyDescent="0.25">
      <c r="A35" s="678">
        <f>A5</f>
        <v>1</v>
      </c>
      <c r="B35" s="57">
        <f t="shared" ref="B35:B59" si="2">GETPIVOTDATA(CONCATENATE(B$4),$A$3,"L",$A5)</f>
        <v>14230</v>
      </c>
      <c r="C35" s="57">
        <f t="shared" ref="C35:Z46" si="3">GETPIVOTDATA(CONCATENATE(C$4),$A$3,"L",$A5)</f>
        <v>30463</v>
      </c>
      <c r="D35" s="57">
        <f t="shared" si="3"/>
        <v>0</v>
      </c>
      <c r="E35" s="57">
        <f t="shared" si="3"/>
        <v>0</v>
      </c>
      <c r="F35" s="57">
        <f t="shared" si="3"/>
        <v>0</v>
      </c>
      <c r="G35" s="57">
        <f t="shared" si="3"/>
        <v>226</v>
      </c>
      <c r="H35" s="57">
        <f t="shared" si="3"/>
        <v>0</v>
      </c>
      <c r="I35" s="57">
        <f t="shared" si="3"/>
        <v>53</v>
      </c>
      <c r="J35" s="57">
        <f t="shared" si="3"/>
        <v>0</v>
      </c>
      <c r="K35" s="57">
        <f t="shared" si="3"/>
        <v>0</v>
      </c>
      <c r="L35" s="57">
        <f t="shared" si="3"/>
        <v>0</v>
      </c>
      <c r="M35" s="57">
        <f t="shared" si="3"/>
        <v>2878</v>
      </c>
      <c r="N35" s="57">
        <f t="shared" si="3"/>
        <v>1861</v>
      </c>
      <c r="O35" s="57">
        <f t="shared" si="3"/>
        <v>0</v>
      </c>
      <c r="P35" s="57">
        <f t="shared" si="3"/>
        <v>0</v>
      </c>
      <c r="Q35" s="57">
        <f t="shared" si="3"/>
        <v>0</v>
      </c>
      <c r="R35" s="57">
        <f t="shared" si="3"/>
        <v>22</v>
      </c>
      <c r="S35" s="57">
        <f t="shared" si="3"/>
        <v>0</v>
      </c>
      <c r="T35" s="57">
        <f t="shared" si="3"/>
        <v>2306</v>
      </c>
      <c r="U35" s="57">
        <f t="shared" si="3"/>
        <v>538</v>
      </c>
      <c r="V35" s="57">
        <f t="shared" si="3"/>
        <v>0</v>
      </c>
      <c r="W35" s="57">
        <f t="shared" si="3"/>
        <v>0</v>
      </c>
      <c r="X35" s="57">
        <f t="shared" si="3"/>
        <v>250</v>
      </c>
      <c r="Y35" s="57">
        <f t="shared" si="3"/>
        <v>0</v>
      </c>
      <c r="Z35" s="670">
        <f t="shared" si="3"/>
        <v>52827</v>
      </c>
      <c r="AA35" s="669">
        <f>SUM(B35:Y35)-Z35</f>
        <v>0</v>
      </c>
      <c r="AB35" s="669">
        <f>Z35-TRP_Simple!AE68</f>
        <v>0</v>
      </c>
    </row>
    <row r="36" spans="1:28" ht="10.5" x14ac:dyDescent="0.25">
      <c r="A36" s="678">
        <f t="shared" ref="A36:A58" si="4">A6</f>
        <v>2</v>
      </c>
      <c r="B36" s="57">
        <f t="shared" si="2"/>
        <v>6284</v>
      </c>
      <c r="C36" s="57">
        <f t="shared" ref="C36:Q36" si="5">GETPIVOTDATA(CONCATENATE(C$4),$A$3,"L",$A6)</f>
        <v>27915</v>
      </c>
      <c r="D36" s="57">
        <f t="shared" si="5"/>
        <v>63.1</v>
      </c>
      <c r="E36" s="57">
        <f t="shared" si="5"/>
        <v>5</v>
      </c>
      <c r="F36" s="57">
        <f t="shared" si="5"/>
        <v>7</v>
      </c>
      <c r="G36" s="57">
        <f t="shared" si="5"/>
        <v>201</v>
      </c>
      <c r="H36" s="57">
        <f t="shared" si="5"/>
        <v>12</v>
      </c>
      <c r="I36" s="57">
        <f t="shared" si="5"/>
        <v>439</v>
      </c>
      <c r="J36" s="57">
        <f t="shared" si="5"/>
        <v>56</v>
      </c>
      <c r="K36" s="57">
        <f t="shared" si="5"/>
        <v>39</v>
      </c>
      <c r="L36" s="57">
        <f t="shared" si="5"/>
        <v>21</v>
      </c>
      <c r="M36" s="57">
        <f t="shared" si="5"/>
        <v>2865.9</v>
      </c>
      <c r="N36" s="57">
        <f t="shared" si="5"/>
        <v>142</v>
      </c>
      <c r="O36" s="57">
        <f t="shared" si="5"/>
        <v>5.9921360080487851</v>
      </c>
      <c r="P36" s="57">
        <f t="shared" si="5"/>
        <v>19</v>
      </c>
      <c r="Q36" s="57">
        <f t="shared" si="5"/>
        <v>63.182265099539187</v>
      </c>
      <c r="R36" s="57">
        <f t="shared" si="3"/>
        <v>61.470191041326288</v>
      </c>
      <c r="S36" s="57">
        <f t="shared" si="3"/>
        <v>210.35540785108572</v>
      </c>
      <c r="T36" s="57">
        <f t="shared" si="3"/>
        <v>26837</v>
      </c>
      <c r="U36" s="57">
        <f t="shared" si="3"/>
        <v>3301</v>
      </c>
      <c r="V36" s="57">
        <f t="shared" si="3"/>
        <v>0</v>
      </c>
      <c r="W36" s="57">
        <f t="shared" si="3"/>
        <v>46</v>
      </c>
      <c r="X36" s="57">
        <f t="shared" si="3"/>
        <v>27</v>
      </c>
      <c r="Y36" s="57">
        <f t="shared" si="3"/>
        <v>6</v>
      </c>
      <c r="Z36" s="670">
        <f t="shared" si="3"/>
        <v>68627</v>
      </c>
      <c r="AA36" s="669">
        <f t="shared" ref="AA36:AA59" si="6">SUM(B36:Y36)-Z36</f>
        <v>0</v>
      </c>
      <c r="AB36" s="669">
        <f>Z36-TRP_Simple!AE69</f>
        <v>0</v>
      </c>
    </row>
    <row r="37" spans="1:28" ht="10.5" x14ac:dyDescent="0.25">
      <c r="A37" s="678">
        <f t="shared" si="4"/>
        <v>3</v>
      </c>
      <c r="B37" s="57">
        <f t="shared" si="2"/>
        <v>178</v>
      </c>
      <c r="C37" s="57">
        <f t="shared" si="3"/>
        <v>225.1</v>
      </c>
      <c r="D37" s="57">
        <f t="shared" si="3"/>
        <v>25643.81</v>
      </c>
      <c r="E37" s="57">
        <f t="shared" si="3"/>
        <v>12.7</v>
      </c>
      <c r="F37" s="57">
        <f t="shared" si="3"/>
        <v>69.8</v>
      </c>
      <c r="G37" s="57">
        <f t="shared" si="3"/>
        <v>19.399999999999999</v>
      </c>
      <c r="H37" s="57">
        <f t="shared" si="3"/>
        <v>6</v>
      </c>
      <c r="I37" s="57">
        <f t="shared" si="3"/>
        <v>18.399999999999999</v>
      </c>
      <c r="J37" s="57">
        <f t="shared" si="3"/>
        <v>10.1</v>
      </c>
      <c r="K37" s="57">
        <f t="shared" si="3"/>
        <v>20.399999999999999</v>
      </c>
      <c r="L37" s="57">
        <f t="shared" si="3"/>
        <v>16</v>
      </c>
      <c r="M37" s="57">
        <f t="shared" si="3"/>
        <v>760.89000000000044</v>
      </c>
      <c r="N37" s="57">
        <f t="shared" si="3"/>
        <v>85.5</v>
      </c>
      <c r="O37" s="57">
        <f t="shared" si="3"/>
        <v>4.9129622405190645</v>
      </c>
      <c r="P37" s="57">
        <f t="shared" si="3"/>
        <v>49.7</v>
      </c>
      <c r="Q37" s="57">
        <f t="shared" si="3"/>
        <v>488.57017989504902</v>
      </c>
      <c r="R37" s="57">
        <f t="shared" si="3"/>
        <v>53.475337101557251</v>
      </c>
      <c r="S37" s="57">
        <f t="shared" si="3"/>
        <v>73.541520762874683</v>
      </c>
      <c r="T37" s="57">
        <f t="shared" si="3"/>
        <v>7595.0999999999985</v>
      </c>
      <c r="U37" s="57">
        <f t="shared" si="3"/>
        <v>296.39999999999998</v>
      </c>
      <c r="V37" s="57">
        <f t="shared" si="3"/>
        <v>0</v>
      </c>
      <c r="W37" s="57">
        <f t="shared" si="3"/>
        <v>60.7</v>
      </c>
      <c r="X37" s="57">
        <f t="shared" si="3"/>
        <v>65.7</v>
      </c>
      <c r="Y37" s="57">
        <f t="shared" si="3"/>
        <v>3.7</v>
      </c>
      <c r="Z37" s="670">
        <f t="shared" si="3"/>
        <v>35757.899999999994</v>
      </c>
      <c r="AA37" s="669">
        <f t="shared" si="6"/>
        <v>0</v>
      </c>
      <c r="AB37" s="669">
        <f>Z37-TRP_Simple!AE70</f>
        <v>0</v>
      </c>
    </row>
    <row r="38" spans="1:28" ht="10.5" x14ac:dyDescent="0.25">
      <c r="A38" s="678">
        <f t="shared" si="4"/>
        <v>4</v>
      </c>
      <c r="B38" s="57">
        <f t="shared" si="2"/>
        <v>323</v>
      </c>
      <c r="C38" s="57">
        <f t="shared" si="3"/>
        <v>841</v>
      </c>
      <c r="D38" s="57">
        <f t="shared" si="3"/>
        <v>746.5</v>
      </c>
      <c r="E38" s="57">
        <f t="shared" si="3"/>
        <v>340</v>
      </c>
      <c r="F38" s="57">
        <f t="shared" si="3"/>
        <v>73</v>
      </c>
      <c r="G38" s="57">
        <f t="shared" si="3"/>
        <v>45</v>
      </c>
      <c r="H38" s="57">
        <f t="shared" si="3"/>
        <v>6</v>
      </c>
      <c r="I38" s="57">
        <f t="shared" si="3"/>
        <v>34</v>
      </c>
      <c r="J38" s="57">
        <f t="shared" si="3"/>
        <v>95</v>
      </c>
      <c r="K38" s="57">
        <f t="shared" si="3"/>
        <v>7</v>
      </c>
      <c r="L38" s="57">
        <f t="shared" si="3"/>
        <v>2</v>
      </c>
      <c r="M38" s="57">
        <f t="shared" si="3"/>
        <v>1647.5</v>
      </c>
      <c r="N38" s="57">
        <f t="shared" si="3"/>
        <v>613</v>
      </c>
      <c r="O38" s="57">
        <f t="shared" si="3"/>
        <v>3.0541445085518344</v>
      </c>
      <c r="P38" s="57">
        <f t="shared" si="3"/>
        <v>0</v>
      </c>
      <c r="Q38" s="57">
        <f t="shared" si="3"/>
        <v>24.568656668260388</v>
      </c>
      <c r="R38" s="57">
        <f t="shared" si="3"/>
        <v>9.8745779814091819</v>
      </c>
      <c r="S38" s="57">
        <f t="shared" si="3"/>
        <v>4.5026208417785938</v>
      </c>
      <c r="T38" s="57">
        <f t="shared" si="3"/>
        <v>573</v>
      </c>
      <c r="U38" s="57">
        <f t="shared" si="3"/>
        <v>334</v>
      </c>
      <c r="V38" s="57">
        <f t="shared" si="3"/>
        <v>0</v>
      </c>
      <c r="W38" s="57">
        <f t="shared" si="3"/>
        <v>0</v>
      </c>
      <c r="X38" s="57">
        <f t="shared" si="3"/>
        <v>0</v>
      </c>
      <c r="Y38" s="57">
        <f t="shared" si="3"/>
        <v>0</v>
      </c>
      <c r="Z38" s="670">
        <f t="shared" si="3"/>
        <v>5722</v>
      </c>
      <c r="AA38" s="669">
        <f t="shared" si="6"/>
        <v>0</v>
      </c>
      <c r="AB38" s="669">
        <f>Z38-TRP_Simple!AE71</f>
        <v>0</v>
      </c>
    </row>
    <row r="39" spans="1:28" ht="10.5" x14ac:dyDescent="0.25">
      <c r="A39" s="678">
        <f t="shared" si="4"/>
        <v>5</v>
      </c>
      <c r="B39" s="57">
        <f t="shared" si="2"/>
        <v>61</v>
      </c>
      <c r="C39" s="57">
        <f t="shared" si="3"/>
        <v>51</v>
      </c>
      <c r="D39" s="57">
        <f t="shared" si="3"/>
        <v>505.2</v>
      </c>
      <c r="E39" s="57">
        <f t="shared" si="3"/>
        <v>487</v>
      </c>
      <c r="F39" s="57">
        <f t="shared" si="3"/>
        <v>3853</v>
      </c>
      <c r="G39" s="57">
        <f t="shared" si="3"/>
        <v>87</v>
      </c>
      <c r="H39" s="57">
        <f t="shared" si="3"/>
        <v>41</v>
      </c>
      <c r="I39" s="57">
        <f t="shared" si="3"/>
        <v>79</v>
      </c>
      <c r="J39" s="57">
        <f t="shared" si="3"/>
        <v>88</v>
      </c>
      <c r="K39" s="57">
        <f t="shared" si="3"/>
        <v>107</v>
      </c>
      <c r="L39" s="57">
        <f t="shared" si="3"/>
        <v>26</v>
      </c>
      <c r="M39" s="57">
        <f t="shared" si="3"/>
        <v>1889.8</v>
      </c>
      <c r="N39" s="57">
        <f t="shared" si="3"/>
        <v>17528</v>
      </c>
      <c r="O39" s="57">
        <f t="shared" si="3"/>
        <v>2.4340595035213437</v>
      </c>
      <c r="P39" s="57">
        <f t="shared" si="3"/>
        <v>43</v>
      </c>
      <c r="Q39" s="57">
        <f t="shared" si="3"/>
        <v>164.70474098104839</v>
      </c>
      <c r="R39" s="57">
        <f t="shared" si="3"/>
        <v>4.8307085805802519</v>
      </c>
      <c r="S39" s="57">
        <f t="shared" si="3"/>
        <v>1.0304909348500093</v>
      </c>
      <c r="T39" s="57">
        <f t="shared" si="3"/>
        <v>2553</v>
      </c>
      <c r="U39" s="57">
        <f t="shared" si="3"/>
        <v>436</v>
      </c>
      <c r="V39" s="57">
        <f t="shared" si="3"/>
        <v>0</v>
      </c>
      <c r="W39" s="57">
        <f t="shared" si="3"/>
        <v>25</v>
      </c>
      <c r="X39" s="57">
        <f t="shared" si="3"/>
        <v>26</v>
      </c>
      <c r="Y39" s="57">
        <f t="shared" si="3"/>
        <v>0</v>
      </c>
      <c r="Z39" s="670">
        <f t="shared" si="3"/>
        <v>28059</v>
      </c>
      <c r="AA39" s="669">
        <f t="shared" si="6"/>
        <v>0</v>
      </c>
      <c r="AB39" s="669">
        <f>Z39-TRP_Simple!AE72</f>
        <v>0</v>
      </c>
    </row>
    <row r="40" spans="1:28" ht="10.5" x14ac:dyDescent="0.25">
      <c r="A40" s="678">
        <f t="shared" si="4"/>
        <v>6</v>
      </c>
      <c r="B40" s="57">
        <f t="shared" si="2"/>
        <v>131</v>
      </c>
      <c r="C40" s="57">
        <f t="shared" si="3"/>
        <v>2051</v>
      </c>
      <c r="D40" s="57">
        <f t="shared" si="3"/>
        <v>112.89999999999999</v>
      </c>
      <c r="E40" s="57">
        <f t="shared" si="3"/>
        <v>203</v>
      </c>
      <c r="F40" s="57">
        <f t="shared" si="3"/>
        <v>115</v>
      </c>
      <c r="G40" s="57">
        <f t="shared" si="3"/>
        <v>6404</v>
      </c>
      <c r="H40" s="57">
        <f t="shared" si="3"/>
        <v>30</v>
      </c>
      <c r="I40" s="57">
        <f t="shared" si="3"/>
        <v>209</v>
      </c>
      <c r="J40" s="57">
        <f t="shared" si="3"/>
        <v>492</v>
      </c>
      <c r="K40" s="57">
        <f t="shared" si="3"/>
        <v>0</v>
      </c>
      <c r="L40" s="57">
        <f t="shared" si="3"/>
        <v>38</v>
      </c>
      <c r="M40" s="57">
        <f t="shared" si="3"/>
        <v>7696.1</v>
      </c>
      <c r="N40" s="57">
        <f t="shared" si="3"/>
        <v>383</v>
      </c>
      <c r="O40" s="57">
        <f t="shared" si="3"/>
        <v>2.077284766852145</v>
      </c>
      <c r="P40" s="57">
        <f t="shared" si="3"/>
        <v>12</v>
      </c>
      <c r="Q40" s="57">
        <f t="shared" si="3"/>
        <v>64.444117552160179</v>
      </c>
      <c r="R40" s="57">
        <f t="shared" si="3"/>
        <v>33.54696249277692</v>
      </c>
      <c r="S40" s="57">
        <f t="shared" si="3"/>
        <v>6.931635188210759</v>
      </c>
      <c r="T40" s="57">
        <f t="shared" si="3"/>
        <v>4551</v>
      </c>
      <c r="U40" s="57">
        <f t="shared" si="3"/>
        <v>850</v>
      </c>
      <c r="V40" s="57">
        <f t="shared" si="3"/>
        <v>0</v>
      </c>
      <c r="W40" s="57">
        <f t="shared" si="3"/>
        <v>16</v>
      </c>
      <c r="X40" s="57">
        <f t="shared" si="3"/>
        <v>26</v>
      </c>
      <c r="Y40" s="57">
        <f t="shared" si="3"/>
        <v>3</v>
      </c>
      <c r="Z40" s="670">
        <f t="shared" si="3"/>
        <v>23430</v>
      </c>
      <c r="AA40" s="669">
        <f t="shared" si="6"/>
        <v>0</v>
      </c>
      <c r="AB40" s="669">
        <f>Z40-TRP_Simple!AE73</f>
        <v>0</v>
      </c>
    </row>
    <row r="41" spans="1:28" ht="10.5" x14ac:dyDescent="0.25">
      <c r="A41" s="678">
        <f t="shared" si="4"/>
        <v>7</v>
      </c>
      <c r="B41" s="57">
        <f t="shared" si="2"/>
        <v>2958</v>
      </c>
      <c r="C41" s="57">
        <f t="shared" si="3"/>
        <v>16</v>
      </c>
      <c r="D41" s="57">
        <f t="shared" si="3"/>
        <v>218.7</v>
      </c>
      <c r="E41" s="57">
        <f t="shared" si="3"/>
        <v>203</v>
      </c>
      <c r="F41" s="57">
        <f t="shared" si="3"/>
        <v>44</v>
      </c>
      <c r="G41" s="57">
        <f t="shared" si="3"/>
        <v>176</v>
      </c>
      <c r="H41" s="57">
        <f t="shared" si="3"/>
        <v>1734</v>
      </c>
      <c r="I41" s="57">
        <f t="shared" si="3"/>
        <v>1186</v>
      </c>
      <c r="J41" s="57">
        <f t="shared" si="3"/>
        <v>99</v>
      </c>
      <c r="K41" s="57">
        <f t="shared" si="3"/>
        <v>209</v>
      </c>
      <c r="L41" s="57">
        <f t="shared" si="3"/>
        <v>54</v>
      </c>
      <c r="M41" s="57">
        <f t="shared" si="3"/>
        <v>2418.3000000000002</v>
      </c>
      <c r="N41" s="57">
        <f t="shared" si="3"/>
        <v>131</v>
      </c>
      <c r="O41" s="57">
        <f t="shared" si="3"/>
        <v>1.0930127507545737</v>
      </c>
      <c r="P41" s="57">
        <f t="shared" si="3"/>
        <v>2</v>
      </c>
      <c r="Q41" s="57">
        <f t="shared" si="3"/>
        <v>4.0795873530817985</v>
      </c>
      <c r="R41" s="57">
        <f t="shared" si="3"/>
        <v>3.6065804101243399</v>
      </c>
      <c r="S41" s="57">
        <f t="shared" si="3"/>
        <v>2.2208194860392876</v>
      </c>
      <c r="T41" s="57">
        <f t="shared" si="3"/>
        <v>312</v>
      </c>
      <c r="U41" s="57">
        <f t="shared" si="3"/>
        <v>27</v>
      </c>
      <c r="V41" s="57">
        <f t="shared" si="3"/>
        <v>0</v>
      </c>
      <c r="W41" s="57">
        <f t="shared" si="3"/>
        <v>24</v>
      </c>
      <c r="X41" s="57">
        <f t="shared" si="3"/>
        <v>0</v>
      </c>
      <c r="Y41" s="57">
        <f t="shared" si="3"/>
        <v>6</v>
      </c>
      <c r="Z41" s="670">
        <f t="shared" si="3"/>
        <v>9829</v>
      </c>
      <c r="AA41" s="669">
        <f t="shared" si="6"/>
        <v>0</v>
      </c>
      <c r="AB41" s="669">
        <f>Z41-TRP_Simple!AE74</f>
        <v>0</v>
      </c>
    </row>
    <row r="42" spans="1:28" ht="10.5" x14ac:dyDescent="0.25">
      <c r="A42" s="678">
        <f t="shared" si="4"/>
        <v>8</v>
      </c>
      <c r="B42" s="57">
        <f t="shared" si="2"/>
        <v>0</v>
      </c>
      <c r="C42" s="57">
        <f t="shared" si="3"/>
        <v>165</v>
      </c>
      <c r="D42" s="57">
        <f t="shared" si="3"/>
        <v>386.1</v>
      </c>
      <c r="E42" s="57">
        <f t="shared" si="3"/>
        <v>60</v>
      </c>
      <c r="F42" s="57">
        <f t="shared" si="3"/>
        <v>106</v>
      </c>
      <c r="G42" s="57">
        <f t="shared" si="3"/>
        <v>719</v>
      </c>
      <c r="H42" s="57">
        <f t="shared" si="3"/>
        <v>108</v>
      </c>
      <c r="I42" s="57">
        <f t="shared" si="3"/>
        <v>4411</v>
      </c>
      <c r="J42" s="57">
        <f t="shared" si="3"/>
        <v>8377</v>
      </c>
      <c r="K42" s="57">
        <f t="shared" si="3"/>
        <v>47</v>
      </c>
      <c r="L42" s="57">
        <f t="shared" si="3"/>
        <v>40</v>
      </c>
      <c r="M42" s="57">
        <f t="shared" si="3"/>
        <v>9059.9</v>
      </c>
      <c r="N42" s="57">
        <f t="shared" si="3"/>
        <v>65</v>
      </c>
      <c r="O42" s="57">
        <f t="shared" si="3"/>
        <v>1.1240170010060981</v>
      </c>
      <c r="P42" s="57">
        <f t="shared" si="3"/>
        <v>3</v>
      </c>
      <c r="Q42" s="57">
        <f t="shared" si="3"/>
        <v>4.7727831374423992</v>
      </c>
      <c r="R42" s="57">
        <f t="shared" si="3"/>
        <v>3.808773880165786</v>
      </c>
      <c r="S42" s="57">
        <f t="shared" si="3"/>
        <v>2.2944259813857171</v>
      </c>
      <c r="T42" s="57">
        <f t="shared" si="3"/>
        <v>1174</v>
      </c>
      <c r="U42" s="57">
        <f t="shared" si="3"/>
        <v>212</v>
      </c>
      <c r="V42" s="57">
        <f t="shared" si="3"/>
        <v>0</v>
      </c>
      <c r="W42" s="57">
        <f t="shared" si="3"/>
        <v>1065</v>
      </c>
      <c r="X42" s="57">
        <f t="shared" si="3"/>
        <v>17</v>
      </c>
      <c r="Y42" s="57">
        <f t="shared" si="3"/>
        <v>5</v>
      </c>
      <c r="Z42" s="670">
        <f t="shared" si="3"/>
        <v>26032</v>
      </c>
      <c r="AA42" s="669">
        <f t="shared" si="6"/>
        <v>0</v>
      </c>
      <c r="AB42" s="669">
        <f>Z42-TRP_Simple!AE75</f>
        <v>0</v>
      </c>
    </row>
    <row r="43" spans="1:28" ht="10.5" x14ac:dyDescent="0.25">
      <c r="A43" s="678">
        <f t="shared" si="4"/>
        <v>9</v>
      </c>
      <c r="B43" s="57">
        <f t="shared" si="2"/>
        <v>249</v>
      </c>
      <c r="C43" s="57">
        <f t="shared" si="3"/>
        <v>2677</v>
      </c>
      <c r="D43" s="57">
        <f t="shared" si="3"/>
        <v>3550.8</v>
      </c>
      <c r="E43" s="57">
        <f t="shared" si="3"/>
        <v>41</v>
      </c>
      <c r="F43" s="57">
        <f t="shared" si="3"/>
        <v>148</v>
      </c>
      <c r="G43" s="57">
        <f t="shared" si="3"/>
        <v>269</v>
      </c>
      <c r="H43" s="57">
        <f t="shared" si="3"/>
        <v>138</v>
      </c>
      <c r="I43" s="57">
        <f t="shared" si="3"/>
        <v>312</v>
      </c>
      <c r="J43" s="57">
        <f t="shared" si="3"/>
        <v>1767</v>
      </c>
      <c r="K43" s="57">
        <f t="shared" si="3"/>
        <v>86</v>
      </c>
      <c r="L43" s="57">
        <f t="shared" si="3"/>
        <v>88</v>
      </c>
      <c r="M43" s="57">
        <f t="shared" si="3"/>
        <v>8110.2</v>
      </c>
      <c r="N43" s="57">
        <f t="shared" si="3"/>
        <v>3569</v>
      </c>
      <c r="O43" s="57">
        <f t="shared" si="3"/>
        <v>1.9301275075457365</v>
      </c>
      <c r="P43" s="57">
        <f t="shared" si="3"/>
        <v>1</v>
      </c>
      <c r="Q43" s="57">
        <f t="shared" si="3"/>
        <v>28.795873530817993</v>
      </c>
      <c r="R43" s="57">
        <f t="shared" si="3"/>
        <v>18.065804101243398</v>
      </c>
      <c r="S43" s="57">
        <f t="shared" si="3"/>
        <v>30.208194860392876</v>
      </c>
      <c r="T43" s="57">
        <f t="shared" si="3"/>
        <v>4259</v>
      </c>
      <c r="U43" s="57">
        <f t="shared" si="3"/>
        <v>1</v>
      </c>
      <c r="V43" s="57">
        <f t="shared" si="3"/>
        <v>0</v>
      </c>
      <c r="W43" s="57">
        <f t="shared" si="3"/>
        <v>551</v>
      </c>
      <c r="X43" s="57">
        <f t="shared" si="3"/>
        <v>336</v>
      </c>
      <c r="Y43" s="57">
        <f t="shared" si="3"/>
        <v>4</v>
      </c>
      <c r="Z43" s="670">
        <f t="shared" si="3"/>
        <v>26236</v>
      </c>
      <c r="AA43" s="669">
        <f t="shared" si="6"/>
        <v>0</v>
      </c>
      <c r="AB43" s="669">
        <f>Z43-TRP_Simple!AE76</f>
        <v>0</v>
      </c>
    </row>
    <row r="44" spans="1:28" ht="10.5" x14ac:dyDescent="0.25">
      <c r="A44" s="678">
        <f t="shared" si="4"/>
        <v>10</v>
      </c>
      <c r="B44" s="57">
        <f t="shared" si="2"/>
        <v>26</v>
      </c>
      <c r="C44" s="57">
        <f t="shared" si="3"/>
        <v>0</v>
      </c>
      <c r="D44" s="57">
        <f t="shared" si="3"/>
        <v>3629.1</v>
      </c>
      <c r="E44" s="57">
        <f t="shared" si="3"/>
        <v>15</v>
      </c>
      <c r="F44" s="57">
        <f t="shared" si="3"/>
        <v>283</v>
      </c>
      <c r="G44" s="57">
        <f t="shared" si="3"/>
        <v>0</v>
      </c>
      <c r="H44" s="57">
        <f t="shared" si="3"/>
        <v>0</v>
      </c>
      <c r="I44" s="57">
        <f t="shared" si="3"/>
        <v>96</v>
      </c>
      <c r="J44" s="57">
        <f t="shared" si="3"/>
        <v>133</v>
      </c>
      <c r="K44" s="57">
        <f t="shared" si="3"/>
        <v>7915</v>
      </c>
      <c r="L44" s="57">
        <f t="shared" si="3"/>
        <v>1</v>
      </c>
      <c r="M44" s="57">
        <f t="shared" si="3"/>
        <v>13839.9</v>
      </c>
      <c r="N44" s="57">
        <f t="shared" si="3"/>
        <v>2284</v>
      </c>
      <c r="O44" s="57">
        <f t="shared" si="3"/>
        <v>10.147157259306407</v>
      </c>
      <c r="P44" s="57">
        <f t="shared" si="3"/>
        <v>0</v>
      </c>
      <c r="Q44" s="57">
        <f t="shared" si="3"/>
        <v>32.648244021342194</v>
      </c>
      <c r="R44" s="57">
        <f t="shared" si="3"/>
        <v>12.481158391533523</v>
      </c>
      <c r="S44" s="57">
        <f t="shared" si="3"/>
        <v>3.7234403278178818</v>
      </c>
      <c r="T44" s="57">
        <f t="shared" si="3"/>
        <v>491</v>
      </c>
      <c r="U44" s="57">
        <f t="shared" si="3"/>
        <v>0</v>
      </c>
      <c r="V44" s="57">
        <f t="shared" si="3"/>
        <v>0</v>
      </c>
      <c r="W44" s="57">
        <f t="shared" si="3"/>
        <v>87</v>
      </c>
      <c r="X44" s="57">
        <f t="shared" si="3"/>
        <v>47</v>
      </c>
      <c r="Y44" s="57">
        <f t="shared" si="3"/>
        <v>4</v>
      </c>
      <c r="Z44" s="670">
        <f t="shared" si="3"/>
        <v>28910</v>
      </c>
      <c r="AA44" s="669">
        <f t="shared" si="6"/>
        <v>0</v>
      </c>
      <c r="AB44" s="669">
        <f>Z44-TRP_Simple!AE77</f>
        <v>0</v>
      </c>
    </row>
    <row r="45" spans="1:28" ht="10.5" x14ac:dyDescent="0.25">
      <c r="A45" s="678">
        <f t="shared" si="4"/>
        <v>11</v>
      </c>
      <c r="B45" s="57">
        <f t="shared" si="2"/>
        <v>0</v>
      </c>
      <c r="C45" s="57">
        <f t="shared" si="3"/>
        <v>87</v>
      </c>
      <c r="D45" s="57">
        <f t="shared" si="3"/>
        <v>470.1</v>
      </c>
      <c r="E45" s="57">
        <f t="shared" si="3"/>
        <v>141</v>
      </c>
      <c r="F45" s="57">
        <f t="shared" si="3"/>
        <v>110</v>
      </c>
      <c r="G45" s="57">
        <f t="shared" si="3"/>
        <v>9</v>
      </c>
      <c r="H45" s="57">
        <f t="shared" si="3"/>
        <v>98</v>
      </c>
      <c r="I45" s="57">
        <f t="shared" si="3"/>
        <v>11</v>
      </c>
      <c r="J45" s="57">
        <f t="shared" si="3"/>
        <v>40</v>
      </c>
      <c r="K45" s="57">
        <f t="shared" si="3"/>
        <v>817</v>
      </c>
      <c r="L45" s="57">
        <f t="shared" si="3"/>
        <v>4969</v>
      </c>
      <c r="M45" s="57">
        <f t="shared" si="3"/>
        <v>8925.9</v>
      </c>
      <c r="N45" s="57">
        <f t="shared" si="3"/>
        <v>1225</v>
      </c>
      <c r="O45" s="57">
        <f t="shared" si="3"/>
        <v>0</v>
      </c>
      <c r="P45" s="57">
        <f t="shared" si="3"/>
        <v>0</v>
      </c>
      <c r="Q45" s="57">
        <f t="shared" si="3"/>
        <v>0</v>
      </c>
      <c r="R45" s="57">
        <f t="shared" si="3"/>
        <v>0</v>
      </c>
      <c r="S45" s="57">
        <f t="shared" si="3"/>
        <v>0</v>
      </c>
      <c r="T45" s="57">
        <f t="shared" si="3"/>
        <v>384</v>
      </c>
      <c r="U45" s="57">
        <f t="shared" si="3"/>
        <v>0</v>
      </c>
      <c r="V45" s="57">
        <f t="shared" si="3"/>
        <v>0</v>
      </c>
      <c r="W45" s="57">
        <f t="shared" si="3"/>
        <v>71</v>
      </c>
      <c r="X45" s="57">
        <f t="shared" si="3"/>
        <v>0</v>
      </c>
      <c r="Y45" s="57">
        <f t="shared" si="3"/>
        <v>0</v>
      </c>
      <c r="Z45" s="670">
        <f t="shared" si="3"/>
        <v>17358</v>
      </c>
      <c r="AA45" s="669">
        <f t="shared" si="6"/>
        <v>0</v>
      </c>
      <c r="AB45" s="669">
        <f>Z45-TRP_Simple!AE78</f>
        <v>0</v>
      </c>
    </row>
    <row r="46" spans="1:28" ht="10.5" x14ac:dyDescent="0.25">
      <c r="A46" s="678">
        <f t="shared" si="4"/>
        <v>12</v>
      </c>
      <c r="B46" s="57">
        <f t="shared" si="2"/>
        <v>8645</v>
      </c>
      <c r="C46" s="57">
        <f t="shared" si="3"/>
        <v>4343.8999999999996</v>
      </c>
      <c r="D46" s="57">
        <f t="shared" si="3"/>
        <v>26565.690000000002</v>
      </c>
      <c r="E46" s="57">
        <f t="shared" si="3"/>
        <v>754.3</v>
      </c>
      <c r="F46" s="57">
        <f t="shared" si="3"/>
        <v>3491.2</v>
      </c>
      <c r="G46" s="57">
        <f t="shared" si="3"/>
        <v>1757.6</v>
      </c>
      <c r="H46" s="57">
        <f t="shared" si="3"/>
        <v>906</v>
      </c>
      <c r="I46" s="57">
        <f t="shared" ref="C46:Z56" si="7">GETPIVOTDATA(CONCATENATE(I$4),$A$3,"L",$A16)</f>
        <v>1665.6</v>
      </c>
      <c r="J46" s="57">
        <f t="shared" si="7"/>
        <v>1951.9</v>
      </c>
      <c r="K46" s="57">
        <f t="shared" si="7"/>
        <v>5135.6000000000004</v>
      </c>
      <c r="L46" s="57">
        <f t="shared" si="7"/>
        <v>2082</v>
      </c>
      <c r="M46" s="57">
        <f t="shared" si="7"/>
        <v>156859.60999999999</v>
      </c>
      <c r="N46" s="57">
        <f t="shared" si="7"/>
        <v>31466.5</v>
      </c>
      <c r="O46" s="57">
        <f t="shared" si="7"/>
        <v>63.068147752705165</v>
      </c>
      <c r="P46" s="57">
        <f t="shared" si="7"/>
        <v>216.3</v>
      </c>
      <c r="Q46" s="57">
        <f t="shared" si="7"/>
        <v>1233.7501435816509</v>
      </c>
      <c r="R46" s="57">
        <f t="shared" si="7"/>
        <v>902.04574842852162</v>
      </c>
      <c r="S46" s="57">
        <f t="shared" si="7"/>
        <v>1677.6359602371233</v>
      </c>
      <c r="T46" s="57">
        <f t="shared" si="7"/>
        <v>58364.9</v>
      </c>
      <c r="U46" s="57">
        <f t="shared" si="7"/>
        <v>23996.6</v>
      </c>
      <c r="V46" s="57">
        <f t="shared" si="7"/>
        <v>0</v>
      </c>
      <c r="W46" s="57">
        <f t="shared" si="7"/>
        <v>1227.3</v>
      </c>
      <c r="X46" s="57">
        <f t="shared" si="7"/>
        <v>4686.3</v>
      </c>
      <c r="Y46" s="57">
        <f t="shared" si="7"/>
        <v>165.3</v>
      </c>
      <c r="Z46" s="670">
        <f t="shared" si="7"/>
        <v>338158.1</v>
      </c>
      <c r="AA46" s="669">
        <f t="shared" si="6"/>
        <v>0</v>
      </c>
      <c r="AB46" s="669">
        <f>Z46-TRP_Simple!AE79</f>
        <v>0</v>
      </c>
    </row>
    <row r="47" spans="1:28" ht="10.5" x14ac:dyDescent="0.25">
      <c r="A47" s="678">
        <f t="shared" si="4"/>
        <v>13</v>
      </c>
      <c r="B47" s="57">
        <f t="shared" si="2"/>
        <v>254</v>
      </c>
      <c r="C47" s="57">
        <f t="shared" si="7"/>
        <v>186</v>
      </c>
      <c r="D47" s="57">
        <f t="shared" si="7"/>
        <v>160.6</v>
      </c>
      <c r="E47" s="57">
        <f t="shared" si="7"/>
        <v>34</v>
      </c>
      <c r="F47" s="57">
        <f t="shared" si="7"/>
        <v>66</v>
      </c>
      <c r="G47" s="57">
        <f t="shared" si="7"/>
        <v>45</v>
      </c>
      <c r="H47" s="57">
        <f t="shared" si="7"/>
        <v>24</v>
      </c>
      <c r="I47" s="57">
        <f t="shared" si="7"/>
        <v>63</v>
      </c>
      <c r="J47" s="57">
        <f t="shared" si="7"/>
        <v>43</v>
      </c>
      <c r="K47" s="57">
        <f t="shared" si="7"/>
        <v>56</v>
      </c>
      <c r="L47" s="57">
        <f t="shared" si="7"/>
        <v>50</v>
      </c>
      <c r="M47" s="57">
        <f t="shared" si="7"/>
        <v>1692.4</v>
      </c>
      <c r="N47" s="57">
        <f t="shared" si="7"/>
        <v>29456</v>
      </c>
      <c r="O47" s="57">
        <f t="shared" si="7"/>
        <v>31.038416524649406</v>
      </c>
      <c r="P47" s="57">
        <f t="shared" si="7"/>
        <v>61</v>
      </c>
      <c r="Q47" s="57">
        <f t="shared" si="7"/>
        <v>157.93318686733878</v>
      </c>
      <c r="R47" s="57">
        <f t="shared" si="7"/>
        <v>159.81496006406178</v>
      </c>
      <c r="S47" s="57">
        <f t="shared" si="7"/>
        <v>133.21343654395005</v>
      </c>
      <c r="T47" s="57">
        <f t="shared" si="7"/>
        <v>12031</v>
      </c>
      <c r="U47" s="57">
        <f t="shared" si="7"/>
        <v>6537</v>
      </c>
      <c r="V47" s="57">
        <f t="shared" si="7"/>
        <v>0</v>
      </c>
      <c r="W47" s="57">
        <f t="shared" si="7"/>
        <v>580.6512959152401</v>
      </c>
      <c r="X47" s="57">
        <f t="shared" si="7"/>
        <v>2483</v>
      </c>
      <c r="Y47" s="57">
        <f t="shared" si="7"/>
        <v>206.34870408475987</v>
      </c>
      <c r="Z47" s="670">
        <f t="shared" si="7"/>
        <v>54511</v>
      </c>
      <c r="AA47" s="669">
        <f t="shared" si="6"/>
        <v>0</v>
      </c>
      <c r="AB47" s="669">
        <f>Z47-TRP_Simple!AE80</f>
        <v>0</v>
      </c>
    </row>
    <row r="48" spans="1:28" ht="10.5" x14ac:dyDescent="0.25">
      <c r="A48" s="678">
        <f t="shared" si="4"/>
        <v>14</v>
      </c>
      <c r="B48" s="57">
        <f t="shared" si="2"/>
        <v>1</v>
      </c>
      <c r="C48" s="57">
        <f t="shared" si="7"/>
        <v>24.525717101615914</v>
      </c>
      <c r="D48" s="57">
        <f t="shared" si="7"/>
        <v>8.2397182925076482</v>
      </c>
      <c r="E48" s="57">
        <f t="shared" si="7"/>
        <v>2.3021785105640311</v>
      </c>
      <c r="F48" s="57">
        <f t="shared" si="7"/>
        <v>4.0384165246494064</v>
      </c>
      <c r="G48" s="57">
        <f t="shared" si="7"/>
        <v>7.2323060181097674</v>
      </c>
      <c r="H48" s="57">
        <f t="shared" si="7"/>
        <v>2.3410467527667702</v>
      </c>
      <c r="I48" s="57">
        <f t="shared" si="7"/>
        <v>5.271174260312506</v>
      </c>
      <c r="J48" s="57">
        <f t="shared" si="7"/>
        <v>5.6432252633308009</v>
      </c>
      <c r="K48" s="57">
        <f t="shared" si="7"/>
        <v>9.6117692955259422</v>
      </c>
      <c r="L48" s="57">
        <f t="shared" si="7"/>
        <v>3.1471572593064083</v>
      </c>
      <c r="M48" s="57">
        <f t="shared" si="7"/>
        <v>150.9723425661663</v>
      </c>
      <c r="N48" s="57">
        <f t="shared" si="7"/>
        <v>42.734882861425376</v>
      </c>
      <c r="O48" s="57">
        <f t="shared" si="7"/>
        <v>19.745682587453167</v>
      </c>
      <c r="P48" s="57">
        <f t="shared" si="7"/>
        <v>1.9611317577972609</v>
      </c>
      <c r="Q48" s="57">
        <f t="shared" si="7"/>
        <v>43.457257747681773</v>
      </c>
      <c r="R48" s="57">
        <f t="shared" si="7"/>
        <v>17.126745481360032</v>
      </c>
      <c r="S48" s="57">
        <f t="shared" si="7"/>
        <v>15.159154706676086</v>
      </c>
      <c r="T48" s="57">
        <f t="shared" si="7"/>
        <v>1026.9201075909079</v>
      </c>
      <c r="U48" s="57">
        <f t="shared" si="7"/>
        <v>777.57335277087657</v>
      </c>
      <c r="V48" s="57">
        <f t="shared" si="7"/>
        <v>0</v>
      </c>
      <c r="W48" s="57">
        <f t="shared" si="7"/>
        <v>26.053241073445168</v>
      </c>
      <c r="X48" s="57">
        <f t="shared" si="7"/>
        <v>15.960228322690595</v>
      </c>
      <c r="Y48" s="57">
        <f t="shared" si="7"/>
        <v>1.5270722542759172</v>
      </c>
      <c r="Z48" s="670">
        <f t="shared" si="7"/>
        <v>2212.5439089994456</v>
      </c>
      <c r="AA48" s="669">
        <f t="shared" si="6"/>
        <v>0</v>
      </c>
      <c r="AB48" s="669">
        <f>Z48-TRP_Simple!AE81</f>
        <v>0</v>
      </c>
    </row>
    <row r="49" spans="1:29" ht="10.5" x14ac:dyDescent="0.25">
      <c r="A49" s="678">
        <f t="shared" si="4"/>
        <v>15</v>
      </c>
      <c r="B49" s="57">
        <f t="shared" si="2"/>
        <v>0</v>
      </c>
      <c r="C49" s="57">
        <f t="shared" si="7"/>
        <v>91</v>
      </c>
      <c r="D49" s="57">
        <f t="shared" si="7"/>
        <v>24</v>
      </c>
      <c r="E49" s="57">
        <f t="shared" si="7"/>
        <v>2</v>
      </c>
      <c r="F49" s="57">
        <f t="shared" si="7"/>
        <v>8</v>
      </c>
      <c r="G49" s="57">
        <f t="shared" si="7"/>
        <v>4</v>
      </c>
      <c r="H49" s="57">
        <f t="shared" si="7"/>
        <v>1</v>
      </c>
      <c r="I49" s="57">
        <f t="shared" si="7"/>
        <v>12</v>
      </c>
      <c r="J49" s="57">
        <f t="shared" si="7"/>
        <v>11</v>
      </c>
      <c r="K49" s="57">
        <f t="shared" si="7"/>
        <v>3</v>
      </c>
      <c r="L49" s="57">
        <f t="shared" si="7"/>
        <v>1</v>
      </c>
      <c r="M49" s="57">
        <f t="shared" si="7"/>
        <v>208</v>
      </c>
      <c r="N49" s="57">
        <f t="shared" si="7"/>
        <v>60</v>
      </c>
      <c r="O49" s="57">
        <f t="shared" si="7"/>
        <v>2.5890807547789665</v>
      </c>
      <c r="P49" s="57">
        <f t="shared" si="7"/>
        <v>397</v>
      </c>
      <c r="Q49" s="57">
        <f t="shared" si="7"/>
        <v>27.170719902851395</v>
      </c>
      <c r="R49" s="57">
        <f t="shared" si="7"/>
        <v>19.841675930787485</v>
      </c>
      <c r="S49" s="57">
        <f t="shared" si="7"/>
        <v>26.398523411582154</v>
      </c>
      <c r="T49" s="57">
        <f t="shared" si="7"/>
        <v>1420</v>
      </c>
      <c r="U49" s="57">
        <f t="shared" si="7"/>
        <v>1860</v>
      </c>
      <c r="V49" s="57">
        <f t="shared" si="7"/>
        <v>0</v>
      </c>
      <c r="W49" s="57">
        <f t="shared" si="7"/>
        <v>21</v>
      </c>
      <c r="X49" s="57">
        <f t="shared" si="7"/>
        <v>14</v>
      </c>
      <c r="Y49" s="57">
        <f t="shared" si="7"/>
        <v>2</v>
      </c>
      <c r="Z49" s="670">
        <f t="shared" si="7"/>
        <v>4215</v>
      </c>
      <c r="AA49" s="669">
        <f t="shared" si="6"/>
        <v>0</v>
      </c>
      <c r="AB49" s="669">
        <f>Z49-TRP_Simple!AE82</f>
        <v>0</v>
      </c>
    </row>
    <row r="50" spans="1:29" ht="10.5" x14ac:dyDescent="0.25">
      <c r="A50" s="678">
        <f t="shared" si="4"/>
        <v>16</v>
      </c>
      <c r="B50" s="57">
        <f t="shared" si="2"/>
        <v>37</v>
      </c>
      <c r="C50" s="57">
        <f t="shared" si="7"/>
        <v>293.05109688168227</v>
      </c>
      <c r="D50" s="57">
        <f t="shared" si="7"/>
        <v>125.15008755694134</v>
      </c>
      <c r="E50" s="57">
        <f t="shared" si="7"/>
        <v>31.114222943145187</v>
      </c>
      <c r="F50" s="57">
        <f t="shared" si="7"/>
        <v>69.933186867338776</v>
      </c>
      <c r="G50" s="57">
        <f t="shared" si="7"/>
        <v>52.910096473963179</v>
      </c>
      <c r="H50" s="57">
        <f t="shared" si="7"/>
        <v>8.625153627966597</v>
      </c>
      <c r="I50" s="57">
        <f t="shared" si="7"/>
        <v>31.421027158784586</v>
      </c>
      <c r="J50" s="57">
        <f t="shared" si="7"/>
        <v>41.739376571111784</v>
      </c>
      <c r="K50" s="57">
        <f t="shared" si="7"/>
        <v>128.46843696926857</v>
      </c>
      <c r="L50" s="57">
        <f t="shared" si="7"/>
        <v>26.64824402134219</v>
      </c>
      <c r="M50" s="57">
        <f t="shared" si="7"/>
        <v>947.34710094127377</v>
      </c>
      <c r="N50" s="57">
        <f t="shared" si="7"/>
        <v>332.0857324717457</v>
      </c>
      <c r="O50" s="57">
        <f t="shared" si="7"/>
        <v>38.979240846405524</v>
      </c>
      <c r="P50" s="57">
        <f t="shared" si="7"/>
        <v>49.48906931517859</v>
      </c>
      <c r="Q50" s="57">
        <f t="shared" si="7"/>
        <v>5165.0511709322427</v>
      </c>
      <c r="R50" s="57">
        <f t="shared" si="7"/>
        <v>347.18840809499818</v>
      </c>
      <c r="S50" s="57">
        <f t="shared" si="7"/>
        <v>246.62841159640078</v>
      </c>
      <c r="T50" s="57">
        <f t="shared" si="7"/>
        <v>10564.499945735228</v>
      </c>
      <c r="U50" s="57">
        <f t="shared" si="7"/>
        <v>767.53525010192971</v>
      </c>
      <c r="V50" s="57">
        <f t="shared" si="7"/>
        <v>0</v>
      </c>
      <c r="W50" s="57">
        <f t="shared" si="7"/>
        <v>206.41316903329511</v>
      </c>
      <c r="X50" s="57">
        <f t="shared" si="7"/>
        <v>202.33358168021331</v>
      </c>
      <c r="Y50" s="57">
        <f t="shared" si="7"/>
        <v>12.784328334130194</v>
      </c>
      <c r="Z50" s="670">
        <f t="shared" si="7"/>
        <v>19726.396338154584</v>
      </c>
      <c r="AA50" s="669">
        <f t="shared" si="6"/>
        <v>0</v>
      </c>
      <c r="AB50" s="669">
        <f>Z50-TRP_Simple!AE83</f>
        <v>0</v>
      </c>
    </row>
    <row r="51" spans="1:29" ht="10.5" x14ac:dyDescent="0.25">
      <c r="A51" s="678">
        <f t="shared" si="4"/>
        <v>17</v>
      </c>
      <c r="B51" s="57">
        <f t="shared" si="2"/>
        <v>0</v>
      </c>
      <c r="C51" s="57">
        <f t="shared" si="7"/>
        <v>81.686161896744409</v>
      </c>
      <c r="D51" s="57">
        <f t="shared" si="7"/>
        <v>34.170696437004466</v>
      </c>
      <c r="E51" s="57">
        <f t="shared" si="7"/>
        <v>8.4921257417407556</v>
      </c>
      <c r="F51" s="57">
        <f t="shared" si="7"/>
        <v>19.814960064061761</v>
      </c>
      <c r="G51" s="57">
        <f t="shared" si="7"/>
        <v>14.557929842984151</v>
      </c>
      <c r="H51" s="57">
        <f t="shared" si="7"/>
        <v>2.2241281704559119</v>
      </c>
      <c r="I51" s="57">
        <f t="shared" si="7"/>
        <v>8.2899322716993087</v>
      </c>
      <c r="J51" s="57">
        <f t="shared" si="7"/>
        <v>10.716253912196667</v>
      </c>
      <c r="K51" s="57">
        <f t="shared" si="7"/>
        <v>36.597018077501829</v>
      </c>
      <c r="L51" s="57">
        <f t="shared" si="7"/>
        <v>7.4811583915335227</v>
      </c>
      <c r="M51" s="57">
        <f t="shared" si="7"/>
        <v>254.15719184209837</v>
      </c>
      <c r="N51" s="57">
        <f t="shared" si="7"/>
        <v>89.571707228360822</v>
      </c>
      <c r="O51" s="57">
        <f t="shared" si="7"/>
        <v>13.457716586102777</v>
      </c>
      <c r="P51" s="57">
        <f t="shared" si="7"/>
        <v>6.2679975712848428</v>
      </c>
      <c r="Q51" s="57">
        <f t="shared" si="7"/>
        <v>316.7173018856418</v>
      </c>
      <c r="R51" s="57">
        <f t="shared" si="7"/>
        <v>1689.6910904033648</v>
      </c>
      <c r="S51" s="57">
        <f t="shared" si="7"/>
        <v>77.696308811099499</v>
      </c>
      <c r="T51" s="57">
        <f t="shared" si="7"/>
        <v>1579.8540072333467</v>
      </c>
      <c r="U51" s="57">
        <f t="shared" si="7"/>
        <v>18.782058013440064</v>
      </c>
      <c r="V51" s="57">
        <f t="shared" si="7"/>
        <v>0</v>
      </c>
      <c r="W51" s="57">
        <f t="shared" si="7"/>
        <v>59.040493252102394</v>
      </c>
      <c r="X51" s="57">
        <f t="shared" si="7"/>
        <v>58.433912841978056</v>
      </c>
      <c r="Y51" s="57">
        <f t="shared" si="7"/>
        <v>3.4372889907045914</v>
      </c>
      <c r="Z51" s="670">
        <f t="shared" si="7"/>
        <v>4391.1374394654504</v>
      </c>
      <c r="AA51" s="669">
        <f t="shared" si="6"/>
        <v>0</v>
      </c>
      <c r="AB51" s="669">
        <f>Z51-TRP_Simple!AE84</f>
        <v>0</v>
      </c>
    </row>
    <row r="52" spans="1:29" ht="10.5" x14ac:dyDescent="0.25">
      <c r="A52" s="678">
        <f t="shared" si="4"/>
        <v>18</v>
      </c>
      <c r="B52" s="57">
        <f t="shared" si="2"/>
        <v>9</v>
      </c>
      <c r="C52" s="57">
        <f t="shared" si="7"/>
        <v>171.73702411995743</v>
      </c>
      <c r="D52" s="57">
        <f t="shared" si="7"/>
        <v>55.139497713546547</v>
      </c>
      <c r="E52" s="57">
        <f t="shared" si="7"/>
        <v>15.091472804550028</v>
      </c>
      <c r="F52" s="57">
        <f t="shared" si="7"/>
        <v>46.213436543950067</v>
      </c>
      <c r="G52" s="57">
        <f t="shared" si="7"/>
        <v>23.299667664942906</v>
      </c>
      <c r="H52" s="57">
        <f t="shared" si="7"/>
        <v>12.809671448810722</v>
      </c>
      <c r="I52" s="57">
        <f t="shared" si="7"/>
        <v>27.017866309203598</v>
      </c>
      <c r="J52" s="57">
        <f t="shared" si="7"/>
        <v>30.901144253360748</v>
      </c>
      <c r="K52" s="57">
        <f t="shared" si="7"/>
        <v>30.322775657703694</v>
      </c>
      <c r="L52" s="57">
        <f t="shared" si="7"/>
        <v>12.723440327817881</v>
      </c>
      <c r="M52" s="57">
        <f t="shared" si="7"/>
        <v>559.82336465046149</v>
      </c>
      <c r="N52" s="57">
        <f t="shared" si="7"/>
        <v>171.60767743846816</v>
      </c>
      <c r="O52" s="57">
        <f t="shared" si="7"/>
        <v>12.810584216738533</v>
      </c>
      <c r="P52" s="57">
        <f t="shared" si="7"/>
        <v>17.281801355739308</v>
      </c>
      <c r="Q52" s="57">
        <f t="shared" si="7"/>
        <v>263.10811217219396</v>
      </c>
      <c r="R52" s="57">
        <f t="shared" si="7"/>
        <v>107.23812055047608</v>
      </c>
      <c r="S52" s="57">
        <f t="shared" si="7"/>
        <v>2431.9446933811641</v>
      </c>
      <c r="T52" s="57">
        <f t="shared" si="7"/>
        <v>4843.7259394405164</v>
      </c>
      <c r="U52" s="57">
        <f t="shared" si="7"/>
        <v>318.10933911375366</v>
      </c>
      <c r="V52" s="57">
        <f t="shared" si="7"/>
        <v>0</v>
      </c>
      <c r="W52" s="57">
        <f t="shared" si="7"/>
        <v>74.493096641157337</v>
      </c>
      <c r="X52" s="57">
        <f t="shared" si="7"/>
        <v>49.272277155118047</v>
      </c>
      <c r="Y52" s="57">
        <f t="shared" si="7"/>
        <v>5.2513104208892969</v>
      </c>
      <c r="Z52" s="670">
        <f t="shared" si="7"/>
        <v>9288.922313380519</v>
      </c>
      <c r="AA52" s="669">
        <f t="shared" si="6"/>
        <v>0</v>
      </c>
      <c r="AB52" s="669">
        <f>Z52-TRP_Simple!AE85</f>
        <v>0</v>
      </c>
    </row>
    <row r="53" spans="1:29" ht="10.5" x14ac:dyDescent="0.25">
      <c r="A53" s="678">
        <f t="shared" si="4"/>
        <v>19</v>
      </c>
      <c r="B53" s="57">
        <f t="shared" si="2"/>
        <v>5883</v>
      </c>
      <c r="C53" s="57">
        <f t="shared" si="7"/>
        <v>19552</v>
      </c>
      <c r="D53" s="57">
        <f t="shared" si="7"/>
        <v>12508.300000000001</v>
      </c>
      <c r="E53" s="57">
        <f t="shared" si="7"/>
        <v>1338</v>
      </c>
      <c r="F53" s="57">
        <f t="shared" si="7"/>
        <v>3515</v>
      </c>
      <c r="G53" s="57">
        <f t="shared" si="7"/>
        <v>3328</v>
      </c>
      <c r="H53" s="57">
        <f t="shared" si="7"/>
        <v>924</v>
      </c>
      <c r="I53" s="57">
        <f t="shared" si="7"/>
        <v>2550</v>
      </c>
      <c r="J53" s="57">
        <f t="shared" si="7"/>
        <v>3747</v>
      </c>
      <c r="K53" s="57">
        <f t="shared" si="7"/>
        <v>3660</v>
      </c>
      <c r="L53" s="57">
        <f t="shared" si="7"/>
        <v>1682</v>
      </c>
      <c r="M53" s="57">
        <f t="shared" si="7"/>
        <v>81094.700000000012</v>
      </c>
      <c r="N53" s="57">
        <f t="shared" si="7"/>
        <v>35131</v>
      </c>
      <c r="O53" s="57">
        <f t="shared" si="7"/>
        <v>2989.2803112744596</v>
      </c>
      <c r="P53" s="57">
        <f t="shared" si="7"/>
        <v>3014</v>
      </c>
      <c r="Q53" s="57">
        <f t="shared" si="7"/>
        <v>14099.386429700722</v>
      </c>
      <c r="R53" s="57">
        <f t="shared" si="7"/>
        <v>4572.5340034788123</v>
      </c>
      <c r="S53" s="57">
        <f t="shared" si="7"/>
        <v>4286.799255546006</v>
      </c>
      <c r="T53" s="57">
        <f t="shared" si="7"/>
        <v>490248</v>
      </c>
      <c r="U53" s="57">
        <f t="shared" si="7"/>
        <v>44833</v>
      </c>
      <c r="V53" s="57">
        <f t="shared" si="7"/>
        <v>27</v>
      </c>
      <c r="W53" s="57">
        <f t="shared" si="7"/>
        <v>3999.3307539074472</v>
      </c>
      <c r="X53" s="57">
        <f t="shared" si="7"/>
        <v>6382</v>
      </c>
      <c r="Y53" s="57">
        <f t="shared" si="7"/>
        <v>1264.6692460925531</v>
      </c>
      <c r="Z53" s="670">
        <f t="shared" si="7"/>
        <v>750629</v>
      </c>
      <c r="AA53" s="669">
        <f t="shared" si="6"/>
        <v>0</v>
      </c>
      <c r="AB53" s="669">
        <f>Z53-TRP_Simple!AE86</f>
        <v>0</v>
      </c>
    </row>
    <row r="54" spans="1:29" ht="10.5" x14ac:dyDescent="0.25">
      <c r="A54" s="678">
        <f t="shared" si="4"/>
        <v>20</v>
      </c>
      <c r="B54" s="57">
        <f t="shared" si="2"/>
        <v>14</v>
      </c>
      <c r="C54" s="57">
        <f t="shared" si="7"/>
        <v>61</v>
      </c>
      <c r="D54" s="57">
        <f t="shared" si="7"/>
        <v>19.100000000000001</v>
      </c>
      <c r="E54" s="57">
        <f t="shared" si="7"/>
        <v>23</v>
      </c>
      <c r="F54" s="57">
        <f t="shared" si="7"/>
        <v>5</v>
      </c>
      <c r="G54" s="57">
        <f t="shared" si="7"/>
        <v>7</v>
      </c>
      <c r="H54" s="57">
        <f t="shared" si="7"/>
        <v>18</v>
      </c>
      <c r="I54" s="57">
        <f t="shared" si="7"/>
        <v>12</v>
      </c>
      <c r="J54" s="57">
        <f t="shared" si="7"/>
        <v>15</v>
      </c>
      <c r="K54" s="57">
        <f t="shared" si="7"/>
        <v>10</v>
      </c>
      <c r="L54" s="57">
        <f t="shared" si="7"/>
        <v>12</v>
      </c>
      <c r="M54" s="57">
        <f t="shared" si="7"/>
        <v>564.9</v>
      </c>
      <c r="N54" s="57">
        <f t="shared" si="7"/>
        <v>78</v>
      </c>
      <c r="O54" s="57">
        <f t="shared" si="7"/>
        <v>5.4724760281707496</v>
      </c>
      <c r="P54" s="57">
        <f t="shared" si="7"/>
        <v>22</v>
      </c>
      <c r="Q54" s="57">
        <f t="shared" si="7"/>
        <v>79.637927848387164</v>
      </c>
      <c r="R54" s="57">
        <f t="shared" si="7"/>
        <v>37.645668644642015</v>
      </c>
      <c r="S54" s="57">
        <f t="shared" si="7"/>
        <v>9.2439274788000745</v>
      </c>
      <c r="T54" s="57">
        <f t="shared" si="7"/>
        <v>1640</v>
      </c>
      <c r="U54" s="57">
        <f t="shared" si="7"/>
        <v>0</v>
      </c>
      <c r="V54" s="57">
        <f t="shared" si="7"/>
        <v>0</v>
      </c>
      <c r="W54" s="57">
        <f t="shared" si="7"/>
        <v>40</v>
      </c>
      <c r="X54" s="57">
        <f t="shared" si="7"/>
        <v>3</v>
      </c>
      <c r="Y54" s="57">
        <f t="shared" si="7"/>
        <v>10</v>
      </c>
      <c r="Z54" s="670">
        <f t="shared" si="7"/>
        <v>2686</v>
      </c>
      <c r="AA54" s="669">
        <f t="shared" si="6"/>
        <v>0</v>
      </c>
      <c r="AB54" s="669">
        <f>Z54-TRP_Simple!AE87</f>
        <v>0</v>
      </c>
    </row>
    <row r="55" spans="1:29" ht="10.5" x14ac:dyDescent="0.25">
      <c r="A55" s="678">
        <f t="shared" si="4"/>
        <v>21</v>
      </c>
      <c r="B55" s="57">
        <f t="shared" si="2"/>
        <v>0</v>
      </c>
      <c r="C55" s="57">
        <f t="shared" si="7"/>
        <v>0</v>
      </c>
      <c r="D55" s="57">
        <f t="shared" si="7"/>
        <v>0</v>
      </c>
      <c r="E55" s="57">
        <f t="shared" si="7"/>
        <v>0</v>
      </c>
      <c r="F55" s="57">
        <f t="shared" si="7"/>
        <v>2</v>
      </c>
      <c r="G55" s="57">
        <f t="shared" si="7"/>
        <v>7</v>
      </c>
      <c r="H55" s="57">
        <f t="shared" si="7"/>
        <v>10</v>
      </c>
      <c r="I55" s="57">
        <f t="shared" si="7"/>
        <v>3</v>
      </c>
      <c r="J55" s="57">
        <f t="shared" si="7"/>
        <v>0</v>
      </c>
      <c r="K55" s="57">
        <f t="shared" si="7"/>
        <v>380</v>
      </c>
      <c r="L55" s="57">
        <f t="shared" si="7"/>
        <v>0</v>
      </c>
      <c r="M55" s="57">
        <f t="shared" si="7"/>
        <v>486</v>
      </c>
      <c r="N55" s="57">
        <f t="shared" si="7"/>
        <v>0</v>
      </c>
      <c r="O55" s="57">
        <f t="shared" si="7"/>
        <v>0</v>
      </c>
      <c r="P55" s="57">
        <f t="shared" si="7"/>
        <v>0</v>
      </c>
      <c r="Q55" s="57">
        <f t="shared" si="7"/>
        <v>0</v>
      </c>
      <c r="R55" s="57">
        <f t="shared" si="7"/>
        <v>0</v>
      </c>
      <c r="S55" s="57">
        <f t="shared" si="7"/>
        <v>0</v>
      </c>
      <c r="T55" s="57">
        <f t="shared" si="7"/>
        <v>37</v>
      </c>
      <c r="U55" s="57">
        <f t="shared" si="7"/>
        <v>106</v>
      </c>
      <c r="V55" s="57">
        <f t="shared" si="7"/>
        <v>5</v>
      </c>
      <c r="W55" s="57">
        <f t="shared" si="7"/>
        <v>0</v>
      </c>
      <c r="X55" s="57">
        <f t="shared" si="7"/>
        <v>724</v>
      </c>
      <c r="Y55" s="57">
        <f t="shared" si="7"/>
        <v>47</v>
      </c>
      <c r="Z55" s="670">
        <f t="shared" si="7"/>
        <v>1807</v>
      </c>
      <c r="AA55" s="669">
        <f t="shared" si="6"/>
        <v>0</v>
      </c>
      <c r="AB55" s="669">
        <f>Z55-TRP_Simple!AE88</f>
        <v>0</v>
      </c>
    </row>
    <row r="56" spans="1:29" ht="10.5" x14ac:dyDescent="0.25">
      <c r="A56" s="678">
        <f t="shared" si="4"/>
        <v>22</v>
      </c>
      <c r="B56" s="57">
        <f t="shared" si="2"/>
        <v>3931</v>
      </c>
      <c r="C56" s="57">
        <f t="shared" si="7"/>
        <v>984</v>
      </c>
      <c r="D56" s="57">
        <f t="shared" si="7"/>
        <v>475</v>
      </c>
      <c r="E56" s="57">
        <f t="shared" si="7"/>
        <v>91</v>
      </c>
      <c r="F56" s="57">
        <f t="shared" si="7"/>
        <v>533</v>
      </c>
      <c r="G56" s="57">
        <f t="shared" si="7"/>
        <v>202</v>
      </c>
      <c r="H56" s="57">
        <f t="shared" si="7"/>
        <v>129.73678910730703</v>
      </c>
      <c r="I56" s="57">
        <f t="shared" si="7"/>
        <v>6931</v>
      </c>
      <c r="J56" s="57">
        <f t="shared" si="7"/>
        <v>168</v>
      </c>
      <c r="K56" s="57">
        <f t="shared" si="7"/>
        <v>0</v>
      </c>
      <c r="L56" s="57">
        <f t="shared" si="7"/>
        <v>0</v>
      </c>
      <c r="M56" s="57">
        <f t="shared" si="7"/>
        <v>2953</v>
      </c>
      <c r="N56" s="57">
        <f t="shared" si="7"/>
        <v>3778</v>
      </c>
      <c r="O56" s="57">
        <f t="shared" si="7"/>
        <v>121</v>
      </c>
      <c r="P56" s="57">
        <f t="shared" si="7"/>
        <v>1407</v>
      </c>
      <c r="Q56" s="57">
        <f t="shared" si="7"/>
        <v>6850</v>
      </c>
      <c r="R56" s="57">
        <f t="shared" si="7"/>
        <v>951</v>
      </c>
      <c r="S56" s="57">
        <f t="shared" si="7"/>
        <v>2459</v>
      </c>
      <c r="T56" s="57">
        <f t="shared" si="7"/>
        <v>19200</v>
      </c>
      <c r="U56" s="57">
        <f t="shared" si="7"/>
        <v>1867</v>
      </c>
      <c r="V56" s="57">
        <f t="shared" si="7"/>
        <v>0</v>
      </c>
      <c r="W56" s="57">
        <f t="shared" si="7"/>
        <v>31399.100511705845</v>
      </c>
      <c r="X56" s="57">
        <f t="shared" ref="C56:Z59" si="8">GETPIVOTDATA(CONCATENATE(X$4),$A$3,"L",$A26)</f>
        <v>490</v>
      </c>
      <c r="Y56" s="57">
        <f t="shared" si="8"/>
        <v>7293.3985688948287</v>
      </c>
      <c r="Z56" s="670">
        <f t="shared" si="8"/>
        <v>92213.235869707976</v>
      </c>
      <c r="AA56" s="669">
        <f t="shared" si="6"/>
        <v>0</v>
      </c>
      <c r="AB56" s="669">
        <f>Z56-TRP_Simple!AE89</f>
        <v>0</v>
      </c>
    </row>
    <row r="57" spans="1:29" ht="10.5" x14ac:dyDescent="0.25">
      <c r="A57" s="678">
        <f t="shared" si="4"/>
        <v>23</v>
      </c>
      <c r="B57" s="57">
        <f t="shared" si="2"/>
        <v>784</v>
      </c>
      <c r="C57" s="57">
        <f t="shared" si="8"/>
        <v>1323</v>
      </c>
      <c r="D57" s="57">
        <f t="shared" si="8"/>
        <v>384.1</v>
      </c>
      <c r="E57" s="57">
        <f t="shared" si="8"/>
        <v>184</v>
      </c>
      <c r="F57" s="57">
        <f t="shared" si="8"/>
        <v>304</v>
      </c>
      <c r="G57" s="57">
        <f t="shared" si="8"/>
        <v>646</v>
      </c>
      <c r="H57" s="57">
        <f t="shared" si="8"/>
        <v>351</v>
      </c>
      <c r="I57" s="57">
        <f t="shared" si="8"/>
        <v>413</v>
      </c>
      <c r="J57" s="57">
        <f t="shared" si="8"/>
        <v>400</v>
      </c>
      <c r="K57" s="57">
        <f t="shared" si="8"/>
        <v>520</v>
      </c>
      <c r="L57" s="57">
        <f t="shared" si="8"/>
        <v>259</v>
      </c>
      <c r="M57" s="57">
        <f t="shared" si="8"/>
        <v>2921.9</v>
      </c>
      <c r="N57" s="57">
        <f t="shared" si="8"/>
        <v>566</v>
      </c>
      <c r="O57" s="57">
        <f t="shared" si="8"/>
        <v>383.39519126131859</v>
      </c>
      <c r="P57" s="57">
        <f t="shared" si="8"/>
        <v>143</v>
      </c>
      <c r="Q57" s="57">
        <f t="shared" si="8"/>
        <v>80.193810296226985</v>
      </c>
      <c r="R57" s="57">
        <f t="shared" si="8"/>
        <v>9.0987061518650947</v>
      </c>
      <c r="S57" s="57">
        <f t="shared" si="8"/>
        <v>13.312292290589316</v>
      </c>
      <c r="T57" s="57">
        <f t="shared" si="8"/>
        <v>6894</v>
      </c>
      <c r="U57" s="57">
        <f t="shared" si="8"/>
        <v>2975</v>
      </c>
      <c r="V57" s="57">
        <f t="shared" si="8"/>
        <v>3</v>
      </c>
      <c r="W57" s="57">
        <f t="shared" si="8"/>
        <v>203.21709863841338</v>
      </c>
      <c r="X57" s="57">
        <f t="shared" si="8"/>
        <v>10864</v>
      </c>
      <c r="Y57" s="57">
        <f t="shared" si="8"/>
        <v>99.782901361586624</v>
      </c>
      <c r="Z57" s="670">
        <f t="shared" si="8"/>
        <v>30724</v>
      </c>
      <c r="AA57" s="669">
        <f t="shared" si="6"/>
        <v>0</v>
      </c>
      <c r="AB57" s="669">
        <f>Z57-TRP_Simple!AE90</f>
        <v>0</v>
      </c>
    </row>
    <row r="58" spans="1:29" ht="10.5" x14ac:dyDescent="0.25">
      <c r="A58" s="678">
        <f t="shared" si="4"/>
        <v>24</v>
      </c>
      <c r="B58" s="57">
        <f t="shared" si="2"/>
        <v>175</v>
      </c>
      <c r="C58" s="57">
        <f t="shared" si="8"/>
        <v>1047</v>
      </c>
      <c r="D58" s="57">
        <f t="shared" si="8"/>
        <v>198.2</v>
      </c>
      <c r="E58" s="57">
        <f t="shared" si="8"/>
        <v>198</v>
      </c>
      <c r="F58" s="57">
        <f t="shared" si="8"/>
        <v>310</v>
      </c>
      <c r="G58" s="57">
        <f t="shared" si="8"/>
        <v>451</v>
      </c>
      <c r="H58" s="57">
        <f t="shared" si="8"/>
        <v>587.263210892693</v>
      </c>
      <c r="I58" s="57">
        <f t="shared" si="8"/>
        <v>846</v>
      </c>
      <c r="J58" s="57">
        <f t="shared" si="8"/>
        <v>79</v>
      </c>
      <c r="K58" s="57">
        <f t="shared" si="8"/>
        <v>328</v>
      </c>
      <c r="L58" s="57">
        <f t="shared" si="8"/>
        <v>102</v>
      </c>
      <c r="M58" s="57">
        <f t="shared" si="8"/>
        <v>1217.8</v>
      </c>
      <c r="N58" s="57">
        <f t="shared" si="8"/>
        <v>48</v>
      </c>
      <c r="O58" s="57">
        <f t="shared" si="8"/>
        <v>46.434059503521347</v>
      </c>
      <c r="P58" s="57">
        <f t="shared" si="8"/>
        <v>63</v>
      </c>
      <c r="Q58" s="57">
        <f t="shared" si="8"/>
        <v>61.704740981048396</v>
      </c>
      <c r="R58" s="57">
        <f t="shared" si="8"/>
        <v>2.8307085805802519</v>
      </c>
      <c r="S58" s="57">
        <f t="shared" si="8"/>
        <v>2.0304909348500093</v>
      </c>
      <c r="T58" s="57">
        <f t="shared" si="8"/>
        <v>2639</v>
      </c>
      <c r="U58" s="57">
        <f t="shared" si="8"/>
        <v>1494</v>
      </c>
      <c r="V58" s="57">
        <f t="shared" si="8"/>
        <v>0</v>
      </c>
      <c r="W58" s="57">
        <f t="shared" si="8"/>
        <v>8482.2459486067492</v>
      </c>
      <c r="X58" s="57">
        <f t="shared" si="8"/>
        <v>436</v>
      </c>
      <c r="Y58" s="57">
        <f t="shared" si="8"/>
        <v>9216.2549707925755</v>
      </c>
      <c r="Z58" s="670">
        <f t="shared" si="8"/>
        <v>28030.764130292016</v>
      </c>
      <c r="AA58" s="669">
        <f t="shared" si="6"/>
        <v>0</v>
      </c>
      <c r="AB58" s="669">
        <f>Z58-TRP_Simple!AE91</f>
        <v>0</v>
      </c>
    </row>
    <row r="59" spans="1:29" s="677" customFormat="1" ht="10.5" x14ac:dyDescent="0.25">
      <c r="A59" s="679" t="s">
        <v>65</v>
      </c>
      <c r="B59" s="670">
        <f t="shared" si="2"/>
        <v>44173</v>
      </c>
      <c r="C59" s="670">
        <f t="shared" si="8"/>
        <v>92650</v>
      </c>
      <c r="D59" s="670">
        <f t="shared" si="8"/>
        <v>75884</v>
      </c>
      <c r="E59" s="670">
        <f t="shared" si="8"/>
        <v>4189</v>
      </c>
      <c r="F59" s="670">
        <f t="shared" si="8"/>
        <v>13183</v>
      </c>
      <c r="G59" s="670">
        <f t="shared" si="8"/>
        <v>14701</v>
      </c>
      <c r="H59" s="670">
        <f t="shared" si="8"/>
        <v>5150</v>
      </c>
      <c r="I59" s="670">
        <f t="shared" si="8"/>
        <v>19416</v>
      </c>
      <c r="J59" s="670">
        <f t="shared" si="8"/>
        <v>17661</v>
      </c>
      <c r="K59" s="670">
        <f t="shared" si="8"/>
        <v>19545</v>
      </c>
      <c r="L59" s="670">
        <f t="shared" si="8"/>
        <v>9493</v>
      </c>
      <c r="M59" s="670">
        <f t="shared" si="8"/>
        <v>310003</v>
      </c>
      <c r="N59" s="670">
        <f t="shared" si="8"/>
        <v>129106</v>
      </c>
      <c r="O59" s="670">
        <f t="shared" si="8"/>
        <v>3760.0358088824096</v>
      </c>
      <c r="P59" s="670">
        <f t="shared" si="8"/>
        <v>5528</v>
      </c>
      <c r="Q59" s="670">
        <f t="shared" si="8"/>
        <v>29253.877250154728</v>
      </c>
      <c r="R59" s="670">
        <f t="shared" si="8"/>
        <v>9039.2159297901853</v>
      </c>
      <c r="S59" s="670">
        <f t="shared" si="8"/>
        <v>11713.871011172676</v>
      </c>
      <c r="T59" s="670">
        <f t="shared" si="8"/>
        <v>661524</v>
      </c>
      <c r="U59" s="670">
        <f t="shared" si="8"/>
        <v>91546</v>
      </c>
      <c r="V59" s="670">
        <f t="shared" si="8"/>
        <v>35</v>
      </c>
      <c r="W59" s="670">
        <f t="shared" si="8"/>
        <v>48264.545608773697</v>
      </c>
      <c r="X59" s="670">
        <f t="shared" si="8"/>
        <v>27203</v>
      </c>
      <c r="Y59" s="670">
        <f t="shared" si="8"/>
        <v>18359.454391226303</v>
      </c>
      <c r="Z59" s="670">
        <f t="shared" si="8"/>
        <v>1661381</v>
      </c>
      <c r="AA59" s="676">
        <f t="shared" si="6"/>
        <v>0</v>
      </c>
      <c r="AB59" s="669">
        <f>Z59-TRP_Simple!AE94</f>
        <v>0</v>
      </c>
      <c r="AC59" s="57"/>
    </row>
    <row r="60" spans="1:29" x14ac:dyDescent="0.2">
      <c r="A60" s="669" t="s">
        <v>832</v>
      </c>
      <c r="B60" s="669">
        <f>SUM(B35:B58)-B59</f>
        <v>0</v>
      </c>
      <c r="C60" s="669">
        <f t="shared" ref="C60:Z60" si="9">SUM(C35:C58)-C59</f>
        <v>0</v>
      </c>
      <c r="D60" s="669">
        <f t="shared" si="9"/>
        <v>0</v>
      </c>
      <c r="E60" s="669">
        <f t="shared" si="9"/>
        <v>0</v>
      </c>
      <c r="F60" s="669">
        <f t="shared" si="9"/>
        <v>0</v>
      </c>
      <c r="G60" s="669">
        <f t="shared" si="9"/>
        <v>0</v>
      </c>
      <c r="H60" s="669">
        <f t="shared" si="9"/>
        <v>0</v>
      </c>
      <c r="I60" s="669">
        <f t="shared" si="9"/>
        <v>0</v>
      </c>
      <c r="J60" s="669">
        <f t="shared" si="9"/>
        <v>0</v>
      </c>
      <c r="K60" s="669">
        <f t="shared" si="9"/>
        <v>0</v>
      </c>
      <c r="L60" s="669">
        <f t="shared" si="9"/>
        <v>0</v>
      </c>
      <c r="M60" s="669">
        <f t="shared" si="9"/>
        <v>0</v>
      </c>
      <c r="N60" s="669">
        <f t="shared" si="9"/>
        <v>0</v>
      </c>
      <c r="O60" s="669">
        <f t="shared" si="9"/>
        <v>0</v>
      </c>
      <c r="P60" s="669">
        <f t="shared" si="9"/>
        <v>0</v>
      </c>
      <c r="Q60" s="669">
        <f t="shared" si="9"/>
        <v>0</v>
      </c>
      <c r="R60" s="669">
        <f t="shared" si="9"/>
        <v>0</v>
      </c>
      <c r="S60" s="669">
        <f t="shared" si="9"/>
        <v>0</v>
      </c>
      <c r="T60" s="669">
        <f t="shared" si="9"/>
        <v>0</v>
      </c>
      <c r="U60" s="669">
        <f t="shared" si="9"/>
        <v>0</v>
      </c>
      <c r="V60" s="669">
        <f t="shared" si="9"/>
        <v>0</v>
      </c>
      <c r="W60" s="669">
        <f t="shared" si="9"/>
        <v>0</v>
      </c>
      <c r="X60" s="669">
        <f t="shared" si="9"/>
        <v>0</v>
      </c>
      <c r="Y60" s="669">
        <f t="shared" si="9"/>
        <v>0</v>
      </c>
      <c r="Z60" s="676">
        <f t="shared" si="9"/>
        <v>0</v>
      </c>
    </row>
    <row r="61" spans="1:29" x14ac:dyDescent="0.2">
      <c r="A61" s="669" t="s">
        <v>834</v>
      </c>
      <c r="B61" s="669">
        <f t="array" ref="B61:Z61">B59:Z59-TRANSPOSE(CPR_CEB_Simple!E34:E58)</f>
        <v>0</v>
      </c>
      <c r="C61" s="669">
        <v>0</v>
      </c>
      <c r="D61" s="669">
        <v>0</v>
      </c>
      <c r="E61" s="669">
        <v>0</v>
      </c>
      <c r="F61" s="669">
        <v>0</v>
      </c>
      <c r="G61" s="669">
        <v>0</v>
      </c>
      <c r="H61" s="669">
        <v>0</v>
      </c>
      <c r="I61" s="669">
        <v>0</v>
      </c>
      <c r="J61" s="669">
        <v>0</v>
      </c>
      <c r="K61" s="669">
        <v>0</v>
      </c>
      <c r="L61" s="669">
        <v>0</v>
      </c>
      <c r="M61" s="669">
        <v>0</v>
      </c>
      <c r="N61" s="669">
        <v>0</v>
      </c>
      <c r="O61" s="669">
        <v>0</v>
      </c>
      <c r="P61" s="669">
        <v>0</v>
      </c>
      <c r="Q61" s="669">
        <v>0</v>
      </c>
      <c r="R61" s="669">
        <v>0</v>
      </c>
      <c r="S61" s="669">
        <v>0</v>
      </c>
      <c r="T61" s="669">
        <v>0</v>
      </c>
      <c r="U61" s="669">
        <v>0</v>
      </c>
      <c r="V61" s="669">
        <v>0</v>
      </c>
      <c r="W61" s="669">
        <v>0</v>
      </c>
      <c r="X61" s="669">
        <v>0</v>
      </c>
      <c r="Y61" s="669">
        <v>0</v>
      </c>
      <c r="Z61" s="676">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tabColor rgb="FFFF0000"/>
  </sheetPr>
  <dimension ref="A1:GG331"/>
  <sheetViews>
    <sheetView tabSelected="1" zoomScale="90" zoomScaleNormal="90" workbookViewId="0">
      <pane xSplit="3" ySplit="4" topLeftCell="DI159" activePane="bottomRight" state="frozen"/>
      <selection activeCell="B209" sqref="B209"/>
      <selection pane="topRight" activeCell="B209" sqref="B209"/>
      <selection pane="bottomLeft" activeCell="B209" sqref="B209"/>
      <selection pane="bottomRight" activeCell="B209" sqref="B209"/>
    </sheetView>
  </sheetViews>
  <sheetFormatPr baseColWidth="10" defaultColWidth="11.453125" defaultRowHeight="12.5" x14ac:dyDescent="0.25"/>
  <cols>
    <col min="1" max="1" width="7.453125" style="65" bestFit="1" customWidth="1"/>
    <col min="2" max="2" width="25.453125" style="65" customWidth="1"/>
    <col min="3" max="3" width="8.453125" style="65" customWidth="1"/>
    <col min="4" max="4" width="8.54296875" style="65" bestFit="1" customWidth="1"/>
    <col min="5" max="5" width="7" style="65" customWidth="1"/>
    <col min="6" max="6" width="6" style="65" bestFit="1" customWidth="1"/>
    <col min="7" max="7" width="6.453125" style="65" bestFit="1" customWidth="1"/>
    <col min="8" max="8" width="7.54296875" style="65" customWidth="1"/>
    <col min="9" max="9" width="5.54296875" style="65" customWidth="1"/>
    <col min="10" max="10" width="6.1796875" style="65" bestFit="1" customWidth="1"/>
    <col min="11" max="11" width="6.453125" style="65" bestFit="1" customWidth="1"/>
    <col min="12" max="12" width="6" style="65" bestFit="1" customWidth="1"/>
    <col min="13" max="13" width="5.54296875" style="65" customWidth="1"/>
    <col min="14" max="14" width="5.81640625" style="65" bestFit="1" customWidth="1"/>
    <col min="15" max="15" width="6.1796875" style="65" bestFit="1" customWidth="1"/>
    <col min="16" max="16" width="6.453125" style="65" bestFit="1" customWidth="1"/>
    <col min="17" max="17" width="6.1796875" style="65" bestFit="1" customWidth="1"/>
    <col min="18" max="18" width="5.81640625" style="65" bestFit="1" customWidth="1"/>
    <col min="19" max="20" width="5.54296875" style="65" customWidth="1"/>
    <col min="21" max="21" width="6" style="65" bestFit="1" customWidth="1"/>
    <col min="22" max="23" width="5.54296875" style="65" customWidth="1"/>
    <col min="24" max="25" width="6.81640625" style="65" bestFit="1" customWidth="1"/>
    <col min="26" max="27" width="6" style="65" bestFit="1" customWidth="1"/>
    <col min="28" max="28" width="6.1796875" style="65" bestFit="1" customWidth="1"/>
    <col min="29" max="30" width="5.453125" style="65" bestFit="1" customWidth="1"/>
    <col min="31" max="32" width="5.81640625" style="65" bestFit="1" customWidth="1"/>
    <col min="33" max="33" width="6.1796875" style="65" bestFit="1" customWidth="1"/>
    <col min="34" max="37" width="5.81640625" style="65" bestFit="1" customWidth="1"/>
    <col min="38" max="38" width="5.453125" style="65" bestFit="1" customWidth="1"/>
    <col min="39" max="42" width="5.81640625" style="65" bestFit="1" customWidth="1"/>
    <col min="43" max="45" width="5.453125" style="65" bestFit="1" customWidth="1"/>
    <col min="46" max="46" width="6.1796875" style="65" bestFit="1" customWidth="1"/>
    <col min="47" max="47" width="5.453125" style="65" bestFit="1" customWidth="1"/>
    <col min="48" max="49" width="5.81640625" style="65" bestFit="1" customWidth="1"/>
    <col min="50" max="50" width="5.453125" style="65" bestFit="1" customWidth="1"/>
    <col min="51" max="52" width="5.81640625" style="65" bestFit="1" customWidth="1"/>
    <col min="53" max="53" width="5.453125" style="65" bestFit="1" customWidth="1"/>
    <col min="54" max="54" width="6.1796875" style="65" bestFit="1" customWidth="1"/>
    <col min="55" max="57" width="5.81640625" style="65" bestFit="1" customWidth="1"/>
    <col min="58" max="59" width="5.54296875" style="65" customWidth="1"/>
    <col min="60" max="61" width="5.81640625" style="65" bestFit="1" customWidth="1"/>
    <col min="62" max="62" width="5.54296875" style="65" customWidth="1"/>
    <col min="63" max="64" width="5.81640625" style="65" bestFit="1" customWidth="1"/>
    <col min="65" max="65" width="6.1796875" style="65" bestFit="1" customWidth="1"/>
    <col min="66" max="66" width="5.81640625" style="65" bestFit="1" customWidth="1"/>
    <col min="67" max="67" width="5.453125" style="65" bestFit="1" customWidth="1"/>
    <col min="68" max="68" width="10" style="65" customWidth="1"/>
    <col min="69" max="70" width="5.54296875" style="65" bestFit="1" customWidth="1"/>
    <col min="71" max="71" width="6.54296875" style="65" bestFit="1" customWidth="1"/>
    <col min="72" max="73" width="6.453125" style="65" bestFit="1" customWidth="1"/>
    <col min="74" max="75" width="5.54296875" style="65" customWidth="1"/>
    <col min="76" max="76" width="6.453125" style="65" bestFit="1" customWidth="1"/>
    <col min="77" max="77" width="5.54296875" style="65" customWidth="1"/>
    <col min="78" max="79" width="6.453125" style="65" bestFit="1" customWidth="1"/>
    <col min="80" max="80" width="5.453125" style="65" bestFit="1" customWidth="1"/>
    <col min="81" max="81" width="5.81640625" style="65" bestFit="1" customWidth="1"/>
    <col min="82" max="82" width="6.1796875" style="65" bestFit="1" customWidth="1"/>
    <col min="83" max="83" width="5.81640625" style="65" bestFit="1" customWidth="1"/>
    <col min="84" max="84" width="6.1796875" style="65" bestFit="1" customWidth="1"/>
    <col min="85" max="85" width="5.54296875" style="65" customWidth="1"/>
    <col min="86" max="86" width="5.81640625" style="65" bestFit="1" customWidth="1"/>
    <col min="87" max="87" width="5.54296875" style="65" bestFit="1" customWidth="1"/>
    <col min="88" max="88" width="6.453125" style="65" bestFit="1" customWidth="1"/>
    <col min="89" max="91" width="5.54296875" style="65" customWidth="1"/>
    <col min="92" max="94" width="6.453125" style="65" bestFit="1" customWidth="1"/>
    <col min="95" max="95" width="5.54296875" style="65" customWidth="1"/>
    <col min="96" max="96" width="6.453125" style="65" bestFit="1" customWidth="1"/>
    <col min="97" max="98" width="5.54296875" style="65" customWidth="1"/>
    <col min="99" max="99" width="6.1796875" style="65" bestFit="1" customWidth="1"/>
    <col min="100" max="102" width="5.54296875" style="65" customWidth="1"/>
    <col min="103" max="104" width="6.453125" style="65" bestFit="1" customWidth="1"/>
    <col min="105" max="106" width="5.54296875" style="65" customWidth="1"/>
    <col min="107" max="108" width="6.453125" style="65" bestFit="1" customWidth="1"/>
    <col min="109" max="109" width="5.54296875" style="65" bestFit="1" customWidth="1"/>
    <col min="110" max="112" width="5.54296875" style="65" customWidth="1"/>
    <col min="113" max="116" width="6.453125" style="65" bestFit="1" customWidth="1"/>
    <col min="117" max="117" width="6.1796875" style="65" bestFit="1" customWidth="1"/>
    <col min="118" max="118" width="5.54296875" style="65" customWidth="1"/>
    <col min="119" max="119" width="6" style="65" bestFit="1" customWidth="1"/>
    <col min="120" max="120" width="9.453125" style="231" bestFit="1" customWidth="1"/>
    <col min="121" max="189" width="11.453125" style="65" bestFit="1" customWidth="1"/>
    <col min="190" max="16384" width="11.453125" style="65"/>
  </cols>
  <sheetData>
    <row r="1" spans="2:189" ht="13" x14ac:dyDescent="0.3">
      <c r="B1" s="206" t="s">
        <v>32</v>
      </c>
      <c r="C1" s="207"/>
      <c r="D1" s="207"/>
      <c r="E1" s="207"/>
      <c r="F1" s="207"/>
      <c r="G1" s="207"/>
      <c r="H1" s="207"/>
      <c r="I1" s="207"/>
      <c r="J1" s="207"/>
      <c r="K1" s="207"/>
      <c r="L1" s="207"/>
      <c r="M1" s="207"/>
      <c r="N1" s="207"/>
      <c r="O1" s="207"/>
      <c r="P1" s="207"/>
      <c r="Q1" s="207"/>
      <c r="R1" s="207"/>
      <c r="S1" s="207"/>
      <c r="T1" s="207"/>
      <c r="U1" s="207"/>
      <c r="V1" s="207"/>
      <c r="W1" s="207"/>
      <c r="X1" s="207"/>
      <c r="Y1" s="207"/>
      <c r="Z1" s="207"/>
      <c r="AA1" s="207"/>
      <c r="AB1" s="207"/>
      <c r="AC1" s="207"/>
      <c r="AD1" s="207"/>
      <c r="AE1" s="207"/>
      <c r="AF1" s="207"/>
      <c r="AG1" s="207"/>
      <c r="AH1" s="207"/>
      <c r="AI1" s="207"/>
      <c r="AJ1" s="207"/>
      <c r="AK1" s="207"/>
      <c r="AL1" s="207"/>
      <c r="AM1" s="207"/>
      <c r="AN1" s="207"/>
      <c r="AO1" s="207"/>
      <c r="AP1" s="207"/>
      <c r="AQ1" s="207"/>
      <c r="AR1" s="207"/>
      <c r="AS1" s="207"/>
      <c r="AT1" s="207"/>
      <c r="AU1" s="207"/>
      <c r="AV1" s="207"/>
      <c r="AW1" s="207"/>
      <c r="AX1" s="207"/>
      <c r="AY1" s="207"/>
      <c r="AZ1" s="207"/>
      <c r="BA1" s="207"/>
      <c r="BB1" s="207"/>
      <c r="BC1" s="207"/>
      <c r="BD1" s="207"/>
      <c r="BE1" s="207"/>
      <c r="BF1" s="207"/>
      <c r="BG1" s="207"/>
      <c r="BH1" s="207"/>
      <c r="BI1" s="207"/>
      <c r="BJ1" s="207"/>
      <c r="BK1" s="207"/>
      <c r="BL1" s="207"/>
      <c r="BM1" s="207"/>
      <c r="BN1" s="207"/>
      <c r="BO1" s="207"/>
      <c r="BP1" s="207"/>
      <c r="BQ1" s="207"/>
      <c r="BR1" s="207"/>
      <c r="BS1" s="207"/>
      <c r="BT1" s="207"/>
      <c r="BU1" s="207"/>
      <c r="BV1" s="207"/>
      <c r="BW1" s="207"/>
      <c r="BX1" s="207"/>
      <c r="BY1" s="207"/>
      <c r="BZ1" s="207"/>
      <c r="CA1" s="207"/>
      <c r="CB1" s="207"/>
      <c r="CC1" s="207"/>
      <c r="CD1" s="207"/>
      <c r="CE1" s="207"/>
      <c r="CF1" s="207"/>
      <c r="CG1" s="207"/>
      <c r="CH1" s="207"/>
      <c r="CI1" s="207"/>
      <c r="CJ1" s="207"/>
      <c r="CK1" s="207"/>
      <c r="CL1" s="207"/>
      <c r="CM1" s="207"/>
      <c r="CN1" s="207"/>
      <c r="CO1" s="207"/>
      <c r="CP1" s="207"/>
      <c r="CQ1" s="207"/>
      <c r="CR1" s="207"/>
      <c r="CS1" s="207"/>
      <c r="CT1" s="207"/>
      <c r="CU1" s="207"/>
      <c r="CV1" s="207"/>
      <c r="CW1" s="207"/>
      <c r="CX1" s="207"/>
      <c r="CY1" s="207"/>
      <c r="CZ1" s="207"/>
      <c r="DA1" s="207"/>
      <c r="DB1" s="207"/>
      <c r="DC1" s="207"/>
      <c r="DD1" s="207"/>
      <c r="DE1" s="207"/>
      <c r="DF1" s="207"/>
      <c r="DG1" s="207"/>
      <c r="DH1" s="207"/>
      <c r="DI1" s="207"/>
      <c r="DJ1" s="207"/>
      <c r="DK1" s="207"/>
      <c r="DL1" s="207"/>
      <c r="DM1" s="207"/>
      <c r="DN1" s="207"/>
      <c r="DO1" s="207"/>
      <c r="DP1" s="208"/>
    </row>
    <row r="2" spans="2:189" x14ac:dyDescent="0.25">
      <c r="B2" s="837" t="s">
        <v>304</v>
      </c>
      <c r="C2" s="838"/>
      <c r="D2" s="838"/>
      <c r="E2" s="838"/>
      <c r="F2" s="838"/>
      <c r="G2" s="838"/>
      <c r="H2" s="838"/>
      <c r="I2" s="838"/>
      <c r="J2" s="838"/>
      <c r="K2" s="838"/>
      <c r="L2" s="838"/>
      <c r="M2" s="838"/>
      <c r="N2" s="838"/>
      <c r="O2" s="838"/>
      <c r="P2" s="838"/>
      <c r="Q2" s="838"/>
      <c r="R2" s="838"/>
      <c r="S2" s="838"/>
      <c r="T2" s="838"/>
      <c r="U2" s="838"/>
      <c r="V2" s="838"/>
      <c r="W2" s="838"/>
      <c r="X2" s="838"/>
      <c r="Y2" s="838"/>
      <c r="Z2" s="838"/>
      <c r="AA2" s="838"/>
      <c r="AB2" s="838"/>
      <c r="AC2" s="838"/>
      <c r="AD2" s="838"/>
      <c r="AE2" s="838"/>
      <c r="AF2" s="838"/>
      <c r="AG2" s="838"/>
      <c r="AH2" s="838"/>
      <c r="AI2" s="838"/>
      <c r="AJ2" s="838"/>
      <c r="AK2" s="838"/>
      <c r="AL2" s="838"/>
      <c r="AM2" s="838"/>
      <c r="AN2" s="838"/>
      <c r="AO2" s="838"/>
      <c r="AP2" s="838"/>
      <c r="AQ2" s="838"/>
      <c r="AR2" s="838"/>
      <c r="AS2" s="838"/>
      <c r="AT2" s="838"/>
      <c r="AU2" s="838"/>
      <c r="AV2" s="838"/>
      <c r="AW2" s="838"/>
      <c r="AX2" s="838"/>
      <c r="AY2" s="838"/>
      <c r="AZ2" s="838"/>
      <c r="BA2" s="838"/>
      <c r="BB2" s="838"/>
      <c r="BC2" s="838"/>
      <c r="BD2" s="838"/>
      <c r="BE2" s="838"/>
      <c r="BF2" s="838"/>
      <c r="BG2" s="838"/>
      <c r="BH2" s="838"/>
      <c r="BI2" s="838"/>
      <c r="BJ2" s="838"/>
      <c r="BK2" s="838"/>
      <c r="BL2" s="838"/>
      <c r="BM2" s="838"/>
      <c r="BN2" s="838"/>
      <c r="BO2" s="838"/>
      <c r="BP2" s="838"/>
      <c r="BQ2" s="838"/>
      <c r="BR2" s="838"/>
      <c r="BS2" s="838"/>
      <c r="BT2" s="838"/>
      <c r="BU2" s="838"/>
      <c r="BV2" s="838"/>
      <c r="BW2" s="838"/>
      <c r="BX2" s="838"/>
      <c r="BY2" s="838"/>
      <c r="BZ2" s="838"/>
      <c r="CA2" s="838"/>
      <c r="CB2" s="838"/>
      <c r="CC2" s="838"/>
      <c r="CD2" s="838"/>
      <c r="CE2" s="838"/>
      <c r="CF2" s="838"/>
      <c r="CG2" s="838"/>
      <c r="CH2" s="838"/>
      <c r="CI2" s="838"/>
      <c r="CJ2" s="838"/>
      <c r="CK2" s="838"/>
      <c r="CL2" s="838"/>
      <c r="CM2" s="838"/>
      <c r="CN2" s="838"/>
      <c r="CO2" s="838"/>
      <c r="CP2" s="838"/>
      <c r="CQ2" s="838"/>
      <c r="CR2" s="838"/>
      <c r="CS2" s="838"/>
      <c r="CT2" s="838"/>
      <c r="CU2" s="838"/>
      <c r="CV2" s="838"/>
      <c r="CW2" s="838"/>
      <c r="CX2" s="838"/>
      <c r="CY2" s="838"/>
      <c r="CZ2" s="838"/>
      <c r="DA2" s="838"/>
      <c r="DB2" s="838"/>
      <c r="DC2" s="838"/>
      <c r="DD2" s="838"/>
      <c r="DE2" s="838"/>
      <c r="DF2" s="838"/>
      <c r="DG2" s="838"/>
      <c r="DH2" s="838"/>
      <c r="DI2" s="838"/>
      <c r="DJ2" s="838"/>
      <c r="DK2" s="838"/>
      <c r="DL2" s="838"/>
      <c r="DM2" s="838"/>
      <c r="DN2" s="838"/>
      <c r="DO2" s="838"/>
      <c r="DP2" s="839"/>
    </row>
    <row r="3" spans="2:189" x14ac:dyDescent="0.25">
      <c r="B3" s="840" t="s">
        <v>33</v>
      </c>
      <c r="C3" s="830"/>
      <c r="D3" s="212" t="s">
        <v>184</v>
      </c>
      <c r="E3" s="213" t="s">
        <v>185</v>
      </c>
      <c r="F3" s="213" t="s">
        <v>186</v>
      </c>
      <c r="G3" s="213" t="s">
        <v>187</v>
      </c>
      <c r="H3" s="213" t="s">
        <v>188</v>
      </c>
      <c r="I3" s="213" t="s">
        <v>189</v>
      </c>
      <c r="J3" s="213" t="s">
        <v>190</v>
      </c>
      <c r="K3" s="213" t="s">
        <v>191</v>
      </c>
      <c r="L3" s="213" t="s">
        <v>192</v>
      </c>
      <c r="M3" s="213" t="s">
        <v>193</v>
      </c>
      <c r="N3" s="213" t="s">
        <v>194</v>
      </c>
      <c r="O3" s="213" t="s">
        <v>195</v>
      </c>
      <c r="P3" s="213" t="s">
        <v>196</v>
      </c>
      <c r="Q3" s="213" t="s">
        <v>197</v>
      </c>
      <c r="R3" s="213" t="s">
        <v>198</v>
      </c>
      <c r="S3" s="213" t="s">
        <v>199</v>
      </c>
      <c r="T3" s="213" t="s">
        <v>200</v>
      </c>
      <c r="U3" s="213" t="s">
        <v>201</v>
      </c>
      <c r="V3" s="213" t="s">
        <v>202</v>
      </c>
      <c r="W3" s="213" t="s">
        <v>203</v>
      </c>
      <c r="X3" s="213" t="s">
        <v>204</v>
      </c>
      <c r="Y3" s="213" t="s">
        <v>205</v>
      </c>
      <c r="Z3" s="213" t="s">
        <v>206</v>
      </c>
      <c r="AA3" s="213" t="s">
        <v>207</v>
      </c>
      <c r="AB3" s="213" t="s">
        <v>208</v>
      </c>
      <c r="AC3" s="213" t="s">
        <v>209</v>
      </c>
      <c r="AD3" s="213" t="s">
        <v>210</v>
      </c>
      <c r="AE3" s="213" t="s">
        <v>211</v>
      </c>
      <c r="AF3" s="213" t="s">
        <v>212</v>
      </c>
      <c r="AG3" s="213" t="s">
        <v>213</v>
      </c>
      <c r="AH3" s="213" t="s">
        <v>214</v>
      </c>
      <c r="AI3" s="213" t="s">
        <v>215</v>
      </c>
      <c r="AJ3" s="213" t="s">
        <v>216</v>
      </c>
      <c r="AK3" s="213" t="s">
        <v>217</v>
      </c>
      <c r="AL3" s="213" t="s">
        <v>218</v>
      </c>
      <c r="AM3" s="213" t="s">
        <v>219</v>
      </c>
      <c r="AN3" s="213" t="s">
        <v>220</v>
      </c>
      <c r="AO3" s="213" t="s">
        <v>221</v>
      </c>
      <c r="AP3" s="213" t="s">
        <v>222</v>
      </c>
      <c r="AQ3" s="213" t="s">
        <v>223</v>
      </c>
      <c r="AR3" s="213" t="s">
        <v>224</v>
      </c>
      <c r="AS3" s="213" t="s">
        <v>225</v>
      </c>
      <c r="AT3" s="213" t="s">
        <v>226</v>
      </c>
      <c r="AU3" s="213" t="s">
        <v>227</v>
      </c>
      <c r="AV3" s="213" t="s">
        <v>228</v>
      </c>
      <c r="AW3" s="213" t="s">
        <v>229</v>
      </c>
      <c r="AX3" s="213" t="s">
        <v>230</v>
      </c>
      <c r="AY3" s="213" t="s">
        <v>231</v>
      </c>
      <c r="AZ3" s="213" t="s">
        <v>232</v>
      </c>
      <c r="BA3" s="213" t="s">
        <v>233</v>
      </c>
      <c r="BB3" s="213" t="s">
        <v>234</v>
      </c>
      <c r="BC3" s="213" t="s">
        <v>235</v>
      </c>
      <c r="BD3" s="213" t="s">
        <v>236</v>
      </c>
      <c r="BE3" s="213" t="s">
        <v>237</v>
      </c>
      <c r="BF3" s="213" t="s">
        <v>238</v>
      </c>
      <c r="BG3" s="213" t="s">
        <v>239</v>
      </c>
      <c r="BH3" s="213" t="s">
        <v>240</v>
      </c>
      <c r="BI3" s="213" t="s">
        <v>241</v>
      </c>
      <c r="BJ3" s="213" t="s">
        <v>242</v>
      </c>
      <c r="BK3" s="213" t="s">
        <v>243</v>
      </c>
      <c r="BL3" s="213" t="s">
        <v>244</v>
      </c>
      <c r="BM3" s="213" t="s">
        <v>245</v>
      </c>
      <c r="BN3" s="213" t="s">
        <v>246</v>
      </c>
      <c r="BO3" s="213" t="s">
        <v>247</v>
      </c>
      <c r="BP3" s="213" t="s">
        <v>248</v>
      </c>
      <c r="BQ3" s="213" t="s">
        <v>249</v>
      </c>
      <c r="BR3" s="213" t="s">
        <v>250</v>
      </c>
      <c r="BS3" s="213" t="s">
        <v>251</v>
      </c>
      <c r="BT3" s="213" t="s">
        <v>252</v>
      </c>
      <c r="BU3" s="213" t="s">
        <v>253</v>
      </c>
      <c r="BV3" s="213" t="s">
        <v>254</v>
      </c>
      <c r="BW3" s="213" t="s">
        <v>255</v>
      </c>
      <c r="BX3" s="213" t="s">
        <v>256</v>
      </c>
      <c r="BY3" s="213" t="s">
        <v>257</v>
      </c>
      <c r="BZ3" s="213" t="s">
        <v>258</v>
      </c>
      <c r="CA3" s="213" t="s">
        <v>259</v>
      </c>
      <c r="CB3" s="213" t="s">
        <v>260</v>
      </c>
      <c r="CC3" s="213" t="s">
        <v>261</v>
      </c>
      <c r="CD3" s="213" t="s">
        <v>262</v>
      </c>
      <c r="CE3" s="213" t="s">
        <v>263</v>
      </c>
      <c r="CF3" s="213" t="s">
        <v>264</v>
      </c>
      <c r="CG3" s="213" t="s">
        <v>265</v>
      </c>
      <c r="CH3" s="213" t="s">
        <v>266</v>
      </c>
      <c r="CI3" s="213" t="s">
        <v>267</v>
      </c>
      <c r="CJ3" s="213" t="s">
        <v>268</v>
      </c>
      <c r="CK3" s="213" t="s">
        <v>269</v>
      </c>
      <c r="CL3" s="213" t="s">
        <v>270</v>
      </c>
      <c r="CM3" s="213" t="s">
        <v>271</v>
      </c>
      <c r="CN3" s="213" t="s">
        <v>272</v>
      </c>
      <c r="CO3" s="213" t="s">
        <v>273</v>
      </c>
      <c r="CP3" s="213" t="s">
        <v>274</v>
      </c>
      <c r="CQ3" s="213" t="s">
        <v>275</v>
      </c>
      <c r="CR3" s="213" t="s">
        <v>276</v>
      </c>
      <c r="CS3" s="213" t="s">
        <v>277</v>
      </c>
      <c r="CT3" s="213" t="s">
        <v>278</v>
      </c>
      <c r="CU3" s="213" t="s">
        <v>279</v>
      </c>
      <c r="CV3" s="213" t="s">
        <v>280</v>
      </c>
      <c r="CW3" s="213" t="s">
        <v>281</v>
      </c>
      <c r="CX3" s="213" t="s">
        <v>282</v>
      </c>
      <c r="CY3" s="213" t="s">
        <v>283</v>
      </c>
      <c r="CZ3" s="213" t="s">
        <v>284</v>
      </c>
      <c r="DA3" s="213" t="s">
        <v>285</v>
      </c>
      <c r="DB3" s="213" t="s">
        <v>286</v>
      </c>
      <c r="DC3" s="213" t="s">
        <v>287</v>
      </c>
      <c r="DD3" s="213" t="s">
        <v>288</v>
      </c>
      <c r="DE3" s="213" t="s">
        <v>289</v>
      </c>
      <c r="DF3" s="213" t="s">
        <v>290</v>
      </c>
      <c r="DG3" s="213" t="s">
        <v>291</v>
      </c>
      <c r="DH3" s="213" t="s">
        <v>292</v>
      </c>
      <c r="DI3" s="213" t="s">
        <v>293</v>
      </c>
      <c r="DJ3" s="213" t="s">
        <v>294</v>
      </c>
      <c r="DK3" s="213" t="s">
        <v>295</v>
      </c>
      <c r="DL3" s="213" t="s">
        <v>296</v>
      </c>
      <c r="DM3" s="213" t="s">
        <v>297</v>
      </c>
      <c r="DN3" s="213" t="s">
        <v>298</v>
      </c>
      <c r="DO3" s="213" t="s">
        <v>299</v>
      </c>
      <c r="DP3" s="214" t="s">
        <v>65</v>
      </c>
    </row>
    <row r="4" spans="2:189" x14ac:dyDescent="0.25">
      <c r="B4" s="841" t="s">
        <v>1</v>
      </c>
      <c r="C4" s="842"/>
      <c r="D4" s="215" t="str">
        <f>D128</f>
        <v>CI_01</v>
      </c>
      <c r="E4" s="216" t="str">
        <f t="shared" ref="E4:BP4" si="0">E128</f>
        <v>CI_01</v>
      </c>
      <c r="F4" s="216" t="str">
        <f t="shared" si="0"/>
        <v>CI_01</v>
      </c>
      <c r="G4" s="216" t="str">
        <f t="shared" si="0"/>
        <v>CI_02</v>
      </c>
      <c r="H4" s="216" t="str">
        <f t="shared" si="0"/>
        <v>CI_02</v>
      </c>
      <c r="I4" s="216" t="str">
        <f t="shared" si="0"/>
        <v>CI_02</v>
      </c>
      <c r="J4" s="216" t="str">
        <f t="shared" si="0"/>
        <v>CI_02</v>
      </c>
      <c r="K4" s="216" t="str">
        <f t="shared" si="0"/>
        <v>CI_02</v>
      </c>
      <c r="L4" s="216" t="str">
        <f t="shared" si="0"/>
        <v>CI_02</v>
      </c>
      <c r="M4" s="216" t="str">
        <f t="shared" si="0"/>
        <v>CI_12</v>
      </c>
      <c r="N4" s="216" t="str">
        <f t="shared" si="0"/>
        <v>CI_12</v>
      </c>
      <c r="O4" s="216" t="str">
        <f t="shared" si="0"/>
        <v>CI_12</v>
      </c>
      <c r="P4" s="216" t="str">
        <f t="shared" si="0"/>
        <v>CI_12</v>
      </c>
      <c r="Q4" s="216" t="str">
        <f t="shared" si="0"/>
        <v>CI_12</v>
      </c>
      <c r="R4" s="216" t="str">
        <f t="shared" si="0"/>
        <v>CI_12</v>
      </c>
      <c r="S4" s="216" t="str">
        <f t="shared" si="0"/>
        <v>CI_12</v>
      </c>
      <c r="T4" s="216" t="str">
        <f t="shared" si="0"/>
        <v>CI_12</v>
      </c>
      <c r="U4" s="216" t="str">
        <f t="shared" si="0"/>
        <v>CI_12</v>
      </c>
      <c r="V4" s="216" t="str">
        <f t="shared" si="0"/>
        <v>CI_12</v>
      </c>
      <c r="W4" s="216" t="str">
        <f t="shared" si="0"/>
        <v>CI_12</v>
      </c>
      <c r="X4" s="216" t="str">
        <f t="shared" si="0"/>
        <v>CI_103</v>
      </c>
      <c r="Y4" s="216" t="str">
        <f t="shared" si="0"/>
        <v>CI_103</v>
      </c>
      <c r="Z4" s="216" t="str">
        <f t="shared" si="0"/>
        <v>CI_12</v>
      </c>
      <c r="AA4" s="216" t="str">
        <f t="shared" si="0"/>
        <v>CI_12</v>
      </c>
      <c r="AB4" s="216" t="str">
        <f t="shared" si="0"/>
        <v>CI_12</v>
      </c>
      <c r="AC4" s="216" t="str">
        <f t="shared" si="0"/>
        <v>CI_112-3</v>
      </c>
      <c r="AD4" s="216" t="str">
        <f t="shared" si="0"/>
        <v>CI_12</v>
      </c>
      <c r="AE4" s="216" t="str">
        <f t="shared" si="0"/>
        <v>CI_12</v>
      </c>
      <c r="AF4" s="216" t="str">
        <f t="shared" si="0"/>
        <v>CI_12</v>
      </c>
      <c r="AG4" s="216" t="str">
        <f t="shared" si="0"/>
        <v>CI_12</v>
      </c>
      <c r="AH4" s="216" t="str">
        <f t="shared" si="0"/>
        <v>CI_12</v>
      </c>
      <c r="AI4" s="216" t="str">
        <f t="shared" si="0"/>
        <v>CI_12</v>
      </c>
      <c r="AJ4" s="216" t="str">
        <f t="shared" si="0"/>
        <v>CI_12</v>
      </c>
      <c r="AK4" s="216" t="str">
        <f t="shared" si="0"/>
        <v>CI_12</v>
      </c>
      <c r="AL4" s="216" t="str">
        <f t="shared" si="0"/>
        <v>CI_12</v>
      </c>
      <c r="AM4" s="216" t="str">
        <f t="shared" si="0"/>
        <v>CI_12</v>
      </c>
      <c r="AN4" s="216" t="str">
        <f t="shared" si="0"/>
        <v>CI_12</v>
      </c>
      <c r="AO4" s="216" t="str">
        <f t="shared" si="0"/>
        <v>CI_12</v>
      </c>
      <c r="AP4" s="216" t="str">
        <f t="shared" si="0"/>
        <v>CI_12</v>
      </c>
      <c r="AQ4" s="216" t="str">
        <f t="shared" si="0"/>
        <v>CI_12</v>
      </c>
      <c r="AR4" s="216" t="str">
        <f t="shared" si="0"/>
        <v>CI_12</v>
      </c>
      <c r="AS4" s="216" t="str">
        <f t="shared" si="0"/>
        <v>CI_04</v>
      </c>
      <c r="AT4" s="216" t="str">
        <f t="shared" si="0"/>
        <v>CI_05</v>
      </c>
      <c r="AU4" s="216" t="str">
        <f t="shared" si="0"/>
        <v>CI_12</v>
      </c>
      <c r="AV4" s="216" t="str">
        <f t="shared" si="0"/>
        <v>CI_12</v>
      </c>
      <c r="AW4" s="216" t="str">
        <f t="shared" si="0"/>
        <v>CI_12</v>
      </c>
      <c r="AX4" s="216" t="str">
        <f t="shared" si="0"/>
        <v>CI_12</v>
      </c>
      <c r="AY4" s="216" t="str">
        <f t="shared" si="0"/>
        <v>CI_06</v>
      </c>
      <c r="AZ4" s="216" t="str">
        <f t="shared" si="0"/>
        <v>CI_06</v>
      </c>
      <c r="BA4" s="216" t="str">
        <f t="shared" si="0"/>
        <v>CI_07</v>
      </c>
      <c r="BB4" s="216" t="str">
        <f t="shared" si="0"/>
        <v>CI_08</v>
      </c>
      <c r="BC4" s="216" t="str">
        <f t="shared" si="0"/>
        <v>CI_12</v>
      </c>
      <c r="BD4" s="216" t="str">
        <f t="shared" si="0"/>
        <v>CI_12</v>
      </c>
      <c r="BE4" s="216" t="str">
        <f t="shared" si="0"/>
        <v>CI_12</v>
      </c>
      <c r="BF4" s="216" t="str">
        <f t="shared" si="0"/>
        <v>CI_09</v>
      </c>
      <c r="BG4" s="216" t="str">
        <f t="shared" si="0"/>
        <v>CI_10</v>
      </c>
      <c r="BH4" s="216" t="str">
        <f t="shared" si="0"/>
        <v>CI_11</v>
      </c>
      <c r="BI4" s="216" t="str">
        <f t="shared" si="0"/>
        <v>CI_12</v>
      </c>
      <c r="BJ4" s="216" t="str">
        <f t="shared" si="0"/>
        <v>CI_12</v>
      </c>
      <c r="BK4" s="216" t="str">
        <f t="shared" si="0"/>
        <v>CI_12</v>
      </c>
      <c r="BL4" s="216" t="str">
        <f t="shared" si="0"/>
        <v>CI_12</v>
      </c>
      <c r="BM4" s="216" t="str">
        <f t="shared" si="0"/>
        <v>CI_12</v>
      </c>
      <c r="BN4" s="216" t="str">
        <f t="shared" si="0"/>
        <v>CI_12</v>
      </c>
      <c r="BO4" s="216" t="str">
        <f t="shared" si="0"/>
        <v>CI_21</v>
      </c>
      <c r="BP4" s="216" t="str">
        <f t="shared" si="0"/>
        <v>CI_122-24</v>
      </c>
      <c r="BQ4" s="216" t="str">
        <f t="shared" ref="BQ4:EB4" si="1">BQ128</f>
        <v>CI_12</v>
      </c>
      <c r="BR4" s="216" t="str">
        <f t="shared" si="1"/>
        <v>CI_12</v>
      </c>
      <c r="BS4" s="216" t="str">
        <f t="shared" si="1"/>
        <v>CI_122</v>
      </c>
      <c r="BT4" s="216" t="str">
        <f t="shared" si="1"/>
        <v>CI_23</v>
      </c>
      <c r="BU4" s="216" t="str">
        <f t="shared" si="1"/>
        <v>CI_124</v>
      </c>
      <c r="BV4" s="216" t="str">
        <f t="shared" si="1"/>
        <v>CI_12</v>
      </c>
      <c r="BW4" s="216" t="str">
        <f t="shared" si="1"/>
        <v>CI_13</v>
      </c>
      <c r="BX4" s="216" t="str">
        <f t="shared" si="1"/>
        <v>CI_13</v>
      </c>
      <c r="BY4" s="216" t="str">
        <f t="shared" si="1"/>
        <v>CI_19</v>
      </c>
      <c r="BZ4" s="216" t="str">
        <f t="shared" si="1"/>
        <v>CI_19</v>
      </c>
      <c r="CA4" s="216" t="str">
        <f t="shared" si="1"/>
        <v>CI_19</v>
      </c>
      <c r="CB4" s="216" t="str">
        <f t="shared" si="1"/>
        <v>CI_114</v>
      </c>
      <c r="CC4" s="216" t="str">
        <f t="shared" si="1"/>
        <v>CI_15</v>
      </c>
      <c r="CD4" s="216" t="str">
        <f t="shared" si="1"/>
        <v>CI_116</v>
      </c>
      <c r="CE4" s="216" t="str">
        <f t="shared" si="1"/>
        <v>CI_117</v>
      </c>
      <c r="CF4" s="216" t="str">
        <f t="shared" si="1"/>
        <v>CI_118</v>
      </c>
      <c r="CG4" s="216" t="str">
        <f t="shared" si="1"/>
        <v>CI_19</v>
      </c>
      <c r="CH4" s="216" t="str">
        <f t="shared" si="1"/>
        <v>CI_19</v>
      </c>
      <c r="CI4" s="216" t="str">
        <f t="shared" si="1"/>
        <v>CI_114-16-17-18</v>
      </c>
      <c r="CJ4" s="216" t="str">
        <f t="shared" si="1"/>
        <v>CI_19</v>
      </c>
      <c r="CK4" s="216" t="str">
        <f t="shared" si="1"/>
        <v>CI_19</v>
      </c>
      <c r="CL4" s="216" t="str">
        <f t="shared" si="1"/>
        <v>CI_19</v>
      </c>
      <c r="CM4" s="216" t="str">
        <f t="shared" si="1"/>
        <v>CI_19</v>
      </c>
      <c r="CN4" s="216" t="str">
        <f t="shared" si="1"/>
        <v>CI_19</v>
      </c>
      <c r="CO4" s="216" t="str">
        <f t="shared" si="1"/>
        <v>CI_19</v>
      </c>
      <c r="CP4" s="216" t="str">
        <f t="shared" si="1"/>
        <v>CI_19</v>
      </c>
      <c r="CQ4" s="216" t="str">
        <f t="shared" si="1"/>
        <v>CI_19</v>
      </c>
      <c r="CR4" s="216" t="str">
        <f t="shared" si="1"/>
        <v>CI_19</v>
      </c>
      <c r="CS4" s="216" t="str">
        <f t="shared" si="1"/>
        <v>CI_19</v>
      </c>
      <c r="CT4" s="216" t="str">
        <f t="shared" si="1"/>
        <v>CI_19</v>
      </c>
      <c r="CU4" s="216" t="str">
        <f t="shared" si="1"/>
        <v>CI_19</v>
      </c>
      <c r="CV4" s="216" t="str">
        <f t="shared" si="1"/>
        <v>CI_19</v>
      </c>
      <c r="CW4" s="216" t="str">
        <f t="shared" si="1"/>
        <v>CI_19</v>
      </c>
      <c r="CX4" s="216" t="str">
        <f t="shared" si="1"/>
        <v>CI_19</v>
      </c>
      <c r="CY4" s="216" t="str">
        <f t="shared" si="1"/>
        <v>CI_19</v>
      </c>
      <c r="CZ4" s="216" t="str">
        <f t="shared" si="1"/>
        <v>CI_20</v>
      </c>
      <c r="DA4" s="216" t="str">
        <f t="shared" si="1"/>
        <v>CI_19</v>
      </c>
      <c r="DB4" s="216" t="str">
        <f t="shared" si="1"/>
        <v>CI_19</v>
      </c>
      <c r="DC4" s="216" t="str">
        <f t="shared" si="1"/>
        <v>CI_19</v>
      </c>
      <c r="DD4" s="216" t="str">
        <f t="shared" si="1"/>
        <v>CI_19</v>
      </c>
      <c r="DE4" s="216" t="str">
        <f t="shared" si="1"/>
        <v>CI_19</v>
      </c>
      <c r="DF4" s="216" t="str">
        <f t="shared" si="1"/>
        <v>CI_19</v>
      </c>
      <c r="DG4" s="216" t="str">
        <f t="shared" si="1"/>
        <v>CI_19</v>
      </c>
      <c r="DH4" s="216" t="str">
        <f t="shared" si="1"/>
        <v>CI_20</v>
      </c>
      <c r="DI4" s="216" t="str">
        <f t="shared" si="1"/>
        <v>CI_19</v>
      </c>
      <c r="DJ4" s="216" t="str">
        <f t="shared" si="1"/>
        <v>CI_20</v>
      </c>
      <c r="DK4" s="216" t="str">
        <f t="shared" si="1"/>
        <v>CI_19</v>
      </c>
      <c r="DL4" s="216" t="str">
        <f t="shared" si="1"/>
        <v>CI_19</v>
      </c>
      <c r="DM4" s="216" t="str">
        <f t="shared" si="1"/>
        <v>CI_20</v>
      </c>
      <c r="DN4" s="216" t="str">
        <f t="shared" si="1"/>
        <v>CI_20</v>
      </c>
      <c r="DO4" s="216" t="str">
        <f t="shared" si="1"/>
        <v>CI_20</v>
      </c>
      <c r="DP4" s="217" t="str">
        <f t="shared" si="1"/>
        <v>CI_27</v>
      </c>
      <c r="DQ4" s="95">
        <f t="shared" si="1"/>
        <v>1</v>
      </c>
      <c r="DR4" s="95">
        <f t="shared" si="1"/>
        <v>2</v>
      </c>
      <c r="DS4" s="65">
        <f t="shared" si="1"/>
        <v>3</v>
      </c>
      <c r="DT4" s="65">
        <f t="shared" si="1"/>
        <v>4</v>
      </c>
      <c r="DU4" s="65">
        <f t="shared" si="1"/>
        <v>5</v>
      </c>
      <c r="DV4" s="65">
        <f t="shared" si="1"/>
        <v>6</v>
      </c>
      <c r="DW4" s="65">
        <f t="shared" si="1"/>
        <v>7</v>
      </c>
      <c r="DX4" s="65">
        <f t="shared" si="1"/>
        <v>8</v>
      </c>
      <c r="DY4" s="65">
        <f t="shared" si="1"/>
        <v>9</v>
      </c>
      <c r="DZ4" s="65">
        <f t="shared" si="1"/>
        <v>10</v>
      </c>
      <c r="EA4" s="65">
        <f t="shared" si="1"/>
        <v>11</v>
      </c>
      <c r="EB4" s="65">
        <f t="shared" si="1"/>
        <v>12</v>
      </c>
      <c r="EC4" s="65">
        <f t="shared" ref="EC4:GG4" si="2">EC128</f>
        <v>13</v>
      </c>
      <c r="ED4" s="65">
        <f t="shared" si="2"/>
        <v>14</v>
      </c>
      <c r="EE4" s="65">
        <f t="shared" si="2"/>
        <v>15</v>
      </c>
      <c r="EF4" s="65">
        <f t="shared" si="2"/>
        <v>16</v>
      </c>
      <c r="EG4" s="65">
        <f t="shared" si="2"/>
        <v>17</v>
      </c>
      <c r="EH4" s="65">
        <f t="shared" si="2"/>
        <v>18</v>
      </c>
      <c r="EI4" s="65">
        <f t="shared" si="2"/>
        <v>19</v>
      </c>
      <c r="EJ4" s="65">
        <f t="shared" si="2"/>
        <v>20</v>
      </c>
      <c r="EK4" s="65">
        <f t="shared" si="2"/>
        <v>21</v>
      </c>
      <c r="EL4" s="65">
        <f t="shared" si="2"/>
        <v>22</v>
      </c>
      <c r="EM4" s="65">
        <f t="shared" si="2"/>
        <v>23</v>
      </c>
      <c r="EN4" s="65">
        <f t="shared" si="2"/>
        <v>24</v>
      </c>
      <c r="EO4" s="65">
        <f t="shared" si="2"/>
        <v>100</v>
      </c>
      <c r="EP4" s="65">
        <f t="shared" si="2"/>
        <v>100</v>
      </c>
      <c r="EQ4" s="65">
        <f t="shared" si="2"/>
        <v>100</v>
      </c>
      <c r="ER4" s="65">
        <f t="shared" si="2"/>
        <v>100</v>
      </c>
      <c r="ES4" s="65">
        <f t="shared" si="2"/>
        <v>100</v>
      </c>
      <c r="ET4" s="65">
        <f t="shared" si="2"/>
        <v>100</v>
      </c>
      <c r="EU4" s="65">
        <f t="shared" si="2"/>
        <v>100</v>
      </c>
      <c r="EV4" s="65">
        <f t="shared" si="2"/>
        <v>100</v>
      </c>
      <c r="EW4" s="65">
        <f t="shared" si="2"/>
        <v>100</v>
      </c>
      <c r="EX4" s="65">
        <f t="shared" si="2"/>
        <v>100</v>
      </c>
      <c r="EY4" s="65">
        <f t="shared" si="2"/>
        <v>100</v>
      </c>
      <c r="EZ4" s="65">
        <f t="shared" si="2"/>
        <v>100</v>
      </c>
      <c r="FA4" s="65">
        <f t="shared" si="2"/>
        <v>100</v>
      </c>
      <c r="FB4" s="65">
        <f t="shared" si="2"/>
        <v>100</v>
      </c>
      <c r="FC4" s="65">
        <f t="shared" si="2"/>
        <v>100</v>
      </c>
      <c r="FD4" s="65">
        <f t="shared" si="2"/>
        <v>100</v>
      </c>
      <c r="FE4" s="65">
        <f t="shared" si="2"/>
        <v>100</v>
      </c>
      <c r="FF4" s="65">
        <f t="shared" si="2"/>
        <v>100</v>
      </c>
      <c r="FG4" s="65">
        <f t="shared" si="2"/>
        <v>100</v>
      </c>
      <c r="FH4" s="65">
        <f t="shared" si="2"/>
        <v>100</v>
      </c>
      <c r="FI4" s="65">
        <f t="shared" si="2"/>
        <v>100</v>
      </c>
      <c r="FJ4" s="65">
        <f t="shared" si="2"/>
        <v>100</v>
      </c>
      <c r="FK4" s="65">
        <f t="shared" si="2"/>
        <v>100</v>
      </c>
      <c r="FL4" s="65">
        <f t="shared" si="2"/>
        <v>100</v>
      </c>
      <c r="FM4" s="65">
        <f t="shared" si="2"/>
        <v>100</v>
      </c>
      <c r="FN4" s="65">
        <f t="shared" si="2"/>
        <v>100</v>
      </c>
      <c r="FO4" s="65">
        <f t="shared" si="2"/>
        <v>100</v>
      </c>
      <c r="FP4" s="65">
        <f t="shared" si="2"/>
        <v>100</v>
      </c>
      <c r="FQ4" s="65">
        <f t="shared" si="2"/>
        <v>100</v>
      </c>
      <c r="FR4" s="65">
        <f t="shared" si="2"/>
        <v>100</v>
      </c>
      <c r="FS4" s="65">
        <f t="shared" si="2"/>
        <v>100</v>
      </c>
      <c r="FT4" s="65">
        <f t="shared" si="2"/>
        <v>100</v>
      </c>
      <c r="FU4" s="65">
        <f t="shared" si="2"/>
        <v>100</v>
      </c>
      <c r="FV4" s="65">
        <f t="shared" si="2"/>
        <v>100</v>
      </c>
      <c r="FW4" s="65">
        <f t="shared" si="2"/>
        <v>100</v>
      </c>
      <c r="FX4" s="65">
        <f t="shared" si="2"/>
        <v>100</v>
      </c>
      <c r="FY4" s="65">
        <f t="shared" si="2"/>
        <v>100</v>
      </c>
      <c r="FZ4" s="65">
        <f t="shared" si="2"/>
        <v>100</v>
      </c>
      <c r="GA4" s="65">
        <f t="shared" si="2"/>
        <v>100</v>
      </c>
      <c r="GB4" s="65">
        <f t="shared" si="2"/>
        <v>100</v>
      </c>
      <c r="GC4" s="65">
        <f t="shared" si="2"/>
        <v>100</v>
      </c>
      <c r="GD4" s="65">
        <f t="shared" si="2"/>
        <v>100</v>
      </c>
      <c r="GE4" s="65">
        <f t="shared" si="2"/>
        <v>100</v>
      </c>
      <c r="GF4" s="65">
        <f t="shared" si="2"/>
        <v>100</v>
      </c>
      <c r="GG4" s="65">
        <f t="shared" si="2"/>
        <v>100</v>
      </c>
    </row>
    <row r="5" spans="2:189" x14ac:dyDescent="0.25">
      <c r="B5" s="218" t="s">
        <v>82</v>
      </c>
      <c r="C5" s="219" t="s">
        <v>184</v>
      </c>
      <c r="D5" s="220">
        <v>12492</v>
      </c>
      <c r="E5" s="220">
        <v>102</v>
      </c>
      <c r="F5" s="220">
        <v>0</v>
      </c>
      <c r="G5" s="220">
        <v>13691</v>
      </c>
      <c r="H5" s="220">
        <v>7133</v>
      </c>
      <c r="I5" s="220">
        <v>451</v>
      </c>
      <c r="J5" s="220">
        <v>3597</v>
      </c>
      <c r="K5" s="220">
        <v>4230</v>
      </c>
      <c r="L5" s="220">
        <v>47</v>
      </c>
      <c r="M5" s="220">
        <v>0</v>
      </c>
      <c r="N5" s="220">
        <v>43</v>
      </c>
      <c r="O5" s="220">
        <v>0</v>
      </c>
      <c r="P5" s="220">
        <v>0</v>
      </c>
      <c r="Q5" s="220">
        <v>25</v>
      </c>
      <c r="R5" s="220">
        <v>0</v>
      </c>
      <c r="S5" s="220">
        <v>0</v>
      </c>
      <c r="T5" s="220">
        <v>0</v>
      </c>
      <c r="U5" s="220">
        <v>0</v>
      </c>
      <c r="V5" s="220">
        <v>0</v>
      </c>
      <c r="W5" s="220">
        <v>0</v>
      </c>
      <c r="X5" s="220">
        <v>0</v>
      </c>
      <c r="Y5" s="220">
        <v>0</v>
      </c>
      <c r="Z5" s="220">
        <v>0</v>
      </c>
      <c r="AA5" s="220">
        <v>0</v>
      </c>
      <c r="AB5" s="220">
        <v>0</v>
      </c>
      <c r="AC5" s="220">
        <v>0</v>
      </c>
      <c r="AD5" s="220">
        <v>0</v>
      </c>
      <c r="AE5" s="220">
        <v>0</v>
      </c>
      <c r="AF5" s="220">
        <v>0</v>
      </c>
      <c r="AG5" s="220">
        <v>0</v>
      </c>
      <c r="AH5" s="220">
        <v>0</v>
      </c>
      <c r="AI5" s="220">
        <v>0</v>
      </c>
      <c r="AJ5" s="220">
        <v>0</v>
      </c>
      <c r="AK5" s="220">
        <v>0</v>
      </c>
      <c r="AL5" s="220">
        <v>0</v>
      </c>
      <c r="AM5" s="220">
        <v>0</v>
      </c>
      <c r="AN5" s="220">
        <v>0</v>
      </c>
      <c r="AO5" s="220">
        <v>0</v>
      </c>
      <c r="AP5" s="220">
        <v>0</v>
      </c>
      <c r="AQ5" s="220">
        <v>0</v>
      </c>
      <c r="AR5" s="220">
        <v>0</v>
      </c>
      <c r="AS5" s="220">
        <v>0</v>
      </c>
      <c r="AT5" s="220">
        <v>0</v>
      </c>
      <c r="AU5" s="220">
        <v>193</v>
      </c>
      <c r="AV5" s="220">
        <v>0</v>
      </c>
      <c r="AW5" s="220">
        <v>0</v>
      </c>
      <c r="AX5" s="220">
        <v>0</v>
      </c>
      <c r="AY5" s="220">
        <v>0</v>
      </c>
      <c r="AZ5" s="220">
        <v>0</v>
      </c>
      <c r="BA5" s="220">
        <v>0</v>
      </c>
      <c r="BB5" s="220">
        <v>0</v>
      </c>
      <c r="BC5" s="220">
        <v>0</v>
      </c>
      <c r="BD5" s="220">
        <v>0</v>
      </c>
      <c r="BE5" s="220">
        <v>428</v>
      </c>
      <c r="BF5" s="220">
        <v>0</v>
      </c>
      <c r="BG5" s="220">
        <v>0</v>
      </c>
      <c r="BH5" s="220">
        <v>0</v>
      </c>
      <c r="BI5" s="220">
        <v>0</v>
      </c>
      <c r="BJ5" s="220">
        <v>0</v>
      </c>
      <c r="BK5" s="220">
        <v>0</v>
      </c>
      <c r="BL5" s="220">
        <v>0</v>
      </c>
      <c r="BM5" s="220">
        <v>0</v>
      </c>
      <c r="BN5" s="220">
        <v>0</v>
      </c>
      <c r="BO5" s="220">
        <v>0</v>
      </c>
      <c r="BP5" s="220">
        <v>0</v>
      </c>
      <c r="BQ5" s="220">
        <v>0</v>
      </c>
      <c r="BR5" s="220">
        <v>0</v>
      </c>
      <c r="BS5" s="220">
        <v>0</v>
      </c>
      <c r="BT5" s="220">
        <v>250</v>
      </c>
      <c r="BU5" s="220">
        <v>0</v>
      </c>
      <c r="BV5" s="220">
        <v>0</v>
      </c>
      <c r="BW5" s="220">
        <v>632</v>
      </c>
      <c r="BX5" s="220">
        <v>1229</v>
      </c>
      <c r="BY5" s="220">
        <v>0</v>
      </c>
      <c r="BZ5" s="220">
        <v>0</v>
      </c>
      <c r="CA5" s="220">
        <v>0</v>
      </c>
      <c r="CB5" s="220">
        <v>0</v>
      </c>
      <c r="CC5" s="220">
        <v>0</v>
      </c>
      <c r="CD5" s="220">
        <v>0</v>
      </c>
      <c r="CE5" s="220">
        <v>0</v>
      </c>
      <c r="CF5" s="220">
        <v>0</v>
      </c>
      <c r="CG5" s="220">
        <v>0</v>
      </c>
      <c r="CH5" s="220">
        <v>0</v>
      </c>
      <c r="CI5" s="220">
        <v>0</v>
      </c>
      <c r="CJ5" s="220">
        <v>0</v>
      </c>
      <c r="CK5" s="220">
        <v>0</v>
      </c>
      <c r="CL5" s="220">
        <v>0</v>
      </c>
      <c r="CM5" s="220">
        <v>0</v>
      </c>
      <c r="CN5" s="220">
        <v>0</v>
      </c>
      <c r="CO5" s="220">
        <v>0</v>
      </c>
      <c r="CP5" s="220">
        <v>0</v>
      </c>
      <c r="CQ5" s="220">
        <v>0</v>
      </c>
      <c r="CR5" s="220">
        <v>0</v>
      </c>
      <c r="CS5" s="220">
        <v>0</v>
      </c>
      <c r="CT5" s="220">
        <v>0</v>
      </c>
      <c r="CU5" s="220">
        <v>0</v>
      </c>
      <c r="CV5" s="220">
        <v>0</v>
      </c>
      <c r="CW5" s="220">
        <v>0</v>
      </c>
      <c r="CX5" s="220">
        <v>0</v>
      </c>
      <c r="CY5" s="220">
        <v>0</v>
      </c>
      <c r="CZ5" s="220">
        <v>0</v>
      </c>
      <c r="DA5" s="220">
        <v>1468</v>
      </c>
      <c r="DB5" s="220">
        <v>0</v>
      </c>
      <c r="DC5" s="220">
        <v>0</v>
      </c>
      <c r="DD5" s="220">
        <v>73</v>
      </c>
      <c r="DE5" s="220">
        <v>0</v>
      </c>
      <c r="DF5" s="220">
        <v>0</v>
      </c>
      <c r="DG5" s="220">
        <v>0</v>
      </c>
      <c r="DH5" s="220">
        <v>34</v>
      </c>
      <c r="DI5" s="220">
        <v>0</v>
      </c>
      <c r="DJ5" s="220">
        <v>1</v>
      </c>
      <c r="DK5" s="220">
        <v>0</v>
      </c>
      <c r="DL5" s="220">
        <v>0</v>
      </c>
      <c r="DM5" s="220">
        <v>8</v>
      </c>
      <c r="DN5" s="220">
        <v>448</v>
      </c>
      <c r="DO5" s="220">
        <v>0</v>
      </c>
      <c r="DP5" s="221">
        <v>46575</v>
      </c>
      <c r="DQ5" s="71">
        <f>TRP!AF127</f>
        <v>46575</v>
      </c>
      <c r="DR5" s="71">
        <f>DP5-DQ5</f>
        <v>0</v>
      </c>
    </row>
    <row r="6" spans="2:189" x14ac:dyDescent="0.25">
      <c r="B6" s="218" t="s">
        <v>83</v>
      </c>
      <c r="C6" s="222" t="s">
        <v>185</v>
      </c>
      <c r="D6" s="220">
        <v>0</v>
      </c>
      <c r="E6" s="220">
        <v>1627</v>
      </c>
      <c r="F6" s="220">
        <v>0</v>
      </c>
      <c r="G6" s="220">
        <v>0</v>
      </c>
      <c r="H6" s="220">
        <v>0</v>
      </c>
      <c r="I6" s="220">
        <v>0</v>
      </c>
      <c r="J6" s="220">
        <v>0</v>
      </c>
      <c r="K6" s="220">
        <v>4</v>
      </c>
      <c r="L6" s="220">
        <v>0</v>
      </c>
      <c r="M6" s="220">
        <v>0</v>
      </c>
      <c r="N6" s="220">
        <v>0</v>
      </c>
      <c r="O6" s="220">
        <v>0</v>
      </c>
      <c r="P6" s="220">
        <v>0</v>
      </c>
      <c r="Q6" s="220">
        <v>2</v>
      </c>
      <c r="R6" s="220">
        <v>0</v>
      </c>
      <c r="S6" s="220">
        <v>0</v>
      </c>
      <c r="T6" s="220">
        <v>1</v>
      </c>
      <c r="U6" s="220">
        <v>0</v>
      </c>
      <c r="V6" s="220">
        <v>0</v>
      </c>
      <c r="W6" s="220">
        <v>0</v>
      </c>
      <c r="X6" s="220">
        <v>0</v>
      </c>
      <c r="Y6" s="220">
        <v>0</v>
      </c>
      <c r="Z6" s="220">
        <v>0</v>
      </c>
      <c r="AA6" s="220">
        <v>0</v>
      </c>
      <c r="AB6" s="220">
        <v>0</v>
      </c>
      <c r="AC6" s="220">
        <v>0</v>
      </c>
      <c r="AD6" s="220">
        <v>0</v>
      </c>
      <c r="AE6" s="220">
        <v>0</v>
      </c>
      <c r="AF6" s="220">
        <v>0</v>
      </c>
      <c r="AG6" s="220">
        <v>0</v>
      </c>
      <c r="AH6" s="220">
        <v>1</v>
      </c>
      <c r="AI6" s="220">
        <v>0</v>
      </c>
      <c r="AJ6" s="220">
        <v>0</v>
      </c>
      <c r="AK6" s="220">
        <v>0</v>
      </c>
      <c r="AL6" s="220">
        <v>0</v>
      </c>
      <c r="AM6" s="220">
        <v>0</v>
      </c>
      <c r="AN6" s="220">
        <v>0</v>
      </c>
      <c r="AO6" s="220">
        <v>0</v>
      </c>
      <c r="AP6" s="220">
        <v>0</v>
      </c>
      <c r="AQ6" s="220">
        <v>0</v>
      </c>
      <c r="AR6" s="220">
        <v>0</v>
      </c>
      <c r="AS6" s="220">
        <v>0</v>
      </c>
      <c r="AT6" s="220">
        <v>0</v>
      </c>
      <c r="AU6" s="220">
        <v>0</v>
      </c>
      <c r="AV6" s="220">
        <v>0</v>
      </c>
      <c r="AW6" s="220">
        <v>0</v>
      </c>
      <c r="AX6" s="220">
        <v>2178</v>
      </c>
      <c r="AY6" s="220">
        <v>125</v>
      </c>
      <c r="AZ6" s="220">
        <v>101</v>
      </c>
      <c r="BA6" s="220">
        <v>0</v>
      </c>
      <c r="BB6" s="220">
        <v>7</v>
      </c>
      <c r="BC6" s="220">
        <v>3</v>
      </c>
      <c r="BD6" s="220">
        <v>0</v>
      </c>
      <c r="BE6" s="220">
        <v>0</v>
      </c>
      <c r="BF6" s="220">
        <v>0</v>
      </c>
      <c r="BG6" s="220">
        <v>0</v>
      </c>
      <c r="BH6" s="220">
        <v>0</v>
      </c>
      <c r="BI6" s="220">
        <v>0</v>
      </c>
      <c r="BJ6" s="220">
        <v>0</v>
      </c>
      <c r="BK6" s="220">
        <v>0</v>
      </c>
      <c r="BL6" s="220">
        <v>0</v>
      </c>
      <c r="BM6" s="220">
        <v>0</v>
      </c>
      <c r="BN6" s="220">
        <v>0</v>
      </c>
      <c r="BO6" s="220">
        <v>0</v>
      </c>
      <c r="BP6" s="220">
        <v>0</v>
      </c>
      <c r="BQ6" s="220">
        <v>0</v>
      </c>
      <c r="BR6" s="220">
        <v>0</v>
      </c>
      <c r="BS6" s="220">
        <v>0</v>
      </c>
      <c r="BT6" s="220">
        <v>0</v>
      </c>
      <c r="BU6" s="220">
        <v>0</v>
      </c>
      <c r="BV6" s="220">
        <v>0</v>
      </c>
      <c r="BW6" s="220">
        <v>0</v>
      </c>
      <c r="BX6" s="220">
        <v>0</v>
      </c>
      <c r="BY6" s="220">
        <v>0</v>
      </c>
      <c r="BZ6" s="220">
        <v>0</v>
      </c>
      <c r="CA6" s="220">
        <v>0</v>
      </c>
      <c r="CB6" s="220">
        <v>0</v>
      </c>
      <c r="CC6" s="220">
        <v>0</v>
      </c>
      <c r="CD6" s="220">
        <v>0</v>
      </c>
      <c r="CE6" s="220">
        <v>0</v>
      </c>
      <c r="CF6" s="220">
        <v>0</v>
      </c>
      <c r="CG6" s="220">
        <v>0</v>
      </c>
      <c r="CH6" s="220">
        <v>0</v>
      </c>
      <c r="CI6" s="220">
        <v>0</v>
      </c>
      <c r="CJ6" s="220">
        <v>0</v>
      </c>
      <c r="CK6" s="220">
        <v>0</v>
      </c>
      <c r="CL6" s="220">
        <v>0</v>
      </c>
      <c r="CM6" s="220">
        <v>0</v>
      </c>
      <c r="CN6" s="220">
        <v>0</v>
      </c>
      <c r="CO6" s="220">
        <v>0</v>
      </c>
      <c r="CP6" s="220">
        <v>0</v>
      </c>
      <c r="CQ6" s="220">
        <v>0</v>
      </c>
      <c r="CR6" s="220">
        <v>0</v>
      </c>
      <c r="CS6" s="220">
        <v>0</v>
      </c>
      <c r="CT6" s="220">
        <v>0</v>
      </c>
      <c r="CU6" s="220">
        <v>0</v>
      </c>
      <c r="CV6" s="220">
        <v>0</v>
      </c>
      <c r="CW6" s="220">
        <v>0</v>
      </c>
      <c r="CX6" s="220">
        <v>0</v>
      </c>
      <c r="CY6" s="220">
        <v>1</v>
      </c>
      <c r="CZ6" s="220">
        <v>0</v>
      </c>
      <c r="DA6" s="220">
        <v>3</v>
      </c>
      <c r="DB6" s="220">
        <v>0</v>
      </c>
      <c r="DC6" s="220">
        <v>0</v>
      </c>
      <c r="DD6" s="220">
        <v>6</v>
      </c>
      <c r="DE6" s="220">
        <v>0</v>
      </c>
      <c r="DF6" s="220">
        <v>0</v>
      </c>
      <c r="DG6" s="220">
        <v>0</v>
      </c>
      <c r="DH6" s="220">
        <v>5</v>
      </c>
      <c r="DI6" s="220">
        <v>0</v>
      </c>
      <c r="DJ6" s="220">
        <v>0</v>
      </c>
      <c r="DK6" s="220">
        <v>0</v>
      </c>
      <c r="DL6" s="220">
        <v>0</v>
      </c>
      <c r="DM6" s="220">
        <v>0</v>
      </c>
      <c r="DN6" s="220">
        <v>42</v>
      </c>
      <c r="DO6" s="220">
        <v>0</v>
      </c>
      <c r="DP6" s="221">
        <v>4106</v>
      </c>
      <c r="DQ6" s="71">
        <f>TRP!AF128</f>
        <v>4106</v>
      </c>
      <c r="DR6" s="71">
        <f t="shared" ref="DR6:DR69" si="3">DP6-DQ6</f>
        <v>0</v>
      </c>
    </row>
    <row r="7" spans="2:189" x14ac:dyDescent="0.25">
      <c r="B7" s="218" t="s">
        <v>84</v>
      </c>
      <c r="C7" s="222" t="s">
        <v>186</v>
      </c>
      <c r="D7" s="220">
        <v>0</v>
      </c>
      <c r="E7" s="220">
        <v>0</v>
      </c>
      <c r="F7" s="220">
        <v>9</v>
      </c>
      <c r="G7" s="220">
        <v>0</v>
      </c>
      <c r="H7" s="220">
        <v>0</v>
      </c>
      <c r="I7" s="220">
        <v>0</v>
      </c>
      <c r="J7" s="220">
        <v>46</v>
      </c>
      <c r="K7" s="220">
        <v>1264</v>
      </c>
      <c r="L7" s="220">
        <v>0</v>
      </c>
      <c r="M7" s="220">
        <v>0</v>
      </c>
      <c r="N7" s="220">
        <v>0</v>
      </c>
      <c r="O7" s="220">
        <v>0</v>
      </c>
      <c r="P7" s="220">
        <v>0</v>
      </c>
      <c r="Q7" s="220">
        <v>2</v>
      </c>
      <c r="R7" s="220">
        <v>0</v>
      </c>
      <c r="S7" s="220">
        <v>0</v>
      </c>
      <c r="T7" s="220">
        <v>0</v>
      </c>
      <c r="U7" s="220">
        <v>0</v>
      </c>
      <c r="V7" s="220">
        <v>0</v>
      </c>
      <c r="W7" s="220">
        <v>0</v>
      </c>
      <c r="X7" s="220">
        <v>0</v>
      </c>
      <c r="Y7" s="220">
        <v>0</v>
      </c>
      <c r="Z7" s="220">
        <v>0</v>
      </c>
      <c r="AA7" s="220">
        <v>0</v>
      </c>
      <c r="AB7" s="220">
        <v>0</v>
      </c>
      <c r="AC7" s="220">
        <v>0</v>
      </c>
      <c r="AD7" s="220">
        <v>0</v>
      </c>
      <c r="AE7" s="220">
        <v>0</v>
      </c>
      <c r="AF7" s="220">
        <v>0</v>
      </c>
      <c r="AG7" s="220">
        <v>0</v>
      </c>
      <c r="AH7" s="220">
        <v>0</v>
      </c>
      <c r="AI7" s="220">
        <v>0</v>
      </c>
      <c r="AJ7" s="220">
        <v>0</v>
      </c>
      <c r="AK7" s="220">
        <v>0</v>
      </c>
      <c r="AL7" s="220">
        <v>0</v>
      </c>
      <c r="AM7" s="220">
        <v>0</v>
      </c>
      <c r="AN7" s="220">
        <v>0</v>
      </c>
      <c r="AO7" s="220">
        <v>0</v>
      </c>
      <c r="AP7" s="220">
        <v>0</v>
      </c>
      <c r="AQ7" s="220">
        <v>0</v>
      </c>
      <c r="AR7" s="220">
        <v>0</v>
      </c>
      <c r="AS7" s="220">
        <v>0</v>
      </c>
      <c r="AT7" s="220">
        <v>0</v>
      </c>
      <c r="AU7" s="220">
        <v>0</v>
      </c>
      <c r="AV7" s="220">
        <v>0</v>
      </c>
      <c r="AW7" s="220">
        <v>0</v>
      </c>
      <c r="AX7" s="220">
        <v>0</v>
      </c>
      <c r="AY7" s="220">
        <v>0</v>
      </c>
      <c r="AZ7" s="220">
        <v>0</v>
      </c>
      <c r="BA7" s="220">
        <v>0</v>
      </c>
      <c r="BB7" s="220">
        <v>46</v>
      </c>
      <c r="BC7" s="220">
        <v>2</v>
      </c>
      <c r="BD7" s="220">
        <v>0</v>
      </c>
      <c r="BE7" s="220">
        <v>0</v>
      </c>
      <c r="BF7" s="220">
        <v>0</v>
      </c>
      <c r="BG7" s="220">
        <v>0</v>
      </c>
      <c r="BH7" s="220">
        <v>0</v>
      </c>
      <c r="BI7" s="220">
        <v>0</v>
      </c>
      <c r="BJ7" s="220">
        <v>0</v>
      </c>
      <c r="BK7" s="220">
        <v>0</v>
      </c>
      <c r="BL7" s="220">
        <v>0</v>
      </c>
      <c r="BM7" s="220">
        <v>0</v>
      </c>
      <c r="BN7" s="220">
        <v>0</v>
      </c>
      <c r="BO7" s="220">
        <v>0</v>
      </c>
      <c r="BP7" s="220">
        <v>0</v>
      </c>
      <c r="BQ7" s="220">
        <v>0</v>
      </c>
      <c r="BR7" s="220">
        <v>0</v>
      </c>
      <c r="BS7" s="220">
        <v>0</v>
      </c>
      <c r="BT7" s="220">
        <v>0</v>
      </c>
      <c r="BU7" s="220">
        <v>0</v>
      </c>
      <c r="BV7" s="220">
        <v>0</v>
      </c>
      <c r="BW7" s="220">
        <v>0</v>
      </c>
      <c r="BX7" s="220">
        <v>0</v>
      </c>
      <c r="BY7" s="220">
        <v>0</v>
      </c>
      <c r="BZ7" s="220">
        <v>0</v>
      </c>
      <c r="CA7" s="220">
        <v>0</v>
      </c>
      <c r="CB7" s="220">
        <v>0</v>
      </c>
      <c r="CC7" s="220">
        <v>0</v>
      </c>
      <c r="CD7" s="220">
        <v>0</v>
      </c>
      <c r="CE7" s="220">
        <v>22</v>
      </c>
      <c r="CF7" s="220">
        <v>0</v>
      </c>
      <c r="CG7" s="220">
        <v>0</v>
      </c>
      <c r="CH7" s="220">
        <v>0</v>
      </c>
      <c r="CI7" s="220">
        <v>0</v>
      </c>
      <c r="CJ7" s="220">
        <v>0</v>
      </c>
      <c r="CK7" s="220">
        <v>0</v>
      </c>
      <c r="CL7" s="220">
        <v>0</v>
      </c>
      <c r="CM7" s="220">
        <v>0</v>
      </c>
      <c r="CN7" s="220">
        <v>0</v>
      </c>
      <c r="CO7" s="220">
        <v>0</v>
      </c>
      <c r="CP7" s="220">
        <v>0</v>
      </c>
      <c r="CQ7" s="220">
        <v>0</v>
      </c>
      <c r="CR7" s="220">
        <v>0</v>
      </c>
      <c r="CS7" s="220">
        <v>0</v>
      </c>
      <c r="CT7" s="220">
        <v>0</v>
      </c>
      <c r="CU7" s="220">
        <v>0</v>
      </c>
      <c r="CV7" s="220">
        <v>0</v>
      </c>
      <c r="CW7" s="220">
        <v>0</v>
      </c>
      <c r="CX7" s="220">
        <v>0</v>
      </c>
      <c r="CY7" s="220">
        <v>1</v>
      </c>
      <c r="CZ7" s="220">
        <v>0</v>
      </c>
      <c r="DA7" s="220">
        <v>592</v>
      </c>
      <c r="DB7" s="220">
        <v>0</v>
      </c>
      <c r="DC7" s="220">
        <v>54</v>
      </c>
      <c r="DD7" s="220">
        <v>0</v>
      </c>
      <c r="DE7" s="220">
        <v>5</v>
      </c>
      <c r="DF7" s="220">
        <v>0</v>
      </c>
      <c r="DG7" s="220">
        <v>0</v>
      </c>
      <c r="DH7" s="220">
        <v>0</v>
      </c>
      <c r="DI7" s="220">
        <v>78</v>
      </c>
      <c r="DJ7" s="220">
        <v>0</v>
      </c>
      <c r="DK7" s="220">
        <v>0</v>
      </c>
      <c r="DL7" s="220">
        <v>25</v>
      </c>
      <c r="DM7" s="220">
        <v>0</v>
      </c>
      <c r="DN7" s="220">
        <v>0</v>
      </c>
      <c r="DO7" s="220">
        <v>0</v>
      </c>
      <c r="DP7" s="221">
        <v>2146</v>
      </c>
      <c r="DQ7" s="71">
        <f>TRP!AF129</f>
        <v>2146</v>
      </c>
      <c r="DR7" s="71">
        <f t="shared" si="3"/>
        <v>0</v>
      </c>
    </row>
    <row r="8" spans="2:189" x14ac:dyDescent="0.25">
      <c r="B8" s="218" t="s">
        <v>85</v>
      </c>
      <c r="C8" s="222" t="s">
        <v>187</v>
      </c>
      <c r="D8" s="220">
        <v>0</v>
      </c>
      <c r="E8" s="220">
        <v>0</v>
      </c>
      <c r="F8" s="220">
        <v>0</v>
      </c>
      <c r="G8" s="220">
        <v>3946</v>
      </c>
      <c r="H8" s="220">
        <v>14</v>
      </c>
      <c r="I8" s="220">
        <v>5</v>
      </c>
      <c r="J8" s="220">
        <v>83</v>
      </c>
      <c r="K8" s="220">
        <v>67</v>
      </c>
      <c r="L8" s="220">
        <v>0</v>
      </c>
      <c r="M8" s="220">
        <v>47</v>
      </c>
      <c r="N8" s="220">
        <v>203</v>
      </c>
      <c r="O8" s="220">
        <v>0</v>
      </c>
      <c r="P8" s="220">
        <v>0</v>
      </c>
      <c r="Q8" s="220">
        <v>103</v>
      </c>
      <c r="R8" s="220">
        <v>28</v>
      </c>
      <c r="S8" s="220">
        <v>0</v>
      </c>
      <c r="T8" s="220">
        <v>1</v>
      </c>
      <c r="U8" s="220">
        <v>0</v>
      </c>
      <c r="V8" s="220">
        <v>0</v>
      </c>
      <c r="W8" s="220">
        <v>0</v>
      </c>
      <c r="X8" s="220">
        <v>0</v>
      </c>
      <c r="Y8" s="220">
        <v>0</v>
      </c>
      <c r="Z8" s="220">
        <v>0</v>
      </c>
      <c r="AA8" s="220">
        <v>0</v>
      </c>
      <c r="AB8" s="220">
        <v>0</v>
      </c>
      <c r="AC8" s="220">
        <v>0</v>
      </c>
      <c r="AD8" s="220">
        <v>0</v>
      </c>
      <c r="AE8" s="220">
        <v>0</v>
      </c>
      <c r="AF8" s="220">
        <v>0</v>
      </c>
      <c r="AG8" s="220">
        <v>0</v>
      </c>
      <c r="AH8" s="220">
        <v>0</v>
      </c>
      <c r="AI8" s="220">
        <v>0</v>
      </c>
      <c r="AJ8" s="220">
        <v>0</v>
      </c>
      <c r="AK8" s="220">
        <v>0</v>
      </c>
      <c r="AL8" s="220">
        <v>0</v>
      </c>
      <c r="AM8" s="220">
        <v>0</v>
      </c>
      <c r="AN8" s="220">
        <v>0</v>
      </c>
      <c r="AO8" s="220">
        <v>0</v>
      </c>
      <c r="AP8" s="220">
        <v>0</v>
      </c>
      <c r="AQ8" s="220">
        <v>0</v>
      </c>
      <c r="AR8" s="220">
        <v>0</v>
      </c>
      <c r="AS8" s="220">
        <v>0</v>
      </c>
      <c r="AT8" s="220">
        <v>0</v>
      </c>
      <c r="AU8" s="220">
        <v>12</v>
      </c>
      <c r="AV8" s="220">
        <v>0</v>
      </c>
      <c r="AW8" s="220">
        <v>0</v>
      </c>
      <c r="AX8" s="220">
        <v>0</v>
      </c>
      <c r="AY8" s="220">
        <v>0</v>
      </c>
      <c r="AZ8" s="220">
        <v>0</v>
      </c>
      <c r="BA8" s="220">
        <v>0</v>
      </c>
      <c r="BB8" s="220">
        <v>0</v>
      </c>
      <c r="BC8" s="220">
        <v>0</v>
      </c>
      <c r="BD8" s="220">
        <v>0</v>
      </c>
      <c r="BE8" s="220">
        <v>1</v>
      </c>
      <c r="BF8" s="220">
        <v>1</v>
      </c>
      <c r="BG8" s="220">
        <v>1</v>
      </c>
      <c r="BH8" s="220">
        <v>0</v>
      </c>
      <c r="BI8" s="220">
        <v>0</v>
      </c>
      <c r="BJ8" s="220">
        <v>1</v>
      </c>
      <c r="BK8" s="220">
        <v>0</v>
      </c>
      <c r="BL8" s="220">
        <v>0</v>
      </c>
      <c r="BM8" s="220">
        <v>0</v>
      </c>
      <c r="BN8" s="220">
        <v>0</v>
      </c>
      <c r="BO8" s="220">
        <v>0</v>
      </c>
      <c r="BP8" s="220">
        <v>0</v>
      </c>
      <c r="BQ8" s="220">
        <v>0</v>
      </c>
      <c r="BR8" s="220">
        <v>0</v>
      </c>
      <c r="BS8" s="220">
        <v>0</v>
      </c>
      <c r="BT8" s="220">
        <v>0</v>
      </c>
      <c r="BU8" s="220">
        <v>0</v>
      </c>
      <c r="BV8" s="220">
        <v>0</v>
      </c>
      <c r="BW8" s="220">
        <v>0</v>
      </c>
      <c r="BX8" s="220">
        <v>0</v>
      </c>
      <c r="BY8" s="220">
        <v>5</v>
      </c>
      <c r="BZ8" s="220">
        <v>167</v>
      </c>
      <c r="CA8" s="220">
        <v>117</v>
      </c>
      <c r="CB8" s="220">
        <v>0</v>
      </c>
      <c r="CC8" s="220">
        <v>1</v>
      </c>
      <c r="CD8" s="220">
        <v>1</v>
      </c>
      <c r="CE8" s="220">
        <v>16</v>
      </c>
      <c r="CF8" s="220">
        <v>1</v>
      </c>
      <c r="CG8" s="220">
        <v>2</v>
      </c>
      <c r="CH8" s="220">
        <v>0</v>
      </c>
      <c r="CI8" s="220">
        <v>7</v>
      </c>
      <c r="CJ8" s="220">
        <v>7</v>
      </c>
      <c r="CK8" s="220">
        <v>0</v>
      </c>
      <c r="CL8" s="220">
        <v>1</v>
      </c>
      <c r="CM8" s="220">
        <v>7</v>
      </c>
      <c r="CN8" s="220">
        <v>14</v>
      </c>
      <c r="CO8" s="220">
        <v>0</v>
      </c>
      <c r="CP8" s="220">
        <v>0</v>
      </c>
      <c r="CQ8" s="220">
        <v>0</v>
      </c>
      <c r="CR8" s="220">
        <v>0</v>
      </c>
      <c r="CS8" s="220">
        <v>0</v>
      </c>
      <c r="CT8" s="220">
        <v>0</v>
      </c>
      <c r="CU8" s="220">
        <v>0</v>
      </c>
      <c r="CV8" s="220">
        <v>0</v>
      </c>
      <c r="CW8" s="220">
        <v>37</v>
      </c>
      <c r="CX8" s="220">
        <v>0</v>
      </c>
      <c r="CY8" s="220">
        <v>2</v>
      </c>
      <c r="CZ8" s="220">
        <v>0</v>
      </c>
      <c r="DA8" s="220">
        <v>2535</v>
      </c>
      <c r="DB8" s="220">
        <v>11</v>
      </c>
      <c r="DC8" s="220">
        <v>8</v>
      </c>
      <c r="DD8" s="220">
        <v>0</v>
      </c>
      <c r="DE8" s="220">
        <v>0</v>
      </c>
      <c r="DF8" s="220">
        <v>0</v>
      </c>
      <c r="DG8" s="220">
        <v>420</v>
      </c>
      <c r="DH8" s="220">
        <v>1303</v>
      </c>
      <c r="DI8" s="220">
        <v>234</v>
      </c>
      <c r="DJ8" s="220">
        <v>255</v>
      </c>
      <c r="DK8" s="220">
        <v>2</v>
      </c>
      <c r="DL8" s="220">
        <v>90</v>
      </c>
      <c r="DM8" s="220">
        <v>0</v>
      </c>
      <c r="DN8" s="220">
        <v>0</v>
      </c>
      <c r="DO8" s="220">
        <v>3</v>
      </c>
      <c r="DP8" s="221">
        <v>9759</v>
      </c>
      <c r="DQ8" s="71">
        <f>TRP!AF130</f>
        <v>9759</v>
      </c>
      <c r="DR8" s="71">
        <f t="shared" si="3"/>
        <v>0</v>
      </c>
    </row>
    <row r="9" spans="2:189" x14ac:dyDescent="0.25">
      <c r="B9" s="218" t="s">
        <v>86</v>
      </c>
      <c r="C9" s="222" t="s">
        <v>188</v>
      </c>
      <c r="D9" s="220">
        <v>0</v>
      </c>
      <c r="E9" s="220">
        <v>0</v>
      </c>
      <c r="F9" s="220">
        <v>0</v>
      </c>
      <c r="G9" s="220">
        <v>295</v>
      </c>
      <c r="H9" s="220">
        <v>2656</v>
      </c>
      <c r="I9" s="220">
        <v>236</v>
      </c>
      <c r="J9" s="220">
        <v>356</v>
      </c>
      <c r="K9" s="220">
        <v>1423</v>
      </c>
      <c r="L9" s="220">
        <v>0</v>
      </c>
      <c r="M9" s="220">
        <v>0</v>
      </c>
      <c r="N9" s="220">
        <v>0</v>
      </c>
      <c r="O9" s="220">
        <v>0</v>
      </c>
      <c r="P9" s="220">
        <v>0</v>
      </c>
      <c r="Q9" s="220">
        <v>0</v>
      </c>
      <c r="R9" s="220">
        <v>0</v>
      </c>
      <c r="S9" s="220">
        <v>0</v>
      </c>
      <c r="T9" s="220">
        <v>0</v>
      </c>
      <c r="U9" s="220">
        <v>0</v>
      </c>
      <c r="V9" s="220">
        <v>0</v>
      </c>
      <c r="W9" s="220">
        <v>0</v>
      </c>
      <c r="X9" s="220">
        <v>0</v>
      </c>
      <c r="Y9" s="220">
        <v>0</v>
      </c>
      <c r="Z9" s="220">
        <v>0</v>
      </c>
      <c r="AA9" s="220">
        <v>0</v>
      </c>
      <c r="AB9" s="220">
        <v>0</v>
      </c>
      <c r="AC9" s="220">
        <v>0</v>
      </c>
      <c r="AD9" s="220">
        <v>0</v>
      </c>
      <c r="AE9" s="220">
        <v>0</v>
      </c>
      <c r="AF9" s="220">
        <v>0</v>
      </c>
      <c r="AG9" s="220">
        <v>0</v>
      </c>
      <c r="AH9" s="220">
        <v>0</v>
      </c>
      <c r="AI9" s="220">
        <v>0</v>
      </c>
      <c r="AJ9" s="220">
        <v>0</v>
      </c>
      <c r="AK9" s="220">
        <v>0</v>
      </c>
      <c r="AL9" s="220">
        <v>0</v>
      </c>
      <c r="AM9" s="220">
        <v>0</v>
      </c>
      <c r="AN9" s="220">
        <v>0</v>
      </c>
      <c r="AO9" s="220">
        <v>0</v>
      </c>
      <c r="AP9" s="220">
        <v>0</v>
      </c>
      <c r="AQ9" s="220">
        <v>0</v>
      </c>
      <c r="AR9" s="220">
        <v>0</v>
      </c>
      <c r="AS9" s="220">
        <v>0</v>
      </c>
      <c r="AT9" s="220">
        <v>0</v>
      </c>
      <c r="AU9" s="220">
        <v>0</v>
      </c>
      <c r="AV9" s="220">
        <v>0</v>
      </c>
      <c r="AW9" s="220">
        <v>0</v>
      </c>
      <c r="AX9" s="220">
        <v>0</v>
      </c>
      <c r="AY9" s="220">
        <v>0</v>
      </c>
      <c r="AZ9" s="220">
        <v>0</v>
      </c>
      <c r="BA9" s="220">
        <v>0</v>
      </c>
      <c r="BB9" s="220">
        <v>0</v>
      </c>
      <c r="BC9" s="220">
        <v>0</v>
      </c>
      <c r="BD9" s="220">
        <v>0</v>
      </c>
      <c r="BE9" s="220">
        <v>0</v>
      </c>
      <c r="BF9" s="220">
        <v>0</v>
      </c>
      <c r="BG9" s="220">
        <v>0</v>
      </c>
      <c r="BH9" s="220">
        <v>0</v>
      </c>
      <c r="BI9" s="220">
        <v>0</v>
      </c>
      <c r="BJ9" s="220">
        <v>0</v>
      </c>
      <c r="BK9" s="220">
        <v>0</v>
      </c>
      <c r="BL9" s="220">
        <v>0</v>
      </c>
      <c r="BM9" s="220">
        <v>0</v>
      </c>
      <c r="BN9" s="220">
        <v>0</v>
      </c>
      <c r="BO9" s="220">
        <v>0</v>
      </c>
      <c r="BP9" s="220">
        <v>0</v>
      </c>
      <c r="BQ9" s="220">
        <v>0</v>
      </c>
      <c r="BR9" s="220">
        <v>0</v>
      </c>
      <c r="BS9" s="220">
        <v>0</v>
      </c>
      <c r="BT9" s="220">
        <v>0</v>
      </c>
      <c r="BU9" s="220">
        <v>0</v>
      </c>
      <c r="BV9" s="220">
        <v>0</v>
      </c>
      <c r="BW9" s="220">
        <v>0</v>
      </c>
      <c r="BX9" s="220">
        <v>0</v>
      </c>
      <c r="BY9" s="220">
        <v>37</v>
      </c>
      <c r="BZ9" s="220">
        <v>111</v>
      </c>
      <c r="CA9" s="220">
        <v>104</v>
      </c>
      <c r="CB9" s="220">
        <v>0</v>
      </c>
      <c r="CC9" s="220">
        <v>9</v>
      </c>
      <c r="CD9" s="220">
        <v>10</v>
      </c>
      <c r="CE9" s="220">
        <v>2</v>
      </c>
      <c r="CF9" s="220">
        <v>58</v>
      </c>
      <c r="CG9" s="220">
        <v>2</v>
      </c>
      <c r="CH9" s="220">
        <v>0</v>
      </c>
      <c r="CI9" s="220">
        <v>2</v>
      </c>
      <c r="CJ9" s="220">
        <v>3</v>
      </c>
      <c r="CK9" s="220">
        <v>0</v>
      </c>
      <c r="CL9" s="220">
        <v>1</v>
      </c>
      <c r="CM9" s="220">
        <v>4</v>
      </c>
      <c r="CN9" s="220">
        <v>3</v>
      </c>
      <c r="CO9" s="220">
        <v>47</v>
      </c>
      <c r="CP9" s="220">
        <v>16</v>
      </c>
      <c r="CQ9" s="220">
        <v>16</v>
      </c>
      <c r="CR9" s="220">
        <v>16</v>
      </c>
      <c r="CS9" s="220">
        <v>10</v>
      </c>
      <c r="CT9" s="220">
        <v>15</v>
      </c>
      <c r="CU9" s="220">
        <v>15</v>
      </c>
      <c r="CV9" s="220">
        <v>17</v>
      </c>
      <c r="CW9" s="220">
        <v>91</v>
      </c>
      <c r="CX9" s="220">
        <v>1</v>
      </c>
      <c r="CY9" s="220">
        <v>9</v>
      </c>
      <c r="CZ9" s="220">
        <v>0</v>
      </c>
      <c r="DA9" s="220">
        <v>1973</v>
      </c>
      <c r="DB9" s="220">
        <v>14</v>
      </c>
      <c r="DC9" s="220">
        <v>7</v>
      </c>
      <c r="DD9" s="220">
        <v>0</v>
      </c>
      <c r="DE9" s="220">
        <v>12</v>
      </c>
      <c r="DF9" s="220">
        <v>0</v>
      </c>
      <c r="DG9" s="220">
        <v>351</v>
      </c>
      <c r="DH9" s="220">
        <v>0</v>
      </c>
      <c r="DI9" s="220">
        <v>307</v>
      </c>
      <c r="DJ9" s="220">
        <v>132</v>
      </c>
      <c r="DK9" s="220">
        <v>4</v>
      </c>
      <c r="DL9" s="220">
        <v>150</v>
      </c>
      <c r="DM9" s="220">
        <v>0</v>
      </c>
      <c r="DN9" s="220">
        <v>0</v>
      </c>
      <c r="DO9" s="220">
        <v>0</v>
      </c>
      <c r="DP9" s="221">
        <v>8515</v>
      </c>
      <c r="DQ9" s="71">
        <f>TRP!AF131</f>
        <v>8515</v>
      </c>
      <c r="DR9" s="71">
        <f t="shared" si="3"/>
        <v>0</v>
      </c>
    </row>
    <row r="10" spans="2:189" x14ac:dyDescent="0.25">
      <c r="B10" s="218" t="s">
        <v>87</v>
      </c>
      <c r="C10" s="222" t="s">
        <v>189</v>
      </c>
      <c r="D10" s="220">
        <v>22</v>
      </c>
      <c r="E10" s="220">
        <v>0</v>
      </c>
      <c r="F10" s="220">
        <v>0</v>
      </c>
      <c r="G10" s="220">
        <v>34</v>
      </c>
      <c r="H10" s="220">
        <v>537</v>
      </c>
      <c r="I10" s="220">
        <v>3563</v>
      </c>
      <c r="J10" s="220">
        <v>58</v>
      </c>
      <c r="K10" s="220">
        <v>371</v>
      </c>
      <c r="L10" s="220">
        <v>1</v>
      </c>
      <c r="M10" s="220">
        <v>9</v>
      </c>
      <c r="N10" s="220">
        <v>2</v>
      </c>
      <c r="O10" s="220">
        <v>26</v>
      </c>
      <c r="P10" s="220">
        <v>119</v>
      </c>
      <c r="Q10" s="220">
        <v>60</v>
      </c>
      <c r="R10" s="220">
        <v>4</v>
      </c>
      <c r="S10" s="220">
        <v>0</v>
      </c>
      <c r="T10" s="220">
        <v>1</v>
      </c>
      <c r="U10" s="220">
        <v>1</v>
      </c>
      <c r="V10" s="220">
        <v>1</v>
      </c>
      <c r="W10" s="220">
        <v>1</v>
      </c>
      <c r="X10" s="220">
        <v>23</v>
      </c>
      <c r="Y10" s="220">
        <v>9</v>
      </c>
      <c r="Z10" s="220">
        <v>1</v>
      </c>
      <c r="AA10" s="220">
        <v>0</v>
      </c>
      <c r="AB10" s="220">
        <v>12</v>
      </c>
      <c r="AC10" s="220">
        <v>1</v>
      </c>
      <c r="AD10" s="220">
        <v>1</v>
      </c>
      <c r="AE10" s="220">
        <v>3</v>
      </c>
      <c r="AF10" s="220">
        <v>10</v>
      </c>
      <c r="AG10" s="220">
        <v>6</v>
      </c>
      <c r="AH10" s="220">
        <v>2</v>
      </c>
      <c r="AI10" s="220">
        <v>2</v>
      </c>
      <c r="AJ10" s="220">
        <v>6</v>
      </c>
      <c r="AK10" s="220">
        <v>1</v>
      </c>
      <c r="AL10" s="220">
        <v>2</v>
      </c>
      <c r="AM10" s="220">
        <v>2</v>
      </c>
      <c r="AN10" s="220">
        <v>19</v>
      </c>
      <c r="AO10" s="220">
        <v>1</v>
      </c>
      <c r="AP10" s="220">
        <v>27</v>
      </c>
      <c r="AQ10" s="220">
        <v>0</v>
      </c>
      <c r="AR10" s="220">
        <v>6</v>
      </c>
      <c r="AS10" s="220">
        <v>1</v>
      </c>
      <c r="AT10" s="220">
        <v>3</v>
      </c>
      <c r="AU10" s="220">
        <v>7</v>
      </c>
      <c r="AV10" s="220">
        <v>1</v>
      </c>
      <c r="AW10" s="220">
        <v>2</v>
      </c>
      <c r="AX10" s="220">
        <v>2</v>
      </c>
      <c r="AY10" s="220">
        <v>43</v>
      </c>
      <c r="AZ10" s="220">
        <v>7</v>
      </c>
      <c r="BA10" s="220">
        <v>0</v>
      </c>
      <c r="BB10" s="220">
        <v>25</v>
      </c>
      <c r="BC10" s="220">
        <v>8</v>
      </c>
      <c r="BD10" s="220">
        <v>0</v>
      </c>
      <c r="BE10" s="220">
        <v>11</v>
      </c>
      <c r="BF10" s="220">
        <v>20</v>
      </c>
      <c r="BG10" s="220">
        <v>15</v>
      </c>
      <c r="BH10" s="220">
        <v>8</v>
      </c>
      <c r="BI10" s="220">
        <v>9</v>
      </c>
      <c r="BJ10" s="220">
        <v>10</v>
      </c>
      <c r="BK10" s="220">
        <v>9</v>
      </c>
      <c r="BL10" s="220">
        <v>14</v>
      </c>
      <c r="BM10" s="220">
        <v>9</v>
      </c>
      <c r="BN10" s="220">
        <v>14</v>
      </c>
      <c r="BO10" s="220">
        <v>0</v>
      </c>
      <c r="BP10" s="220">
        <v>0</v>
      </c>
      <c r="BQ10" s="220">
        <v>0</v>
      </c>
      <c r="BR10" s="220">
        <v>0</v>
      </c>
      <c r="BS10" s="220">
        <v>19</v>
      </c>
      <c r="BT10" s="220">
        <v>7</v>
      </c>
      <c r="BU10" s="220">
        <v>4</v>
      </c>
      <c r="BV10" s="220">
        <v>6</v>
      </c>
      <c r="BW10" s="220">
        <v>86</v>
      </c>
      <c r="BX10" s="220">
        <v>27</v>
      </c>
      <c r="BY10" s="220">
        <v>43</v>
      </c>
      <c r="BZ10" s="220">
        <v>90</v>
      </c>
      <c r="CA10" s="220">
        <v>88</v>
      </c>
      <c r="CB10" s="220">
        <v>3</v>
      </c>
      <c r="CC10" s="220">
        <v>6</v>
      </c>
      <c r="CD10" s="220">
        <v>29</v>
      </c>
      <c r="CE10" s="220">
        <v>18</v>
      </c>
      <c r="CF10" s="220">
        <v>67</v>
      </c>
      <c r="CG10" s="220">
        <v>19</v>
      </c>
      <c r="CH10" s="220">
        <v>2</v>
      </c>
      <c r="CI10" s="220">
        <v>19</v>
      </c>
      <c r="CJ10" s="220">
        <v>3</v>
      </c>
      <c r="CK10" s="220">
        <v>0</v>
      </c>
      <c r="CL10" s="220">
        <v>1</v>
      </c>
      <c r="CM10" s="220">
        <v>11</v>
      </c>
      <c r="CN10" s="220">
        <v>10</v>
      </c>
      <c r="CO10" s="220">
        <v>34</v>
      </c>
      <c r="CP10" s="220">
        <v>33</v>
      </c>
      <c r="CQ10" s="220">
        <v>33</v>
      </c>
      <c r="CR10" s="220">
        <v>31</v>
      </c>
      <c r="CS10" s="220">
        <v>44</v>
      </c>
      <c r="CT10" s="220">
        <v>40</v>
      </c>
      <c r="CU10" s="220">
        <v>20</v>
      </c>
      <c r="CV10" s="220">
        <v>18</v>
      </c>
      <c r="CW10" s="220">
        <v>140</v>
      </c>
      <c r="CX10" s="220">
        <v>1</v>
      </c>
      <c r="CY10" s="220">
        <v>80</v>
      </c>
      <c r="CZ10" s="220">
        <v>0</v>
      </c>
      <c r="DA10" s="220">
        <v>5528</v>
      </c>
      <c r="DB10" s="220">
        <v>35</v>
      </c>
      <c r="DC10" s="220">
        <v>157</v>
      </c>
      <c r="DD10" s="220">
        <v>0</v>
      </c>
      <c r="DE10" s="220">
        <v>24</v>
      </c>
      <c r="DF10" s="220">
        <v>0</v>
      </c>
      <c r="DG10" s="220">
        <v>183</v>
      </c>
      <c r="DH10" s="220">
        <v>0</v>
      </c>
      <c r="DI10" s="220">
        <v>228</v>
      </c>
      <c r="DJ10" s="220">
        <v>115</v>
      </c>
      <c r="DK10" s="220">
        <v>2</v>
      </c>
      <c r="DL10" s="220">
        <v>114</v>
      </c>
      <c r="DM10" s="220">
        <v>0</v>
      </c>
      <c r="DN10" s="220">
        <v>0</v>
      </c>
      <c r="DO10" s="220">
        <v>0</v>
      </c>
      <c r="DP10" s="221">
        <v>12580</v>
      </c>
      <c r="DQ10" s="71">
        <f>TRP!AF132</f>
        <v>12580</v>
      </c>
      <c r="DR10" s="71">
        <f t="shared" si="3"/>
        <v>0</v>
      </c>
    </row>
    <row r="11" spans="2:189" x14ac:dyDescent="0.25">
      <c r="B11" s="218" t="s">
        <v>88</v>
      </c>
      <c r="C11" s="222" t="s">
        <v>190</v>
      </c>
      <c r="D11" s="220">
        <v>5896</v>
      </c>
      <c r="E11" s="220">
        <v>0</v>
      </c>
      <c r="F11" s="220">
        <v>0</v>
      </c>
      <c r="G11" s="220">
        <v>173</v>
      </c>
      <c r="H11" s="220">
        <v>69</v>
      </c>
      <c r="I11" s="220">
        <v>34</v>
      </c>
      <c r="J11" s="220">
        <v>1640</v>
      </c>
      <c r="K11" s="220">
        <v>2037</v>
      </c>
      <c r="L11" s="220">
        <v>0</v>
      </c>
      <c r="M11" s="220">
        <v>0</v>
      </c>
      <c r="N11" s="220">
        <v>0</v>
      </c>
      <c r="O11" s="220">
        <v>0</v>
      </c>
      <c r="P11" s="220">
        <v>389</v>
      </c>
      <c r="Q11" s="220">
        <v>248</v>
      </c>
      <c r="R11" s="220">
        <v>0</v>
      </c>
      <c r="S11" s="220">
        <v>0</v>
      </c>
      <c r="T11" s="220">
        <v>1</v>
      </c>
      <c r="U11" s="220">
        <v>0</v>
      </c>
      <c r="V11" s="220">
        <v>0</v>
      </c>
      <c r="W11" s="220">
        <v>0</v>
      </c>
      <c r="X11" s="220">
        <v>0</v>
      </c>
      <c r="Y11" s="220">
        <v>0</v>
      </c>
      <c r="Z11" s="220">
        <v>0</v>
      </c>
      <c r="AA11" s="220">
        <v>0</v>
      </c>
      <c r="AB11" s="220">
        <v>0</v>
      </c>
      <c r="AC11" s="220">
        <v>0</v>
      </c>
      <c r="AD11" s="220">
        <v>0</v>
      </c>
      <c r="AE11" s="220">
        <v>0</v>
      </c>
      <c r="AF11" s="220">
        <v>0</v>
      </c>
      <c r="AG11" s="220">
        <v>0</v>
      </c>
      <c r="AH11" s="220">
        <v>0</v>
      </c>
      <c r="AI11" s="220">
        <v>0</v>
      </c>
      <c r="AJ11" s="220">
        <v>0</v>
      </c>
      <c r="AK11" s="220">
        <v>0</v>
      </c>
      <c r="AL11" s="220">
        <v>0</v>
      </c>
      <c r="AM11" s="220">
        <v>0</v>
      </c>
      <c r="AN11" s="220">
        <v>0</v>
      </c>
      <c r="AO11" s="220">
        <v>0</v>
      </c>
      <c r="AP11" s="220">
        <v>0</v>
      </c>
      <c r="AQ11" s="220">
        <v>0</v>
      </c>
      <c r="AR11" s="220">
        <v>0</v>
      </c>
      <c r="AS11" s="220">
        <v>0</v>
      </c>
      <c r="AT11" s="220">
        <v>0</v>
      </c>
      <c r="AU11" s="220">
        <v>165</v>
      </c>
      <c r="AV11" s="220">
        <v>6</v>
      </c>
      <c r="AW11" s="220">
        <v>0</v>
      </c>
      <c r="AX11" s="220">
        <v>0</v>
      </c>
      <c r="AY11" s="220">
        <v>28</v>
      </c>
      <c r="AZ11" s="220">
        <v>111</v>
      </c>
      <c r="BA11" s="220">
        <v>1</v>
      </c>
      <c r="BB11" s="220">
        <v>0</v>
      </c>
      <c r="BC11" s="220">
        <v>248</v>
      </c>
      <c r="BD11" s="220">
        <v>0</v>
      </c>
      <c r="BE11" s="220">
        <v>0</v>
      </c>
      <c r="BF11" s="220">
        <v>0</v>
      </c>
      <c r="BG11" s="220">
        <v>0</v>
      </c>
      <c r="BH11" s="220">
        <v>0</v>
      </c>
      <c r="BI11" s="220">
        <v>0</v>
      </c>
      <c r="BJ11" s="220">
        <v>0</v>
      </c>
      <c r="BK11" s="220">
        <v>0</v>
      </c>
      <c r="BL11" s="220">
        <v>0</v>
      </c>
      <c r="BM11" s="220">
        <v>0</v>
      </c>
      <c r="BN11" s="220">
        <v>0</v>
      </c>
      <c r="BO11" s="220">
        <v>0</v>
      </c>
      <c r="BP11" s="220">
        <v>0</v>
      </c>
      <c r="BQ11" s="220">
        <v>0</v>
      </c>
      <c r="BR11" s="220">
        <v>0</v>
      </c>
      <c r="BS11" s="220">
        <v>0</v>
      </c>
      <c r="BT11" s="220">
        <v>0</v>
      </c>
      <c r="BU11" s="220">
        <v>0</v>
      </c>
      <c r="BV11" s="220">
        <v>0</v>
      </c>
      <c r="BW11" s="220">
        <v>0</v>
      </c>
      <c r="BX11" s="220">
        <v>0</v>
      </c>
      <c r="BY11" s="220">
        <v>34</v>
      </c>
      <c r="BZ11" s="220">
        <v>55</v>
      </c>
      <c r="CA11" s="220">
        <v>149</v>
      </c>
      <c r="CB11" s="220">
        <v>0</v>
      </c>
      <c r="CC11" s="220">
        <v>0</v>
      </c>
      <c r="CD11" s="220">
        <v>0</v>
      </c>
      <c r="CE11" s="220">
        <v>17</v>
      </c>
      <c r="CF11" s="220">
        <v>0</v>
      </c>
      <c r="CG11" s="220">
        <v>0</v>
      </c>
      <c r="CH11" s="220">
        <v>0</v>
      </c>
      <c r="CI11" s="220">
        <v>0</v>
      </c>
      <c r="CJ11" s="220">
        <v>0</v>
      </c>
      <c r="CK11" s="220">
        <v>0</v>
      </c>
      <c r="CL11" s="220">
        <v>0</v>
      </c>
      <c r="CM11" s="220">
        <v>0</v>
      </c>
      <c r="CN11" s="220">
        <v>0</v>
      </c>
      <c r="CO11" s="220">
        <v>0</v>
      </c>
      <c r="CP11" s="220">
        <v>0</v>
      </c>
      <c r="CQ11" s="220">
        <v>0</v>
      </c>
      <c r="CR11" s="220">
        <v>0</v>
      </c>
      <c r="CS11" s="220">
        <v>0</v>
      </c>
      <c r="CT11" s="220">
        <v>0</v>
      </c>
      <c r="CU11" s="220">
        <v>0</v>
      </c>
      <c r="CV11" s="220">
        <v>0</v>
      </c>
      <c r="CW11" s="220">
        <v>47</v>
      </c>
      <c r="CX11" s="220">
        <v>0</v>
      </c>
      <c r="CY11" s="220">
        <v>87</v>
      </c>
      <c r="CZ11" s="220">
        <v>3</v>
      </c>
      <c r="DA11" s="220">
        <v>447</v>
      </c>
      <c r="DB11" s="220">
        <v>15</v>
      </c>
      <c r="DC11" s="220">
        <v>31</v>
      </c>
      <c r="DD11" s="220">
        <v>0</v>
      </c>
      <c r="DE11" s="220">
        <v>4</v>
      </c>
      <c r="DF11" s="220">
        <v>0</v>
      </c>
      <c r="DG11" s="220">
        <v>188</v>
      </c>
      <c r="DH11" s="220">
        <v>0</v>
      </c>
      <c r="DI11" s="220">
        <v>140</v>
      </c>
      <c r="DJ11" s="220">
        <v>269</v>
      </c>
      <c r="DK11" s="220">
        <v>4</v>
      </c>
      <c r="DL11" s="220">
        <v>67</v>
      </c>
      <c r="DM11" s="220">
        <v>0</v>
      </c>
      <c r="DN11" s="220">
        <v>0</v>
      </c>
      <c r="DO11" s="220">
        <v>0</v>
      </c>
      <c r="DP11" s="221">
        <v>12603</v>
      </c>
      <c r="DQ11" s="71">
        <f>TRP!AF133</f>
        <v>12603</v>
      </c>
      <c r="DR11" s="71">
        <f t="shared" si="3"/>
        <v>0</v>
      </c>
    </row>
    <row r="12" spans="2:189" x14ac:dyDescent="0.25">
      <c r="B12" s="218" t="s">
        <v>89</v>
      </c>
      <c r="C12" s="222" t="s">
        <v>191</v>
      </c>
      <c r="D12" s="220">
        <v>365</v>
      </c>
      <c r="E12" s="220">
        <v>0</v>
      </c>
      <c r="F12" s="220">
        <v>1</v>
      </c>
      <c r="G12" s="220">
        <v>340</v>
      </c>
      <c r="H12" s="220">
        <v>1967</v>
      </c>
      <c r="I12" s="220">
        <v>790</v>
      </c>
      <c r="J12" s="220">
        <v>1251</v>
      </c>
      <c r="K12" s="220">
        <v>5937</v>
      </c>
      <c r="L12" s="220">
        <v>11</v>
      </c>
      <c r="M12" s="220">
        <v>14</v>
      </c>
      <c r="N12" s="220">
        <v>5</v>
      </c>
      <c r="O12" s="220">
        <v>8</v>
      </c>
      <c r="P12" s="220">
        <v>198</v>
      </c>
      <c r="Q12" s="220">
        <v>257</v>
      </c>
      <c r="R12" s="220">
        <v>37</v>
      </c>
      <c r="S12" s="220">
        <v>0</v>
      </c>
      <c r="T12" s="220">
        <v>7</v>
      </c>
      <c r="U12" s="220">
        <v>2</v>
      </c>
      <c r="V12" s="220">
        <v>5</v>
      </c>
      <c r="W12" s="220">
        <v>3</v>
      </c>
      <c r="X12" s="220">
        <v>17</v>
      </c>
      <c r="Y12" s="220">
        <v>7</v>
      </c>
      <c r="Z12" s="220">
        <v>2</v>
      </c>
      <c r="AA12" s="220">
        <v>0</v>
      </c>
      <c r="AB12" s="220">
        <v>6</v>
      </c>
      <c r="AC12" s="220">
        <v>2</v>
      </c>
      <c r="AD12" s="220">
        <v>4</v>
      </c>
      <c r="AE12" s="220">
        <v>6</v>
      </c>
      <c r="AF12" s="220">
        <v>10</v>
      </c>
      <c r="AG12" s="220">
        <v>15</v>
      </c>
      <c r="AH12" s="220">
        <v>2</v>
      </c>
      <c r="AI12" s="220">
        <v>5</v>
      </c>
      <c r="AJ12" s="220">
        <v>13</v>
      </c>
      <c r="AK12" s="220">
        <v>3</v>
      </c>
      <c r="AL12" s="220">
        <v>1</v>
      </c>
      <c r="AM12" s="220">
        <v>5</v>
      </c>
      <c r="AN12" s="220">
        <v>11</v>
      </c>
      <c r="AO12" s="220">
        <v>7</v>
      </c>
      <c r="AP12" s="220">
        <v>6</v>
      </c>
      <c r="AQ12" s="220">
        <v>0</v>
      </c>
      <c r="AR12" s="220">
        <v>18</v>
      </c>
      <c r="AS12" s="220">
        <v>4</v>
      </c>
      <c r="AT12" s="220">
        <v>4</v>
      </c>
      <c r="AU12" s="220">
        <v>13</v>
      </c>
      <c r="AV12" s="220">
        <v>2</v>
      </c>
      <c r="AW12" s="220">
        <v>2</v>
      </c>
      <c r="AX12" s="220">
        <v>11</v>
      </c>
      <c r="AY12" s="220">
        <v>8</v>
      </c>
      <c r="AZ12" s="220">
        <v>4</v>
      </c>
      <c r="BA12" s="220">
        <v>11</v>
      </c>
      <c r="BB12" s="220">
        <v>402</v>
      </c>
      <c r="BC12" s="220">
        <v>106</v>
      </c>
      <c r="BD12" s="220">
        <v>7</v>
      </c>
      <c r="BE12" s="220">
        <v>26</v>
      </c>
      <c r="BF12" s="220">
        <v>35</v>
      </c>
      <c r="BG12" s="220">
        <v>18</v>
      </c>
      <c r="BH12" s="220">
        <v>13</v>
      </c>
      <c r="BI12" s="220">
        <v>8</v>
      </c>
      <c r="BJ12" s="220">
        <v>30</v>
      </c>
      <c r="BK12" s="220">
        <v>26</v>
      </c>
      <c r="BL12" s="220">
        <v>37</v>
      </c>
      <c r="BM12" s="220">
        <v>25</v>
      </c>
      <c r="BN12" s="220">
        <v>11</v>
      </c>
      <c r="BO12" s="220">
        <v>0</v>
      </c>
      <c r="BP12" s="220">
        <v>0</v>
      </c>
      <c r="BQ12" s="220">
        <v>0</v>
      </c>
      <c r="BR12" s="220">
        <v>5</v>
      </c>
      <c r="BS12" s="220">
        <v>27</v>
      </c>
      <c r="BT12" s="220">
        <v>20</v>
      </c>
      <c r="BU12" s="220">
        <v>2</v>
      </c>
      <c r="BV12" s="220">
        <v>11</v>
      </c>
      <c r="BW12" s="220">
        <v>23</v>
      </c>
      <c r="BX12" s="220">
        <v>6</v>
      </c>
      <c r="BY12" s="220">
        <v>48</v>
      </c>
      <c r="BZ12" s="220">
        <v>384</v>
      </c>
      <c r="CA12" s="220">
        <v>233</v>
      </c>
      <c r="CB12" s="220">
        <v>2</v>
      </c>
      <c r="CC12" s="220">
        <v>3</v>
      </c>
      <c r="CD12" s="220">
        <v>1</v>
      </c>
      <c r="CE12" s="220">
        <v>2</v>
      </c>
      <c r="CF12" s="220">
        <v>77</v>
      </c>
      <c r="CG12" s="220">
        <v>21</v>
      </c>
      <c r="CH12" s="220">
        <v>0</v>
      </c>
      <c r="CI12" s="220">
        <v>4</v>
      </c>
      <c r="CJ12" s="220">
        <v>28</v>
      </c>
      <c r="CK12" s="220">
        <v>19</v>
      </c>
      <c r="CL12" s="220">
        <v>2</v>
      </c>
      <c r="CM12" s="220">
        <v>13</v>
      </c>
      <c r="CN12" s="220">
        <v>60</v>
      </c>
      <c r="CO12" s="220">
        <v>72</v>
      </c>
      <c r="CP12" s="220">
        <v>104</v>
      </c>
      <c r="CQ12" s="220">
        <v>78</v>
      </c>
      <c r="CR12" s="220">
        <v>52</v>
      </c>
      <c r="CS12" s="220">
        <v>34</v>
      </c>
      <c r="CT12" s="220">
        <v>40</v>
      </c>
      <c r="CU12" s="220">
        <v>18</v>
      </c>
      <c r="CV12" s="220">
        <v>13</v>
      </c>
      <c r="CW12" s="220">
        <v>243</v>
      </c>
      <c r="CX12" s="220">
        <v>2</v>
      </c>
      <c r="CY12" s="220">
        <v>240</v>
      </c>
      <c r="CZ12" s="220">
        <v>0</v>
      </c>
      <c r="DA12" s="220">
        <v>7854</v>
      </c>
      <c r="DB12" s="220">
        <v>74</v>
      </c>
      <c r="DC12" s="220">
        <v>312</v>
      </c>
      <c r="DD12" s="220">
        <v>174</v>
      </c>
      <c r="DE12" s="220">
        <v>42</v>
      </c>
      <c r="DF12" s="220">
        <v>0</v>
      </c>
      <c r="DG12" s="220">
        <v>368</v>
      </c>
      <c r="DH12" s="220">
        <v>534</v>
      </c>
      <c r="DI12" s="220">
        <v>554</v>
      </c>
      <c r="DJ12" s="220">
        <v>4</v>
      </c>
      <c r="DK12" s="220">
        <v>5</v>
      </c>
      <c r="DL12" s="220">
        <v>425</v>
      </c>
      <c r="DM12" s="220">
        <v>279</v>
      </c>
      <c r="DN12" s="220">
        <v>347</v>
      </c>
      <c r="DO12" s="220">
        <v>57</v>
      </c>
      <c r="DP12" s="221">
        <v>25057</v>
      </c>
      <c r="DQ12" s="71">
        <f>TRP!AF134</f>
        <v>25057</v>
      </c>
      <c r="DR12" s="71">
        <f t="shared" si="3"/>
        <v>0</v>
      </c>
    </row>
    <row r="13" spans="2:189" x14ac:dyDescent="0.25">
      <c r="B13" s="218" t="s">
        <v>90</v>
      </c>
      <c r="C13" s="222" t="s">
        <v>192</v>
      </c>
      <c r="D13" s="220">
        <v>0</v>
      </c>
      <c r="E13" s="220">
        <v>0</v>
      </c>
      <c r="F13" s="220">
        <v>0</v>
      </c>
      <c r="G13" s="220">
        <v>0</v>
      </c>
      <c r="H13" s="220">
        <v>0</v>
      </c>
      <c r="I13" s="220">
        <v>0</v>
      </c>
      <c r="J13" s="220">
        <v>0</v>
      </c>
      <c r="K13" s="220">
        <v>5</v>
      </c>
      <c r="L13" s="220">
        <v>16</v>
      </c>
      <c r="M13" s="220">
        <v>0</v>
      </c>
      <c r="N13" s="220">
        <v>0</v>
      </c>
      <c r="O13" s="220">
        <v>0</v>
      </c>
      <c r="P13" s="220">
        <v>5</v>
      </c>
      <c r="Q13" s="220">
        <v>0</v>
      </c>
      <c r="R13" s="220">
        <v>0</v>
      </c>
      <c r="S13" s="220">
        <v>0</v>
      </c>
      <c r="T13" s="220">
        <v>0</v>
      </c>
      <c r="U13" s="220">
        <v>0</v>
      </c>
      <c r="V13" s="220">
        <v>0</v>
      </c>
      <c r="W13" s="220">
        <v>0</v>
      </c>
      <c r="X13" s="220">
        <v>5</v>
      </c>
      <c r="Y13" s="220">
        <v>0</v>
      </c>
      <c r="Z13" s="220">
        <v>0</v>
      </c>
      <c r="AA13" s="220">
        <v>0</v>
      </c>
      <c r="AB13" s="220">
        <v>0</v>
      </c>
      <c r="AC13" s="220">
        <v>0</v>
      </c>
      <c r="AD13" s="220">
        <v>0</v>
      </c>
      <c r="AE13" s="220">
        <v>0</v>
      </c>
      <c r="AF13" s="220">
        <v>0</v>
      </c>
      <c r="AG13" s="220">
        <v>5</v>
      </c>
      <c r="AH13" s="220">
        <v>0</v>
      </c>
      <c r="AI13" s="220">
        <v>0</v>
      </c>
      <c r="AJ13" s="220">
        <v>0</v>
      </c>
      <c r="AK13" s="220">
        <v>0</v>
      </c>
      <c r="AL13" s="220">
        <v>0</v>
      </c>
      <c r="AM13" s="220">
        <v>0</v>
      </c>
      <c r="AN13" s="220">
        <v>5</v>
      </c>
      <c r="AO13" s="220">
        <v>0</v>
      </c>
      <c r="AP13" s="220">
        <v>0</v>
      </c>
      <c r="AQ13" s="220">
        <v>0</v>
      </c>
      <c r="AR13" s="220">
        <v>0</v>
      </c>
      <c r="AS13" s="220">
        <v>0</v>
      </c>
      <c r="AT13" s="220">
        <v>0</v>
      </c>
      <c r="AU13" s="220">
        <v>0</v>
      </c>
      <c r="AV13" s="220">
        <v>0</v>
      </c>
      <c r="AW13" s="220">
        <v>0</v>
      </c>
      <c r="AX13" s="220">
        <v>0</v>
      </c>
      <c r="AY13" s="220">
        <v>0</v>
      </c>
      <c r="AZ13" s="220">
        <v>0</v>
      </c>
      <c r="BA13" s="220">
        <v>0</v>
      </c>
      <c r="BB13" s="220">
        <v>12</v>
      </c>
      <c r="BC13" s="220">
        <v>0</v>
      </c>
      <c r="BD13" s="220">
        <v>0</v>
      </c>
      <c r="BE13" s="220">
        <v>0</v>
      </c>
      <c r="BF13" s="220">
        <v>0</v>
      </c>
      <c r="BG13" s="220">
        <v>5</v>
      </c>
      <c r="BH13" s="220">
        <v>0</v>
      </c>
      <c r="BI13" s="220">
        <v>0</v>
      </c>
      <c r="BJ13" s="220">
        <v>0</v>
      </c>
      <c r="BK13" s="220">
        <v>0</v>
      </c>
      <c r="BL13" s="220">
        <v>0</v>
      </c>
      <c r="BM13" s="220">
        <v>0</v>
      </c>
      <c r="BN13" s="220">
        <v>0</v>
      </c>
      <c r="BO13" s="220">
        <v>0</v>
      </c>
      <c r="BP13" s="220">
        <v>0</v>
      </c>
      <c r="BQ13" s="220">
        <v>0</v>
      </c>
      <c r="BR13" s="220">
        <v>0</v>
      </c>
      <c r="BS13" s="220">
        <v>0</v>
      </c>
      <c r="BT13" s="220">
        <v>0</v>
      </c>
      <c r="BU13" s="220">
        <v>0</v>
      </c>
      <c r="BV13" s="220">
        <v>0</v>
      </c>
      <c r="BW13" s="220">
        <v>0</v>
      </c>
      <c r="BX13" s="220">
        <v>0</v>
      </c>
      <c r="BY13" s="220">
        <v>0</v>
      </c>
      <c r="BZ13" s="220">
        <v>0</v>
      </c>
      <c r="CA13" s="220">
        <v>0</v>
      </c>
      <c r="CB13" s="220">
        <v>0</v>
      </c>
      <c r="CC13" s="220">
        <v>0</v>
      </c>
      <c r="CD13" s="220">
        <v>0</v>
      </c>
      <c r="CE13" s="220">
        <v>0</v>
      </c>
      <c r="CF13" s="220">
        <v>5</v>
      </c>
      <c r="CG13" s="220">
        <v>0</v>
      </c>
      <c r="CH13" s="220">
        <v>0</v>
      </c>
      <c r="CI13" s="220">
        <v>0</v>
      </c>
      <c r="CJ13" s="220">
        <v>0</v>
      </c>
      <c r="CK13" s="220">
        <v>0</v>
      </c>
      <c r="CL13" s="220">
        <v>0</v>
      </c>
      <c r="CM13" s="220">
        <v>0</v>
      </c>
      <c r="CN13" s="220">
        <v>0</v>
      </c>
      <c r="CO13" s="220">
        <v>13</v>
      </c>
      <c r="CP13" s="220">
        <v>5</v>
      </c>
      <c r="CQ13" s="220">
        <v>0</v>
      </c>
      <c r="CR13" s="220">
        <v>0</v>
      </c>
      <c r="CS13" s="220">
        <v>0</v>
      </c>
      <c r="CT13" s="220">
        <v>5</v>
      </c>
      <c r="CU13" s="220">
        <v>0</v>
      </c>
      <c r="CV13" s="220">
        <v>0</v>
      </c>
      <c r="CW13" s="220">
        <v>5</v>
      </c>
      <c r="CX13" s="220">
        <v>0</v>
      </c>
      <c r="CY13" s="220">
        <v>0</v>
      </c>
      <c r="CZ13" s="220">
        <v>0</v>
      </c>
      <c r="DA13" s="220">
        <v>5</v>
      </c>
      <c r="DB13" s="220">
        <v>5</v>
      </c>
      <c r="DC13" s="220">
        <v>0</v>
      </c>
      <c r="DD13" s="220">
        <v>0</v>
      </c>
      <c r="DE13" s="220">
        <v>12</v>
      </c>
      <c r="DF13" s="220">
        <v>0</v>
      </c>
      <c r="DG13" s="220">
        <v>0</v>
      </c>
      <c r="DH13" s="220">
        <v>0</v>
      </c>
      <c r="DI13" s="220">
        <v>0</v>
      </c>
      <c r="DJ13" s="220">
        <v>0</v>
      </c>
      <c r="DK13" s="220">
        <v>0</v>
      </c>
      <c r="DL13" s="220">
        <v>0</v>
      </c>
      <c r="DM13" s="220">
        <v>0</v>
      </c>
      <c r="DN13" s="220">
        <v>0</v>
      </c>
      <c r="DO13" s="220">
        <v>0</v>
      </c>
      <c r="DP13" s="221">
        <v>113</v>
      </c>
      <c r="DQ13" s="71">
        <f>TRP!AF135</f>
        <v>113</v>
      </c>
      <c r="DR13" s="71">
        <f t="shared" si="3"/>
        <v>0</v>
      </c>
    </row>
    <row r="14" spans="2:189" x14ac:dyDescent="0.25">
      <c r="B14" s="218" t="s">
        <v>91</v>
      </c>
      <c r="C14" s="222" t="s">
        <v>193</v>
      </c>
      <c r="D14" s="220">
        <v>21</v>
      </c>
      <c r="E14" s="220">
        <v>6</v>
      </c>
      <c r="F14" s="220">
        <v>2</v>
      </c>
      <c r="G14" s="220">
        <v>7</v>
      </c>
      <c r="H14" s="220">
        <v>2</v>
      </c>
      <c r="I14" s="220">
        <v>8</v>
      </c>
      <c r="J14" s="220">
        <v>6</v>
      </c>
      <c r="K14" s="220">
        <v>11</v>
      </c>
      <c r="L14" s="220">
        <v>0</v>
      </c>
      <c r="M14" s="220">
        <v>1582</v>
      </c>
      <c r="N14" s="220">
        <v>10</v>
      </c>
      <c r="O14" s="220">
        <v>6</v>
      </c>
      <c r="P14" s="220">
        <v>2</v>
      </c>
      <c r="Q14" s="220">
        <v>2</v>
      </c>
      <c r="R14" s="220">
        <v>6</v>
      </c>
      <c r="S14" s="220">
        <v>1</v>
      </c>
      <c r="T14" s="220">
        <v>2</v>
      </c>
      <c r="U14" s="220">
        <v>2</v>
      </c>
      <c r="V14" s="220">
        <v>4</v>
      </c>
      <c r="W14" s="220">
        <v>2</v>
      </c>
      <c r="X14" s="220">
        <v>116</v>
      </c>
      <c r="Y14" s="220">
        <v>29</v>
      </c>
      <c r="Z14" s="220">
        <v>5</v>
      </c>
      <c r="AA14" s="220">
        <v>8</v>
      </c>
      <c r="AB14" s="220">
        <v>0</v>
      </c>
      <c r="AC14" s="220">
        <v>2</v>
      </c>
      <c r="AD14" s="220">
        <v>8</v>
      </c>
      <c r="AE14" s="220">
        <v>5</v>
      </c>
      <c r="AF14" s="220">
        <v>9</v>
      </c>
      <c r="AG14" s="220">
        <v>9</v>
      </c>
      <c r="AH14" s="220">
        <v>2</v>
      </c>
      <c r="AI14" s="220">
        <v>2</v>
      </c>
      <c r="AJ14" s="220">
        <v>3</v>
      </c>
      <c r="AK14" s="220">
        <v>2</v>
      </c>
      <c r="AL14" s="220">
        <v>1</v>
      </c>
      <c r="AM14" s="220">
        <v>2</v>
      </c>
      <c r="AN14" s="220">
        <v>5</v>
      </c>
      <c r="AO14" s="220">
        <v>1</v>
      </c>
      <c r="AP14" s="220">
        <v>2</v>
      </c>
      <c r="AQ14" s="220">
        <v>0</v>
      </c>
      <c r="AR14" s="220">
        <v>0</v>
      </c>
      <c r="AS14" s="220">
        <v>0</v>
      </c>
      <c r="AT14" s="220">
        <v>0</v>
      </c>
      <c r="AU14" s="220">
        <v>0</v>
      </c>
      <c r="AV14" s="220">
        <v>0</v>
      </c>
      <c r="AW14" s="220">
        <v>0</v>
      </c>
      <c r="AX14" s="220">
        <v>1</v>
      </c>
      <c r="AY14" s="220">
        <v>3</v>
      </c>
      <c r="AZ14" s="220">
        <v>2</v>
      </c>
      <c r="BA14" s="220">
        <v>1</v>
      </c>
      <c r="BB14" s="220">
        <v>5</v>
      </c>
      <c r="BC14" s="220">
        <v>1</v>
      </c>
      <c r="BD14" s="220">
        <v>1</v>
      </c>
      <c r="BE14" s="220">
        <v>1</v>
      </c>
      <c r="BF14" s="220">
        <v>2</v>
      </c>
      <c r="BG14" s="220">
        <v>2</v>
      </c>
      <c r="BH14" s="220">
        <v>0</v>
      </c>
      <c r="BI14" s="220">
        <v>3</v>
      </c>
      <c r="BJ14" s="220">
        <v>6</v>
      </c>
      <c r="BK14" s="220">
        <v>6</v>
      </c>
      <c r="BL14" s="220">
        <v>7</v>
      </c>
      <c r="BM14" s="220">
        <v>8</v>
      </c>
      <c r="BN14" s="220">
        <v>3</v>
      </c>
      <c r="BO14" s="220">
        <v>0</v>
      </c>
      <c r="BP14" s="220">
        <v>0</v>
      </c>
      <c r="BQ14" s="220">
        <v>0</v>
      </c>
      <c r="BR14" s="220">
        <v>8</v>
      </c>
      <c r="BS14" s="220">
        <v>6</v>
      </c>
      <c r="BT14" s="220">
        <v>6</v>
      </c>
      <c r="BU14" s="220">
        <v>1</v>
      </c>
      <c r="BV14" s="220">
        <v>4</v>
      </c>
      <c r="BW14" s="220">
        <v>39</v>
      </c>
      <c r="BX14" s="220">
        <v>15</v>
      </c>
      <c r="BY14" s="220">
        <v>32</v>
      </c>
      <c r="BZ14" s="220">
        <v>83</v>
      </c>
      <c r="CA14" s="220">
        <v>65</v>
      </c>
      <c r="CB14" s="220">
        <v>2</v>
      </c>
      <c r="CC14" s="220">
        <v>1</v>
      </c>
      <c r="CD14" s="220">
        <v>0</v>
      </c>
      <c r="CE14" s="220">
        <v>11</v>
      </c>
      <c r="CF14" s="220">
        <v>7</v>
      </c>
      <c r="CG14" s="220">
        <v>6</v>
      </c>
      <c r="CH14" s="220">
        <v>3</v>
      </c>
      <c r="CI14" s="220">
        <v>2</v>
      </c>
      <c r="CJ14" s="220">
        <v>28</v>
      </c>
      <c r="CK14" s="220">
        <v>13</v>
      </c>
      <c r="CL14" s="220">
        <v>2</v>
      </c>
      <c r="CM14" s="220">
        <v>1</v>
      </c>
      <c r="CN14" s="220">
        <v>1</v>
      </c>
      <c r="CO14" s="220">
        <v>15</v>
      </c>
      <c r="CP14" s="220">
        <v>3</v>
      </c>
      <c r="CQ14" s="220">
        <v>1</v>
      </c>
      <c r="CR14" s="220">
        <v>2</v>
      </c>
      <c r="CS14" s="220">
        <v>0</v>
      </c>
      <c r="CT14" s="220">
        <v>1</v>
      </c>
      <c r="CU14" s="220">
        <v>1</v>
      </c>
      <c r="CV14" s="220">
        <v>1</v>
      </c>
      <c r="CW14" s="220">
        <v>37</v>
      </c>
      <c r="CX14" s="220">
        <v>0</v>
      </c>
      <c r="CY14" s="220">
        <v>5</v>
      </c>
      <c r="CZ14" s="220">
        <v>1</v>
      </c>
      <c r="DA14" s="220">
        <v>62</v>
      </c>
      <c r="DB14" s="220">
        <v>20</v>
      </c>
      <c r="DC14" s="220">
        <v>76</v>
      </c>
      <c r="DD14" s="220">
        <v>198</v>
      </c>
      <c r="DE14" s="220">
        <v>44</v>
      </c>
      <c r="DF14" s="220">
        <v>0</v>
      </c>
      <c r="DG14" s="220">
        <v>81</v>
      </c>
      <c r="DH14" s="220">
        <v>127</v>
      </c>
      <c r="DI14" s="220">
        <v>17</v>
      </c>
      <c r="DJ14" s="220">
        <v>0</v>
      </c>
      <c r="DK14" s="220">
        <v>6</v>
      </c>
      <c r="DL14" s="220">
        <v>21</v>
      </c>
      <c r="DM14" s="220">
        <v>5</v>
      </c>
      <c r="DN14" s="220">
        <v>449</v>
      </c>
      <c r="DO14" s="220">
        <v>1</v>
      </c>
      <c r="DP14" s="221">
        <v>3455</v>
      </c>
      <c r="DQ14" s="71">
        <f>TRP!AF136</f>
        <v>3455</v>
      </c>
      <c r="DR14" s="71">
        <f t="shared" si="3"/>
        <v>0</v>
      </c>
    </row>
    <row r="15" spans="2:189" x14ac:dyDescent="0.25">
      <c r="B15" s="218" t="s">
        <v>92</v>
      </c>
      <c r="C15" s="222" t="s">
        <v>194</v>
      </c>
      <c r="D15" s="220">
        <v>34</v>
      </c>
      <c r="E15" s="220">
        <v>0</v>
      </c>
      <c r="F15" s="220">
        <v>0</v>
      </c>
      <c r="G15" s="220">
        <v>23</v>
      </c>
      <c r="H15" s="220">
        <v>11</v>
      </c>
      <c r="I15" s="220">
        <v>11</v>
      </c>
      <c r="J15" s="220">
        <v>0</v>
      </c>
      <c r="K15" s="220">
        <v>30</v>
      </c>
      <c r="L15" s="220">
        <v>0</v>
      </c>
      <c r="M15" s="220">
        <v>77</v>
      </c>
      <c r="N15" s="220">
        <v>475</v>
      </c>
      <c r="O15" s="220">
        <v>8</v>
      </c>
      <c r="P15" s="220">
        <v>0</v>
      </c>
      <c r="Q15" s="220">
        <v>0</v>
      </c>
      <c r="R15" s="220">
        <v>122</v>
      </c>
      <c r="S15" s="220">
        <v>2</v>
      </c>
      <c r="T15" s="220">
        <v>23</v>
      </c>
      <c r="U15" s="220">
        <v>1</v>
      </c>
      <c r="V15" s="220">
        <v>1</v>
      </c>
      <c r="W15" s="220">
        <v>12</v>
      </c>
      <c r="X15" s="220">
        <v>50</v>
      </c>
      <c r="Y15" s="220">
        <v>2</v>
      </c>
      <c r="Z15" s="220">
        <v>2</v>
      </c>
      <c r="AA15" s="220">
        <v>0</v>
      </c>
      <c r="AB15" s="220">
        <v>0</v>
      </c>
      <c r="AC15" s="220">
        <v>0</v>
      </c>
      <c r="AD15" s="220">
        <v>0</v>
      </c>
      <c r="AE15" s="220">
        <v>0</v>
      </c>
      <c r="AF15" s="220">
        <v>6</v>
      </c>
      <c r="AG15" s="220">
        <v>6</v>
      </c>
      <c r="AH15" s="220">
        <v>0</v>
      </c>
      <c r="AI15" s="220">
        <v>0</v>
      </c>
      <c r="AJ15" s="220">
        <v>1</v>
      </c>
      <c r="AK15" s="220">
        <v>0</v>
      </c>
      <c r="AL15" s="220">
        <v>1</v>
      </c>
      <c r="AM15" s="220">
        <v>0</v>
      </c>
      <c r="AN15" s="220">
        <v>4</v>
      </c>
      <c r="AO15" s="220">
        <v>0</v>
      </c>
      <c r="AP15" s="220">
        <v>7</v>
      </c>
      <c r="AQ15" s="220">
        <v>0</v>
      </c>
      <c r="AR15" s="220">
        <v>0</v>
      </c>
      <c r="AS15" s="220">
        <v>0</v>
      </c>
      <c r="AT15" s="220">
        <v>0</v>
      </c>
      <c r="AU15" s="220">
        <v>0</v>
      </c>
      <c r="AV15" s="220">
        <v>1</v>
      </c>
      <c r="AW15" s="220">
        <v>1</v>
      </c>
      <c r="AX15" s="220">
        <v>0</v>
      </c>
      <c r="AY15" s="220">
        <v>1</v>
      </c>
      <c r="AZ15" s="220">
        <v>1</v>
      </c>
      <c r="BA15" s="220">
        <v>0</v>
      </c>
      <c r="BB15" s="220">
        <v>0</v>
      </c>
      <c r="BC15" s="220">
        <v>0</v>
      </c>
      <c r="BD15" s="220">
        <v>0</v>
      </c>
      <c r="BE15" s="220">
        <v>0</v>
      </c>
      <c r="BF15" s="220">
        <v>0</v>
      </c>
      <c r="BG15" s="220">
        <v>2</v>
      </c>
      <c r="BH15" s="220">
        <v>0</v>
      </c>
      <c r="BI15" s="220">
        <v>0</v>
      </c>
      <c r="BJ15" s="220">
        <v>3</v>
      </c>
      <c r="BK15" s="220">
        <v>0</v>
      </c>
      <c r="BL15" s="220">
        <v>0</v>
      </c>
      <c r="BM15" s="220">
        <v>3</v>
      </c>
      <c r="BN15" s="220">
        <v>1</v>
      </c>
      <c r="BO15" s="220">
        <v>0</v>
      </c>
      <c r="BP15" s="220">
        <v>0</v>
      </c>
      <c r="BQ15" s="220">
        <v>0</v>
      </c>
      <c r="BR15" s="220">
        <v>5</v>
      </c>
      <c r="BS15" s="220">
        <v>0</v>
      </c>
      <c r="BT15" s="220">
        <v>0</v>
      </c>
      <c r="BU15" s="220">
        <v>0</v>
      </c>
      <c r="BV15" s="220">
        <v>0</v>
      </c>
      <c r="BW15" s="220">
        <v>13</v>
      </c>
      <c r="BX15" s="220">
        <v>1</v>
      </c>
      <c r="BY15" s="220">
        <v>42</v>
      </c>
      <c r="BZ15" s="220">
        <v>20</v>
      </c>
      <c r="CA15" s="220">
        <v>24</v>
      </c>
      <c r="CB15" s="220">
        <v>0</v>
      </c>
      <c r="CC15" s="220">
        <v>0</v>
      </c>
      <c r="CD15" s="220">
        <v>0</v>
      </c>
      <c r="CE15" s="220">
        <v>0</v>
      </c>
      <c r="CF15" s="220">
        <v>0</v>
      </c>
      <c r="CG15" s="220">
        <v>4</v>
      </c>
      <c r="CH15" s="220">
        <v>0</v>
      </c>
      <c r="CI15" s="220">
        <v>0</v>
      </c>
      <c r="CJ15" s="220">
        <v>3</v>
      </c>
      <c r="CK15" s="220">
        <v>2</v>
      </c>
      <c r="CL15" s="220">
        <v>1</v>
      </c>
      <c r="CM15" s="220">
        <v>0</v>
      </c>
      <c r="CN15" s="220">
        <v>0</v>
      </c>
      <c r="CO15" s="220">
        <v>0</v>
      </c>
      <c r="CP15" s="220">
        <v>0</v>
      </c>
      <c r="CQ15" s="220">
        <v>0</v>
      </c>
      <c r="CR15" s="220">
        <v>0</v>
      </c>
      <c r="CS15" s="220">
        <v>0</v>
      </c>
      <c r="CT15" s="220">
        <v>0</v>
      </c>
      <c r="CU15" s="220">
        <v>0</v>
      </c>
      <c r="CV15" s="220">
        <v>0</v>
      </c>
      <c r="CW15" s="220">
        <v>19</v>
      </c>
      <c r="CX15" s="220">
        <v>0</v>
      </c>
      <c r="CY15" s="220">
        <v>0</v>
      </c>
      <c r="CZ15" s="220">
        <v>0</v>
      </c>
      <c r="DA15" s="220">
        <v>9</v>
      </c>
      <c r="DB15" s="220">
        <v>44</v>
      </c>
      <c r="DC15" s="220">
        <v>0</v>
      </c>
      <c r="DD15" s="220">
        <v>0</v>
      </c>
      <c r="DE15" s="220">
        <v>1</v>
      </c>
      <c r="DF15" s="220">
        <v>0</v>
      </c>
      <c r="DG15" s="220">
        <v>0</v>
      </c>
      <c r="DH15" s="220">
        <v>0</v>
      </c>
      <c r="DI15" s="220">
        <v>2</v>
      </c>
      <c r="DJ15" s="220">
        <v>0</v>
      </c>
      <c r="DK15" s="220">
        <v>0</v>
      </c>
      <c r="DL15" s="220">
        <v>1</v>
      </c>
      <c r="DM15" s="220">
        <v>0</v>
      </c>
      <c r="DN15" s="220">
        <v>0</v>
      </c>
      <c r="DO15" s="220">
        <v>0</v>
      </c>
      <c r="DP15" s="221">
        <v>1113</v>
      </c>
      <c r="DQ15" s="71">
        <f>TRP!AF137</f>
        <v>1113</v>
      </c>
      <c r="DR15" s="71">
        <f t="shared" si="3"/>
        <v>0</v>
      </c>
    </row>
    <row r="16" spans="2:189" x14ac:dyDescent="0.25">
      <c r="B16" s="218" t="s">
        <v>68</v>
      </c>
      <c r="C16" s="222" t="s">
        <v>195</v>
      </c>
      <c r="D16" s="220">
        <v>174</v>
      </c>
      <c r="E16" s="220">
        <v>4</v>
      </c>
      <c r="F16" s="220">
        <v>2</v>
      </c>
      <c r="G16" s="220">
        <v>36</v>
      </c>
      <c r="H16" s="220">
        <v>46</v>
      </c>
      <c r="I16" s="220">
        <v>33</v>
      </c>
      <c r="J16" s="220">
        <v>29</v>
      </c>
      <c r="K16" s="220">
        <v>92</v>
      </c>
      <c r="L16" s="220">
        <v>0</v>
      </c>
      <c r="M16" s="220">
        <v>16</v>
      </c>
      <c r="N16" s="220">
        <v>5</v>
      </c>
      <c r="O16" s="220">
        <v>4122</v>
      </c>
      <c r="P16" s="220">
        <v>61</v>
      </c>
      <c r="Q16" s="220">
        <v>69</v>
      </c>
      <c r="R16" s="220">
        <v>25</v>
      </c>
      <c r="S16" s="220">
        <v>2</v>
      </c>
      <c r="T16" s="220">
        <v>11</v>
      </c>
      <c r="U16" s="220">
        <v>7</v>
      </c>
      <c r="V16" s="220">
        <v>12</v>
      </c>
      <c r="W16" s="220">
        <v>15</v>
      </c>
      <c r="X16" s="220">
        <v>74</v>
      </c>
      <c r="Y16" s="220">
        <v>50</v>
      </c>
      <c r="Z16" s="220">
        <v>5</v>
      </c>
      <c r="AA16" s="220">
        <v>7</v>
      </c>
      <c r="AB16" s="220">
        <v>24</v>
      </c>
      <c r="AC16" s="220">
        <v>9</v>
      </c>
      <c r="AD16" s="220">
        <v>5</v>
      </c>
      <c r="AE16" s="220">
        <v>6</v>
      </c>
      <c r="AF16" s="220">
        <v>12</v>
      </c>
      <c r="AG16" s="220">
        <v>20</v>
      </c>
      <c r="AH16" s="220">
        <v>1</v>
      </c>
      <c r="AI16" s="220">
        <v>4</v>
      </c>
      <c r="AJ16" s="220">
        <v>12</v>
      </c>
      <c r="AK16" s="220">
        <v>9</v>
      </c>
      <c r="AL16" s="220">
        <v>3</v>
      </c>
      <c r="AM16" s="220">
        <v>7</v>
      </c>
      <c r="AN16" s="220">
        <v>34</v>
      </c>
      <c r="AO16" s="220">
        <v>7</v>
      </c>
      <c r="AP16" s="220">
        <v>26</v>
      </c>
      <c r="AQ16" s="220">
        <v>0</v>
      </c>
      <c r="AR16" s="220">
        <v>19</v>
      </c>
      <c r="AS16" s="220">
        <v>20</v>
      </c>
      <c r="AT16" s="220">
        <v>37</v>
      </c>
      <c r="AU16" s="220">
        <v>12</v>
      </c>
      <c r="AV16" s="220">
        <v>9</v>
      </c>
      <c r="AW16" s="220">
        <v>6</v>
      </c>
      <c r="AX16" s="220">
        <v>19</v>
      </c>
      <c r="AY16" s="220">
        <v>11</v>
      </c>
      <c r="AZ16" s="220">
        <v>14</v>
      </c>
      <c r="BA16" s="220">
        <v>8</v>
      </c>
      <c r="BB16" s="220">
        <v>27</v>
      </c>
      <c r="BC16" s="220">
        <v>31</v>
      </c>
      <c r="BD16" s="220">
        <v>9</v>
      </c>
      <c r="BE16" s="220">
        <v>12</v>
      </c>
      <c r="BF16" s="220">
        <v>37</v>
      </c>
      <c r="BG16" s="220">
        <v>24</v>
      </c>
      <c r="BH16" s="220">
        <v>11</v>
      </c>
      <c r="BI16" s="220">
        <v>7</v>
      </c>
      <c r="BJ16" s="220">
        <v>29</v>
      </c>
      <c r="BK16" s="220">
        <v>18</v>
      </c>
      <c r="BL16" s="220">
        <v>9</v>
      </c>
      <c r="BM16" s="220">
        <v>29</v>
      </c>
      <c r="BN16" s="220">
        <v>19</v>
      </c>
      <c r="BO16" s="220">
        <v>0</v>
      </c>
      <c r="BP16" s="220">
        <v>0</v>
      </c>
      <c r="BQ16" s="220">
        <v>0</v>
      </c>
      <c r="BR16" s="220">
        <v>5</v>
      </c>
      <c r="BS16" s="220">
        <v>8</v>
      </c>
      <c r="BT16" s="220">
        <v>23</v>
      </c>
      <c r="BU16" s="220">
        <v>2</v>
      </c>
      <c r="BV16" s="220">
        <v>7</v>
      </c>
      <c r="BW16" s="220">
        <v>56</v>
      </c>
      <c r="BX16" s="220">
        <v>22</v>
      </c>
      <c r="BY16" s="220">
        <v>201</v>
      </c>
      <c r="BZ16" s="220">
        <v>2129</v>
      </c>
      <c r="CA16" s="220">
        <v>611</v>
      </c>
      <c r="CB16" s="220">
        <v>3</v>
      </c>
      <c r="CC16" s="220">
        <v>14</v>
      </c>
      <c r="CD16" s="220">
        <v>6</v>
      </c>
      <c r="CE16" s="220">
        <v>9</v>
      </c>
      <c r="CF16" s="220">
        <v>21</v>
      </c>
      <c r="CG16" s="220">
        <v>108</v>
      </c>
      <c r="CH16" s="220">
        <v>40</v>
      </c>
      <c r="CI16" s="220">
        <v>54</v>
      </c>
      <c r="CJ16" s="220">
        <v>1347</v>
      </c>
      <c r="CK16" s="220">
        <v>486</v>
      </c>
      <c r="CL16" s="220">
        <v>563</v>
      </c>
      <c r="CM16" s="220">
        <v>160</v>
      </c>
      <c r="CN16" s="220">
        <v>200</v>
      </c>
      <c r="CO16" s="220">
        <v>724</v>
      </c>
      <c r="CP16" s="220">
        <v>954</v>
      </c>
      <c r="CQ16" s="220">
        <v>933</v>
      </c>
      <c r="CR16" s="220">
        <v>1162</v>
      </c>
      <c r="CS16" s="220">
        <v>40</v>
      </c>
      <c r="CT16" s="220">
        <v>1199</v>
      </c>
      <c r="CU16" s="220">
        <v>488</v>
      </c>
      <c r="CV16" s="220">
        <v>65</v>
      </c>
      <c r="CW16" s="220">
        <v>2200</v>
      </c>
      <c r="CX16" s="220">
        <v>8</v>
      </c>
      <c r="CY16" s="220">
        <v>869</v>
      </c>
      <c r="CZ16" s="220">
        <v>242</v>
      </c>
      <c r="DA16" s="220">
        <v>134</v>
      </c>
      <c r="DB16" s="220">
        <v>371</v>
      </c>
      <c r="DC16" s="220">
        <v>323</v>
      </c>
      <c r="DD16" s="220">
        <v>1259</v>
      </c>
      <c r="DE16" s="220">
        <v>199</v>
      </c>
      <c r="DF16" s="220">
        <v>0</v>
      </c>
      <c r="DG16" s="220">
        <v>256</v>
      </c>
      <c r="DH16" s="220">
        <v>883</v>
      </c>
      <c r="DI16" s="220">
        <v>251</v>
      </c>
      <c r="DJ16" s="220">
        <v>120</v>
      </c>
      <c r="DK16" s="220">
        <v>4</v>
      </c>
      <c r="DL16" s="220">
        <v>142</v>
      </c>
      <c r="DM16" s="220">
        <v>171</v>
      </c>
      <c r="DN16" s="220">
        <v>1316</v>
      </c>
      <c r="DO16" s="220">
        <v>582</v>
      </c>
      <c r="DP16" s="221">
        <v>26463</v>
      </c>
      <c r="DQ16" s="71">
        <f>TRP!AF138</f>
        <v>26463</v>
      </c>
      <c r="DR16" s="71">
        <f t="shared" si="3"/>
        <v>0</v>
      </c>
    </row>
    <row r="17" spans="2:122" x14ac:dyDescent="0.25">
      <c r="B17" s="218" t="s">
        <v>93</v>
      </c>
      <c r="C17" s="222" t="s">
        <v>196</v>
      </c>
      <c r="D17" s="220">
        <v>942</v>
      </c>
      <c r="E17" s="220">
        <v>0</v>
      </c>
      <c r="F17" s="220">
        <v>0</v>
      </c>
      <c r="G17" s="220">
        <v>51</v>
      </c>
      <c r="H17" s="220">
        <v>9</v>
      </c>
      <c r="I17" s="220">
        <v>19</v>
      </c>
      <c r="J17" s="220">
        <v>56</v>
      </c>
      <c r="K17" s="220">
        <v>64</v>
      </c>
      <c r="L17" s="220">
        <v>1</v>
      </c>
      <c r="M17" s="220">
        <v>8</v>
      </c>
      <c r="N17" s="220">
        <v>1</v>
      </c>
      <c r="O17" s="220">
        <v>1</v>
      </c>
      <c r="P17" s="220">
        <v>10186</v>
      </c>
      <c r="Q17" s="220">
        <v>215</v>
      </c>
      <c r="R17" s="220">
        <v>1</v>
      </c>
      <c r="S17" s="220">
        <v>0</v>
      </c>
      <c r="T17" s="220">
        <v>0</v>
      </c>
      <c r="U17" s="220">
        <v>0</v>
      </c>
      <c r="V17" s="220">
        <v>0</v>
      </c>
      <c r="W17" s="220">
        <v>0</v>
      </c>
      <c r="X17" s="220">
        <v>2</v>
      </c>
      <c r="Y17" s="220">
        <v>1</v>
      </c>
      <c r="Z17" s="220">
        <v>1</v>
      </c>
      <c r="AA17" s="220">
        <v>0</v>
      </c>
      <c r="AB17" s="220">
        <v>1</v>
      </c>
      <c r="AC17" s="220">
        <v>0</v>
      </c>
      <c r="AD17" s="220">
        <v>0</v>
      </c>
      <c r="AE17" s="220">
        <v>0</v>
      </c>
      <c r="AF17" s="220">
        <v>0</v>
      </c>
      <c r="AG17" s="220">
        <v>0</v>
      </c>
      <c r="AH17" s="220">
        <v>0</v>
      </c>
      <c r="AI17" s="220">
        <v>0</v>
      </c>
      <c r="AJ17" s="220">
        <v>1</v>
      </c>
      <c r="AK17" s="220">
        <v>0</v>
      </c>
      <c r="AL17" s="220">
        <v>0</v>
      </c>
      <c r="AM17" s="220">
        <v>1</v>
      </c>
      <c r="AN17" s="220">
        <v>2</v>
      </c>
      <c r="AO17" s="220">
        <v>1</v>
      </c>
      <c r="AP17" s="220">
        <v>1</v>
      </c>
      <c r="AQ17" s="220">
        <v>0</v>
      </c>
      <c r="AR17" s="220">
        <v>0</v>
      </c>
      <c r="AS17" s="220">
        <v>1</v>
      </c>
      <c r="AT17" s="220">
        <v>1</v>
      </c>
      <c r="AU17" s="220">
        <v>1</v>
      </c>
      <c r="AV17" s="220">
        <v>1</v>
      </c>
      <c r="AW17" s="220">
        <v>1</v>
      </c>
      <c r="AX17" s="220">
        <v>2</v>
      </c>
      <c r="AY17" s="220">
        <v>1</v>
      </c>
      <c r="AZ17" s="220">
        <v>0</v>
      </c>
      <c r="BA17" s="220">
        <v>43</v>
      </c>
      <c r="BB17" s="220">
        <v>204</v>
      </c>
      <c r="BC17" s="220">
        <v>182</v>
      </c>
      <c r="BD17" s="220">
        <v>0</v>
      </c>
      <c r="BE17" s="220">
        <v>5</v>
      </c>
      <c r="BF17" s="220">
        <v>17</v>
      </c>
      <c r="BG17" s="220">
        <v>1</v>
      </c>
      <c r="BH17" s="220">
        <v>0</v>
      </c>
      <c r="BI17" s="220">
        <v>1</v>
      </c>
      <c r="BJ17" s="220">
        <v>1</v>
      </c>
      <c r="BK17" s="220">
        <v>0</v>
      </c>
      <c r="BL17" s="220">
        <v>0</v>
      </c>
      <c r="BM17" s="220">
        <v>2</v>
      </c>
      <c r="BN17" s="220">
        <v>0</v>
      </c>
      <c r="BO17" s="220">
        <v>0</v>
      </c>
      <c r="BP17" s="220">
        <v>0</v>
      </c>
      <c r="BQ17" s="220">
        <v>0</v>
      </c>
      <c r="BR17" s="220">
        <v>5</v>
      </c>
      <c r="BS17" s="220">
        <v>1</v>
      </c>
      <c r="BT17" s="220">
        <v>2</v>
      </c>
      <c r="BU17" s="220">
        <v>1</v>
      </c>
      <c r="BV17" s="220">
        <v>1</v>
      </c>
      <c r="BW17" s="220">
        <v>1</v>
      </c>
      <c r="BX17" s="220">
        <v>0</v>
      </c>
      <c r="BY17" s="220">
        <v>2</v>
      </c>
      <c r="BZ17" s="220">
        <v>28</v>
      </c>
      <c r="CA17" s="220">
        <v>5</v>
      </c>
      <c r="CB17" s="220">
        <v>1</v>
      </c>
      <c r="CC17" s="220">
        <v>1</v>
      </c>
      <c r="CD17" s="220">
        <v>0</v>
      </c>
      <c r="CE17" s="220">
        <v>1</v>
      </c>
      <c r="CF17" s="220">
        <v>1</v>
      </c>
      <c r="CG17" s="220">
        <v>7</v>
      </c>
      <c r="CH17" s="220">
        <v>0</v>
      </c>
      <c r="CI17" s="220">
        <v>5</v>
      </c>
      <c r="CJ17" s="220">
        <v>9</v>
      </c>
      <c r="CK17" s="220">
        <v>6</v>
      </c>
      <c r="CL17" s="220">
        <v>1</v>
      </c>
      <c r="CM17" s="220">
        <v>1</v>
      </c>
      <c r="CN17" s="220">
        <v>1</v>
      </c>
      <c r="CO17" s="220">
        <v>3</v>
      </c>
      <c r="CP17" s="220">
        <v>11</v>
      </c>
      <c r="CQ17" s="220">
        <v>11</v>
      </c>
      <c r="CR17" s="220">
        <v>2</v>
      </c>
      <c r="CS17" s="220">
        <v>0</v>
      </c>
      <c r="CT17" s="220">
        <v>6</v>
      </c>
      <c r="CU17" s="220">
        <v>1</v>
      </c>
      <c r="CV17" s="220">
        <v>7</v>
      </c>
      <c r="CW17" s="220">
        <v>86</v>
      </c>
      <c r="CX17" s="220">
        <v>1</v>
      </c>
      <c r="CY17" s="220">
        <v>412</v>
      </c>
      <c r="CZ17" s="220">
        <v>0</v>
      </c>
      <c r="DA17" s="220">
        <v>5</v>
      </c>
      <c r="DB17" s="220">
        <v>25</v>
      </c>
      <c r="DC17" s="220">
        <v>8</v>
      </c>
      <c r="DD17" s="220">
        <v>0</v>
      </c>
      <c r="DE17" s="220">
        <v>67</v>
      </c>
      <c r="DF17" s="220">
        <v>0</v>
      </c>
      <c r="DG17" s="220">
        <v>29</v>
      </c>
      <c r="DH17" s="220">
        <v>7</v>
      </c>
      <c r="DI17" s="220">
        <v>2170</v>
      </c>
      <c r="DJ17" s="220">
        <v>3079</v>
      </c>
      <c r="DK17" s="220">
        <v>556</v>
      </c>
      <c r="DL17" s="220">
        <v>400</v>
      </c>
      <c r="DM17" s="220">
        <v>32</v>
      </c>
      <c r="DN17" s="220">
        <v>20</v>
      </c>
      <c r="DO17" s="220">
        <v>0</v>
      </c>
      <c r="DP17" s="221">
        <v>19047</v>
      </c>
      <c r="DQ17" s="71">
        <f>TRP!AF139</f>
        <v>19047</v>
      </c>
      <c r="DR17" s="71">
        <f t="shared" si="3"/>
        <v>0</v>
      </c>
    </row>
    <row r="18" spans="2:122" x14ac:dyDescent="0.25">
      <c r="B18" s="218" t="s">
        <v>94</v>
      </c>
      <c r="C18" s="222" t="s">
        <v>197</v>
      </c>
      <c r="D18" s="220">
        <v>211</v>
      </c>
      <c r="E18" s="220">
        <v>4</v>
      </c>
      <c r="F18" s="220">
        <v>0</v>
      </c>
      <c r="G18" s="220">
        <v>26</v>
      </c>
      <c r="H18" s="220">
        <v>18</v>
      </c>
      <c r="I18" s="220">
        <v>9</v>
      </c>
      <c r="J18" s="220">
        <v>30</v>
      </c>
      <c r="K18" s="220">
        <v>36</v>
      </c>
      <c r="L18" s="220">
        <v>0</v>
      </c>
      <c r="M18" s="220">
        <v>0</v>
      </c>
      <c r="N18" s="220">
        <v>0</v>
      </c>
      <c r="O18" s="220">
        <v>6</v>
      </c>
      <c r="P18" s="220">
        <v>27</v>
      </c>
      <c r="Q18" s="220">
        <v>1905</v>
      </c>
      <c r="R18" s="220">
        <v>6</v>
      </c>
      <c r="S18" s="220">
        <v>0</v>
      </c>
      <c r="T18" s="220">
        <v>2</v>
      </c>
      <c r="U18" s="220">
        <v>2</v>
      </c>
      <c r="V18" s="220">
        <v>2</v>
      </c>
      <c r="W18" s="220">
        <v>3</v>
      </c>
      <c r="X18" s="220">
        <v>7</v>
      </c>
      <c r="Y18" s="220">
        <v>20</v>
      </c>
      <c r="Z18" s="220">
        <v>2</v>
      </c>
      <c r="AA18" s="220">
        <v>0</v>
      </c>
      <c r="AB18" s="220">
        <v>0</v>
      </c>
      <c r="AC18" s="220">
        <v>2</v>
      </c>
      <c r="AD18" s="220">
        <v>5</v>
      </c>
      <c r="AE18" s="220">
        <v>0</v>
      </c>
      <c r="AF18" s="220">
        <v>18</v>
      </c>
      <c r="AG18" s="220">
        <v>1</v>
      </c>
      <c r="AH18" s="220">
        <v>4</v>
      </c>
      <c r="AI18" s="220">
        <v>0</v>
      </c>
      <c r="AJ18" s="220">
        <v>1</v>
      </c>
      <c r="AK18" s="220">
        <v>2</v>
      </c>
      <c r="AL18" s="220">
        <v>3</v>
      </c>
      <c r="AM18" s="220">
        <v>6</v>
      </c>
      <c r="AN18" s="220">
        <v>11</v>
      </c>
      <c r="AO18" s="220">
        <v>4</v>
      </c>
      <c r="AP18" s="220">
        <v>20</v>
      </c>
      <c r="AQ18" s="220">
        <v>0</v>
      </c>
      <c r="AR18" s="220">
        <v>0</v>
      </c>
      <c r="AS18" s="220">
        <v>1</v>
      </c>
      <c r="AT18" s="220">
        <v>9</v>
      </c>
      <c r="AU18" s="220">
        <v>7</v>
      </c>
      <c r="AV18" s="220">
        <v>18</v>
      </c>
      <c r="AW18" s="220">
        <v>14</v>
      </c>
      <c r="AX18" s="220">
        <v>7</v>
      </c>
      <c r="AY18" s="220">
        <v>10</v>
      </c>
      <c r="AZ18" s="220">
        <v>7</v>
      </c>
      <c r="BA18" s="220">
        <v>4</v>
      </c>
      <c r="BB18" s="220">
        <v>12</v>
      </c>
      <c r="BC18" s="220">
        <v>19</v>
      </c>
      <c r="BD18" s="220">
        <v>2</v>
      </c>
      <c r="BE18" s="220">
        <v>42</v>
      </c>
      <c r="BF18" s="220">
        <v>44</v>
      </c>
      <c r="BG18" s="220">
        <v>13</v>
      </c>
      <c r="BH18" s="220">
        <v>1</v>
      </c>
      <c r="BI18" s="220">
        <v>8</v>
      </c>
      <c r="BJ18" s="220">
        <v>20</v>
      </c>
      <c r="BK18" s="220">
        <v>17</v>
      </c>
      <c r="BL18" s="220">
        <v>0</v>
      </c>
      <c r="BM18" s="220">
        <v>30</v>
      </c>
      <c r="BN18" s="220">
        <v>6</v>
      </c>
      <c r="BO18" s="220">
        <v>0</v>
      </c>
      <c r="BP18" s="220">
        <v>0</v>
      </c>
      <c r="BQ18" s="220">
        <v>0</v>
      </c>
      <c r="BR18" s="220">
        <v>5</v>
      </c>
      <c r="BS18" s="220">
        <v>9</v>
      </c>
      <c r="BT18" s="220">
        <v>3</v>
      </c>
      <c r="BU18" s="220">
        <v>0</v>
      </c>
      <c r="BV18" s="220">
        <v>1</v>
      </c>
      <c r="BW18" s="220">
        <v>0</v>
      </c>
      <c r="BX18" s="220">
        <v>0</v>
      </c>
      <c r="BY18" s="220">
        <v>7</v>
      </c>
      <c r="BZ18" s="220">
        <v>8</v>
      </c>
      <c r="CA18" s="220">
        <v>28</v>
      </c>
      <c r="CB18" s="220">
        <v>1</v>
      </c>
      <c r="CC18" s="220">
        <v>1</v>
      </c>
      <c r="CD18" s="220">
        <v>1</v>
      </c>
      <c r="CE18" s="220">
        <v>1</v>
      </c>
      <c r="CF18" s="220">
        <v>1</v>
      </c>
      <c r="CG18" s="220">
        <v>0</v>
      </c>
      <c r="CH18" s="220">
        <v>0</v>
      </c>
      <c r="CI18" s="220">
        <v>6</v>
      </c>
      <c r="CJ18" s="220">
        <v>2</v>
      </c>
      <c r="CK18" s="220">
        <v>2</v>
      </c>
      <c r="CL18" s="220">
        <v>0</v>
      </c>
      <c r="CM18" s="220">
        <v>3</v>
      </c>
      <c r="CN18" s="220">
        <v>1</v>
      </c>
      <c r="CO18" s="220">
        <v>8</v>
      </c>
      <c r="CP18" s="220">
        <v>66</v>
      </c>
      <c r="CQ18" s="220">
        <v>28</v>
      </c>
      <c r="CR18" s="220">
        <v>4</v>
      </c>
      <c r="CS18" s="220">
        <v>0</v>
      </c>
      <c r="CT18" s="220">
        <v>3</v>
      </c>
      <c r="CU18" s="220">
        <v>3</v>
      </c>
      <c r="CV18" s="220">
        <v>2</v>
      </c>
      <c r="CW18" s="220">
        <v>78</v>
      </c>
      <c r="CX18" s="220">
        <v>3</v>
      </c>
      <c r="CY18" s="220">
        <v>25</v>
      </c>
      <c r="CZ18" s="220">
        <v>6</v>
      </c>
      <c r="DA18" s="220">
        <v>87</v>
      </c>
      <c r="DB18" s="220">
        <v>48</v>
      </c>
      <c r="DC18" s="220">
        <v>9</v>
      </c>
      <c r="DD18" s="220">
        <v>56</v>
      </c>
      <c r="DE18" s="220">
        <v>285</v>
      </c>
      <c r="DF18" s="220">
        <v>0</v>
      </c>
      <c r="DG18" s="220">
        <v>39</v>
      </c>
      <c r="DH18" s="220">
        <v>173</v>
      </c>
      <c r="DI18" s="220">
        <v>86</v>
      </c>
      <c r="DJ18" s="220">
        <v>84</v>
      </c>
      <c r="DK18" s="220">
        <v>18</v>
      </c>
      <c r="DL18" s="220">
        <v>22</v>
      </c>
      <c r="DM18" s="220">
        <v>18</v>
      </c>
      <c r="DN18" s="220">
        <v>222</v>
      </c>
      <c r="DO18" s="220">
        <v>3</v>
      </c>
      <c r="DP18" s="221">
        <v>4140</v>
      </c>
      <c r="DQ18" s="71">
        <f>TRP!AF140</f>
        <v>4140</v>
      </c>
      <c r="DR18" s="71">
        <f t="shared" si="3"/>
        <v>0</v>
      </c>
    </row>
    <row r="19" spans="2:122" x14ac:dyDescent="0.25">
      <c r="B19" s="218" t="s">
        <v>95</v>
      </c>
      <c r="C19" s="222" t="s">
        <v>198</v>
      </c>
      <c r="D19" s="220">
        <v>0</v>
      </c>
      <c r="E19" s="220">
        <v>0</v>
      </c>
      <c r="F19" s="220">
        <v>0</v>
      </c>
      <c r="G19" s="220">
        <v>4</v>
      </c>
      <c r="H19" s="220">
        <v>6</v>
      </c>
      <c r="I19" s="220">
        <v>1</v>
      </c>
      <c r="J19" s="220">
        <v>6</v>
      </c>
      <c r="K19" s="220">
        <v>35</v>
      </c>
      <c r="L19" s="220">
        <v>0</v>
      </c>
      <c r="M19" s="220">
        <v>20</v>
      </c>
      <c r="N19" s="220">
        <v>0</v>
      </c>
      <c r="O19" s="220">
        <v>20</v>
      </c>
      <c r="P19" s="220">
        <v>45</v>
      </c>
      <c r="Q19" s="220">
        <v>3</v>
      </c>
      <c r="R19" s="220">
        <v>583</v>
      </c>
      <c r="S19" s="220">
        <v>3</v>
      </c>
      <c r="T19" s="220">
        <v>12</v>
      </c>
      <c r="U19" s="220">
        <v>4</v>
      </c>
      <c r="V19" s="220">
        <v>6</v>
      </c>
      <c r="W19" s="220">
        <v>9</v>
      </c>
      <c r="X19" s="220">
        <v>1580</v>
      </c>
      <c r="Y19" s="220">
        <v>268</v>
      </c>
      <c r="Z19" s="220">
        <v>10</v>
      </c>
      <c r="AA19" s="220">
        <v>17</v>
      </c>
      <c r="AB19" s="220">
        <v>109</v>
      </c>
      <c r="AC19" s="220">
        <v>9</v>
      </c>
      <c r="AD19" s="220">
        <v>19</v>
      </c>
      <c r="AE19" s="220">
        <v>11</v>
      </c>
      <c r="AF19" s="220">
        <v>32</v>
      </c>
      <c r="AG19" s="220">
        <v>57</v>
      </c>
      <c r="AH19" s="220">
        <v>11</v>
      </c>
      <c r="AI19" s="220">
        <v>6</v>
      </c>
      <c r="AJ19" s="220">
        <v>32</v>
      </c>
      <c r="AK19" s="220">
        <v>2</v>
      </c>
      <c r="AL19" s="220">
        <v>3</v>
      </c>
      <c r="AM19" s="220">
        <v>2</v>
      </c>
      <c r="AN19" s="220">
        <v>22</v>
      </c>
      <c r="AO19" s="220">
        <v>5</v>
      </c>
      <c r="AP19" s="220">
        <v>24</v>
      </c>
      <c r="AQ19" s="220">
        <v>0</v>
      </c>
      <c r="AR19" s="220">
        <v>2</v>
      </c>
      <c r="AS19" s="220">
        <v>8</v>
      </c>
      <c r="AT19" s="220">
        <v>34</v>
      </c>
      <c r="AU19" s="220">
        <v>8</v>
      </c>
      <c r="AV19" s="220">
        <v>4</v>
      </c>
      <c r="AW19" s="220">
        <v>3</v>
      </c>
      <c r="AX19" s="220">
        <v>25</v>
      </c>
      <c r="AY19" s="220">
        <v>16</v>
      </c>
      <c r="AZ19" s="220">
        <v>11</v>
      </c>
      <c r="BA19" s="220">
        <v>13</v>
      </c>
      <c r="BB19" s="220">
        <v>0</v>
      </c>
      <c r="BC19" s="220">
        <v>13</v>
      </c>
      <c r="BD19" s="220">
        <v>0</v>
      </c>
      <c r="BE19" s="220">
        <v>2</v>
      </c>
      <c r="BF19" s="220">
        <v>8</v>
      </c>
      <c r="BG19" s="220">
        <v>2</v>
      </c>
      <c r="BH19" s="220">
        <v>2</v>
      </c>
      <c r="BI19" s="220">
        <v>1</v>
      </c>
      <c r="BJ19" s="220">
        <v>2</v>
      </c>
      <c r="BK19" s="220">
        <v>4</v>
      </c>
      <c r="BL19" s="220">
        <v>0</v>
      </c>
      <c r="BM19" s="220">
        <v>71</v>
      </c>
      <c r="BN19" s="220">
        <v>10</v>
      </c>
      <c r="BO19" s="220">
        <v>0</v>
      </c>
      <c r="BP19" s="220">
        <v>0</v>
      </c>
      <c r="BQ19" s="220">
        <v>0</v>
      </c>
      <c r="BR19" s="220">
        <v>0</v>
      </c>
      <c r="BS19" s="220">
        <v>12</v>
      </c>
      <c r="BT19" s="220">
        <v>5</v>
      </c>
      <c r="BU19" s="220">
        <v>1</v>
      </c>
      <c r="BV19" s="220">
        <v>2</v>
      </c>
      <c r="BW19" s="220">
        <v>76</v>
      </c>
      <c r="BX19" s="220">
        <v>27</v>
      </c>
      <c r="BY19" s="220">
        <v>30</v>
      </c>
      <c r="BZ19" s="220">
        <v>75</v>
      </c>
      <c r="CA19" s="220">
        <v>177</v>
      </c>
      <c r="CB19" s="220">
        <v>1</v>
      </c>
      <c r="CC19" s="220">
        <v>2</v>
      </c>
      <c r="CD19" s="220">
        <v>1</v>
      </c>
      <c r="CE19" s="220">
        <v>0</v>
      </c>
      <c r="CF19" s="220">
        <v>0</v>
      </c>
      <c r="CG19" s="220">
        <v>21</v>
      </c>
      <c r="CH19" s="220">
        <v>0</v>
      </c>
      <c r="CI19" s="220">
        <v>8</v>
      </c>
      <c r="CJ19" s="220">
        <v>97</v>
      </c>
      <c r="CK19" s="220">
        <v>26</v>
      </c>
      <c r="CL19" s="220">
        <v>15</v>
      </c>
      <c r="CM19" s="220">
        <v>4</v>
      </c>
      <c r="CN19" s="220">
        <v>12</v>
      </c>
      <c r="CO19" s="220">
        <v>24</v>
      </c>
      <c r="CP19" s="220">
        <v>34</v>
      </c>
      <c r="CQ19" s="220">
        <v>24</v>
      </c>
      <c r="CR19" s="220">
        <v>23</v>
      </c>
      <c r="CS19" s="220">
        <v>6</v>
      </c>
      <c r="CT19" s="220">
        <v>36</v>
      </c>
      <c r="CU19" s="220">
        <v>10</v>
      </c>
      <c r="CV19" s="220">
        <v>2</v>
      </c>
      <c r="CW19" s="220">
        <v>101</v>
      </c>
      <c r="CX19" s="220">
        <v>3</v>
      </c>
      <c r="CY19" s="220">
        <v>27</v>
      </c>
      <c r="CZ19" s="220">
        <v>1</v>
      </c>
      <c r="DA19" s="220">
        <v>207</v>
      </c>
      <c r="DB19" s="220">
        <v>112</v>
      </c>
      <c r="DC19" s="220">
        <v>110</v>
      </c>
      <c r="DD19" s="220">
        <v>111</v>
      </c>
      <c r="DE19" s="220">
        <v>30</v>
      </c>
      <c r="DF19" s="220">
        <v>0</v>
      </c>
      <c r="DG19" s="220">
        <v>36</v>
      </c>
      <c r="DH19" s="220">
        <v>28</v>
      </c>
      <c r="DI19" s="220">
        <v>181</v>
      </c>
      <c r="DJ19" s="220">
        <v>255</v>
      </c>
      <c r="DK19" s="220">
        <v>2</v>
      </c>
      <c r="DL19" s="220">
        <v>106</v>
      </c>
      <c r="DM19" s="220">
        <v>42</v>
      </c>
      <c r="DN19" s="220">
        <v>384</v>
      </c>
      <c r="DO19" s="220">
        <v>6</v>
      </c>
      <c r="DP19" s="221">
        <v>5708</v>
      </c>
      <c r="DQ19" s="71">
        <f>TRP!AF141</f>
        <v>5708</v>
      </c>
      <c r="DR19" s="71">
        <f t="shared" si="3"/>
        <v>0</v>
      </c>
    </row>
    <row r="20" spans="2:122" x14ac:dyDescent="0.25">
      <c r="B20" s="218" t="s">
        <v>96</v>
      </c>
      <c r="C20" s="222" t="s">
        <v>199</v>
      </c>
      <c r="D20" s="220">
        <v>0</v>
      </c>
      <c r="E20" s="220">
        <v>0</v>
      </c>
      <c r="F20" s="220">
        <v>0</v>
      </c>
      <c r="G20" s="220">
        <v>0</v>
      </c>
      <c r="H20" s="220">
        <v>0</v>
      </c>
      <c r="I20" s="220">
        <v>0</v>
      </c>
      <c r="J20" s="220">
        <v>0</v>
      </c>
      <c r="K20" s="220">
        <v>0</v>
      </c>
      <c r="L20" s="220">
        <v>0</v>
      </c>
      <c r="M20" s="220">
        <v>0</v>
      </c>
      <c r="N20" s="220">
        <v>0</v>
      </c>
      <c r="O20" s="220">
        <v>0</v>
      </c>
      <c r="P20" s="220">
        <v>0</v>
      </c>
      <c r="Q20" s="220">
        <v>0</v>
      </c>
      <c r="R20" s="220">
        <v>0</v>
      </c>
      <c r="S20" s="220">
        <v>376</v>
      </c>
      <c r="T20" s="220">
        <v>0</v>
      </c>
      <c r="U20" s="220">
        <v>0</v>
      </c>
      <c r="V20" s="220">
        <v>0</v>
      </c>
      <c r="W20" s="220">
        <v>0</v>
      </c>
      <c r="X20" s="220">
        <v>0</v>
      </c>
      <c r="Y20" s="220">
        <v>0</v>
      </c>
      <c r="Z20" s="220">
        <v>0</v>
      </c>
      <c r="AA20" s="220">
        <v>0</v>
      </c>
      <c r="AB20" s="220">
        <v>1</v>
      </c>
      <c r="AC20" s="220">
        <v>0</v>
      </c>
      <c r="AD20" s="220">
        <v>0</v>
      </c>
      <c r="AE20" s="220">
        <v>0</v>
      </c>
      <c r="AF20" s="220">
        <v>0</v>
      </c>
      <c r="AG20" s="220">
        <v>0</v>
      </c>
      <c r="AH20" s="220">
        <v>0</v>
      </c>
      <c r="AI20" s="220">
        <v>0</v>
      </c>
      <c r="AJ20" s="220">
        <v>0</v>
      </c>
      <c r="AK20" s="220">
        <v>0</v>
      </c>
      <c r="AL20" s="220">
        <v>0</v>
      </c>
      <c r="AM20" s="220">
        <v>0</v>
      </c>
      <c r="AN20" s="220">
        <v>0</v>
      </c>
      <c r="AO20" s="220">
        <v>0</v>
      </c>
      <c r="AP20" s="220">
        <v>0</v>
      </c>
      <c r="AQ20" s="220">
        <v>0</v>
      </c>
      <c r="AR20" s="220">
        <v>0</v>
      </c>
      <c r="AS20" s="220">
        <v>0</v>
      </c>
      <c r="AT20" s="220">
        <v>0</v>
      </c>
      <c r="AU20" s="220">
        <v>0</v>
      </c>
      <c r="AV20" s="220">
        <v>0</v>
      </c>
      <c r="AW20" s="220">
        <v>0</v>
      </c>
      <c r="AX20" s="220">
        <v>0</v>
      </c>
      <c r="AY20" s="220">
        <v>0</v>
      </c>
      <c r="AZ20" s="220">
        <v>0</v>
      </c>
      <c r="BA20" s="220">
        <v>0</v>
      </c>
      <c r="BB20" s="220">
        <v>0</v>
      </c>
      <c r="BC20" s="220">
        <v>0</v>
      </c>
      <c r="BD20" s="220">
        <v>0</v>
      </c>
      <c r="BE20" s="220">
        <v>0</v>
      </c>
      <c r="BF20" s="220">
        <v>0</v>
      </c>
      <c r="BG20" s="220">
        <v>0</v>
      </c>
      <c r="BH20" s="220">
        <v>0</v>
      </c>
      <c r="BI20" s="220">
        <v>0</v>
      </c>
      <c r="BJ20" s="220">
        <v>0</v>
      </c>
      <c r="BK20" s="220">
        <v>0</v>
      </c>
      <c r="BL20" s="220">
        <v>0</v>
      </c>
      <c r="BM20" s="220">
        <v>0</v>
      </c>
      <c r="BN20" s="220">
        <v>0</v>
      </c>
      <c r="BO20" s="220">
        <v>0</v>
      </c>
      <c r="BP20" s="220">
        <v>0</v>
      </c>
      <c r="BQ20" s="220">
        <v>0</v>
      </c>
      <c r="BR20" s="220">
        <v>0</v>
      </c>
      <c r="BS20" s="220">
        <v>0</v>
      </c>
      <c r="BT20" s="220">
        <v>0</v>
      </c>
      <c r="BU20" s="220">
        <v>0</v>
      </c>
      <c r="BV20" s="220">
        <v>0</v>
      </c>
      <c r="BW20" s="220">
        <v>0</v>
      </c>
      <c r="BX20" s="220">
        <v>0</v>
      </c>
      <c r="BY20" s="220">
        <v>0</v>
      </c>
      <c r="BZ20" s="220">
        <v>0</v>
      </c>
      <c r="CA20" s="220">
        <v>0</v>
      </c>
      <c r="CB20" s="220">
        <v>0</v>
      </c>
      <c r="CC20" s="220">
        <v>0</v>
      </c>
      <c r="CD20" s="220">
        <v>0</v>
      </c>
      <c r="CE20" s="220">
        <v>0</v>
      </c>
      <c r="CF20" s="220">
        <v>0</v>
      </c>
      <c r="CG20" s="220">
        <v>0</v>
      </c>
      <c r="CH20" s="220">
        <v>0</v>
      </c>
      <c r="CI20" s="220">
        <v>0</v>
      </c>
      <c r="CJ20" s="220">
        <v>0</v>
      </c>
      <c r="CK20" s="220">
        <v>0</v>
      </c>
      <c r="CL20" s="220">
        <v>0</v>
      </c>
      <c r="CM20" s="220">
        <v>0</v>
      </c>
      <c r="CN20" s="220">
        <v>0</v>
      </c>
      <c r="CO20" s="220">
        <v>0</v>
      </c>
      <c r="CP20" s="220">
        <v>0</v>
      </c>
      <c r="CQ20" s="220">
        <v>0</v>
      </c>
      <c r="CR20" s="220">
        <v>0</v>
      </c>
      <c r="CS20" s="220">
        <v>0</v>
      </c>
      <c r="CT20" s="220">
        <v>0</v>
      </c>
      <c r="CU20" s="220">
        <v>0</v>
      </c>
      <c r="CV20" s="220">
        <v>0</v>
      </c>
      <c r="CW20" s="220">
        <v>0</v>
      </c>
      <c r="CX20" s="220">
        <v>0</v>
      </c>
      <c r="CY20" s="220">
        <v>0</v>
      </c>
      <c r="CZ20" s="220">
        <v>0</v>
      </c>
      <c r="DA20" s="220">
        <v>0</v>
      </c>
      <c r="DB20" s="220">
        <v>0</v>
      </c>
      <c r="DC20" s="220">
        <v>0</v>
      </c>
      <c r="DD20" s="220">
        <v>0</v>
      </c>
      <c r="DE20" s="220">
        <v>0</v>
      </c>
      <c r="DF20" s="220">
        <v>0</v>
      </c>
      <c r="DG20" s="220">
        <v>0</v>
      </c>
      <c r="DH20" s="220">
        <v>0</v>
      </c>
      <c r="DI20" s="220">
        <v>0</v>
      </c>
      <c r="DJ20" s="220">
        <v>0</v>
      </c>
      <c r="DK20" s="220">
        <v>0</v>
      </c>
      <c r="DL20" s="220">
        <v>0</v>
      </c>
      <c r="DM20" s="220">
        <v>0</v>
      </c>
      <c r="DN20" s="220">
        <v>91</v>
      </c>
      <c r="DO20" s="220">
        <v>0</v>
      </c>
      <c r="DP20" s="221">
        <v>468</v>
      </c>
      <c r="DQ20" s="71">
        <f>TRP!AF142</f>
        <v>468</v>
      </c>
      <c r="DR20" s="71">
        <f t="shared" si="3"/>
        <v>0</v>
      </c>
    </row>
    <row r="21" spans="2:122" x14ac:dyDescent="0.25">
      <c r="B21" s="218" t="s">
        <v>97</v>
      </c>
      <c r="C21" s="222" t="s">
        <v>200</v>
      </c>
      <c r="D21" s="220">
        <v>0</v>
      </c>
      <c r="E21" s="220">
        <v>4</v>
      </c>
      <c r="F21" s="220">
        <v>8</v>
      </c>
      <c r="G21" s="220">
        <v>9</v>
      </c>
      <c r="H21" s="220">
        <v>4</v>
      </c>
      <c r="I21" s="220">
        <v>4</v>
      </c>
      <c r="J21" s="220">
        <v>22</v>
      </c>
      <c r="K21" s="220">
        <v>60</v>
      </c>
      <c r="L21" s="220">
        <v>0</v>
      </c>
      <c r="M21" s="220">
        <v>18</v>
      </c>
      <c r="N21" s="220">
        <v>6</v>
      </c>
      <c r="O21" s="220">
        <v>17</v>
      </c>
      <c r="P21" s="220">
        <v>7</v>
      </c>
      <c r="Q21" s="220">
        <v>4</v>
      </c>
      <c r="R21" s="220">
        <v>21</v>
      </c>
      <c r="S21" s="220">
        <v>5</v>
      </c>
      <c r="T21" s="220">
        <v>305</v>
      </c>
      <c r="U21" s="220">
        <v>4</v>
      </c>
      <c r="V21" s="220">
        <v>6</v>
      </c>
      <c r="W21" s="220">
        <v>1</v>
      </c>
      <c r="X21" s="220">
        <v>117</v>
      </c>
      <c r="Y21" s="220">
        <v>45</v>
      </c>
      <c r="Z21" s="220">
        <v>2</v>
      </c>
      <c r="AA21" s="220">
        <v>1</v>
      </c>
      <c r="AB21" s="220">
        <v>7</v>
      </c>
      <c r="AC21" s="220">
        <v>1</v>
      </c>
      <c r="AD21" s="220">
        <v>5</v>
      </c>
      <c r="AE21" s="220">
        <v>6</v>
      </c>
      <c r="AF21" s="220">
        <v>9</v>
      </c>
      <c r="AG21" s="220">
        <v>29</v>
      </c>
      <c r="AH21" s="220">
        <v>1</v>
      </c>
      <c r="AI21" s="220">
        <v>0</v>
      </c>
      <c r="AJ21" s="220">
        <v>9</v>
      </c>
      <c r="AK21" s="220">
        <v>6</v>
      </c>
      <c r="AL21" s="220">
        <v>4</v>
      </c>
      <c r="AM21" s="220">
        <v>2</v>
      </c>
      <c r="AN21" s="220">
        <v>8</v>
      </c>
      <c r="AO21" s="220">
        <v>13</v>
      </c>
      <c r="AP21" s="220">
        <v>8</v>
      </c>
      <c r="AQ21" s="220">
        <v>0</v>
      </c>
      <c r="AR21" s="220">
        <v>4</v>
      </c>
      <c r="AS21" s="220">
        <v>4</v>
      </c>
      <c r="AT21" s="220">
        <v>5</v>
      </c>
      <c r="AU21" s="220">
        <v>4</v>
      </c>
      <c r="AV21" s="220">
        <v>6</v>
      </c>
      <c r="AW21" s="220">
        <v>1</v>
      </c>
      <c r="AX21" s="220">
        <v>4</v>
      </c>
      <c r="AY21" s="220">
        <v>8</v>
      </c>
      <c r="AZ21" s="220">
        <v>6</v>
      </c>
      <c r="BA21" s="220">
        <v>5</v>
      </c>
      <c r="BB21" s="220">
        <v>5</v>
      </c>
      <c r="BC21" s="220">
        <v>6</v>
      </c>
      <c r="BD21" s="220">
        <v>2</v>
      </c>
      <c r="BE21" s="220">
        <v>9</v>
      </c>
      <c r="BF21" s="220">
        <v>12</v>
      </c>
      <c r="BG21" s="220">
        <v>6</v>
      </c>
      <c r="BH21" s="220">
        <v>0</v>
      </c>
      <c r="BI21" s="220">
        <v>8</v>
      </c>
      <c r="BJ21" s="220">
        <v>8</v>
      </c>
      <c r="BK21" s="220">
        <v>6</v>
      </c>
      <c r="BL21" s="220">
        <v>0</v>
      </c>
      <c r="BM21" s="220">
        <v>8</v>
      </c>
      <c r="BN21" s="220">
        <v>6</v>
      </c>
      <c r="BO21" s="220">
        <v>0</v>
      </c>
      <c r="BP21" s="220">
        <v>0</v>
      </c>
      <c r="BQ21" s="220">
        <v>0</v>
      </c>
      <c r="BR21" s="220">
        <v>6</v>
      </c>
      <c r="BS21" s="220">
        <v>0</v>
      </c>
      <c r="BT21" s="220">
        <v>7</v>
      </c>
      <c r="BU21" s="220">
        <v>1</v>
      </c>
      <c r="BV21" s="220">
        <v>0</v>
      </c>
      <c r="BW21" s="220">
        <v>60</v>
      </c>
      <c r="BX21" s="220">
        <v>16</v>
      </c>
      <c r="BY21" s="220">
        <v>68</v>
      </c>
      <c r="BZ21" s="220">
        <v>178</v>
      </c>
      <c r="CA21" s="220">
        <v>182</v>
      </c>
      <c r="CB21" s="220">
        <v>0</v>
      </c>
      <c r="CC21" s="220">
        <v>2</v>
      </c>
      <c r="CD21" s="220">
        <v>1</v>
      </c>
      <c r="CE21" s="220">
        <v>0</v>
      </c>
      <c r="CF21" s="220">
        <v>5</v>
      </c>
      <c r="CG21" s="220">
        <v>5</v>
      </c>
      <c r="CH21" s="220">
        <v>0</v>
      </c>
      <c r="CI21" s="220">
        <v>4</v>
      </c>
      <c r="CJ21" s="220">
        <v>106</v>
      </c>
      <c r="CK21" s="220">
        <v>2</v>
      </c>
      <c r="CL21" s="220">
        <v>0</v>
      </c>
      <c r="CM21" s="220">
        <v>13</v>
      </c>
      <c r="CN21" s="220">
        <v>17</v>
      </c>
      <c r="CO21" s="220">
        <v>33</v>
      </c>
      <c r="CP21" s="220">
        <v>43</v>
      </c>
      <c r="CQ21" s="220">
        <v>47</v>
      </c>
      <c r="CR21" s="220">
        <v>30</v>
      </c>
      <c r="CS21" s="220">
        <v>18</v>
      </c>
      <c r="CT21" s="220">
        <v>69</v>
      </c>
      <c r="CU21" s="220">
        <v>63</v>
      </c>
      <c r="CV21" s="220">
        <v>26</v>
      </c>
      <c r="CW21" s="220">
        <v>103</v>
      </c>
      <c r="CX21" s="220">
        <v>8</v>
      </c>
      <c r="CY21" s="220">
        <v>135</v>
      </c>
      <c r="CZ21" s="220">
        <v>34</v>
      </c>
      <c r="DA21" s="220">
        <v>21</v>
      </c>
      <c r="DB21" s="220">
        <v>88</v>
      </c>
      <c r="DC21" s="220">
        <v>60</v>
      </c>
      <c r="DD21" s="220">
        <v>287</v>
      </c>
      <c r="DE21" s="220">
        <v>76</v>
      </c>
      <c r="DF21" s="220">
        <v>0</v>
      </c>
      <c r="DG21" s="220">
        <v>17</v>
      </c>
      <c r="DH21" s="220">
        <v>0</v>
      </c>
      <c r="DI21" s="220">
        <v>25</v>
      </c>
      <c r="DJ21" s="220">
        <v>5</v>
      </c>
      <c r="DK21" s="220">
        <v>6</v>
      </c>
      <c r="DL21" s="220">
        <v>152</v>
      </c>
      <c r="DM21" s="220">
        <v>52</v>
      </c>
      <c r="DN21" s="220">
        <v>0</v>
      </c>
      <c r="DO21" s="220">
        <v>0</v>
      </c>
      <c r="DP21" s="221">
        <v>2972</v>
      </c>
      <c r="DQ21" s="71">
        <f>TRP!AF143</f>
        <v>2972</v>
      </c>
      <c r="DR21" s="71">
        <f t="shared" si="3"/>
        <v>0</v>
      </c>
    </row>
    <row r="22" spans="2:122" x14ac:dyDescent="0.25">
      <c r="B22" s="218" t="s">
        <v>98</v>
      </c>
      <c r="C22" s="222" t="s">
        <v>201</v>
      </c>
      <c r="D22" s="220">
        <v>0</v>
      </c>
      <c r="E22" s="220">
        <v>0</v>
      </c>
      <c r="F22" s="220">
        <v>0</v>
      </c>
      <c r="G22" s="220">
        <v>2</v>
      </c>
      <c r="H22" s="220">
        <v>2</v>
      </c>
      <c r="I22" s="220">
        <v>13</v>
      </c>
      <c r="J22" s="220">
        <v>0</v>
      </c>
      <c r="K22" s="220">
        <v>4</v>
      </c>
      <c r="L22" s="220">
        <v>0</v>
      </c>
      <c r="M22" s="220">
        <v>0</v>
      </c>
      <c r="N22" s="220">
        <v>0</v>
      </c>
      <c r="O22" s="220">
        <v>8</v>
      </c>
      <c r="P22" s="220">
        <v>0</v>
      </c>
      <c r="Q22" s="220">
        <v>0</v>
      </c>
      <c r="R22" s="220">
        <v>43</v>
      </c>
      <c r="S22" s="220">
        <v>0</v>
      </c>
      <c r="T22" s="220">
        <v>51</v>
      </c>
      <c r="U22" s="220">
        <v>295</v>
      </c>
      <c r="V22" s="220">
        <v>7</v>
      </c>
      <c r="W22" s="220">
        <v>0</v>
      </c>
      <c r="X22" s="220">
        <v>41</v>
      </c>
      <c r="Y22" s="220">
        <v>17</v>
      </c>
      <c r="Z22" s="220">
        <v>2</v>
      </c>
      <c r="AA22" s="220">
        <v>0</v>
      </c>
      <c r="AB22" s="220">
        <v>14</v>
      </c>
      <c r="AC22" s="220">
        <v>0</v>
      </c>
      <c r="AD22" s="220">
        <v>2</v>
      </c>
      <c r="AE22" s="220">
        <v>1</v>
      </c>
      <c r="AF22" s="220">
        <v>5</v>
      </c>
      <c r="AG22" s="220">
        <v>15</v>
      </c>
      <c r="AH22" s="220">
        <v>0</v>
      </c>
      <c r="AI22" s="220">
        <v>0</v>
      </c>
      <c r="AJ22" s="220">
        <v>5</v>
      </c>
      <c r="AK22" s="220">
        <v>0</v>
      </c>
      <c r="AL22" s="220">
        <v>1</v>
      </c>
      <c r="AM22" s="220">
        <v>0</v>
      </c>
      <c r="AN22" s="220">
        <v>4</v>
      </c>
      <c r="AO22" s="220">
        <v>0</v>
      </c>
      <c r="AP22" s="220">
        <v>5</v>
      </c>
      <c r="AQ22" s="220">
        <v>0</v>
      </c>
      <c r="AR22" s="220">
        <v>0</v>
      </c>
      <c r="AS22" s="220">
        <v>0</v>
      </c>
      <c r="AT22" s="220">
        <v>0</v>
      </c>
      <c r="AU22" s="220">
        <v>0</v>
      </c>
      <c r="AV22" s="220">
        <v>0</v>
      </c>
      <c r="AW22" s="220">
        <v>0</v>
      </c>
      <c r="AX22" s="220">
        <v>2</v>
      </c>
      <c r="AY22" s="220">
        <v>0</v>
      </c>
      <c r="AZ22" s="220">
        <v>1</v>
      </c>
      <c r="BA22" s="220">
        <v>0</v>
      </c>
      <c r="BB22" s="220">
        <v>0</v>
      </c>
      <c r="BC22" s="220">
        <v>0</v>
      </c>
      <c r="BD22" s="220">
        <v>0</v>
      </c>
      <c r="BE22" s="220">
        <v>1</v>
      </c>
      <c r="BF22" s="220">
        <v>1</v>
      </c>
      <c r="BG22" s="220">
        <v>11</v>
      </c>
      <c r="BH22" s="220">
        <v>10</v>
      </c>
      <c r="BI22" s="220">
        <v>0</v>
      </c>
      <c r="BJ22" s="220">
        <v>5</v>
      </c>
      <c r="BK22" s="220">
        <v>5</v>
      </c>
      <c r="BL22" s="220">
        <v>0</v>
      </c>
      <c r="BM22" s="220">
        <v>4</v>
      </c>
      <c r="BN22" s="220">
        <v>2</v>
      </c>
      <c r="BO22" s="220">
        <v>0</v>
      </c>
      <c r="BP22" s="220">
        <v>0</v>
      </c>
      <c r="BQ22" s="220">
        <v>0</v>
      </c>
      <c r="BR22" s="220">
        <v>0</v>
      </c>
      <c r="BS22" s="220">
        <v>2</v>
      </c>
      <c r="BT22" s="220">
        <v>0</v>
      </c>
      <c r="BU22" s="220">
        <v>0</v>
      </c>
      <c r="BV22" s="220">
        <v>0</v>
      </c>
      <c r="BW22" s="220">
        <v>169</v>
      </c>
      <c r="BX22" s="220">
        <v>90</v>
      </c>
      <c r="BY22" s="220">
        <v>18</v>
      </c>
      <c r="BZ22" s="220">
        <v>12</v>
      </c>
      <c r="CA22" s="220">
        <v>62</v>
      </c>
      <c r="CB22" s="220">
        <v>0</v>
      </c>
      <c r="CC22" s="220">
        <v>39</v>
      </c>
      <c r="CD22" s="220">
        <v>0</v>
      </c>
      <c r="CE22" s="220">
        <v>0</v>
      </c>
      <c r="CF22" s="220">
        <v>0</v>
      </c>
      <c r="CG22" s="220">
        <v>0</v>
      </c>
      <c r="CH22" s="220">
        <v>0</v>
      </c>
      <c r="CI22" s="220">
        <v>0</v>
      </c>
      <c r="CJ22" s="220">
        <v>1</v>
      </c>
      <c r="CK22" s="220">
        <v>2</v>
      </c>
      <c r="CL22" s="220">
        <v>0</v>
      </c>
      <c r="CM22" s="220">
        <v>1</v>
      </c>
      <c r="CN22" s="220">
        <v>1</v>
      </c>
      <c r="CO22" s="220">
        <v>43</v>
      </c>
      <c r="CP22" s="220">
        <v>1</v>
      </c>
      <c r="CQ22" s="220">
        <v>1</v>
      </c>
      <c r="CR22" s="220">
        <v>62</v>
      </c>
      <c r="CS22" s="220">
        <v>5</v>
      </c>
      <c r="CT22" s="220">
        <v>14</v>
      </c>
      <c r="CU22" s="220">
        <v>95</v>
      </c>
      <c r="CV22" s="220">
        <v>9</v>
      </c>
      <c r="CW22" s="220">
        <v>49</v>
      </c>
      <c r="CX22" s="220">
        <v>1</v>
      </c>
      <c r="CY22" s="220">
        <v>8</v>
      </c>
      <c r="CZ22" s="220">
        <v>0</v>
      </c>
      <c r="DA22" s="220">
        <v>96</v>
      </c>
      <c r="DB22" s="220">
        <v>0</v>
      </c>
      <c r="DC22" s="220">
        <v>19</v>
      </c>
      <c r="DD22" s="220">
        <v>0</v>
      </c>
      <c r="DE22" s="220">
        <v>36</v>
      </c>
      <c r="DF22" s="220">
        <v>0</v>
      </c>
      <c r="DG22" s="220">
        <v>0</v>
      </c>
      <c r="DH22" s="220">
        <v>0</v>
      </c>
      <c r="DI22" s="220">
        <v>2</v>
      </c>
      <c r="DJ22" s="220">
        <v>0</v>
      </c>
      <c r="DK22" s="220">
        <v>0</v>
      </c>
      <c r="DL22" s="220">
        <v>0</v>
      </c>
      <c r="DM22" s="220">
        <v>0</v>
      </c>
      <c r="DN22" s="220">
        <v>0</v>
      </c>
      <c r="DO22" s="220">
        <v>0</v>
      </c>
      <c r="DP22" s="221">
        <v>1417</v>
      </c>
      <c r="DQ22" s="71">
        <f>TRP!AF144</f>
        <v>1417</v>
      </c>
      <c r="DR22" s="71">
        <f t="shared" si="3"/>
        <v>0</v>
      </c>
    </row>
    <row r="23" spans="2:122" x14ac:dyDescent="0.25">
      <c r="B23" s="218" t="s">
        <v>99</v>
      </c>
      <c r="C23" s="222" t="s">
        <v>202</v>
      </c>
      <c r="D23" s="220">
        <v>0</v>
      </c>
      <c r="E23" s="220">
        <v>0</v>
      </c>
      <c r="F23" s="220">
        <v>0</v>
      </c>
      <c r="G23" s="220">
        <v>0</v>
      </c>
      <c r="H23" s="220">
        <v>0</v>
      </c>
      <c r="I23" s="220">
        <v>0</v>
      </c>
      <c r="J23" s="220">
        <v>0</v>
      </c>
      <c r="K23" s="220">
        <v>1</v>
      </c>
      <c r="L23" s="220">
        <v>0</v>
      </c>
      <c r="M23" s="220">
        <v>0</v>
      </c>
      <c r="N23" s="220">
        <v>0</v>
      </c>
      <c r="O23" s="220">
        <v>40</v>
      </c>
      <c r="P23" s="220">
        <v>1</v>
      </c>
      <c r="Q23" s="220">
        <v>1</v>
      </c>
      <c r="R23" s="220">
        <v>28</v>
      </c>
      <c r="S23" s="220">
        <v>0</v>
      </c>
      <c r="T23" s="220">
        <v>0</v>
      </c>
      <c r="U23" s="220">
        <v>22</v>
      </c>
      <c r="V23" s="220">
        <v>105</v>
      </c>
      <c r="W23" s="220">
        <v>0</v>
      </c>
      <c r="X23" s="220">
        <v>107</v>
      </c>
      <c r="Y23" s="220">
        <v>9</v>
      </c>
      <c r="Z23" s="220">
        <v>3</v>
      </c>
      <c r="AA23" s="220">
        <v>0</v>
      </c>
      <c r="AB23" s="220">
        <v>10</v>
      </c>
      <c r="AC23" s="220">
        <v>1</v>
      </c>
      <c r="AD23" s="220">
        <v>4</v>
      </c>
      <c r="AE23" s="220">
        <v>4</v>
      </c>
      <c r="AF23" s="220">
        <v>4</v>
      </c>
      <c r="AG23" s="220">
        <v>17</v>
      </c>
      <c r="AH23" s="220">
        <v>1</v>
      </c>
      <c r="AI23" s="220">
        <v>9</v>
      </c>
      <c r="AJ23" s="220">
        <v>22</v>
      </c>
      <c r="AK23" s="220">
        <v>0</v>
      </c>
      <c r="AL23" s="220">
        <v>8</v>
      </c>
      <c r="AM23" s="220">
        <v>0</v>
      </c>
      <c r="AN23" s="220">
        <v>113</v>
      </c>
      <c r="AO23" s="220">
        <v>4</v>
      </c>
      <c r="AP23" s="220">
        <v>178</v>
      </c>
      <c r="AQ23" s="220">
        <v>0</v>
      </c>
      <c r="AR23" s="220">
        <v>0</v>
      </c>
      <c r="AS23" s="220">
        <v>0</v>
      </c>
      <c r="AT23" s="220">
        <v>0</v>
      </c>
      <c r="AU23" s="220">
        <v>0</v>
      </c>
      <c r="AV23" s="220">
        <v>0</v>
      </c>
      <c r="AW23" s="220">
        <v>0</v>
      </c>
      <c r="AX23" s="220">
        <v>0</v>
      </c>
      <c r="AY23" s="220">
        <v>0</v>
      </c>
      <c r="AZ23" s="220">
        <v>0</v>
      </c>
      <c r="BA23" s="220">
        <v>0</v>
      </c>
      <c r="BB23" s="220">
        <v>0</v>
      </c>
      <c r="BC23" s="220">
        <v>0</v>
      </c>
      <c r="BD23" s="220">
        <v>0</v>
      </c>
      <c r="BE23" s="220">
        <v>1</v>
      </c>
      <c r="BF23" s="220">
        <v>4</v>
      </c>
      <c r="BG23" s="220">
        <v>1</v>
      </c>
      <c r="BH23" s="220">
        <v>7</v>
      </c>
      <c r="BI23" s="220">
        <v>11</v>
      </c>
      <c r="BJ23" s="220">
        <v>16</v>
      </c>
      <c r="BK23" s="220">
        <v>24</v>
      </c>
      <c r="BL23" s="220">
        <v>0</v>
      </c>
      <c r="BM23" s="220">
        <v>14</v>
      </c>
      <c r="BN23" s="220">
        <v>23</v>
      </c>
      <c r="BO23" s="220">
        <v>0</v>
      </c>
      <c r="BP23" s="220">
        <v>0</v>
      </c>
      <c r="BQ23" s="220">
        <v>0</v>
      </c>
      <c r="BR23" s="220">
        <v>0</v>
      </c>
      <c r="BS23" s="220">
        <v>0</v>
      </c>
      <c r="BT23" s="220">
        <v>6</v>
      </c>
      <c r="BU23" s="220">
        <v>0</v>
      </c>
      <c r="BV23" s="220">
        <v>0</v>
      </c>
      <c r="BW23" s="220">
        <v>53</v>
      </c>
      <c r="BX23" s="220">
        <v>36</v>
      </c>
      <c r="BY23" s="220">
        <v>10</v>
      </c>
      <c r="BZ23" s="220">
        <v>14</v>
      </c>
      <c r="CA23" s="220">
        <v>44</v>
      </c>
      <c r="CB23" s="220">
        <v>1</v>
      </c>
      <c r="CC23" s="220">
        <v>9</v>
      </c>
      <c r="CD23" s="220">
        <v>0</v>
      </c>
      <c r="CE23" s="220">
        <v>18</v>
      </c>
      <c r="CF23" s="220">
        <v>4</v>
      </c>
      <c r="CG23" s="220">
        <v>39</v>
      </c>
      <c r="CH23" s="220">
        <v>0</v>
      </c>
      <c r="CI23" s="220">
        <v>12</v>
      </c>
      <c r="CJ23" s="220">
        <v>2</v>
      </c>
      <c r="CK23" s="220">
        <v>2</v>
      </c>
      <c r="CL23" s="220">
        <v>1</v>
      </c>
      <c r="CM23" s="220">
        <v>4</v>
      </c>
      <c r="CN23" s="220">
        <v>7</v>
      </c>
      <c r="CO23" s="220">
        <v>105</v>
      </c>
      <c r="CP23" s="220">
        <v>272</v>
      </c>
      <c r="CQ23" s="220">
        <v>7</v>
      </c>
      <c r="CR23" s="220">
        <v>9</v>
      </c>
      <c r="CS23" s="220">
        <v>0</v>
      </c>
      <c r="CT23" s="220">
        <v>4</v>
      </c>
      <c r="CU23" s="220">
        <v>9</v>
      </c>
      <c r="CV23" s="220">
        <v>21</v>
      </c>
      <c r="CW23" s="220">
        <v>39</v>
      </c>
      <c r="CX23" s="220">
        <v>1</v>
      </c>
      <c r="CY23" s="220">
        <v>17</v>
      </c>
      <c r="CZ23" s="220">
        <v>0</v>
      </c>
      <c r="DA23" s="220">
        <v>4</v>
      </c>
      <c r="DB23" s="220">
        <v>74</v>
      </c>
      <c r="DC23" s="220">
        <v>14</v>
      </c>
      <c r="DD23" s="220">
        <v>0</v>
      </c>
      <c r="DE23" s="220">
        <v>0</v>
      </c>
      <c r="DF23" s="220">
        <v>0</v>
      </c>
      <c r="DG23" s="220">
        <v>0</v>
      </c>
      <c r="DH23" s="220">
        <v>0</v>
      </c>
      <c r="DI23" s="220">
        <v>49</v>
      </c>
      <c r="DJ23" s="220">
        <v>0</v>
      </c>
      <c r="DK23" s="220">
        <v>0</v>
      </c>
      <c r="DL23" s="220">
        <v>38</v>
      </c>
      <c r="DM23" s="220">
        <v>0</v>
      </c>
      <c r="DN23" s="220">
        <v>1</v>
      </c>
      <c r="DO23" s="220">
        <v>0</v>
      </c>
      <c r="DP23" s="221">
        <v>1719</v>
      </c>
      <c r="DQ23" s="71">
        <f>TRP!AF145</f>
        <v>1719</v>
      </c>
      <c r="DR23" s="71">
        <f t="shared" si="3"/>
        <v>0</v>
      </c>
    </row>
    <row r="24" spans="2:122" x14ac:dyDescent="0.25">
      <c r="B24" s="218" t="s">
        <v>100</v>
      </c>
      <c r="C24" s="222" t="s">
        <v>203</v>
      </c>
      <c r="D24" s="220">
        <v>0</v>
      </c>
      <c r="E24" s="220">
        <v>0</v>
      </c>
      <c r="F24" s="220">
        <v>0</v>
      </c>
      <c r="G24" s="220">
        <v>0</v>
      </c>
      <c r="H24" s="220">
        <v>0</v>
      </c>
      <c r="I24" s="220">
        <v>0</v>
      </c>
      <c r="J24" s="220">
        <v>0</v>
      </c>
      <c r="K24" s="220">
        <v>0</v>
      </c>
      <c r="L24" s="220">
        <v>0</v>
      </c>
      <c r="M24" s="220">
        <v>0</v>
      </c>
      <c r="N24" s="220">
        <v>0</v>
      </c>
      <c r="O24" s="220">
        <v>1</v>
      </c>
      <c r="P24" s="220">
        <v>0</v>
      </c>
      <c r="Q24" s="220">
        <v>0</v>
      </c>
      <c r="R24" s="220">
        <v>23</v>
      </c>
      <c r="S24" s="220">
        <v>0</v>
      </c>
      <c r="T24" s="220">
        <v>19</v>
      </c>
      <c r="U24" s="220">
        <v>15</v>
      </c>
      <c r="V24" s="220">
        <v>22</v>
      </c>
      <c r="W24" s="220">
        <v>114</v>
      </c>
      <c r="X24" s="220">
        <v>53</v>
      </c>
      <c r="Y24" s="220">
        <v>21</v>
      </c>
      <c r="Z24" s="220">
        <v>2</v>
      </c>
      <c r="AA24" s="220">
        <v>1</v>
      </c>
      <c r="AB24" s="220">
        <v>1</v>
      </c>
      <c r="AC24" s="220">
        <v>1</v>
      </c>
      <c r="AD24" s="220">
        <v>1</v>
      </c>
      <c r="AE24" s="220">
        <v>2</v>
      </c>
      <c r="AF24" s="220">
        <v>41</v>
      </c>
      <c r="AG24" s="220">
        <v>30</v>
      </c>
      <c r="AH24" s="220">
        <v>2</v>
      </c>
      <c r="AI24" s="220">
        <v>0</v>
      </c>
      <c r="AJ24" s="220">
        <v>6</v>
      </c>
      <c r="AK24" s="220">
        <v>1</v>
      </c>
      <c r="AL24" s="220">
        <v>1</v>
      </c>
      <c r="AM24" s="220">
        <v>4</v>
      </c>
      <c r="AN24" s="220">
        <v>25</v>
      </c>
      <c r="AO24" s="220">
        <v>93</v>
      </c>
      <c r="AP24" s="220">
        <v>41</v>
      </c>
      <c r="AQ24" s="220">
        <v>0</v>
      </c>
      <c r="AR24" s="220">
        <v>0</v>
      </c>
      <c r="AS24" s="220">
        <v>1</v>
      </c>
      <c r="AT24" s="220">
        <v>0</v>
      </c>
      <c r="AU24" s="220">
        <v>0</v>
      </c>
      <c r="AV24" s="220">
        <v>2</v>
      </c>
      <c r="AW24" s="220">
        <v>0</v>
      </c>
      <c r="AX24" s="220">
        <v>0</v>
      </c>
      <c r="AY24" s="220">
        <v>0</v>
      </c>
      <c r="AZ24" s="220">
        <v>0</v>
      </c>
      <c r="BA24" s="220">
        <v>0</v>
      </c>
      <c r="BB24" s="220">
        <v>0</v>
      </c>
      <c r="BC24" s="220">
        <v>0</v>
      </c>
      <c r="BD24" s="220">
        <v>0</v>
      </c>
      <c r="BE24" s="220">
        <v>0</v>
      </c>
      <c r="BF24" s="220">
        <v>0</v>
      </c>
      <c r="BG24" s="220">
        <v>1</v>
      </c>
      <c r="BH24" s="220">
        <v>0</v>
      </c>
      <c r="BI24" s="220">
        <v>0</v>
      </c>
      <c r="BJ24" s="220">
        <v>1</v>
      </c>
      <c r="BK24" s="220">
        <v>1</v>
      </c>
      <c r="BL24" s="220">
        <v>0</v>
      </c>
      <c r="BM24" s="220">
        <v>26</v>
      </c>
      <c r="BN24" s="220">
        <v>26</v>
      </c>
      <c r="BO24" s="220">
        <v>0</v>
      </c>
      <c r="BP24" s="220">
        <v>0</v>
      </c>
      <c r="BQ24" s="220">
        <v>0</v>
      </c>
      <c r="BR24" s="220">
        <v>0</v>
      </c>
      <c r="BS24" s="220">
        <v>9</v>
      </c>
      <c r="BT24" s="220">
        <v>6</v>
      </c>
      <c r="BU24" s="220">
        <v>2</v>
      </c>
      <c r="BV24" s="220">
        <v>4</v>
      </c>
      <c r="BW24" s="220">
        <v>23</v>
      </c>
      <c r="BX24" s="220">
        <v>24</v>
      </c>
      <c r="BY24" s="220">
        <v>13</v>
      </c>
      <c r="BZ24" s="220">
        <v>68</v>
      </c>
      <c r="CA24" s="220">
        <v>44</v>
      </c>
      <c r="CB24" s="220">
        <v>0</v>
      </c>
      <c r="CC24" s="220">
        <v>0</v>
      </c>
      <c r="CD24" s="220">
        <v>0</v>
      </c>
      <c r="CE24" s="220">
        <v>0</v>
      </c>
      <c r="CF24" s="220">
        <v>0</v>
      </c>
      <c r="CG24" s="220">
        <v>0</v>
      </c>
      <c r="CH24" s="220">
        <v>0</v>
      </c>
      <c r="CI24" s="220">
        <v>0</v>
      </c>
      <c r="CJ24" s="220">
        <v>1</v>
      </c>
      <c r="CK24" s="220">
        <v>2</v>
      </c>
      <c r="CL24" s="220">
        <v>0</v>
      </c>
      <c r="CM24" s="220">
        <v>6</v>
      </c>
      <c r="CN24" s="220">
        <v>6</v>
      </c>
      <c r="CO24" s="220">
        <v>0</v>
      </c>
      <c r="CP24" s="220">
        <v>3</v>
      </c>
      <c r="CQ24" s="220">
        <v>2</v>
      </c>
      <c r="CR24" s="220">
        <v>2</v>
      </c>
      <c r="CS24" s="220">
        <v>1</v>
      </c>
      <c r="CT24" s="220">
        <v>2</v>
      </c>
      <c r="CU24" s="220">
        <v>0</v>
      </c>
      <c r="CV24" s="220">
        <v>2</v>
      </c>
      <c r="CW24" s="220">
        <v>15</v>
      </c>
      <c r="CX24" s="220">
        <v>0</v>
      </c>
      <c r="CY24" s="220">
        <v>29</v>
      </c>
      <c r="CZ24" s="220">
        <v>0</v>
      </c>
      <c r="DA24" s="220">
        <v>49</v>
      </c>
      <c r="DB24" s="220">
        <v>0</v>
      </c>
      <c r="DC24" s="220">
        <v>0</v>
      </c>
      <c r="DD24" s="220">
        <v>0</v>
      </c>
      <c r="DE24" s="220">
        <v>0</v>
      </c>
      <c r="DF24" s="220">
        <v>0</v>
      </c>
      <c r="DG24" s="220">
        <v>0</v>
      </c>
      <c r="DH24" s="220">
        <v>0</v>
      </c>
      <c r="DI24" s="220">
        <v>0</v>
      </c>
      <c r="DJ24" s="220">
        <v>0</v>
      </c>
      <c r="DK24" s="220">
        <v>0</v>
      </c>
      <c r="DL24" s="220">
        <v>1</v>
      </c>
      <c r="DM24" s="220">
        <v>0</v>
      </c>
      <c r="DN24" s="220">
        <v>0</v>
      </c>
      <c r="DO24" s="220">
        <v>0</v>
      </c>
      <c r="DP24" s="221">
        <v>892</v>
      </c>
      <c r="DQ24" s="71">
        <f>TRP!AF146</f>
        <v>892</v>
      </c>
      <c r="DR24" s="71">
        <f t="shared" si="3"/>
        <v>0</v>
      </c>
    </row>
    <row r="25" spans="2:122" x14ac:dyDescent="0.25">
      <c r="B25" s="218" t="s">
        <v>101</v>
      </c>
      <c r="C25" s="222" t="s">
        <v>204</v>
      </c>
      <c r="D25" s="220">
        <v>0</v>
      </c>
      <c r="E25" s="220">
        <v>14</v>
      </c>
      <c r="F25" s="220">
        <v>0</v>
      </c>
      <c r="G25" s="220">
        <v>15</v>
      </c>
      <c r="H25" s="220">
        <v>5</v>
      </c>
      <c r="I25" s="220">
        <v>160</v>
      </c>
      <c r="J25" s="220">
        <v>8</v>
      </c>
      <c r="K25" s="220">
        <v>21</v>
      </c>
      <c r="L25" s="220">
        <v>0</v>
      </c>
      <c r="M25" s="220">
        <v>1</v>
      </c>
      <c r="N25" s="220">
        <v>3</v>
      </c>
      <c r="O25" s="220">
        <v>6</v>
      </c>
      <c r="P25" s="220">
        <v>1</v>
      </c>
      <c r="Q25" s="220">
        <v>8</v>
      </c>
      <c r="R25" s="220">
        <v>6</v>
      </c>
      <c r="S25" s="220">
        <v>1</v>
      </c>
      <c r="T25" s="220">
        <v>2</v>
      </c>
      <c r="U25" s="220">
        <v>4</v>
      </c>
      <c r="V25" s="220">
        <v>6</v>
      </c>
      <c r="W25" s="220">
        <v>3</v>
      </c>
      <c r="X25" s="220">
        <v>15378</v>
      </c>
      <c r="Y25" s="220">
        <v>341</v>
      </c>
      <c r="Z25" s="220">
        <v>5</v>
      </c>
      <c r="AA25" s="220">
        <v>10</v>
      </c>
      <c r="AB25" s="220">
        <v>20</v>
      </c>
      <c r="AC25" s="220">
        <v>10</v>
      </c>
      <c r="AD25" s="220">
        <v>17</v>
      </c>
      <c r="AE25" s="220">
        <v>6</v>
      </c>
      <c r="AF25" s="220">
        <v>11</v>
      </c>
      <c r="AG25" s="220">
        <v>78</v>
      </c>
      <c r="AH25" s="220">
        <v>2</v>
      </c>
      <c r="AI25" s="220">
        <v>5</v>
      </c>
      <c r="AJ25" s="220">
        <v>10</v>
      </c>
      <c r="AK25" s="220">
        <v>6</v>
      </c>
      <c r="AL25" s="220">
        <v>1</v>
      </c>
      <c r="AM25" s="220">
        <v>7</v>
      </c>
      <c r="AN25" s="220">
        <v>3</v>
      </c>
      <c r="AO25" s="220">
        <v>5</v>
      </c>
      <c r="AP25" s="220">
        <v>6</v>
      </c>
      <c r="AQ25" s="220">
        <v>0</v>
      </c>
      <c r="AR25" s="220">
        <v>9</v>
      </c>
      <c r="AS25" s="220">
        <v>2</v>
      </c>
      <c r="AT25" s="220">
        <v>40</v>
      </c>
      <c r="AU25" s="220">
        <v>4</v>
      </c>
      <c r="AV25" s="220">
        <v>5</v>
      </c>
      <c r="AW25" s="220">
        <v>3</v>
      </c>
      <c r="AX25" s="220">
        <v>3</v>
      </c>
      <c r="AY25" s="220">
        <v>8</v>
      </c>
      <c r="AZ25" s="220">
        <v>7</v>
      </c>
      <c r="BA25" s="220">
        <v>3</v>
      </c>
      <c r="BB25" s="220">
        <v>13</v>
      </c>
      <c r="BC25" s="220">
        <v>2</v>
      </c>
      <c r="BD25" s="220">
        <v>1</v>
      </c>
      <c r="BE25" s="220">
        <v>2</v>
      </c>
      <c r="BF25" s="220">
        <v>5</v>
      </c>
      <c r="BG25" s="220">
        <v>2</v>
      </c>
      <c r="BH25" s="220">
        <v>7</v>
      </c>
      <c r="BI25" s="220">
        <v>4</v>
      </c>
      <c r="BJ25" s="220">
        <v>3</v>
      </c>
      <c r="BK25" s="220">
        <v>6</v>
      </c>
      <c r="BL25" s="220">
        <v>7</v>
      </c>
      <c r="BM25" s="220">
        <v>4</v>
      </c>
      <c r="BN25" s="220">
        <v>2</v>
      </c>
      <c r="BO25" s="220">
        <v>0</v>
      </c>
      <c r="BP25" s="220">
        <v>0</v>
      </c>
      <c r="BQ25" s="220">
        <v>0</v>
      </c>
      <c r="BR25" s="220">
        <v>3</v>
      </c>
      <c r="BS25" s="220">
        <v>8</v>
      </c>
      <c r="BT25" s="220">
        <v>8</v>
      </c>
      <c r="BU25" s="220">
        <v>2</v>
      </c>
      <c r="BV25" s="220">
        <v>3</v>
      </c>
      <c r="BW25" s="220">
        <v>43</v>
      </c>
      <c r="BX25" s="220">
        <v>20</v>
      </c>
      <c r="BY25" s="220">
        <v>2851</v>
      </c>
      <c r="BZ25" s="220">
        <v>757</v>
      </c>
      <c r="CA25" s="220">
        <v>104</v>
      </c>
      <c r="CB25" s="220">
        <v>2</v>
      </c>
      <c r="CC25" s="220">
        <v>31</v>
      </c>
      <c r="CD25" s="220">
        <v>333</v>
      </c>
      <c r="CE25" s="220">
        <v>40</v>
      </c>
      <c r="CF25" s="220">
        <v>53</v>
      </c>
      <c r="CG25" s="220">
        <v>444</v>
      </c>
      <c r="CH25" s="220">
        <v>38</v>
      </c>
      <c r="CI25" s="220">
        <v>38</v>
      </c>
      <c r="CJ25" s="220">
        <v>0</v>
      </c>
      <c r="CK25" s="220">
        <v>0</v>
      </c>
      <c r="CL25" s="220">
        <v>0</v>
      </c>
      <c r="CM25" s="220">
        <v>2</v>
      </c>
      <c r="CN25" s="220">
        <v>7</v>
      </c>
      <c r="CO25" s="220">
        <v>75</v>
      </c>
      <c r="CP25" s="220">
        <v>37</v>
      </c>
      <c r="CQ25" s="220">
        <v>35</v>
      </c>
      <c r="CR25" s="220">
        <v>44</v>
      </c>
      <c r="CS25" s="220">
        <v>9</v>
      </c>
      <c r="CT25" s="220">
        <v>36</v>
      </c>
      <c r="CU25" s="220">
        <v>33</v>
      </c>
      <c r="CV25" s="220">
        <v>11</v>
      </c>
      <c r="CW25" s="220">
        <v>111</v>
      </c>
      <c r="CX25" s="220">
        <v>1</v>
      </c>
      <c r="CY25" s="220">
        <v>56</v>
      </c>
      <c r="CZ25" s="220">
        <v>0</v>
      </c>
      <c r="DA25" s="220">
        <v>15</v>
      </c>
      <c r="DB25" s="220">
        <v>24</v>
      </c>
      <c r="DC25" s="220">
        <v>32</v>
      </c>
      <c r="DD25" s="220">
        <v>4</v>
      </c>
      <c r="DE25" s="220">
        <v>6</v>
      </c>
      <c r="DF25" s="220">
        <v>0</v>
      </c>
      <c r="DG25" s="220">
        <v>9</v>
      </c>
      <c r="DH25" s="220">
        <v>2</v>
      </c>
      <c r="DI25" s="220">
        <v>18</v>
      </c>
      <c r="DJ25" s="220">
        <v>0</v>
      </c>
      <c r="DK25" s="220">
        <v>2</v>
      </c>
      <c r="DL25" s="220">
        <v>13</v>
      </c>
      <c r="DM25" s="220">
        <v>3</v>
      </c>
      <c r="DN25" s="220">
        <v>101</v>
      </c>
      <c r="DO25" s="220">
        <v>0</v>
      </c>
      <c r="DP25" s="221">
        <v>21791</v>
      </c>
      <c r="DQ25" s="71">
        <f>TRP!AF147</f>
        <v>21791</v>
      </c>
      <c r="DR25" s="71">
        <f t="shared" si="3"/>
        <v>0</v>
      </c>
    </row>
    <row r="26" spans="2:122" x14ac:dyDescent="0.25">
      <c r="B26" s="218" t="s">
        <v>102</v>
      </c>
      <c r="C26" s="222" t="s">
        <v>205</v>
      </c>
      <c r="D26" s="220">
        <v>158</v>
      </c>
      <c r="E26" s="220">
        <v>6</v>
      </c>
      <c r="F26" s="220">
        <v>0</v>
      </c>
      <c r="G26" s="220">
        <v>2</v>
      </c>
      <c r="H26" s="220">
        <v>2</v>
      </c>
      <c r="I26" s="220">
        <v>1</v>
      </c>
      <c r="J26" s="220">
        <v>8</v>
      </c>
      <c r="K26" s="220">
        <v>1</v>
      </c>
      <c r="L26" s="220">
        <v>0</v>
      </c>
      <c r="M26" s="220">
        <v>1</v>
      </c>
      <c r="N26" s="220">
        <v>1</v>
      </c>
      <c r="O26" s="220">
        <v>4</v>
      </c>
      <c r="P26" s="220">
        <v>2</v>
      </c>
      <c r="Q26" s="220">
        <v>2</v>
      </c>
      <c r="R26" s="220">
        <v>8</v>
      </c>
      <c r="S26" s="220">
        <v>2</v>
      </c>
      <c r="T26" s="220">
        <v>1</v>
      </c>
      <c r="U26" s="220">
        <v>1</v>
      </c>
      <c r="V26" s="220">
        <v>1</v>
      </c>
      <c r="W26" s="220">
        <v>0</v>
      </c>
      <c r="X26" s="220">
        <v>6474</v>
      </c>
      <c r="Y26" s="220">
        <v>3389</v>
      </c>
      <c r="Z26" s="220">
        <v>1</v>
      </c>
      <c r="AA26" s="220">
        <v>0</v>
      </c>
      <c r="AB26" s="220">
        <v>0</v>
      </c>
      <c r="AC26" s="220">
        <v>3</v>
      </c>
      <c r="AD26" s="220">
        <v>1</v>
      </c>
      <c r="AE26" s="220">
        <v>13</v>
      </c>
      <c r="AF26" s="220">
        <v>32</v>
      </c>
      <c r="AG26" s="220">
        <v>32</v>
      </c>
      <c r="AH26" s="220">
        <v>28</v>
      </c>
      <c r="AI26" s="220">
        <v>9</v>
      </c>
      <c r="AJ26" s="220">
        <v>37</v>
      </c>
      <c r="AK26" s="220">
        <v>18</v>
      </c>
      <c r="AL26" s="220">
        <v>1</v>
      </c>
      <c r="AM26" s="220">
        <v>12</v>
      </c>
      <c r="AN26" s="220">
        <v>11</v>
      </c>
      <c r="AO26" s="220">
        <v>11</v>
      </c>
      <c r="AP26" s="220">
        <v>8</v>
      </c>
      <c r="AQ26" s="220">
        <v>0</v>
      </c>
      <c r="AR26" s="220">
        <v>10</v>
      </c>
      <c r="AS26" s="220">
        <v>10</v>
      </c>
      <c r="AT26" s="220">
        <v>27</v>
      </c>
      <c r="AU26" s="220">
        <v>4</v>
      </c>
      <c r="AV26" s="220">
        <v>0</v>
      </c>
      <c r="AW26" s="220">
        <v>2</v>
      </c>
      <c r="AX26" s="220">
        <v>12</v>
      </c>
      <c r="AY26" s="220">
        <v>2</v>
      </c>
      <c r="AZ26" s="220">
        <v>1</v>
      </c>
      <c r="BA26" s="220">
        <v>3</v>
      </c>
      <c r="BB26" s="220">
        <v>4</v>
      </c>
      <c r="BC26" s="220">
        <v>10</v>
      </c>
      <c r="BD26" s="220">
        <v>0</v>
      </c>
      <c r="BE26" s="220">
        <v>2</v>
      </c>
      <c r="BF26" s="220">
        <v>3</v>
      </c>
      <c r="BG26" s="220">
        <v>17</v>
      </c>
      <c r="BH26" s="220">
        <v>9</v>
      </c>
      <c r="BI26" s="220">
        <v>11</v>
      </c>
      <c r="BJ26" s="220">
        <v>22</v>
      </c>
      <c r="BK26" s="220">
        <v>16</v>
      </c>
      <c r="BL26" s="220">
        <v>46</v>
      </c>
      <c r="BM26" s="220">
        <v>27</v>
      </c>
      <c r="BN26" s="220">
        <v>15</v>
      </c>
      <c r="BO26" s="220">
        <v>0</v>
      </c>
      <c r="BP26" s="220">
        <v>0</v>
      </c>
      <c r="BQ26" s="220">
        <v>0</v>
      </c>
      <c r="BR26" s="220">
        <v>7</v>
      </c>
      <c r="BS26" s="220">
        <v>52</v>
      </c>
      <c r="BT26" s="220">
        <v>57</v>
      </c>
      <c r="BU26" s="220">
        <v>1</v>
      </c>
      <c r="BV26" s="220">
        <v>10</v>
      </c>
      <c r="BW26" s="220">
        <v>10</v>
      </c>
      <c r="BX26" s="220">
        <v>9</v>
      </c>
      <c r="BY26" s="220">
        <v>1695</v>
      </c>
      <c r="BZ26" s="220">
        <v>388</v>
      </c>
      <c r="CA26" s="220">
        <v>69</v>
      </c>
      <c r="CB26" s="220">
        <v>1</v>
      </c>
      <c r="CC26" s="220">
        <v>18</v>
      </c>
      <c r="CD26" s="220">
        <v>110</v>
      </c>
      <c r="CE26" s="220">
        <v>1</v>
      </c>
      <c r="CF26" s="220">
        <v>16</v>
      </c>
      <c r="CG26" s="220">
        <v>49</v>
      </c>
      <c r="CH26" s="220">
        <v>1</v>
      </c>
      <c r="CI26" s="220">
        <v>16</v>
      </c>
      <c r="CJ26" s="220">
        <v>7</v>
      </c>
      <c r="CK26" s="220">
        <v>0</v>
      </c>
      <c r="CL26" s="220">
        <v>0</v>
      </c>
      <c r="CM26" s="220">
        <v>16</v>
      </c>
      <c r="CN26" s="220">
        <v>16</v>
      </c>
      <c r="CO26" s="220">
        <v>54</v>
      </c>
      <c r="CP26" s="220">
        <v>15</v>
      </c>
      <c r="CQ26" s="220">
        <v>3</v>
      </c>
      <c r="CR26" s="220">
        <v>19</v>
      </c>
      <c r="CS26" s="220">
        <v>2</v>
      </c>
      <c r="CT26" s="220">
        <v>3</v>
      </c>
      <c r="CU26" s="220">
        <v>7</v>
      </c>
      <c r="CV26" s="220">
        <v>6</v>
      </c>
      <c r="CW26" s="220">
        <v>175</v>
      </c>
      <c r="CX26" s="220">
        <v>2</v>
      </c>
      <c r="CY26" s="220">
        <v>18</v>
      </c>
      <c r="CZ26" s="220">
        <v>0</v>
      </c>
      <c r="DA26" s="220">
        <v>13</v>
      </c>
      <c r="DB26" s="220">
        <v>14</v>
      </c>
      <c r="DC26" s="220">
        <v>32</v>
      </c>
      <c r="DD26" s="220">
        <v>129</v>
      </c>
      <c r="DE26" s="220">
        <v>5</v>
      </c>
      <c r="DF26" s="220">
        <v>0</v>
      </c>
      <c r="DG26" s="220">
        <v>9</v>
      </c>
      <c r="DH26" s="220">
        <v>0</v>
      </c>
      <c r="DI26" s="220">
        <v>8</v>
      </c>
      <c r="DJ26" s="220">
        <v>0</v>
      </c>
      <c r="DK26" s="220">
        <v>0</v>
      </c>
      <c r="DL26" s="220">
        <v>8</v>
      </c>
      <c r="DM26" s="220">
        <v>69</v>
      </c>
      <c r="DN26" s="220">
        <v>0</v>
      </c>
      <c r="DO26" s="220">
        <v>120</v>
      </c>
      <c r="DP26" s="221">
        <v>13794</v>
      </c>
      <c r="DQ26" s="71">
        <f>TRP!AF148</f>
        <v>13794</v>
      </c>
      <c r="DR26" s="71">
        <f t="shared" si="3"/>
        <v>0</v>
      </c>
    </row>
    <row r="27" spans="2:122" x14ac:dyDescent="0.25">
      <c r="B27" s="218" t="s">
        <v>103</v>
      </c>
      <c r="C27" s="222" t="s">
        <v>206</v>
      </c>
      <c r="D27" s="220">
        <v>0</v>
      </c>
      <c r="E27" s="220">
        <v>0</v>
      </c>
      <c r="F27" s="220">
        <v>1</v>
      </c>
      <c r="G27" s="220">
        <v>0</v>
      </c>
      <c r="H27" s="220">
        <v>0</v>
      </c>
      <c r="I27" s="220">
        <v>0</v>
      </c>
      <c r="J27" s="220">
        <v>0</v>
      </c>
      <c r="K27" s="220">
        <v>0</v>
      </c>
      <c r="L27" s="220">
        <v>0</v>
      </c>
      <c r="M27" s="220">
        <v>0</v>
      </c>
      <c r="N27" s="220">
        <v>0</v>
      </c>
      <c r="O27" s="220">
        <v>0</v>
      </c>
      <c r="P27" s="220">
        <v>1</v>
      </c>
      <c r="Q27" s="220">
        <v>1</v>
      </c>
      <c r="R27" s="220">
        <v>0</v>
      </c>
      <c r="S27" s="220">
        <v>0</v>
      </c>
      <c r="T27" s="220">
        <v>0</v>
      </c>
      <c r="U27" s="220">
        <v>0</v>
      </c>
      <c r="V27" s="220">
        <v>0</v>
      </c>
      <c r="W27" s="220">
        <v>0</v>
      </c>
      <c r="X27" s="220">
        <v>0</v>
      </c>
      <c r="Y27" s="220">
        <v>0</v>
      </c>
      <c r="Z27" s="220">
        <v>676</v>
      </c>
      <c r="AA27" s="220">
        <v>0</v>
      </c>
      <c r="AB27" s="220">
        <v>0</v>
      </c>
      <c r="AC27" s="220">
        <v>0</v>
      </c>
      <c r="AD27" s="220">
        <v>0</v>
      </c>
      <c r="AE27" s="220">
        <v>0</v>
      </c>
      <c r="AF27" s="220">
        <v>0</v>
      </c>
      <c r="AG27" s="220">
        <v>0</v>
      </c>
      <c r="AH27" s="220">
        <v>0</v>
      </c>
      <c r="AI27" s="220">
        <v>0</v>
      </c>
      <c r="AJ27" s="220">
        <v>0</v>
      </c>
      <c r="AK27" s="220">
        <v>0</v>
      </c>
      <c r="AL27" s="220">
        <v>0</v>
      </c>
      <c r="AM27" s="220">
        <v>0</v>
      </c>
      <c r="AN27" s="220">
        <v>0</v>
      </c>
      <c r="AO27" s="220">
        <v>0</v>
      </c>
      <c r="AP27" s="220">
        <v>0</v>
      </c>
      <c r="AQ27" s="220">
        <v>0</v>
      </c>
      <c r="AR27" s="220">
        <v>0</v>
      </c>
      <c r="AS27" s="220">
        <v>0</v>
      </c>
      <c r="AT27" s="220">
        <v>0</v>
      </c>
      <c r="AU27" s="220">
        <v>0</v>
      </c>
      <c r="AV27" s="220">
        <v>0</v>
      </c>
      <c r="AW27" s="220">
        <v>0</v>
      </c>
      <c r="AX27" s="220">
        <v>0</v>
      </c>
      <c r="AY27" s="220">
        <v>0</v>
      </c>
      <c r="AZ27" s="220">
        <v>0</v>
      </c>
      <c r="BA27" s="220">
        <v>0</v>
      </c>
      <c r="BB27" s="220">
        <v>0</v>
      </c>
      <c r="BC27" s="220">
        <v>0</v>
      </c>
      <c r="BD27" s="220">
        <v>0</v>
      </c>
      <c r="BE27" s="220">
        <v>0</v>
      </c>
      <c r="BF27" s="220">
        <v>0</v>
      </c>
      <c r="BG27" s="220">
        <v>1</v>
      </c>
      <c r="BH27" s="220">
        <v>0</v>
      </c>
      <c r="BI27" s="220">
        <v>0</v>
      </c>
      <c r="BJ27" s="220">
        <v>0</v>
      </c>
      <c r="BK27" s="220">
        <v>0</v>
      </c>
      <c r="BL27" s="220">
        <v>0</v>
      </c>
      <c r="BM27" s="220">
        <v>1</v>
      </c>
      <c r="BN27" s="220">
        <v>0</v>
      </c>
      <c r="BO27" s="220">
        <v>0</v>
      </c>
      <c r="BP27" s="220">
        <v>0</v>
      </c>
      <c r="BQ27" s="220">
        <v>0</v>
      </c>
      <c r="BR27" s="220">
        <v>0</v>
      </c>
      <c r="BS27" s="220">
        <v>0</v>
      </c>
      <c r="BT27" s="220">
        <v>0</v>
      </c>
      <c r="BU27" s="220">
        <v>0</v>
      </c>
      <c r="BV27" s="220">
        <v>0</v>
      </c>
      <c r="BW27" s="220">
        <v>3</v>
      </c>
      <c r="BX27" s="220">
        <v>0</v>
      </c>
      <c r="BY27" s="220">
        <v>0</v>
      </c>
      <c r="BZ27" s="220">
        <v>0</v>
      </c>
      <c r="CA27" s="220">
        <v>0</v>
      </c>
      <c r="CB27" s="220">
        <v>0</v>
      </c>
      <c r="CC27" s="220">
        <v>0</v>
      </c>
      <c r="CD27" s="220">
        <v>0</v>
      </c>
      <c r="CE27" s="220">
        <v>553</v>
      </c>
      <c r="CF27" s="220">
        <v>0</v>
      </c>
      <c r="CG27" s="220">
        <v>0</v>
      </c>
      <c r="CH27" s="220">
        <v>0</v>
      </c>
      <c r="CI27" s="220">
        <v>0</v>
      </c>
      <c r="CJ27" s="220">
        <v>0</v>
      </c>
      <c r="CK27" s="220">
        <v>0</v>
      </c>
      <c r="CL27" s="220">
        <v>0</v>
      </c>
      <c r="CM27" s="220">
        <v>0</v>
      </c>
      <c r="CN27" s="220">
        <v>0</v>
      </c>
      <c r="CO27" s="220">
        <v>0</v>
      </c>
      <c r="CP27" s="220">
        <v>0</v>
      </c>
      <c r="CQ27" s="220">
        <v>0</v>
      </c>
      <c r="CR27" s="220">
        <v>0</v>
      </c>
      <c r="CS27" s="220">
        <v>0</v>
      </c>
      <c r="CT27" s="220">
        <v>0</v>
      </c>
      <c r="CU27" s="220">
        <v>0</v>
      </c>
      <c r="CV27" s="220">
        <v>0</v>
      </c>
      <c r="CW27" s="220">
        <v>0</v>
      </c>
      <c r="CX27" s="220">
        <v>0</v>
      </c>
      <c r="CY27" s="220">
        <v>1</v>
      </c>
      <c r="CZ27" s="220">
        <v>0</v>
      </c>
      <c r="DA27" s="220">
        <v>0</v>
      </c>
      <c r="DB27" s="220">
        <v>0</v>
      </c>
      <c r="DC27" s="220">
        <v>0</v>
      </c>
      <c r="DD27" s="220">
        <v>0</v>
      </c>
      <c r="DE27" s="220">
        <v>0</v>
      </c>
      <c r="DF27" s="220">
        <v>0</v>
      </c>
      <c r="DG27" s="220">
        <v>0</v>
      </c>
      <c r="DH27" s="220">
        <v>0</v>
      </c>
      <c r="DI27" s="220">
        <v>0</v>
      </c>
      <c r="DJ27" s="220">
        <v>0</v>
      </c>
      <c r="DK27" s="220">
        <v>0</v>
      </c>
      <c r="DL27" s="220">
        <v>0</v>
      </c>
      <c r="DM27" s="220">
        <v>0</v>
      </c>
      <c r="DN27" s="220">
        <v>1285</v>
      </c>
      <c r="DO27" s="220">
        <v>0</v>
      </c>
      <c r="DP27" s="221">
        <v>2523</v>
      </c>
      <c r="DQ27" s="71">
        <f>TRP!AF149</f>
        <v>2523</v>
      </c>
      <c r="DR27" s="71">
        <f t="shared" si="3"/>
        <v>0</v>
      </c>
    </row>
    <row r="28" spans="2:122" x14ac:dyDescent="0.25">
      <c r="B28" s="218" t="s">
        <v>104</v>
      </c>
      <c r="C28" s="222" t="s">
        <v>207</v>
      </c>
      <c r="D28" s="220">
        <v>0</v>
      </c>
      <c r="E28" s="220">
        <v>0</v>
      </c>
      <c r="F28" s="220">
        <v>0</v>
      </c>
      <c r="G28" s="220">
        <v>0</v>
      </c>
      <c r="H28" s="220">
        <v>0</v>
      </c>
      <c r="I28" s="220">
        <v>0</v>
      </c>
      <c r="J28" s="220">
        <v>0</v>
      </c>
      <c r="K28" s="220">
        <v>0</v>
      </c>
      <c r="L28" s="220">
        <v>0</v>
      </c>
      <c r="M28" s="220">
        <v>0</v>
      </c>
      <c r="N28" s="220">
        <v>0</v>
      </c>
      <c r="O28" s="220">
        <v>0</v>
      </c>
      <c r="P28" s="220">
        <v>0</v>
      </c>
      <c r="Q28" s="220">
        <v>0</v>
      </c>
      <c r="R28" s="220">
        <v>0</v>
      </c>
      <c r="S28" s="220">
        <v>0</v>
      </c>
      <c r="T28" s="220">
        <v>0</v>
      </c>
      <c r="U28" s="220">
        <v>0</v>
      </c>
      <c r="V28" s="220">
        <v>0</v>
      </c>
      <c r="W28" s="220">
        <v>0</v>
      </c>
      <c r="X28" s="220">
        <v>0</v>
      </c>
      <c r="Y28" s="220">
        <v>0</v>
      </c>
      <c r="Z28" s="220">
        <v>0</v>
      </c>
      <c r="AA28" s="220">
        <v>718</v>
      </c>
      <c r="AB28" s="220">
        <v>0</v>
      </c>
      <c r="AC28" s="220">
        <v>0</v>
      </c>
      <c r="AD28" s="220">
        <v>0</v>
      </c>
      <c r="AE28" s="220">
        <v>0</v>
      </c>
      <c r="AF28" s="220">
        <v>0</v>
      </c>
      <c r="AG28" s="220">
        <v>0</v>
      </c>
      <c r="AH28" s="220">
        <v>0</v>
      </c>
      <c r="AI28" s="220">
        <v>0</v>
      </c>
      <c r="AJ28" s="220">
        <v>0</v>
      </c>
      <c r="AK28" s="220">
        <v>0</v>
      </c>
      <c r="AL28" s="220">
        <v>0</v>
      </c>
      <c r="AM28" s="220">
        <v>0</v>
      </c>
      <c r="AN28" s="220">
        <v>0</v>
      </c>
      <c r="AO28" s="220">
        <v>0</v>
      </c>
      <c r="AP28" s="220">
        <v>0</v>
      </c>
      <c r="AQ28" s="220">
        <v>0</v>
      </c>
      <c r="AR28" s="220">
        <v>0</v>
      </c>
      <c r="AS28" s="220">
        <v>0</v>
      </c>
      <c r="AT28" s="220">
        <v>0</v>
      </c>
      <c r="AU28" s="220">
        <v>0</v>
      </c>
      <c r="AV28" s="220">
        <v>0</v>
      </c>
      <c r="AW28" s="220">
        <v>0</v>
      </c>
      <c r="AX28" s="220">
        <v>0</v>
      </c>
      <c r="AY28" s="220">
        <v>0</v>
      </c>
      <c r="AZ28" s="220">
        <v>0</v>
      </c>
      <c r="BA28" s="220">
        <v>0</v>
      </c>
      <c r="BB28" s="220">
        <v>0</v>
      </c>
      <c r="BC28" s="220">
        <v>0</v>
      </c>
      <c r="BD28" s="220">
        <v>0</v>
      </c>
      <c r="BE28" s="220">
        <v>0</v>
      </c>
      <c r="BF28" s="220">
        <v>0</v>
      </c>
      <c r="BG28" s="220">
        <v>10</v>
      </c>
      <c r="BH28" s="220">
        <v>0</v>
      </c>
      <c r="BI28" s="220">
        <v>0</v>
      </c>
      <c r="BJ28" s="220">
        <v>0</v>
      </c>
      <c r="BK28" s="220">
        <v>0</v>
      </c>
      <c r="BL28" s="220">
        <v>0</v>
      </c>
      <c r="BM28" s="220">
        <v>0</v>
      </c>
      <c r="BN28" s="220">
        <v>0</v>
      </c>
      <c r="BO28" s="220">
        <v>0</v>
      </c>
      <c r="BP28" s="220">
        <v>0</v>
      </c>
      <c r="BQ28" s="220">
        <v>0</v>
      </c>
      <c r="BR28" s="220">
        <v>0</v>
      </c>
      <c r="BS28" s="220">
        <v>0</v>
      </c>
      <c r="BT28" s="220">
        <v>0</v>
      </c>
      <c r="BU28" s="220">
        <v>0</v>
      </c>
      <c r="BV28" s="220">
        <v>0</v>
      </c>
      <c r="BW28" s="220">
        <v>0</v>
      </c>
      <c r="BX28" s="220">
        <v>0</v>
      </c>
      <c r="BY28" s="220">
        <v>0</v>
      </c>
      <c r="BZ28" s="220">
        <v>0</v>
      </c>
      <c r="CA28" s="220">
        <v>0</v>
      </c>
      <c r="CB28" s="220">
        <v>3</v>
      </c>
      <c r="CC28" s="220">
        <v>3</v>
      </c>
      <c r="CD28" s="220">
        <v>1</v>
      </c>
      <c r="CE28" s="220">
        <v>0</v>
      </c>
      <c r="CF28" s="220">
        <v>0</v>
      </c>
      <c r="CG28" s="220">
        <v>0</v>
      </c>
      <c r="CH28" s="220">
        <v>0</v>
      </c>
      <c r="CI28" s="220">
        <v>0</v>
      </c>
      <c r="CJ28" s="220">
        <v>0</v>
      </c>
      <c r="CK28" s="220">
        <v>0</v>
      </c>
      <c r="CL28" s="220">
        <v>0</v>
      </c>
      <c r="CM28" s="220">
        <v>0</v>
      </c>
      <c r="CN28" s="220">
        <v>0</v>
      </c>
      <c r="CO28" s="220">
        <v>0</v>
      </c>
      <c r="CP28" s="220">
        <v>0</v>
      </c>
      <c r="CQ28" s="220">
        <v>0</v>
      </c>
      <c r="CR28" s="220">
        <v>0</v>
      </c>
      <c r="CS28" s="220">
        <v>0</v>
      </c>
      <c r="CT28" s="220">
        <v>0</v>
      </c>
      <c r="CU28" s="220">
        <v>19</v>
      </c>
      <c r="CV28" s="220">
        <v>0</v>
      </c>
      <c r="CW28" s="220">
        <v>0</v>
      </c>
      <c r="CX28" s="220">
        <v>0</v>
      </c>
      <c r="CY28" s="220">
        <v>0</v>
      </c>
      <c r="CZ28" s="220">
        <v>0</v>
      </c>
      <c r="DA28" s="220">
        <v>0</v>
      </c>
      <c r="DB28" s="220">
        <v>0</v>
      </c>
      <c r="DC28" s="220">
        <v>0</v>
      </c>
      <c r="DD28" s="220">
        <v>0</v>
      </c>
      <c r="DE28" s="220">
        <v>0</v>
      </c>
      <c r="DF28" s="220">
        <v>0</v>
      </c>
      <c r="DG28" s="220">
        <v>0</v>
      </c>
      <c r="DH28" s="220">
        <v>0</v>
      </c>
      <c r="DI28" s="220">
        <v>0</v>
      </c>
      <c r="DJ28" s="220">
        <v>0</v>
      </c>
      <c r="DK28" s="220">
        <v>0</v>
      </c>
      <c r="DL28" s="220">
        <v>0</v>
      </c>
      <c r="DM28" s="220">
        <v>0</v>
      </c>
      <c r="DN28" s="220">
        <v>0</v>
      </c>
      <c r="DO28" s="220">
        <v>0</v>
      </c>
      <c r="DP28" s="221">
        <v>754</v>
      </c>
      <c r="DQ28" s="71">
        <f>TRP!AF150</f>
        <v>754</v>
      </c>
      <c r="DR28" s="71">
        <f t="shared" si="3"/>
        <v>0</v>
      </c>
    </row>
    <row r="29" spans="2:122" x14ac:dyDescent="0.25">
      <c r="B29" s="218" t="s">
        <v>105</v>
      </c>
      <c r="C29" s="222" t="s">
        <v>208</v>
      </c>
      <c r="D29" s="220">
        <v>0</v>
      </c>
      <c r="E29" s="220">
        <v>0</v>
      </c>
      <c r="F29" s="220">
        <v>0</v>
      </c>
      <c r="G29" s="220">
        <v>0</v>
      </c>
      <c r="H29" s="220">
        <v>0</v>
      </c>
      <c r="I29" s="220">
        <v>0</v>
      </c>
      <c r="J29" s="220">
        <v>0</v>
      </c>
      <c r="K29" s="220">
        <v>0</v>
      </c>
      <c r="L29" s="220">
        <v>0</v>
      </c>
      <c r="M29" s="220">
        <v>0</v>
      </c>
      <c r="N29" s="220">
        <v>0</v>
      </c>
      <c r="O29" s="220">
        <v>0</v>
      </c>
      <c r="P29" s="220">
        <v>0</v>
      </c>
      <c r="Q29" s="220">
        <v>0</v>
      </c>
      <c r="R29" s="220">
        <v>0</v>
      </c>
      <c r="S29" s="220">
        <v>0</v>
      </c>
      <c r="T29" s="220">
        <v>0</v>
      </c>
      <c r="U29" s="220">
        <v>0</v>
      </c>
      <c r="V29" s="220">
        <v>0</v>
      </c>
      <c r="W29" s="220">
        <v>0</v>
      </c>
      <c r="X29" s="220">
        <v>16</v>
      </c>
      <c r="Y29" s="220">
        <v>0</v>
      </c>
      <c r="Z29" s="220">
        <v>0</v>
      </c>
      <c r="AA29" s="220">
        <v>0</v>
      </c>
      <c r="AB29" s="220">
        <v>22326</v>
      </c>
      <c r="AC29" s="220">
        <v>0</v>
      </c>
      <c r="AD29" s="220">
        <v>0</v>
      </c>
      <c r="AE29" s="220">
        <v>0</v>
      </c>
      <c r="AF29" s="220">
        <v>0</v>
      </c>
      <c r="AG29" s="220">
        <v>0</v>
      </c>
      <c r="AH29" s="220">
        <v>0</v>
      </c>
      <c r="AI29" s="220">
        <v>0</v>
      </c>
      <c r="AJ29" s="220">
        <v>0</v>
      </c>
      <c r="AK29" s="220">
        <v>0</v>
      </c>
      <c r="AL29" s="220">
        <v>0</v>
      </c>
      <c r="AM29" s="220">
        <v>0</v>
      </c>
      <c r="AN29" s="220">
        <v>0</v>
      </c>
      <c r="AO29" s="220">
        <v>0</v>
      </c>
      <c r="AP29" s="220">
        <v>0</v>
      </c>
      <c r="AQ29" s="220">
        <v>0</v>
      </c>
      <c r="AR29" s="220">
        <v>0</v>
      </c>
      <c r="AS29" s="220">
        <v>0</v>
      </c>
      <c r="AT29" s="220">
        <v>0</v>
      </c>
      <c r="AU29" s="220">
        <v>0</v>
      </c>
      <c r="AV29" s="220">
        <v>0</v>
      </c>
      <c r="AW29" s="220">
        <v>0</v>
      </c>
      <c r="AX29" s="220">
        <v>0</v>
      </c>
      <c r="AY29" s="220">
        <v>0</v>
      </c>
      <c r="AZ29" s="220">
        <v>0</v>
      </c>
      <c r="BA29" s="220">
        <v>0</v>
      </c>
      <c r="BB29" s="220">
        <v>0</v>
      </c>
      <c r="BC29" s="220">
        <v>0</v>
      </c>
      <c r="BD29" s="220">
        <v>0</v>
      </c>
      <c r="BE29" s="220">
        <v>1</v>
      </c>
      <c r="BF29" s="220">
        <v>0</v>
      </c>
      <c r="BG29" s="220">
        <v>0</v>
      </c>
      <c r="BH29" s="220">
        <v>0</v>
      </c>
      <c r="BI29" s="220">
        <v>0</v>
      </c>
      <c r="BJ29" s="220">
        <v>0</v>
      </c>
      <c r="BK29" s="220">
        <v>0</v>
      </c>
      <c r="BL29" s="220">
        <v>0</v>
      </c>
      <c r="BM29" s="220">
        <v>0</v>
      </c>
      <c r="BN29" s="220">
        <v>0</v>
      </c>
      <c r="BO29" s="220">
        <v>0</v>
      </c>
      <c r="BP29" s="220">
        <v>0</v>
      </c>
      <c r="BQ29" s="220">
        <v>0</v>
      </c>
      <c r="BR29" s="220">
        <v>0</v>
      </c>
      <c r="BS29" s="220">
        <v>0</v>
      </c>
      <c r="BT29" s="220">
        <v>0</v>
      </c>
      <c r="BU29" s="220">
        <v>0</v>
      </c>
      <c r="BV29" s="220">
        <v>0</v>
      </c>
      <c r="BW29" s="220">
        <v>0</v>
      </c>
      <c r="BX29" s="220">
        <v>0</v>
      </c>
      <c r="BY29" s="220">
        <v>0</v>
      </c>
      <c r="BZ29" s="220">
        <v>0</v>
      </c>
      <c r="CA29" s="220">
        <v>0</v>
      </c>
      <c r="CB29" s="220">
        <v>0</v>
      </c>
      <c r="CC29" s="220">
        <v>0</v>
      </c>
      <c r="CD29" s="220">
        <v>0</v>
      </c>
      <c r="CE29" s="220">
        <v>0</v>
      </c>
      <c r="CF29" s="220">
        <v>1425</v>
      </c>
      <c r="CG29" s="220">
        <v>0</v>
      </c>
      <c r="CH29" s="220">
        <v>0</v>
      </c>
      <c r="CI29" s="220">
        <v>253</v>
      </c>
      <c r="CJ29" s="220">
        <v>0</v>
      </c>
      <c r="CK29" s="220">
        <v>0</v>
      </c>
      <c r="CL29" s="220">
        <v>0</v>
      </c>
      <c r="CM29" s="220">
        <v>0</v>
      </c>
      <c r="CN29" s="220">
        <v>0</v>
      </c>
      <c r="CO29" s="220">
        <v>0</v>
      </c>
      <c r="CP29" s="220">
        <v>0</v>
      </c>
      <c r="CQ29" s="220">
        <v>0</v>
      </c>
      <c r="CR29" s="220">
        <v>0</v>
      </c>
      <c r="CS29" s="220">
        <v>0</v>
      </c>
      <c r="CT29" s="220">
        <v>0</v>
      </c>
      <c r="CU29" s="220">
        <v>0</v>
      </c>
      <c r="CV29" s="220">
        <v>0</v>
      </c>
      <c r="CW29" s="220">
        <v>0</v>
      </c>
      <c r="CX29" s="220">
        <v>0</v>
      </c>
      <c r="CY29" s="220">
        <v>652</v>
      </c>
      <c r="CZ29" s="220">
        <v>345</v>
      </c>
      <c r="DA29" s="220">
        <v>0</v>
      </c>
      <c r="DB29" s="220">
        <v>0</v>
      </c>
      <c r="DC29" s="220">
        <v>0</v>
      </c>
      <c r="DD29" s="220">
        <v>0</v>
      </c>
      <c r="DE29" s="220">
        <v>0</v>
      </c>
      <c r="DF29" s="220">
        <v>0</v>
      </c>
      <c r="DG29" s="220">
        <v>0</v>
      </c>
      <c r="DH29" s="220">
        <v>0</v>
      </c>
      <c r="DI29" s="220">
        <v>0</v>
      </c>
      <c r="DJ29" s="220">
        <v>0</v>
      </c>
      <c r="DK29" s="220">
        <v>0</v>
      </c>
      <c r="DL29" s="220">
        <v>0</v>
      </c>
      <c r="DM29" s="220">
        <v>0</v>
      </c>
      <c r="DN29" s="220">
        <v>3471</v>
      </c>
      <c r="DO29" s="220">
        <v>0</v>
      </c>
      <c r="DP29" s="221">
        <v>28489</v>
      </c>
      <c r="DQ29" s="71">
        <f>TRP!AF151</f>
        <v>28489</v>
      </c>
      <c r="DR29" s="71">
        <f t="shared" si="3"/>
        <v>0</v>
      </c>
    </row>
    <row r="30" spans="2:122" x14ac:dyDescent="0.25">
      <c r="B30" s="218" t="s">
        <v>106</v>
      </c>
      <c r="C30" s="222" t="s">
        <v>209</v>
      </c>
      <c r="D30" s="220">
        <v>0</v>
      </c>
      <c r="E30" s="220">
        <v>0</v>
      </c>
      <c r="F30" s="220">
        <v>0</v>
      </c>
      <c r="G30" s="220">
        <v>2</v>
      </c>
      <c r="H30" s="220">
        <v>0</v>
      </c>
      <c r="I30" s="220">
        <v>0</v>
      </c>
      <c r="J30" s="220">
        <v>0</v>
      </c>
      <c r="K30" s="220">
        <v>1</v>
      </c>
      <c r="L30" s="220">
        <v>0</v>
      </c>
      <c r="M30" s="220">
        <v>1</v>
      </c>
      <c r="N30" s="220">
        <v>0</v>
      </c>
      <c r="O30" s="220">
        <v>1</v>
      </c>
      <c r="P30" s="220">
        <v>1</v>
      </c>
      <c r="Q30" s="220">
        <v>1</v>
      </c>
      <c r="R30" s="220">
        <v>1</v>
      </c>
      <c r="S30" s="220">
        <v>0</v>
      </c>
      <c r="T30" s="220">
        <v>1</v>
      </c>
      <c r="U30" s="220">
        <v>0</v>
      </c>
      <c r="V30" s="220">
        <v>0</v>
      </c>
      <c r="W30" s="220">
        <v>0</v>
      </c>
      <c r="X30" s="220">
        <v>30</v>
      </c>
      <c r="Y30" s="220">
        <v>11</v>
      </c>
      <c r="Z30" s="220">
        <v>1</v>
      </c>
      <c r="AA30" s="220">
        <v>0</v>
      </c>
      <c r="AB30" s="220">
        <v>1</v>
      </c>
      <c r="AC30" s="220">
        <v>49</v>
      </c>
      <c r="AD30" s="220">
        <v>1</v>
      </c>
      <c r="AE30" s="220">
        <v>2</v>
      </c>
      <c r="AF30" s="220">
        <v>1</v>
      </c>
      <c r="AG30" s="220">
        <v>1</v>
      </c>
      <c r="AH30" s="220">
        <v>1</v>
      </c>
      <c r="AI30" s="220">
        <v>0</v>
      </c>
      <c r="AJ30" s="220">
        <v>1</v>
      </c>
      <c r="AK30" s="220">
        <v>0</v>
      </c>
      <c r="AL30" s="220">
        <v>1</v>
      </c>
      <c r="AM30" s="220">
        <v>0</v>
      </c>
      <c r="AN30" s="220">
        <v>1</v>
      </c>
      <c r="AO30" s="220">
        <v>1</v>
      </c>
      <c r="AP30" s="220">
        <v>1</v>
      </c>
      <c r="AQ30" s="220">
        <v>0</v>
      </c>
      <c r="AR30" s="220">
        <v>0</v>
      </c>
      <c r="AS30" s="220">
        <v>1</v>
      </c>
      <c r="AT30" s="220">
        <v>4</v>
      </c>
      <c r="AU30" s="220">
        <v>1</v>
      </c>
      <c r="AV30" s="220">
        <v>0</v>
      </c>
      <c r="AW30" s="220">
        <v>0</v>
      </c>
      <c r="AX30" s="220">
        <v>1</v>
      </c>
      <c r="AY30" s="220">
        <v>1</v>
      </c>
      <c r="AZ30" s="220">
        <v>1</v>
      </c>
      <c r="BA30" s="220">
        <v>0</v>
      </c>
      <c r="BB30" s="220">
        <v>2</v>
      </c>
      <c r="BC30" s="220">
        <v>1</v>
      </c>
      <c r="BD30" s="220">
        <v>0</v>
      </c>
      <c r="BE30" s="220">
        <v>1</v>
      </c>
      <c r="BF30" s="220">
        <v>3</v>
      </c>
      <c r="BG30" s="220">
        <v>2</v>
      </c>
      <c r="BH30" s="220">
        <v>0</v>
      </c>
      <c r="BI30" s="220">
        <v>0</v>
      </c>
      <c r="BJ30" s="220">
        <v>1</v>
      </c>
      <c r="BK30" s="220">
        <v>1</v>
      </c>
      <c r="BL30" s="220">
        <v>3</v>
      </c>
      <c r="BM30" s="220">
        <v>1</v>
      </c>
      <c r="BN30" s="220">
        <v>1</v>
      </c>
      <c r="BO30" s="220">
        <v>0</v>
      </c>
      <c r="BP30" s="220">
        <v>0</v>
      </c>
      <c r="BQ30" s="220">
        <v>0</v>
      </c>
      <c r="BR30" s="220">
        <v>0</v>
      </c>
      <c r="BS30" s="220">
        <v>1</v>
      </c>
      <c r="BT30" s="220">
        <v>1</v>
      </c>
      <c r="BU30" s="220">
        <v>1</v>
      </c>
      <c r="BV30" s="220">
        <v>1</v>
      </c>
      <c r="BW30" s="220">
        <v>4</v>
      </c>
      <c r="BX30" s="220">
        <v>1</v>
      </c>
      <c r="BY30" s="220">
        <v>34</v>
      </c>
      <c r="BZ30" s="220">
        <v>4</v>
      </c>
      <c r="CA30" s="220">
        <v>8</v>
      </c>
      <c r="CB30" s="220">
        <v>0</v>
      </c>
      <c r="CC30" s="220">
        <v>1</v>
      </c>
      <c r="CD30" s="220">
        <v>4</v>
      </c>
      <c r="CE30" s="220">
        <v>0</v>
      </c>
      <c r="CF30" s="220">
        <v>0</v>
      </c>
      <c r="CG30" s="220">
        <v>7</v>
      </c>
      <c r="CH30" s="220">
        <v>0</v>
      </c>
      <c r="CI30" s="220">
        <v>11</v>
      </c>
      <c r="CJ30" s="220">
        <v>0</v>
      </c>
      <c r="CK30" s="220">
        <v>0</v>
      </c>
      <c r="CL30" s="220">
        <v>0</v>
      </c>
      <c r="CM30" s="220">
        <v>0</v>
      </c>
      <c r="CN30" s="220">
        <v>0</v>
      </c>
      <c r="CO30" s="220">
        <v>10</v>
      </c>
      <c r="CP30" s="220">
        <v>1</v>
      </c>
      <c r="CQ30" s="220">
        <v>1</v>
      </c>
      <c r="CR30" s="220">
        <v>0</v>
      </c>
      <c r="CS30" s="220">
        <v>0</v>
      </c>
      <c r="CT30" s="220">
        <v>1</v>
      </c>
      <c r="CU30" s="220">
        <v>1</v>
      </c>
      <c r="CV30" s="220">
        <v>0</v>
      </c>
      <c r="CW30" s="220">
        <v>4</v>
      </c>
      <c r="CX30" s="220">
        <v>0</v>
      </c>
      <c r="CY30" s="220">
        <v>3</v>
      </c>
      <c r="CZ30" s="220">
        <v>0</v>
      </c>
      <c r="DA30" s="220">
        <v>2</v>
      </c>
      <c r="DB30" s="220">
        <v>2</v>
      </c>
      <c r="DC30" s="220">
        <v>1</v>
      </c>
      <c r="DD30" s="220">
        <v>0</v>
      </c>
      <c r="DE30" s="220">
        <v>1</v>
      </c>
      <c r="DF30" s="220">
        <v>0</v>
      </c>
      <c r="DG30" s="220">
        <v>1</v>
      </c>
      <c r="DH30" s="220">
        <v>0</v>
      </c>
      <c r="DI30" s="220">
        <v>1</v>
      </c>
      <c r="DJ30" s="220">
        <v>0</v>
      </c>
      <c r="DK30" s="220">
        <v>0</v>
      </c>
      <c r="DL30" s="220">
        <v>1</v>
      </c>
      <c r="DM30" s="220">
        <v>0</v>
      </c>
      <c r="DN30" s="220">
        <v>2</v>
      </c>
      <c r="DO30" s="220">
        <v>0</v>
      </c>
      <c r="DP30" s="221">
        <v>247</v>
      </c>
      <c r="DQ30" s="71">
        <f>TRP!AF152</f>
        <v>247</v>
      </c>
      <c r="DR30" s="71">
        <f t="shared" si="3"/>
        <v>0</v>
      </c>
    </row>
    <row r="31" spans="2:122" x14ac:dyDescent="0.25">
      <c r="B31" s="218" t="s">
        <v>107</v>
      </c>
      <c r="C31" s="222" t="s">
        <v>210</v>
      </c>
      <c r="D31" s="220">
        <v>0</v>
      </c>
      <c r="E31" s="220">
        <v>0</v>
      </c>
      <c r="F31" s="220">
        <v>0</v>
      </c>
      <c r="G31" s="220">
        <v>4</v>
      </c>
      <c r="H31" s="220">
        <v>2</v>
      </c>
      <c r="I31" s="220">
        <v>1</v>
      </c>
      <c r="J31" s="220">
        <v>1</v>
      </c>
      <c r="K31" s="220">
        <v>6</v>
      </c>
      <c r="L31" s="220">
        <v>0</v>
      </c>
      <c r="M31" s="220">
        <v>1</v>
      </c>
      <c r="N31" s="220">
        <v>1</v>
      </c>
      <c r="O31" s="220">
        <v>9</v>
      </c>
      <c r="P31" s="220">
        <v>14</v>
      </c>
      <c r="Q31" s="220">
        <v>23</v>
      </c>
      <c r="R31" s="220">
        <v>42</v>
      </c>
      <c r="S31" s="220">
        <v>0</v>
      </c>
      <c r="T31" s="220">
        <v>2</v>
      </c>
      <c r="U31" s="220">
        <v>1</v>
      </c>
      <c r="V31" s="220">
        <v>1</v>
      </c>
      <c r="W31" s="220">
        <v>0</v>
      </c>
      <c r="X31" s="220">
        <v>215</v>
      </c>
      <c r="Y31" s="220">
        <v>46</v>
      </c>
      <c r="Z31" s="220">
        <v>6</v>
      </c>
      <c r="AA31" s="220">
        <v>10</v>
      </c>
      <c r="AB31" s="220">
        <v>39</v>
      </c>
      <c r="AC31" s="220">
        <v>3</v>
      </c>
      <c r="AD31" s="220">
        <v>422</v>
      </c>
      <c r="AE31" s="220">
        <v>69</v>
      </c>
      <c r="AF31" s="220">
        <v>12</v>
      </c>
      <c r="AG31" s="220">
        <v>60</v>
      </c>
      <c r="AH31" s="220">
        <v>9</v>
      </c>
      <c r="AI31" s="220">
        <v>2</v>
      </c>
      <c r="AJ31" s="220">
        <v>123</v>
      </c>
      <c r="AK31" s="220">
        <v>3</v>
      </c>
      <c r="AL31" s="220">
        <v>1</v>
      </c>
      <c r="AM31" s="220">
        <v>7</v>
      </c>
      <c r="AN31" s="220">
        <v>7</v>
      </c>
      <c r="AO31" s="220">
        <v>4</v>
      </c>
      <c r="AP31" s="220">
        <v>17</v>
      </c>
      <c r="AQ31" s="220">
        <v>0</v>
      </c>
      <c r="AR31" s="220">
        <v>0</v>
      </c>
      <c r="AS31" s="220">
        <v>7</v>
      </c>
      <c r="AT31" s="220">
        <v>35</v>
      </c>
      <c r="AU31" s="220">
        <v>0</v>
      </c>
      <c r="AV31" s="220">
        <v>1</v>
      </c>
      <c r="AW31" s="220">
        <v>1</v>
      </c>
      <c r="AX31" s="220">
        <v>7</v>
      </c>
      <c r="AY31" s="220">
        <v>1</v>
      </c>
      <c r="AZ31" s="220">
        <v>2</v>
      </c>
      <c r="BA31" s="220">
        <v>14</v>
      </c>
      <c r="BB31" s="220">
        <v>35</v>
      </c>
      <c r="BC31" s="220">
        <v>14</v>
      </c>
      <c r="BD31" s="220">
        <v>0</v>
      </c>
      <c r="BE31" s="220">
        <v>7</v>
      </c>
      <c r="BF31" s="220">
        <v>20</v>
      </c>
      <c r="BG31" s="220">
        <v>27</v>
      </c>
      <c r="BH31" s="220">
        <v>4</v>
      </c>
      <c r="BI31" s="220">
        <v>9</v>
      </c>
      <c r="BJ31" s="220">
        <v>46</v>
      </c>
      <c r="BK31" s="220">
        <v>23</v>
      </c>
      <c r="BL31" s="220">
        <v>0</v>
      </c>
      <c r="BM31" s="220">
        <v>2</v>
      </c>
      <c r="BN31" s="220">
        <v>3</v>
      </c>
      <c r="BO31" s="220">
        <v>0</v>
      </c>
      <c r="BP31" s="220">
        <v>0</v>
      </c>
      <c r="BQ31" s="220">
        <v>0</v>
      </c>
      <c r="BR31" s="220">
        <v>42</v>
      </c>
      <c r="BS31" s="220">
        <v>41</v>
      </c>
      <c r="BT31" s="220">
        <v>24</v>
      </c>
      <c r="BU31" s="220">
        <v>2</v>
      </c>
      <c r="BV31" s="220">
        <v>12</v>
      </c>
      <c r="BW31" s="220">
        <v>4114</v>
      </c>
      <c r="BX31" s="220">
        <v>1599</v>
      </c>
      <c r="BY31" s="220">
        <v>7</v>
      </c>
      <c r="BZ31" s="220">
        <v>0</v>
      </c>
      <c r="CA31" s="220">
        <v>2</v>
      </c>
      <c r="CB31" s="220">
        <v>1</v>
      </c>
      <c r="CC31" s="220">
        <v>1</v>
      </c>
      <c r="CD31" s="220">
        <v>0</v>
      </c>
      <c r="CE31" s="220">
        <v>1</v>
      </c>
      <c r="CF31" s="220">
        <v>1</v>
      </c>
      <c r="CG31" s="220">
        <v>11</v>
      </c>
      <c r="CH31" s="220">
        <v>0</v>
      </c>
      <c r="CI31" s="220">
        <v>6</v>
      </c>
      <c r="CJ31" s="220">
        <v>0</v>
      </c>
      <c r="CK31" s="220">
        <v>0</v>
      </c>
      <c r="CL31" s="220">
        <v>0</v>
      </c>
      <c r="CM31" s="220">
        <v>0</v>
      </c>
      <c r="CN31" s="220">
        <v>0</v>
      </c>
      <c r="CO31" s="220">
        <v>65</v>
      </c>
      <c r="CP31" s="220">
        <v>1</v>
      </c>
      <c r="CQ31" s="220">
        <v>1</v>
      </c>
      <c r="CR31" s="220">
        <v>0</v>
      </c>
      <c r="CS31" s="220">
        <v>1</v>
      </c>
      <c r="CT31" s="220">
        <v>1</v>
      </c>
      <c r="CU31" s="220">
        <v>4</v>
      </c>
      <c r="CV31" s="220">
        <v>0</v>
      </c>
      <c r="CW31" s="220">
        <v>10</v>
      </c>
      <c r="CX31" s="220">
        <v>0</v>
      </c>
      <c r="CY31" s="220">
        <v>0</v>
      </c>
      <c r="CZ31" s="220">
        <v>0</v>
      </c>
      <c r="DA31" s="220">
        <v>0</v>
      </c>
      <c r="DB31" s="220">
        <v>3</v>
      </c>
      <c r="DC31" s="220">
        <v>0</v>
      </c>
      <c r="DD31" s="220">
        <v>0</v>
      </c>
      <c r="DE31" s="220">
        <v>0</v>
      </c>
      <c r="DF31" s="220">
        <v>0</v>
      </c>
      <c r="DG31" s="220">
        <v>6</v>
      </c>
      <c r="DH31" s="220">
        <v>0</v>
      </c>
      <c r="DI31" s="220">
        <v>0</v>
      </c>
      <c r="DJ31" s="220">
        <v>0</v>
      </c>
      <c r="DK31" s="220">
        <v>0</v>
      </c>
      <c r="DL31" s="220">
        <v>0</v>
      </c>
      <c r="DM31" s="220">
        <v>0</v>
      </c>
      <c r="DN31" s="220">
        <v>0</v>
      </c>
      <c r="DO31" s="220">
        <v>0</v>
      </c>
      <c r="DP31" s="221">
        <v>7377</v>
      </c>
      <c r="DQ31" s="71">
        <f>TRP!AF153</f>
        <v>7377</v>
      </c>
      <c r="DR31" s="71">
        <f t="shared" si="3"/>
        <v>0</v>
      </c>
    </row>
    <row r="32" spans="2:122" x14ac:dyDescent="0.25">
      <c r="B32" s="218" t="s">
        <v>108</v>
      </c>
      <c r="C32" s="222" t="s">
        <v>211</v>
      </c>
      <c r="D32" s="220">
        <v>0</v>
      </c>
      <c r="E32" s="220">
        <v>12</v>
      </c>
      <c r="F32" s="220">
        <v>0</v>
      </c>
      <c r="G32" s="220">
        <v>17</v>
      </c>
      <c r="H32" s="220">
        <v>14</v>
      </c>
      <c r="I32" s="220">
        <v>33</v>
      </c>
      <c r="J32" s="220">
        <v>5</v>
      </c>
      <c r="K32" s="220">
        <v>14</v>
      </c>
      <c r="L32" s="220">
        <v>0</v>
      </c>
      <c r="M32" s="220">
        <v>3</v>
      </c>
      <c r="N32" s="220">
        <v>2</v>
      </c>
      <c r="O32" s="220">
        <v>3</v>
      </c>
      <c r="P32" s="220">
        <v>21</v>
      </c>
      <c r="Q32" s="220">
        <v>19</v>
      </c>
      <c r="R32" s="220">
        <v>47</v>
      </c>
      <c r="S32" s="220">
        <v>1</v>
      </c>
      <c r="T32" s="220">
        <v>18</v>
      </c>
      <c r="U32" s="220">
        <v>6</v>
      </c>
      <c r="V32" s="220">
        <v>0</v>
      </c>
      <c r="W32" s="220">
        <v>1</v>
      </c>
      <c r="X32" s="220">
        <v>585</v>
      </c>
      <c r="Y32" s="220">
        <v>237</v>
      </c>
      <c r="Z32" s="220">
        <v>23</v>
      </c>
      <c r="AA32" s="220">
        <v>41</v>
      </c>
      <c r="AB32" s="220">
        <v>133</v>
      </c>
      <c r="AC32" s="220">
        <v>3</v>
      </c>
      <c r="AD32" s="220">
        <v>56</v>
      </c>
      <c r="AE32" s="220">
        <v>1090</v>
      </c>
      <c r="AF32" s="220">
        <v>366</v>
      </c>
      <c r="AG32" s="220">
        <v>786</v>
      </c>
      <c r="AH32" s="220">
        <v>96</v>
      </c>
      <c r="AI32" s="220">
        <v>40</v>
      </c>
      <c r="AJ32" s="220">
        <v>216</v>
      </c>
      <c r="AK32" s="220">
        <v>40</v>
      </c>
      <c r="AL32" s="220">
        <v>3</v>
      </c>
      <c r="AM32" s="220">
        <v>69</v>
      </c>
      <c r="AN32" s="220">
        <v>26</v>
      </c>
      <c r="AO32" s="220">
        <v>18</v>
      </c>
      <c r="AP32" s="220">
        <v>70</v>
      </c>
      <c r="AQ32" s="220">
        <v>0</v>
      </c>
      <c r="AR32" s="220">
        <v>141</v>
      </c>
      <c r="AS32" s="220">
        <v>14</v>
      </c>
      <c r="AT32" s="220">
        <v>23</v>
      </c>
      <c r="AU32" s="220">
        <v>3</v>
      </c>
      <c r="AV32" s="220">
        <v>4</v>
      </c>
      <c r="AW32" s="220">
        <v>1</v>
      </c>
      <c r="AX32" s="220">
        <v>7</v>
      </c>
      <c r="AY32" s="220">
        <v>10</v>
      </c>
      <c r="AZ32" s="220">
        <v>7</v>
      </c>
      <c r="BA32" s="220">
        <v>1</v>
      </c>
      <c r="BB32" s="220">
        <v>28</v>
      </c>
      <c r="BC32" s="220">
        <v>142</v>
      </c>
      <c r="BD32" s="220">
        <v>0</v>
      </c>
      <c r="BE32" s="220">
        <v>8</v>
      </c>
      <c r="BF32" s="220">
        <v>28</v>
      </c>
      <c r="BG32" s="220">
        <v>89</v>
      </c>
      <c r="BH32" s="220">
        <v>1</v>
      </c>
      <c r="BI32" s="220">
        <v>99</v>
      </c>
      <c r="BJ32" s="220">
        <v>170</v>
      </c>
      <c r="BK32" s="220">
        <v>122</v>
      </c>
      <c r="BL32" s="220">
        <v>34</v>
      </c>
      <c r="BM32" s="220">
        <v>32</v>
      </c>
      <c r="BN32" s="220">
        <v>6</v>
      </c>
      <c r="BO32" s="220">
        <v>0</v>
      </c>
      <c r="BP32" s="220">
        <v>0</v>
      </c>
      <c r="BQ32" s="220">
        <v>0</v>
      </c>
      <c r="BR32" s="220">
        <v>0</v>
      </c>
      <c r="BS32" s="220">
        <v>65</v>
      </c>
      <c r="BT32" s="220">
        <v>27</v>
      </c>
      <c r="BU32" s="220">
        <v>14</v>
      </c>
      <c r="BV32" s="220">
        <v>24</v>
      </c>
      <c r="BW32" s="220">
        <v>1387</v>
      </c>
      <c r="BX32" s="220">
        <v>655</v>
      </c>
      <c r="BY32" s="220">
        <v>62</v>
      </c>
      <c r="BZ32" s="220">
        <v>14</v>
      </c>
      <c r="CA32" s="220">
        <v>52</v>
      </c>
      <c r="CB32" s="220">
        <v>1</v>
      </c>
      <c r="CC32" s="220">
        <v>1</v>
      </c>
      <c r="CD32" s="220">
        <v>1</v>
      </c>
      <c r="CE32" s="220">
        <v>1</v>
      </c>
      <c r="CF32" s="220">
        <v>1</v>
      </c>
      <c r="CG32" s="220">
        <v>4</v>
      </c>
      <c r="CH32" s="220">
        <v>7</v>
      </c>
      <c r="CI32" s="220">
        <v>11</v>
      </c>
      <c r="CJ32" s="220">
        <v>0</v>
      </c>
      <c r="CK32" s="220">
        <v>0</v>
      </c>
      <c r="CL32" s="220">
        <v>0</v>
      </c>
      <c r="CM32" s="220">
        <v>0</v>
      </c>
      <c r="CN32" s="220">
        <v>0</v>
      </c>
      <c r="CO32" s="220">
        <v>251</v>
      </c>
      <c r="CP32" s="220">
        <v>10</v>
      </c>
      <c r="CQ32" s="220">
        <v>3</v>
      </c>
      <c r="CR32" s="220">
        <v>6</v>
      </c>
      <c r="CS32" s="220">
        <v>1</v>
      </c>
      <c r="CT32" s="220">
        <v>2</v>
      </c>
      <c r="CU32" s="220">
        <v>5</v>
      </c>
      <c r="CV32" s="220">
        <v>0</v>
      </c>
      <c r="CW32" s="220">
        <v>29</v>
      </c>
      <c r="CX32" s="220">
        <v>0</v>
      </c>
      <c r="CY32" s="220">
        <v>1</v>
      </c>
      <c r="CZ32" s="220">
        <v>0</v>
      </c>
      <c r="DA32" s="220">
        <v>5</v>
      </c>
      <c r="DB32" s="220">
        <v>3</v>
      </c>
      <c r="DC32" s="220">
        <v>0</v>
      </c>
      <c r="DD32" s="220">
        <v>0</v>
      </c>
      <c r="DE32" s="220">
        <v>7</v>
      </c>
      <c r="DF32" s="220">
        <v>0</v>
      </c>
      <c r="DG32" s="220">
        <v>3</v>
      </c>
      <c r="DH32" s="220">
        <v>0</v>
      </c>
      <c r="DI32" s="220">
        <v>47</v>
      </c>
      <c r="DJ32" s="220">
        <v>0</v>
      </c>
      <c r="DK32" s="220">
        <v>0</v>
      </c>
      <c r="DL32" s="220">
        <v>38</v>
      </c>
      <c r="DM32" s="220">
        <v>0</v>
      </c>
      <c r="DN32" s="220">
        <v>0</v>
      </c>
      <c r="DO32" s="220">
        <v>0</v>
      </c>
      <c r="DP32" s="221">
        <v>7822</v>
      </c>
      <c r="DQ32" s="71">
        <f>TRP!AF154</f>
        <v>7822</v>
      </c>
      <c r="DR32" s="71">
        <f t="shared" si="3"/>
        <v>0</v>
      </c>
    </row>
    <row r="33" spans="2:122" x14ac:dyDescent="0.25">
      <c r="B33" s="218" t="s">
        <v>109</v>
      </c>
      <c r="C33" s="222" t="s">
        <v>212</v>
      </c>
      <c r="D33" s="220">
        <v>132</v>
      </c>
      <c r="E33" s="220">
        <v>4</v>
      </c>
      <c r="F33" s="220">
        <v>0</v>
      </c>
      <c r="G33" s="220">
        <v>29</v>
      </c>
      <c r="H33" s="220">
        <v>20</v>
      </c>
      <c r="I33" s="220">
        <v>29</v>
      </c>
      <c r="J33" s="220">
        <v>8</v>
      </c>
      <c r="K33" s="220">
        <v>60</v>
      </c>
      <c r="L33" s="220">
        <v>0</v>
      </c>
      <c r="M33" s="220">
        <v>9</v>
      </c>
      <c r="N33" s="220">
        <v>3</v>
      </c>
      <c r="O33" s="220">
        <v>8</v>
      </c>
      <c r="P33" s="220">
        <v>19</v>
      </c>
      <c r="Q33" s="220">
        <v>23</v>
      </c>
      <c r="R33" s="220">
        <v>110</v>
      </c>
      <c r="S33" s="220">
        <v>1</v>
      </c>
      <c r="T33" s="220">
        <v>51</v>
      </c>
      <c r="U33" s="220">
        <v>25</v>
      </c>
      <c r="V33" s="220">
        <v>7</v>
      </c>
      <c r="W33" s="220">
        <v>2</v>
      </c>
      <c r="X33" s="220">
        <v>1531</v>
      </c>
      <c r="Y33" s="220">
        <v>385</v>
      </c>
      <c r="Z33" s="220">
        <v>52</v>
      </c>
      <c r="AA33" s="220">
        <v>85</v>
      </c>
      <c r="AB33" s="220">
        <v>351</v>
      </c>
      <c r="AC33" s="220">
        <v>6</v>
      </c>
      <c r="AD33" s="220">
        <v>136</v>
      </c>
      <c r="AE33" s="220">
        <v>113</v>
      </c>
      <c r="AF33" s="220">
        <v>1372</v>
      </c>
      <c r="AG33" s="220">
        <v>338</v>
      </c>
      <c r="AH33" s="220">
        <v>115</v>
      </c>
      <c r="AI33" s="220">
        <v>88</v>
      </c>
      <c r="AJ33" s="220">
        <v>120</v>
      </c>
      <c r="AK33" s="220">
        <v>117</v>
      </c>
      <c r="AL33" s="220">
        <v>3</v>
      </c>
      <c r="AM33" s="220">
        <v>30</v>
      </c>
      <c r="AN33" s="220">
        <v>84</v>
      </c>
      <c r="AO33" s="220">
        <v>46</v>
      </c>
      <c r="AP33" s="220">
        <v>177</v>
      </c>
      <c r="AQ33" s="220">
        <v>0</v>
      </c>
      <c r="AR33" s="220">
        <v>461</v>
      </c>
      <c r="AS33" s="220">
        <v>6</v>
      </c>
      <c r="AT33" s="220">
        <v>136</v>
      </c>
      <c r="AU33" s="220">
        <v>24</v>
      </c>
      <c r="AV33" s="220">
        <v>9</v>
      </c>
      <c r="AW33" s="220">
        <v>7</v>
      </c>
      <c r="AX33" s="220">
        <v>56</v>
      </c>
      <c r="AY33" s="220">
        <v>11</v>
      </c>
      <c r="AZ33" s="220">
        <v>11</v>
      </c>
      <c r="BA33" s="220">
        <v>21</v>
      </c>
      <c r="BB33" s="220">
        <v>82</v>
      </c>
      <c r="BC33" s="220">
        <v>34</v>
      </c>
      <c r="BD33" s="220">
        <v>0</v>
      </c>
      <c r="BE33" s="220">
        <v>78</v>
      </c>
      <c r="BF33" s="220">
        <v>244</v>
      </c>
      <c r="BG33" s="220">
        <v>160</v>
      </c>
      <c r="BH33" s="220">
        <v>105</v>
      </c>
      <c r="BI33" s="220">
        <v>60</v>
      </c>
      <c r="BJ33" s="220">
        <v>209</v>
      </c>
      <c r="BK33" s="220">
        <v>139</v>
      </c>
      <c r="BL33" s="220">
        <v>21</v>
      </c>
      <c r="BM33" s="220">
        <v>267</v>
      </c>
      <c r="BN33" s="220">
        <v>118</v>
      </c>
      <c r="BO33" s="220">
        <v>0</v>
      </c>
      <c r="BP33" s="220">
        <v>0</v>
      </c>
      <c r="BQ33" s="220">
        <v>0</v>
      </c>
      <c r="BR33" s="220">
        <v>16</v>
      </c>
      <c r="BS33" s="220">
        <v>93</v>
      </c>
      <c r="BT33" s="220">
        <v>97</v>
      </c>
      <c r="BU33" s="220">
        <v>19</v>
      </c>
      <c r="BV33" s="220">
        <v>151</v>
      </c>
      <c r="BW33" s="220">
        <v>2044</v>
      </c>
      <c r="BX33" s="220">
        <v>502</v>
      </c>
      <c r="BY33" s="220">
        <v>71</v>
      </c>
      <c r="BZ33" s="220">
        <v>140</v>
      </c>
      <c r="CA33" s="220">
        <v>101</v>
      </c>
      <c r="CB33" s="220">
        <v>2</v>
      </c>
      <c r="CC33" s="220">
        <v>6</v>
      </c>
      <c r="CD33" s="220">
        <v>11</v>
      </c>
      <c r="CE33" s="220">
        <v>14</v>
      </c>
      <c r="CF33" s="220">
        <v>8</v>
      </c>
      <c r="CG33" s="220">
        <v>188</v>
      </c>
      <c r="CH33" s="220">
        <v>86</v>
      </c>
      <c r="CI33" s="220">
        <v>123</v>
      </c>
      <c r="CJ33" s="220">
        <v>22</v>
      </c>
      <c r="CK33" s="220">
        <v>0</v>
      </c>
      <c r="CL33" s="220">
        <v>0</v>
      </c>
      <c r="CM33" s="220">
        <v>3</v>
      </c>
      <c r="CN33" s="220">
        <v>5</v>
      </c>
      <c r="CO33" s="220">
        <v>134</v>
      </c>
      <c r="CP33" s="220">
        <v>25</v>
      </c>
      <c r="CQ33" s="220">
        <v>33</v>
      </c>
      <c r="CR33" s="220">
        <v>6</v>
      </c>
      <c r="CS33" s="220">
        <v>1</v>
      </c>
      <c r="CT33" s="220">
        <v>22</v>
      </c>
      <c r="CU33" s="220">
        <v>22</v>
      </c>
      <c r="CV33" s="220">
        <v>11</v>
      </c>
      <c r="CW33" s="220">
        <v>150</v>
      </c>
      <c r="CX33" s="220">
        <v>10</v>
      </c>
      <c r="CY33" s="220">
        <v>99</v>
      </c>
      <c r="CZ33" s="220">
        <v>0</v>
      </c>
      <c r="DA33" s="220">
        <v>63</v>
      </c>
      <c r="DB33" s="220">
        <v>61</v>
      </c>
      <c r="DC33" s="220">
        <v>88</v>
      </c>
      <c r="DD33" s="220">
        <v>0</v>
      </c>
      <c r="DE33" s="220">
        <v>18</v>
      </c>
      <c r="DF33" s="220">
        <v>0</v>
      </c>
      <c r="DG33" s="220">
        <v>34</v>
      </c>
      <c r="DH33" s="220">
        <v>0</v>
      </c>
      <c r="DI33" s="220">
        <v>50</v>
      </c>
      <c r="DJ33" s="220">
        <v>0</v>
      </c>
      <c r="DK33" s="220">
        <v>5</v>
      </c>
      <c r="DL33" s="220">
        <v>35</v>
      </c>
      <c r="DM33" s="220">
        <v>0</v>
      </c>
      <c r="DN33" s="220">
        <v>0</v>
      </c>
      <c r="DO33" s="220">
        <v>0</v>
      </c>
      <c r="DP33" s="221">
        <v>12517</v>
      </c>
      <c r="DQ33" s="71">
        <f>TRP!AF155</f>
        <v>12517</v>
      </c>
      <c r="DR33" s="71">
        <f t="shared" si="3"/>
        <v>0</v>
      </c>
    </row>
    <row r="34" spans="2:122" x14ac:dyDescent="0.25">
      <c r="B34" s="218" t="s">
        <v>110</v>
      </c>
      <c r="C34" s="222" t="s">
        <v>213</v>
      </c>
      <c r="D34" s="220">
        <v>0</v>
      </c>
      <c r="E34" s="220">
        <v>3</v>
      </c>
      <c r="F34" s="220">
        <v>0</v>
      </c>
      <c r="G34" s="220">
        <v>32</v>
      </c>
      <c r="H34" s="220">
        <v>16</v>
      </c>
      <c r="I34" s="220">
        <v>10</v>
      </c>
      <c r="J34" s="220">
        <v>8</v>
      </c>
      <c r="K34" s="220">
        <v>92</v>
      </c>
      <c r="L34" s="220">
        <v>0</v>
      </c>
      <c r="M34" s="220">
        <v>35</v>
      </c>
      <c r="N34" s="220">
        <v>14</v>
      </c>
      <c r="O34" s="220">
        <v>69</v>
      </c>
      <c r="P34" s="220">
        <v>47</v>
      </c>
      <c r="Q34" s="220">
        <v>37</v>
      </c>
      <c r="R34" s="220">
        <v>75</v>
      </c>
      <c r="S34" s="220">
        <v>1</v>
      </c>
      <c r="T34" s="220">
        <v>31</v>
      </c>
      <c r="U34" s="220">
        <v>24</v>
      </c>
      <c r="V34" s="220">
        <v>7</v>
      </c>
      <c r="W34" s="220">
        <v>5</v>
      </c>
      <c r="X34" s="220">
        <v>690</v>
      </c>
      <c r="Y34" s="220">
        <v>370</v>
      </c>
      <c r="Z34" s="220">
        <v>70</v>
      </c>
      <c r="AA34" s="220">
        <v>52</v>
      </c>
      <c r="AB34" s="220">
        <v>687</v>
      </c>
      <c r="AC34" s="220">
        <v>5</v>
      </c>
      <c r="AD34" s="220">
        <v>54</v>
      </c>
      <c r="AE34" s="220">
        <v>205</v>
      </c>
      <c r="AF34" s="220">
        <v>1196</v>
      </c>
      <c r="AG34" s="220">
        <v>2382</v>
      </c>
      <c r="AH34" s="220">
        <v>95</v>
      </c>
      <c r="AI34" s="220">
        <v>172</v>
      </c>
      <c r="AJ34" s="220">
        <v>1677</v>
      </c>
      <c r="AK34" s="220">
        <v>334</v>
      </c>
      <c r="AL34" s="220">
        <v>4</v>
      </c>
      <c r="AM34" s="220">
        <v>189</v>
      </c>
      <c r="AN34" s="220">
        <v>100</v>
      </c>
      <c r="AO34" s="220">
        <v>108</v>
      </c>
      <c r="AP34" s="220">
        <v>280</v>
      </c>
      <c r="AQ34" s="220">
        <v>0</v>
      </c>
      <c r="AR34" s="220">
        <v>330</v>
      </c>
      <c r="AS34" s="220">
        <v>37</v>
      </c>
      <c r="AT34" s="220">
        <v>140</v>
      </c>
      <c r="AU34" s="220">
        <v>49</v>
      </c>
      <c r="AV34" s="220">
        <v>15</v>
      </c>
      <c r="AW34" s="220">
        <v>14</v>
      </c>
      <c r="AX34" s="220">
        <v>150</v>
      </c>
      <c r="AY34" s="220">
        <v>103</v>
      </c>
      <c r="AZ34" s="220">
        <v>37</v>
      </c>
      <c r="BA34" s="220">
        <v>11</v>
      </c>
      <c r="BB34" s="220">
        <v>162</v>
      </c>
      <c r="BC34" s="220">
        <v>52</v>
      </c>
      <c r="BD34" s="220">
        <v>4</v>
      </c>
      <c r="BE34" s="220">
        <v>65</v>
      </c>
      <c r="BF34" s="220">
        <v>284</v>
      </c>
      <c r="BG34" s="220">
        <v>152</v>
      </c>
      <c r="BH34" s="220">
        <v>131</v>
      </c>
      <c r="BI34" s="220">
        <v>101</v>
      </c>
      <c r="BJ34" s="220">
        <v>203</v>
      </c>
      <c r="BK34" s="220">
        <v>118</v>
      </c>
      <c r="BL34" s="220">
        <v>47</v>
      </c>
      <c r="BM34" s="220">
        <v>138</v>
      </c>
      <c r="BN34" s="220">
        <v>100</v>
      </c>
      <c r="BO34" s="220">
        <v>0</v>
      </c>
      <c r="BP34" s="220">
        <v>0</v>
      </c>
      <c r="BQ34" s="220">
        <v>0</v>
      </c>
      <c r="BR34" s="220">
        <v>12</v>
      </c>
      <c r="BS34" s="220">
        <v>124</v>
      </c>
      <c r="BT34" s="220">
        <v>135</v>
      </c>
      <c r="BU34" s="220">
        <v>7</v>
      </c>
      <c r="BV34" s="220">
        <v>84</v>
      </c>
      <c r="BW34" s="220">
        <v>718</v>
      </c>
      <c r="BX34" s="220">
        <v>358</v>
      </c>
      <c r="BY34" s="220">
        <v>206</v>
      </c>
      <c r="BZ34" s="220">
        <v>179</v>
      </c>
      <c r="CA34" s="220">
        <v>68</v>
      </c>
      <c r="CB34" s="220">
        <v>2</v>
      </c>
      <c r="CC34" s="220">
        <v>5</v>
      </c>
      <c r="CD34" s="220">
        <v>9</v>
      </c>
      <c r="CE34" s="220">
        <v>16</v>
      </c>
      <c r="CF34" s="220">
        <v>9</v>
      </c>
      <c r="CG34" s="220">
        <v>229</v>
      </c>
      <c r="CH34" s="220">
        <v>13</v>
      </c>
      <c r="CI34" s="220">
        <v>32</v>
      </c>
      <c r="CJ34" s="220">
        <v>106</v>
      </c>
      <c r="CK34" s="220">
        <v>0</v>
      </c>
      <c r="CL34" s="220">
        <v>0</v>
      </c>
      <c r="CM34" s="220">
        <v>8</v>
      </c>
      <c r="CN34" s="220">
        <v>6</v>
      </c>
      <c r="CO34" s="220">
        <v>14</v>
      </c>
      <c r="CP34" s="220">
        <v>37</v>
      </c>
      <c r="CQ34" s="220">
        <v>73</v>
      </c>
      <c r="CR34" s="220">
        <v>6</v>
      </c>
      <c r="CS34" s="220">
        <v>6</v>
      </c>
      <c r="CT34" s="220">
        <v>42</v>
      </c>
      <c r="CU34" s="220">
        <v>7</v>
      </c>
      <c r="CV34" s="220">
        <v>0</v>
      </c>
      <c r="CW34" s="220">
        <v>228</v>
      </c>
      <c r="CX34" s="220">
        <v>7</v>
      </c>
      <c r="CY34" s="220">
        <v>58</v>
      </c>
      <c r="CZ34" s="220">
        <v>0</v>
      </c>
      <c r="DA34" s="220">
        <v>148</v>
      </c>
      <c r="DB34" s="220">
        <v>127</v>
      </c>
      <c r="DC34" s="220">
        <v>60</v>
      </c>
      <c r="DD34" s="220">
        <v>0</v>
      </c>
      <c r="DE34" s="220">
        <v>6</v>
      </c>
      <c r="DF34" s="220">
        <v>0</v>
      </c>
      <c r="DG34" s="220">
        <v>22</v>
      </c>
      <c r="DH34" s="220">
        <v>0</v>
      </c>
      <c r="DI34" s="220">
        <v>49</v>
      </c>
      <c r="DJ34" s="220">
        <v>0</v>
      </c>
      <c r="DK34" s="220">
        <v>2</v>
      </c>
      <c r="DL34" s="220">
        <v>42</v>
      </c>
      <c r="DM34" s="220">
        <v>52</v>
      </c>
      <c r="DN34" s="220">
        <v>26</v>
      </c>
      <c r="DO34" s="220">
        <v>0</v>
      </c>
      <c r="DP34" s="221">
        <v>14957</v>
      </c>
      <c r="DQ34" s="71">
        <f>TRP!AF156</f>
        <v>14957</v>
      </c>
      <c r="DR34" s="71">
        <f t="shared" si="3"/>
        <v>0</v>
      </c>
    </row>
    <row r="35" spans="2:122" x14ac:dyDescent="0.25">
      <c r="B35" s="218" t="s">
        <v>111</v>
      </c>
      <c r="C35" s="222" t="s">
        <v>214</v>
      </c>
      <c r="D35" s="220">
        <v>2339</v>
      </c>
      <c r="E35" s="220">
        <v>88</v>
      </c>
      <c r="F35" s="220">
        <v>0</v>
      </c>
      <c r="G35" s="220">
        <v>0</v>
      </c>
      <c r="H35" s="220">
        <v>0</v>
      </c>
      <c r="I35" s="220">
        <v>0</v>
      </c>
      <c r="J35" s="220">
        <v>0</v>
      </c>
      <c r="K35" s="220">
        <v>0</v>
      </c>
      <c r="L35" s="220">
        <v>0</v>
      </c>
      <c r="M35" s="220">
        <v>0</v>
      </c>
      <c r="N35" s="220">
        <v>0</v>
      </c>
      <c r="O35" s="220">
        <v>0</v>
      </c>
      <c r="P35" s="220">
        <v>0</v>
      </c>
      <c r="Q35" s="220">
        <v>0</v>
      </c>
      <c r="R35" s="220">
        <v>0</v>
      </c>
      <c r="S35" s="220">
        <v>0</v>
      </c>
      <c r="T35" s="220">
        <v>0</v>
      </c>
      <c r="U35" s="220">
        <v>0</v>
      </c>
      <c r="V35" s="220">
        <v>0</v>
      </c>
      <c r="W35" s="220">
        <v>0</v>
      </c>
      <c r="X35" s="220">
        <v>300</v>
      </c>
      <c r="Y35" s="220">
        <v>47</v>
      </c>
      <c r="Z35" s="220">
        <v>5</v>
      </c>
      <c r="AA35" s="220">
        <v>0</v>
      </c>
      <c r="AB35" s="220">
        <v>5</v>
      </c>
      <c r="AC35" s="220">
        <v>0</v>
      </c>
      <c r="AD35" s="220">
        <v>0</v>
      </c>
      <c r="AE35" s="220">
        <v>0</v>
      </c>
      <c r="AF35" s="220">
        <v>32</v>
      </c>
      <c r="AG35" s="220">
        <v>15</v>
      </c>
      <c r="AH35" s="220">
        <v>153</v>
      </c>
      <c r="AI35" s="220">
        <v>0</v>
      </c>
      <c r="AJ35" s="220">
        <v>25</v>
      </c>
      <c r="AK35" s="220">
        <v>0</v>
      </c>
      <c r="AL35" s="220">
        <v>0</v>
      </c>
      <c r="AM35" s="220">
        <v>0</v>
      </c>
      <c r="AN35" s="220">
        <v>0</v>
      </c>
      <c r="AO35" s="220">
        <v>0</v>
      </c>
      <c r="AP35" s="220">
        <v>0</v>
      </c>
      <c r="AQ35" s="220">
        <v>0</v>
      </c>
      <c r="AR35" s="220">
        <v>0</v>
      </c>
      <c r="AS35" s="220">
        <v>0</v>
      </c>
      <c r="AT35" s="220">
        <v>0</v>
      </c>
      <c r="AU35" s="220">
        <v>0</v>
      </c>
      <c r="AV35" s="220">
        <v>0</v>
      </c>
      <c r="AW35" s="220">
        <v>0</v>
      </c>
      <c r="AX35" s="220">
        <v>0</v>
      </c>
      <c r="AY35" s="220">
        <v>0</v>
      </c>
      <c r="AZ35" s="220">
        <v>0</v>
      </c>
      <c r="BA35" s="220">
        <v>0</v>
      </c>
      <c r="BB35" s="220">
        <v>0</v>
      </c>
      <c r="BC35" s="220">
        <v>0</v>
      </c>
      <c r="BD35" s="220">
        <v>0</v>
      </c>
      <c r="BE35" s="220">
        <v>0</v>
      </c>
      <c r="BF35" s="220">
        <v>0</v>
      </c>
      <c r="BG35" s="220">
        <v>0</v>
      </c>
      <c r="BH35" s="220">
        <v>0</v>
      </c>
      <c r="BI35" s="220">
        <v>0</v>
      </c>
      <c r="BJ35" s="220">
        <v>0</v>
      </c>
      <c r="BK35" s="220">
        <v>0</v>
      </c>
      <c r="BL35" s="220">
        <v>0</v>
      </c>
      <c r="BM35" s="220">
        <v>0</v>
      </c>
      <c r="BN35" s="220">
        <v>0</v>
      </c>
      <c r="BO35" s="220">
        <v>0</v>
      </c>
      <c r="BP35" s="220">
        <v>0</v>
      </c>
      <c r="BQ35" s="220">
        <v>0</v>
      </c>
      <c r="BR35" s="220">
        <v>0</v>
      </c>
      <c r="BS35" s="220">
        <v>0</v>
      </c>
      <c r="BT35" s="220">
        <v>0</v>
      </c>
      <c r="BU35" s="220">
        <v>0</v>
      </c>
      <c r="BV35" s="220">
        <v>0</v>
      </c>
      <c r="BW35" s="220">
        <v>143</v>
      </c>
      <c r="BX35" s="220">
        <v>60</v>
      </c>
      <c r="BY35" s="220">
        <v>15</v>
      </c>
      <c r="BZ35" s="220">
        <v>23</v>
      </c>
      <c r="CA35" s="220">
        <v>12</v>
      </c>
      <c r="CB35" s="220">
        <v>0</v>
      </c>
      <c r="CC35" s="220">
        <v>0</v>
      </c>
      <c r="CD35" s="220">
        <v>0</v>
      </c>
      <c r="CE35" s="220">
        <v>0</v>
      </c>
      <c r="CF35" s="220">
        <v>0</v>
      </c>
      <c r="CG35" s="220">
        <v>0</v>
      </c>
      <c r="CH35" s="220">
        <v>0</v>
      </c>
      <c r="CI35" s="220">
        <v>0</v>
      </c>
      <c r="CJ35" s="220">
        <v>0</v>
      </c>
      <c r="CK35" s="220">
        <v>0</v>
      </c>
      <c r="CL35" s="220">
        <v>0</v>
      </c>
      <c r="CM35" s="220">
        <v>0</v>
      </c>
      <c r="CN35" s="220">
        <v>0</v>
      </c>
      <c r="CO35" s="220">
        <v>0</v>
      </c>
      <c r="CP35" s="220">
        <v>0</v>
      </c>
      <c r="CQ35" s="220">
        <v>0</v>
      </c>
      <c r="CR35" s="220">
        <v>0</v>
      </c>
      <c r="CS35" s="220">
        <v>0</v>
      </c>
      <c r="CT35" s="220">
        <v>0</v>
      </c>
      <c r="CU35" s="220">
        <v>0</v>
      </c>
      <c r="CV35" s="220">
        <v>0</v>
      </c>
      <c r="CW35" s="220">
        <v>0</v>
      </c>
      <c r="CX35" s="220">
        <v>0</v>
      </c>
      <c r="CY35" s="220">
        <v>45</v>
      </c>
      <c r="CZ35" s="220">
        <v>0</v>
      </c>
      <c r="DA35" s="220">
        <v>0</v>
      </c>
      <c r="DB35" s="220">
        <v>0</v>
      </c>
      <c r="DC35" s="220">
        <v>0</v>
      </c>
      <c r="DD35" s="220">
        <v>18</v>
      </c>
      <c r="DE35" s="220">
        <v>0</v>
      </c>
      <c r="DF35" s="220">
        <v>0</v>
      </c>
      <c r="DG35" s="220">
        <v>0</v>
      </c>
      <c r="DH35" s="220">
        <v>15</v>
      </c>
      <c r="DI35" s="220">
        <v>0</v>
      </c>
      <c r="DJ35" s="220">
        <v>0</v>
      </c>
      <c r="DK35" s="220">
        <v>0</v>
      </c>
      <c r="DL35" s="220">
        <v>0</v>
      </c>
      <c r="DM35" s="220">
        <v>1</v>
      </c>
      <c r="DN35" s="220">
        <v>293</v>
      </c>
      <c r="DO35" s="220">
        <v>0</v>
      </c>
      <c r="DP35" s="221">
        <v>3634</v>
      </c>
      <c r="DQ35" s="71">
        <f>TRP!AF157</f>
        <v>3634</v>
      </c>
      <c r="DR35" s="71">
        <f t="shared" si="3"/>
        <v>0</v>
      </c>
    </row>
    <row r="36" spans="2:122" x14ac:dyDescent="0.25">
      <c r="B36" s="218" t="s">
        <v>112</v>
      </c>
      <c r="C36" s="222" t="s">
        <v>215</v>
      </c>
      <c r="D36" s="220">
        <v>0</v>
      </c>
      <c r="E36" s="220">
        <v>3</v>
      </c>
      <c r="F36" s="220">
        <v>0</v>
      </c>
      <c r="G36" s="220">
        <v>6</v>
      </c>
      <c r="H36" s="220">
        <v>5</v>
      </c>
      <c r="I36" s="220">
        <v>3</v>
      </c>
      <c r="J36" s="220">
        <v>4</v>
      </c>
      <c r="K36" s="220">
        <v>3</v>
      </c>
      <c r="L36" s="220">
        <v>0</v>
      </c>
      <c r="M36" s="220">
        <v>2</v>
      </c>
      <c r="N36" s="220">
        <v>1</v>
      </c>
      <c r="O36" s="220">
        <v>5</v>
      </c>
      <c r="P36" s="220">
        <v>6</v>
      </c>
      <c r="Q36" s="220">
        <v>3</v>
      </c>
      <c r="R36" s="220">
        <v>23</v>
      </c>
      <c r="S36" s="220">
        <v>3</v>
      </c>
      <c r="T36" s="220">
        <v>5</v>
      </c>
      <c r="U36" s="220">
        <v>4</v>
      </c>
      <c r="V36" s="220">
        <v>1</v>
      </c>
      <c r="W36" s="220">
        <v>0</v>
      </c>
      <c r="X36" s="220">
        <v>93</v>
      </c>
      <c r="Y36" s="220">
        <v>37</v>
      </c>
      <c r="Z36" s="220">
        <v>11</v>
      </c>
      <c r="AA36" s="220">
        <v>11</v>
      </c>
      <c r="AB36" s="220">
        <v>179</v>
      </c>
      <c r="AC36" s="220">
        <v>5</v>
      </c>
      <c r="AD36" s="220">
        <v>15</v>
      </c>
      <c r="AE36" s="220">
        <v>28</v>
      </c>
      <c r="AF36" s="220">
        <v>30</v>
      </c>
      <c r="AG36" s="220">
        <v>39</v>
      </c>
      <c r="AH36" s="220">
        <v>29</v>
      </c>
      <c r="AI36" s="220">
        <v>58</v>
      </c>
      <c r="AJ36" s="220">
        <v>50</v>
      </c>
      <c r="AK36" s="220">
        <v>24</v>
      </c>
      <c r="AL36" s="220">
        <v>1</v>
      </c>
      <c r="AM36" s="220">
        <v>2</v>
      </c>
      <c r="AN36" s="220">
        <v>3</v>
      </c>
      <c r="AO36" s="220">
        <v>0</v>
      </c>
      <c r="AP36" s="220">
        <v>1</v>
      </c>
      <c r="AQ36" s="220">
        <v>0</v>
      </c>
      <c r="AR36" s="220">
        <v>22</v>
      </c>
      <c r="AS36" s="220">
        <v>5</v>
      </c>
      <c r="AT36" s="220">
        <v>6</v>
      </c>
      <c r="AU36" s="220">
        <v>1</v>
      </c>
      <c r="AV36" s="220">
        <v>1</v>
      </c>
      <c r="AW36" s="220">
        <v>1</v>
      </c>
      <c r="AX36" s="220">
        <v>2</v>
      </c>
      <c r="AY36" s="220">
        <v>4</v>
      </c>
      <c r="AZ36" s="220">
        <v>3</v>
      </c>
      <c r="BA36" s="220">
        <v>4</v>
      </c>
      <c r="BB36" s="220">
        <v>25</v>
      </c>
      <c r="BC36" s="220">
        <v>9</v>
      </c>
      <c r="BD36" s="220">
        <v>0</v>
      </c>
      <c r="BE36" s="220">
        <v>7</v>
      </c>
      <c r="BF36" s="220">
        <v>40</v>
      </c>
      <c r="BG36" s="220">
        <v>25</v>
      </c>
      <c r="BH36" s="220">
        <v>14</v>
      </c>
      <c r="BI36" s="220">
        <v>5</v>
      </c>
      <c r="BJ36" s="220">
        <v>37</v>
      </c>
      <c r="BK36" s="220">
        <v>22</v>
      </c>
      <c r="BL36" s="220">
        <v>0</v>
      </c>
      <c r="BM36" s="220">
        <v>9</v>
      </c>
      <c r="BN36" s="220">
        <v>2</v>
      </c>
      <c r="BO36" s="220">
        <v>0</v>
      </c>
      <c r="BP36" s="220">
        <v>0</v>
      </c>
      <c r="BQ36" s="220">
        <v>0</v>
      </c>
      <c r="BR36" s="220">
        <v>5</v>
      </c>
      <c r="BS36" s="220">
        <v>7</v>
      </c>
      <c r="BT36" s="220">
        <v>5</v>
      </c>
      <c r="BU36" s="220">
        <v>1</v>
      </c>
      <c r="BV36" s="220">
        <v>5</v>
      </c>
      <c r="BW36" s="220">
        <v>76</v>
      </c>
      <c r="BX36" s="220">
        <v>24</v>
      </c>
      <c r="BY36" s="220">
        <v>55</v>
      </c>
      <c r="BZ36" s="220">
        <v>9</v>
      </c>
      <c r="CA36" s="220">
        <v>31</v>
      </c>
      <c r="CB36" s="220">
        <v>0</v>
      </c>
      <c r="CC36" s="220">
        <v>1</v>
      </c>
      <c r="CD36" s="220">
        <v>1</v>
      </c>
      <c r="CE36" s="220">
        <v>0</v>
      </c>
      <c r="CF36" s="220">
        <v>0</v>
      </c>
      <c r="CG36" s="220">
        <v>0</v>
      </c>
      <c r="CH36" s="220">
        <v>1</v>
      </c>
      <c r="CI36" s="220">
        <v>4</v>
      </c>
      <c r="CJ36" s="220">
        <v>0</v>
      </c>
      <c r="CK36" s="220">
        <v>0</v>
      </c>
      <c r="CL36" s="220">
        <v>0</v>
      </c>
      <c r="CM36" s="220">
        <v>0</v>
      </c>
      <c r="CN36" s="220">
        <v>0</v>
      </c>
      <c r="CO36" s="220">
        <v>0</v>
      </c>
      <c r="CP36" s="220">
        <v>0</v>
      </c>
      <c r="CQ36" s="220">
        <v>0</v>
      </c>
      <c r="CR36" s="220">
        <v>0</v>
      </c>
      <c r="CS36" s="220">
        <v>0</v>
      </c>
      <c r="CT36" s="220">
        <v>0</v>
      </c>
      <c r="CU36" s="220">
        <v>0</v>
      </c>
      <c r="CV36" s="220">
        <v>0</v>
      </c>
      <c r="CW36" s="220">
        <v>3</v>
      </c>
      <c r="CX36" s="220">
        <v>0</v>
      </c>
      <c r="CY36" s="220">
        <v>0</v>
      </c>
      <c r="CZ36" s="220">
        <v>0</v>
      </c>
      <c r="DA36" s="220">
        <v>1</v>
      </c>
      <c r="DB36" s="220">
        <v>1</v>
      </c>
      <c r="DC36" s="220">
        <v>1</v>
      </c>
      <c r="DD36" s="220">
        <v>0</v>
      </c>
      <c r="DE36" s="220">
        <v>1</v>
      </c>
      <c r="DF36" s="220">
        <v>0</v>
      </c>
      <c r="DG36" s="220">
        <v>0</v>
      </c>
      <c r="DH36" s="220">
        <v>0</v>
      </c>
      <c r="DI36" s="220">
        <v>0</v>
      </c>
      <c r="DJ36" s="220">
        <v>0</v>
      </c>
      <c r="DK36" s="220">
        <v>0</v>
      </c>
      <c r="DL36" s="220">
        <v>13</v>
      </c>
      <c r="DM36" s="220">
        <v>52</v>
      </c>
      <c r="DN36" s="220">
        <v>0</v>
      </c>
      <c r="DO36" s="220">
        <v>0</v>
      </c>
      <c r="DP36" s="221">
        <v>1234</v>
      </c>
      <c r="DQ36" s="71">
        <f>TRP!AF158</f>
        <v>1234</v>
      </c>
      <c r="DR36" s="71">
        <f t="shared" si="3"/>
        <v>0</v>
      </c>
    </row>
    <row r="37" spans="2:122" x14ac:dyDescent="0.25">
      <c r="B37" s="218" t="s">
        <v>113</v>
      </c>
      <c r="C37" s="222" t="s">
        <v>216</v>
      </c>
      <c r="D37" s="220">
        <v>0</v>
      </c>
      <c r="E37" s="220">
        <v>14</v>
      </c>
      <c r="F37" s="220">
        <v>0</v>
      </c>
      <c r="G37" s="220">
        <v>50</v>
      </c>
      <c r="H37" s="220">
        <v>35</v>
      </c>
      <c r="I37" s="220">
        <v>136</v>
      </c>
      <c r="J37" s="220">
        <v>12</v>
      </c>
      <c r="K37" s="220">
        <v>114</v>
      </c>
      <c r="L37" s="220">
        <v>0</v>
      </c>
      <c r="M37" s="220">
        <v>44</v>
      </c>
      <c r="N37" s="220">
        <v>20</v>
      </c>
      <c r="O37" s="220">
        <v>85</v>
      </c>
      <c r="P37" s="220">
        <v>30</v>
      </c>
      <c r="Q37" s="220">
        <v>22</v>
      </c>
      <c r="R37" s="220">
        <v>63</v>
      </c>
      <c r="S37" s="220">
        <v>1</v>
      </c>
      <c r="T37" s="220">
        <v>16</v>
      </c>
      <c r="U37" s="220">
        <v>10</v>
      </c>
      <c r="V37" s="220">
        <v>4</v>
      </c>
      <c r="W37" s="220">
        <v>0</v>
      </c>
      <c r="X37" s="220">
        <v>260</v>
      </c>
      <c r="Y37" s="220">
        <v>198</v>
      </c>
      <c r="Z37" s="220">
        <v>15</v>
      </c>
      <c r="AA37" s="220">
        <v>17</v>
      </c>
      <c r="AB37" s="220">
        <v>178</v>
      </c>
      <c r="AC37" s="220">
        <v>3</v>
      </c>
      <c r="AD37" s="220">
        <v>39</v>
      </c>
      <c r="AE37" s="220">
        <v>68</v>
      </c>
      <c r="AF37" s="220">
        <v>54</v>
      </c>
      <c r="AG37" s="220">
        <v>57</v>
      </c>
      <c r="AH37" s="220">
        <v>20</v>
      </c>
      <c r="AI37" s="220">
        <v>32</v>
      </c>
      <c r="AJ37" s="220">
        <v>331</v>
      </c>
      <c r="AK37" s="220">
        <v>158</v>
      </c>
      <c r="AL37" s="220">
        <v>3</v>
      </c>
      <c r="AM37" s="220">
        <v>29</v>
      </c>
      <c r="AN37" s="220">
        <v>4</v>
      </c>
      <c r="AO37" s="220">
        <v>1</v>
      </c>
      <c r="AP37" s="220">
        <v>8</v>
      </c>
      <c r="AQ37" s="220">
        <v>0</v>
      </c>
      <c r="AR37" s="220">
        <v>158</v>
      </c>
      <c r="AS37" s="220">
        <v>77</v>
      </c>
      <c r="AT37" s="220">
        <v>109</v>
      </c>
      <c r="AU37" s="220">
        <v>38</v>
      </c>
      <c r="AV37" s="220">
        <v>24</v>
      </c>
      <c r="AW37" s="220">
        <v>15</v>
      </c>
      <c r="AX37" s="220">
        <v>128</v>
      </c>
      <c r="AY37" s="220">
        <v>31</v>
      </c>
      <c r="AZ37" s="220">
        <v>29</v>
      </c>
      <c r="BA37" s="220">
        <v>15</v>
      </c>
      <c r="BB37" s="220">
        <v>29</v>
      </c>
      <c r="BC37" s="220">
        <v>16</v>
      </c>
      <c r="BD37" s="220">
        <v>0</v>
      </c>
      <c r="BE37" s="220">
        <v>15</v>
      </c>
      <c r="BF37" s="220">
        <v>71</v>
      </c>
      <c r="BG37" s="220">
        <v>68</v>
      </c>
      <c r="BH37" s="220">
        <v>47</v>
      </c>
      <c r="BI37" s="220">
        <v>17</v>
      </c>
      <c r="BJ37" s="220">
        <v>52</v>
      </c>
      <c r="BK37" s="220">
        <v>36</v>
      </c>
      <c r="BL37" s="220">
        <v>0</v>
      </c>
      <c r="BM37" s="220">
        <v>21</v>
      </c>
      <c r="BN37" s="220">
        <v>6</v>
      </c>
      <c r="BO37" s="220">
        <v>0</v>
      </c>
      <c r="BP37" s="220">
        <v>0</v>
      </c>
      <c r="BQ37" s="220">
        <v>0</v>
      </c>
      <c r="BR37" s="220">
        <v>16</v>
      </c>
      <c r="BS37" s="220">
        <v>58</v>
      </c>
      <c r="BT37" s="220">
        <v>58</v>
      </c>
      <c r="BU37" s="220">
        <v>15</v>
      </c>
      <c r="BV37" s="220">
        <v>78</v>
      </c>
      <c r="BW37" s="220">
        <v>697</v>
      </c>
      <c r="BX37" s="220">
        <v>185</v>
      </c>
      <c r="BY37" s="220">
        <v>52</v>
      </c>
      <c r="BZ37" s="220">
        <v>103</v>
      </c>
      <c r="CA37" s="220">
        <v>30</v>
      </c>
      <c r="CB37" s="220">
        <v>1</v>
      </c>
      <c r="CC37" s="220">
        <v>5</v>
      </c>
      <c r="CD37" s="220">
        <v>6</v>
      </c>
      <c r="CE37" s="220">
        <v>1</v>
      </c>
      <c r="CF37" s="220">
        <v>1</v>
      </c>
      <c r="CG37" s="220">
        <v>36</v>
      </c>
      <c r="CH37" s="220">
        <v>8</v>
      </c>
      <c r="CI37" s="220">
        <v>10</v>
      </c>
      <c r="CJ37" s="220">
        <v>0</v>
      </c>
      <c r="CK37" s="220">
        <v>0</v>
      </c>
      <c r="CL37" s="220">
        <v>0</v>
      </c>
      <c r="CM37" s="220">
        <v>19</v>
      </c>
      <c r="CN37" s="220">
        <v>6</v>
      </c>
      <c r="CO37" s="220">
        <v>17</v>
      </c>
      <c r="CP37" s="220">
        <v>4</v>
      </c>
      <c r="CQ37" s="220">
        <v>3</v>
      </c>
      <c r="CR37" s="220">
        <v>28</v>
      </c>
      <c r="CS37" s="220">
        <v>1</v>
      </c>
      <c r="CT37" s="220">
        <v>13</v>
      </c>
      <c r="CU37" s="220">
        <v>6</v>
      </c>
      <c r="CV37" s="220">
        <v>5</v>
      </c>
      <c r="CW37" s="220">
        <v>121</v>
      </c>
      <c r="CX37" s="220">
        <v>8</v>
      </c>
      <c r="CY37" s="220">
        <v>47</v>
      </c>
      <c r="CZ37" s="220">
        <v>0</v>
      </c>
      <c r="DA37" s="220">
        <v>35</v>
      </c>
      <c r="DB37" s="220">
        <v>15</v>
      </c>
      <c r="DC37" s="220">
        <v>47</v>
      </c>
      <c r="DD37" s="220">
        <v>4</v>
      </c>
      <c r="DE37" s="220">
        <v>2</v>
      </c>
      <c r="DF37" s="220">
        <v>0</v>
      </c>
      <c r="DG37" s="220">
        <v>8</v>
      </c>
      <c r="DH37" s="220">
        <v>0</v>
      </c>
      <c r="DI37" s="220">
        <v>0</v>
      </c>
      <c r="DJ37" s="220">
        <v>0</v>
      </c>
      <c r="DK37" s="220">
        <v>0</v>
      </c>
      <c r="DL37" s="220">
        <v>7</v>
      </c>
      <c r="DM37" s="220">
        <v>0</v>
      </c>
      <c r="DN37" s="220">
        <v>5</v>
      </c>
      <c r="DO37" s="220">
        <v>0</v>
      </c>
      <c r="DP37" s="221">
        <v>4894</v>
      </c>
      <c r="DQ37" s="71">
        <f>TRP!AF159</f>
        <v>4894</v>
      </c>
      <c r="DR37" s="71">
        <f t="shared" si="3"/>
        <v>0</v>
      </c>
    </row>
    <row r="38" spans="2:122" x14ac:dyDescent="0.25">
      <c r="B38" s="218" t="s">
        <v>114</v>
      </c>
      <c r="C38" s="222" t="s">
        <v>217</v>
      </c>
      <c r="D38" s="220">
        <v>0</v>
      </c>
      <c r="E38" s="220">
        <v>0</v>
      </c>
      <c r="F38" s="220">
        <v>0</v>
      </c>
      <c r="G38" s="220">
        <v>0</v>
      </c>
      <c r="H38" s="220">
        <v>0</v>
      </c>
      <c r="I38" s="220">
        <v>0</v>
      </c>
      <c r="J38" s="220">
        <v>0</v>
      </c>
      <c r="K38" s="220">
        <v>0</v>
      </c>
      <c r="L38" s="220">
        <v>0</v>
      </c>
      <c r="M38" s="220">
        <v>0</v>
      </c>
      <c r="N38" s="220">
        <v>0</v>
      </c>
      <c r="O38" s="220">
        <v>0</v>
      </c>
      <c r="P38" s="220">
        <v>0</v>
      </c>
      <c r="Q38" s="220">
        <v>0</v>
      </c>
      <c r="R38" s="220">
        <v>0</v>
      </c>
      <c r="S38" s="220">
        <v>0</v>
      </c>
      <c r="T38" s="220">
        <v>0</v>
      </c>
      <c r="U38" s="220">
        <v>0</v>
      </c>
      <c r="V38" s="220">
        <v>0</v>
      </c>
      <c r="W38" s="220">
        <v>0</v>
      </c>
      <c r="X38" s="220">
        <v>0</v>
      </c>
      <c r="Y38" s="220">
        <v>0</v>
      </c>
      <c r="Z38" s="220">
        <v>38</v>
      </c>
      <c r="AA38" s="220">
        <v>0</v>
      </c>
      <c r="AB38" s="220">
        <v>284</v>
      </c>
      <c r="AC38" s="220">
        <v>0</v>
      </c>
      <c r="AD38" s="220">
        <v>0</v>
      </c>
      <c r="AE38" s="220">
        <v>0</v>
      </c>
      <c r="AF38" s="220">
        <v>0</v>
      </c>
      <c r="AG38" s="220">
        <v>0</v>
      </c>
      <c r="AH38" s="220">
        <v>0</v>
      </c>
      <c r="AI38" s="220">
        <v>0</v>
      </c>
      <c r="AJ38" s="220">
        <v>0</v>
      </c>
      <c r="AK38" s="220">
        <v>500</v>
      </c>
      <c r="AL38" s="220">
        <v>0</v>
      </c>
      <c r="AM38" s="220">
        <v>0</v>
      </c>
      <c r="AN38" s="220">
        <v>0</v>
      </c>
      <c r="AO38" s="220">
        <v>0</v>
      </c>
      <c r="AP38" s="220">
        <v>0</v>
      </c>
      <c r="AQ38" s="220">
        <v>0</v>
      </c>
      <c r="AR38" s="220">
        <v>0</v>
      </c>
      <c r="AS38" s="220">
        <v>0</v>
      </c>
      <c r="AT38" s="220">
        <v>0</v>
      </c>
      <c r="AU38" s="220">
        <v>0</v>
      </c>
      <c r="AV38" s="220">
        <v>0</v>
      </c>
      <c r="AW38" s="220">
        <v>0</v>
      </c>
      <c r="AX38" s="220">
        <v>0</v>
      </c>
      <c r="AY38" s="220">
        <v>0</v>
      </c>
      <c r="AZ38" s="220">
        <v>0</v>
      </c>
      <c r="BA38" s="220">
        <v>0</v>
      </c>
      <c r="BB38" s="220">
        <v>0</v>
      </c>
      <c r="BC38" s="220">
        <v>0</v>
      </c>
      <c r="BD38" s="220">
        <v>0</v>
      </c>
      <c r="BE38" s="220">
        <v>0</v>
      </c>
      <c r="BF38" s="220">
        <v>0</v>
      </c>
      <c r="BG38" s="220">
        <v>120</v>
      </c>
      <c r="BH38" s="220">
        <v>0</v>
      </c>
      <c r="BI38" s="220">
        <v>0</v>
      </c>
      <c r="BJ38" s="220">
        <v>0</v>
      </c>
      <c r="BK38" s="220">
        <v>0</v>
      </c>
      <c r="BL38" s="220">
        <v>0</v>
      </c>
      <c r="BM38" s="220">
        <v>0</v>
      </c>
      <c r="BN38" s="220">
        <v>0</v>
      </c>
      <c r="BO38" s="220">
        <v>0</v>
      </c>
      <c r="BP38" s="220">
        <v>0</v>
      </c>
      <c r="BQ38" s="220">
        <v>0</v>
      </c>
      <c r="BR38" s="220">
        <v>0</v>
      </c>
      <c r="BS38" s="220">
        <v>0</v>
      </c>
      <c r="BT38" s="220">
        <v>0</v>
      </c>
      <c r="BU38" s="220">
        <v>0</v>
      </c>
      <c r="BV38" s="220">
        <v>5</v>
      </c>
      <c r="BW38" s="220">
        <v>0</v>
      </c>
      <c r="BX38" s="220">
        <v>0</v>
      </c>
      <c r="BY38" s="220">
        <v>0</v>
      </c>
      <c r="BZ38" s="220">
        <v>13</v>
      </c>
      <c r="CA38" s="220">
        <v>32</v>
      </c>
      <c r="CB38" s="220">
        <v>0</v>
      </c>
      <c r="CC38" s="220">
        <v>0</v>
      </c>
      <c r="CD38" s="220">
        <v>0</v>
      </c>
      <c r="CE38" s="220">
        <v>0</v>
      </c>
      <c r="CF38" s="220">
        <v>0</v>
      </c>
      <c r="CG38" s="220">
        <v>0</v>
      </c>
      <c r="CH38" s="220">
        <v>0</v>
      </c>
      <c r="CI38" s="220">
        <v>0</v>
      </c>
      <c r="CJ38" s="220">
        <v>0</v>
      </c>
      <c r="CK38" s="220">
        <v>0</v>
      </c>
      <c r="CL38" s="220">
        <v>0</v>
      </c>
      <c r="CM38" s="220">
        <v>0</v>
      </c>
      <c r="CN38" s="220">
        <v>0</v>
      </c>
      <c r="CO38" s="220">
        <v>0</v>
      </c>
      <c r="CP38" s="220">
        <v>0</v>
      </c>
      <c r="CQ38" s="220">
        <v>0</v>
      </c>
      <c r="CR38" s="220">
        <v>0</v>
      </c>
      <c r="CS38" s="220">
        <v>0</v>
      </c>
      <c r="CT38" s="220">
        <v>0</v>
      </c>
      <c r="CU38" s="220">
        <v>0</v>
      </c>
      <c r="CV38" s="220">
        <v>0</v>
      </c>
      <c r="CW38" s="220">
        <v>32</v>
      </c>
      <c r="CX38" s="220">
        <v>0</v>
      </c>
      <c r="CY38" s="220">
        <v>2</v>
      </c>
      <c r="CZ38" s="220">
        <v>0</v>
      </c>
      <c r="DA38" s="220">
        <v>0</v>
      </c>
      <c r="DB38" s="220">
        <v>0</v>
      </c>
      <c r="DC38" s="220">
        <v>0</v>
      </c>
      <c r="DD38" s="220">
        <v>0</v>
      </c>
      <c r="DE38" s="220">
        <v>0</v>
      </c>
      <c r="DF38" s="220">
        <v>0</v>
      </c>
      <c r="DG38" s="220">
        <v>0</v>
      </c>
      <c r="DH38" s="220">
        <v>0</v>
      </c>
      <c r="DI38" s="220">
        <v>0</v>
      </c>
      <c r="DJ38" s="220">
        <v>0</v>
      </c>
      <c r="DK38" s="220">
        <v>0</v>
      </c>
      <c r="DL38" s="220">
        <v>0</v>
      </c>
      <c r="DM38" s="220">
        <v>0</v>
      </c>
      <c r="DN38" s="220">
        <v>2611</v>
      </c>
      <c r="DO38" s="220">
        <v>0</v>
      </c>
      <c r="DP38" s="221">
        <v>3637</v>
      </c>
      <c r="DQ38" s="71">
        <f>TRP!AF160</f>
        <v>3637</v>
      </c>
      <c r="DR38" s="71">
        <f t="shared" si="3"/>
        <v>0</v>
      </c>
    </row>
    <row r="39" spans="2:122" x14ac:dyDescent="0.25">
      <c r="B39" s="218" t="s">
        <v>115</v>
      </c>
      <c r="C39" s="222" t="s">
        <v>218</v>
      </c>
      <c r="D39" s="220">
        <v>0</v>
      </c>
      <c r="E39" s="220">
        <v>0</v>
      </c>
      <c r="F39" s="220">
        <v>0</v>
      </c>
      <c r="G39" s="220">
        <v>7</v>
      </c>
      <c r="H39" s="220">
        <v>5</v>
      </c>
      <c r="I39" s="220">
        <v>5</v>
      </c>
      <c r="J39" s="220">
        <v>3</v>
      </c>
      <c r="K39" s="220">
        <v>10</v>
      </c>
      <c r="L39" s="220">
        <v>0</v>
      </c>
      <c r="M39" s="220">
        <v>2</v>
      </c>
      <c r="N39" s="220">
        <v>1</v>
      </c>
      <c r="O39" s="220">
        <v>21</v>
      </c>
      <c r="P39" s="220">
        <v>3</v>
      </c>
      <c r="Q39" s="220">
        <v>4</v>
      </c>
      <c r="R39" s="220">
        <v>3</v>
      </c>
      <c r="S39" s="220">
        <v>0</v>
      </c>
      <c r="T39" s="220">
        <v>24</v>
      </c>
      <c r="U39" s="220">
        <v>7</v>
      </c>
      <c r="V39" s="220">
        <v>20</v>
      </c>
      <c r="W39" s="220">
        <v>1</v>
      </c>
      <c r="X39" s="220">
        <v>3</v>
      </c>
      <c r="Y39" s="220">
        <v>0</v>
      </c>
      <c r="Z39" s="220">
        <v>5</v>
      </c>
      <c r="AA39" s="220">
        <v>0</v>
      </c>
      <c r="AB39" s="220">
        <v>16</v>
      </c>
      <c r="AC39" s="220">
        <v>3</v>
      </c>
      <c r="AD39" s="220">
        <v>31</v>
      </c>
      <c r="AE39" s="220">
        <v>35</v>
      </c>
      <c r="AF39" s="220">
        <v>68</v>
      </c>
      <c r="AG39" s="220">
        <v>52</v>
      </c>
      <c r="AH39" s="220">
        <v>1</v>
      </c>
      <c r="AI39" s="220">
        <v>41</v>
      </c>
      <c r="AJ39" s="220">
        <v>21</v>
      </c>
      <c r="AK39" s="220">
        <v>39</v>
      </c>
      <c r="AL39" s="220">
        <v>883</v>
      </c>
      <c r="AM39" s="220">
        <v>62</v>
      </c>
      <c r="AN39" s="220">
        <v>193</v>
      </c>
      <c r="AO39" s="220">
        <v>61</v>
      </c>
      <c r="AP39" s="220">
        <v>250</v>
      </c>
      <c r="AQ39" s="220">
        <v>0</v>
      </c>
      <c r="AR39" s="220">
        <v>0</v>
      </c>
      <c r="AS39" s="220">
        <v>22</v>
      </c>
      <c r="AT39" s="220">
        <v>53</v>
      </c>
      <c r="AU39" s="220">
        <v>2</v>
      </c>
      <c r="AV39" s="220">
        <v>5</v>
      </c>
      <c r="AW39" s="220">
        <v>2</v>
      </c>
      <c r="AX39" s="220">
        <v>33</v>
      </c>
      <c r="AY39" s="220">
        <v>2</v>
      </c>
      <c r="AZ39" s="220">
        <v>3</v>
      </c>
      <c r="BA39" s="220">
        <v>1</v>
      </c>
      <c r="BB39" s="220">
        <v>3</v>
      </c>
      <c r="BC39" s="220">
        <v>2</v>
      </c>
      <c r="BD39" s="220">
        <v>2</v>
      </c>
      <c r="BE39" s="220">
        <v>4</v>
      </c>
      <c r="BF39" s="220">
        <v>20</v>
      </c>
      <c r="BG39" s="220">
        <v>17</v>
      </c>
      <c r="BH39" s="220">
        <v>1</v>
      </c>
      <c r="BI39" s="220">
        <v>0</v>
      </c>
      <c r="BJ39" s="220">
        <v>24</v>
      </c>
      <c r="BK39" s="220">
        <v>10</v>
      </c>
      <c r="BL39" s="220">
        <v>0</v>
      </c>
      <c r="BM39" s="220">
        <v>28</v>
      </c>
      <c r="BN39" s="220">
        <v>26</v>
      </c>
      <c r="BO39" s="220">
        <v>0</v>
      </c>
      <c r="BP39" s="220">
        <v>0</v>
      </c>
      <c r="BQ39" s="220">
        <v>0</v>
      </c>
      <c r="BR39" s="220">
        <v>8</v>
      </c>
      <c r="BS39" s="220">
        <v>3</v>
      </c>
      <c r="BT39" s="220">
        <v>7</v>
      </c>
      <c r="BU39" s="220">
        <v>2</v>
      </c>
      <c r="BV39" s="220">
        <v>4</v>
      </c>
      <c r="BW39" s="220">
        <v>5</v>
      </c>
      <c r="BX39" s="220">
        <v>8</v>
      </c>
      <c r="BY39" s="220">
        <v>8</v>
      </c>
      <c r="BZ39" s="220">
        <v>241</v>
      </c>
      <c r="CA39" s="220">
        <v>218</v>
      </c>
      <c r="CB39" s="220">
        <v>0</v>
      </c>
      <c r="CC39" s="220">
        <v>0</v>
      </c>
      <c r="CD39" s="220">
        <v>0</v>
      </c>
      <c r="CE39" s="220">
        <v>0</v>
      </c>
      <c r="CF39" s="220">
        <v>0</v>
      </c>
      <c r="CG39" s="220">
        <v>0</v>
      </c>
      <c r="CH39" s="220">
        <v>0</v>
      </c>
      <c r="CI39" s="220">
        <v>2</v>
      </c>
      <c r="CJ39" s="220">
        <v>97</v>
      </c>
      <c r="CK39" s="220">
        <v>15</v>
      </c>
      <c r="CL39" s="220">
        <v>10</v>
      </c>
      <c r="CM39" s="220">
        <v>53</v>
      </c>
      <c r="CN39" s="220">
        <v>39</v>
      </c>
      <c r="CO39" s="220">
        <v>540</v>
      </c>
      <c r="CP39" s="220">
        <v>759</v>
      </c>
      <c r="CQ39" s="220">
        <v>270</v>
      </c>
      <c r="CR39" s="220">
        <v>131</v>
      </c>
      <c r="CS39" s="220">
        <v>1</v>
      </c>
      <c r="CT39" s="220">
        <v>20</v>
      </c>
      <c r="CU39" s="220">
        <v>7</v>
      </c>
      <c r="CV39" s="220">
        <v>10</v>
      </c>
      <c r="CW39" s="220">
        <v>577</v>
      </c>
      <c r="CX39" s="220">
        <v>1</v>
      </c>
      <c r="CY39" s="220">
        <v>218</v>
      </c>
      <c r="CZ39" s="220">
        <v>348</v>
      </c>
      <c r="DA39" s="220">
        <v>3</v>
      </c>
      <c r="DB39" s="220">
        <v>314</v>
      </c>
      <c r="DC39" s="220">
        <v>9</v>
      </c>
      <c r="DD39" s="220">
        <v>33</v>
      </c>
      <c r="DE39" s="220">
        <v>16</v>
      </c>
      <c r="DF39" s="220">
        <v>0</v>
      </c>
      <c r="DG39" s="220">
        <v>74</v>
      </c>
      <c r="DH39" s="220">
        <v>133</v>
      </c>
      <c r="DI39" s="220">
        <v>100</v>
      </c>
      <c r="DJ39" s="220">
        <v>35</v>
      </c>
      <c r="DK39" s="220">
        <v>6</v>
      </c>
      <c r="DL39" s="220">
        <v>29</v>
      </c>
      <c r="DM39" s="220">
        <v>76</v>
      </c>
      <c r="DN39" s="220">
        <v>477</v>
      </c>
      <c r="DO39" s="220">
        <v>0</v>
      </c>
      <c r="DP39" s="221">
        <v>7047</v>
      </c>
      <c r="DQ39" s="71">
        <f>TRP!AF161</f>
        <v>7047</v>
      </c>
      <c r="DR39" s="71">
        <f t="shared" si="3"/>
        <v>0</v>
      </c>
    </row>
    <row r="40" spans="2:122" x14ac:dyDescent="0.25">
      <c r="B40" s="218" t="s">
        <v>116</v>
      </c>
      <c r="C40" s="222" t="s">
        <v>219</v>
      </c>
      <c r="D40" s="220">
        <v>0</v>
      </c>
      <c r="E40" s="220">
        <v>0</v>
      </c>
      <c r="F40" s="220">
        <v>0</v>
      </c>
      <c r="G40" s="220">
        <v>10</v>
      </c>
      <c r="H40" s="220">
        <v>5</v>
      </c>
      <c r="I40" s="220">
        <v>18</v>
      </c>
      <c r="J40" s="220">
        <v>5</v>
      </c>
      <c r="K40" s="220">
        <v>26</v>
      </c>
      <c r="L40" s="220">
        <v>0</v>
      </c>
      <c r="M40" s="220">
        <v>0</v>
      </c>
      <c r="N40" s="220">
        <v>0</v>
      </c>
      <c r="O40" s="220">
        <v>18</v>
      </c>
      <c r="P40" s="220">
        <v>19</v>
      </c>
      <c r="Q40" s="220">
        <v>0</v>
      </c>
      <c r="R40" s="220">
        <v>37</v>
      </c>
      <c r="S40" s="220">
        <v>0</v>
      </c>
      <c r="T40" s="220">
        <v>1</v>
      </c>
      <c r="U40" s="220">
        <v>36</v>
      </c>
      <c r="V40" s="220">
        <v>42</v>
      </c>
      <c r="W40" s="220">
        <v>1</v>
      </c>
      <c r="X40" s="220">
        <v>479</v>
      </c>
      <c r="Y40" s="220">
        <v>94</v>
      </c>
      <c r="Z40" s="220">
        <v>16</v>
      </c>
      <c r="AA40" s="220">
        <v>18</v>
      </c>
      <c r="AB40" s="220">
        <v>262</v>
      </c>
      <c r="AC40" s="220">
        <v>2</v>
      </c>
      <c r="AD40" s="220">
        <v>28</v>
      </c>
      <c r="AE40" s="220">
        <v>26</v>
      </c>
      <c r="AF40" s="220">
        <v>107</v>
      </c>
      <c r="AG40" s="220">
        <v>158</v>
      </c>
      <c r="AH40" s="220">
        <v>32</v>
      </c>
      <c r="AI40" s="220">
        <v>5</v>
      </c>
      <c r="AJ40" s="220">
        <v>88</v>
      </c>
      <c r="AK40" s="220">
        <v>30</v>
      </c>
      <c r="AL40" s="220">
        <v>33</v>
      </c>
      <c r="AM40" s="220">
        <v>589</v>
      </c>
      <c r="AN40" s="220">
        <v>103</v>
      </c>
      <c r="AO40" s="220">
        <v>16</v>
      </c>
      <c r="AP40" s="220">
        <v>202</v>
      </c>
      <c r="AQ40" s="220">
        <v>0</v>
      </c>
      <c r="AR40" s="220">
        <v>2</v>
      </c>
      <c r="AS40" s="220">
        <v>4</v>
      </c>
      <c r="AT40" s="220">
        <v>7</v>
      </c>
      <c r="AU40" s="220">
        <v>4</v>
      </c>
      <c r="AV40" s="220">
        <v>2</v>
      </c>
      <c r="AW40" s="220">
        <v>0</v>
      </c>
      <c r="AX40" s="220">
        <v>7</v>
      </c>
      <c r="AY40" s="220">
        <v>44</v>
      </c>
      <c r="AZ40" s="220">
        <v>8</v>
      </c>
      <c r="BA40" s="220">
        <v>4</v>
      </c>
      <c r="BB40" s="220">
        <v>25</v>
      </c>
      <c r="BC40" s="220">
        <v>16</v>
      </c>
      <c r="BD40" s="220">
        <v>0</v>
      </c>
      <c r="BE40" s="220">
        <v>2</v>
      </c>
      <c r="BF40" s="220">
        <v>21</v>
      </c>
      <c r="BG40" s="220">
        <v>54</v>
      </c>
      <c r="BH40" s="220">
        <v>20</v>
      </c>
      <c r="BI40" s="220">
        <v>28</v>
      </c>
      <c r="BJ40" s="220">
        <v>79</v>
      </c>
      <c r="BK40" s="220">
        <v>40</v>
      </c>
      <c r="BL40" s="220">
        <v>0</v>
      </c>
      <c r="BM40" s="220">
        <v>547</v>
      </c>
      <c r="BN40" s="220">
        <v>224</v>
      </c>
      <c r="BO40" s="220">
        <v>0</v>
      </c>
      <c r="BP40" s="220">
        <v>0</v>
      </c>
      <c r="BQ40" s="220">
        <v>0</v>
      </c>
      <c r="BR40" s="220">
        <v>26</v>
      </c>
      <c r="BS40" s="220">
        <v>62</v>
      </c>
      <c r="BT40" s="220">
        <v>68</v>
      </c>
      <c r="BU40" s="220">
        <v>4</v>
      </c>
      <c r="BV40" s="220">
        <v>21</v>
      </c>
      <c r="BW40" s="220">
        <v>631</v>
      </c>
      <c r="BX40" s="220">
        <v>252</v>
      </c>
      <c r="BY40" s="220">
        <v>60</v>
      </c>
      <c r="BZ40" s="220">
        <v>115</v>
      </c>
      <c r="CA40" s="220">
        <v>53</v>
      </c>
      <c r="CB40" s="220">
        <v>1</v>
      </c>
      <c r="CC40" s="220">
        <v>4</v>
      </c>
      <c r="CD40" s="220">
        <v>3</v>
      </c>
      <c r="CE40" s="220">
        <v>5</v>
      </c>
      <c r="CF40" s="220">
        <v>5</v>
      </c>
      <c r="CG40" s="220">
        <v>7</v>
      </c>
      <c r="CH40" s="220">
        <v>0</v>
      </c>
      <c r="CI40" s="220">
        <v>7</v>
      </c>
      <c r="CJ40" s="220">
        <v>0</v>
      </c>
      <c r="CK40" s="220">
        <v>0</v>
      </c>
      <c r="CL40" s="220">
        <v>0</v>
      </c>
      <c r="CM40" s="220">
        <v>4</v>
      </c>
      <c r="CN40" s="220">
        <v>2</v>
      </c>
      <c r="CO40" s="220">
        <v>198</v>
      </c>
      <c r="CP40" s="220">
        <v>47</v>
      </c>
      <c r="CQ40" s="220">
        <v>81</v>
      </c>
      <c r="CR40" s="220">
        <v>33</v>
      </c>
      <c r="CS40" s="220">
        <v>2</v>
      </c>
      <c r="CT40" s="220">
        <v>37</v>
      </c>
      <c r="CU40" s="220">
        <v>0</v>
      </c>
      <c r="CV40" s="220">
        <v>25</v>
      </c>
      <c r="CW40" s="220">
        <v>61</v>
      </c>
      <c r="CX40" s="220">
        <v>0</v>
      </c>
      <c r="CY40" s="220">
        <v>37</v>
      </c>
      <c r="CZ40" s="220">
        <v>0</v>
      </c>
      <c r="DA40" s="220">
        <v>6</v>
      </c>
      <c r="DB40" s="220">
        <v>2</v>
      </c>
      <c r="DC40" s="220">
        <v>1</v>
      </c>
      <c r="DD40" s="220">
        <v>0</v>
      </c>
      <c r="DE40" s="220">
        <v>2</v>
      </c>
      <c r="DF40" s="220">
        <v>0</v>
      </c>
      <c r="DG40" s="220">
        <v>1</v>
      </c>
      <c r="DH40" s="220">
        <v>0</v>
      </c>
      <c r="DI40" s="220">
        <v>19</v>
      </c>
      <c r="DJ40" s="220">
        <v>0</v>
      </c>
      <c r="DK40" s="220">
        <v>0</v>
      </c>
      <c r="DL40" s="220">
        <v>2</v>
      </c>
      <c r="DM40" s="220">
        <v>0</v>
      </c>
      <c r="DN40" s="220">
        <v>0</v>
      </c>
      <c r="DO40" s="220">
        <v>0</v>
      </c>
      <c r="DP40" s="221">
        <v>5528</v>
      </c>
      <c r="DQ40" s="71">
        <f>TRP!AF162</f>
        <v>5528</v>
      </c>
      <c r="DR40" s="71">
        <f t="shared" si="3"/>
        <v>0</v>
      </c>
    </row>
    <row r="41" spans="2:122" x14ac:dyDescent="0.25">
      <c r="B41" s="218" t="s">
        <v>117</v>
      </c>
      <c r="C41" s="222" t="s">
        <v>220</v>
      </c>
      <c r="D41" s="220">
        <v>0</v>
      </c>
      <c r="E41" s="220">
        <v>0</v>
      </c>
      <c r="F41" s="220">
        <v>0</v>
      </c>
      <c r="G41" s="220">
        <v>3</v>
      </c>
      <c r="H41" s="220">
        <v>1</v>
      </c>
      <c r="I41" s="220">
        <v>1</v>
      </c>
      <c r="J41" s="220">
        <v>3</v>
      </c>
      <c r="K41" s="220">
        <v>3</v>
      </c>
      <c r="L41" s="220">
        <v>0</v>
      </c>
      <c r="M41" s="220">
        <v>1</v>
      </c>
      <c r="N41" s="220">
        <v>1</v>
      </c>
      <c r="O41" s="220">
        <v>2</v>
      </c>
      <c r="P41" s="220">
        <v>0</v>
      </c>
      <c r="Q41" s="220">
        <v>0</v>
      </c>
      <c r="R41" s="220">
        <v>14</v>
      </c>
      <c r="S41" s="220">
        <v>0</v>
      </c>
      <c r="T41" s="220">
        <v>22</v>
      </c>
      <c r="U41" s="220">
        <v>27</v>
      </c>
      <c r="V41" s="220">
        <v>44</v>
      </c>
      <c r="W41" s="220">
        <v>9</v>
      </c>
      <c r="X41" s="220">
        <v>150</v>
      </c>
      <c r="Y41" s="220">
        <v>443</v>
      </c>
      <c r="Z41" s="220">
        <v>35</v>
      </c>
      <c r="AA41" s="220">
        <v>5</v>
      </c>
      <c r="AB41" s="220">
        <v>632</v>
      </c>
      <c r="AC41" s="220">
        <v>5</v>
      </c>
      <c r="AD41" s="220">
        <v>6</v>
      </c>
      <c r="AE41" s="220">
        <v>9</v>
      </c>
      <c r="AF41" s="220">
        <v>75</v>
      </c>
      <c r="AG41" s="220">
        <v>60</v>
      </c>
      <c r="AH41" s="220">
        <v>1</v>
      </c>
      <c r="AI41" s="220">
        <v>8</v>
      </c>
      <c r="AJ41" s="220">
        <v>50</v>
      </c>
      <c r="AK41" s="220">
        <v>67</v>
      </c>
      <c r="AL41" s="220">
        <v>33</v>
      </c>
      <c r="AM41" s="220">
        <v>142</v>
      </c>
      <c r="AN41" s="220">
        <v>839</v>
      </c>
      <c r="AO41" s="220">
        <v>31</v>
      </c>
      <c r="AP41" s="220">
        <v>525</v>
      </c>
      <c r="AQ41" s="220">
        <v>0</v>
      </c>
      <c r="AR41" s="220">
        <v>0</v>
      </c>
      <c r="AS41" s="220">
        <v>10</v>
      </c>
      <c r="AT41" s="220">
        <v>61</v>
      </c>
      <c r="AU41" s="220">
        <v>2</v>
      </c>
      <c r="AV41" s="220">
        <v>2</v>
      </c>
      <c r="AW41" s="220">
        <v>2</v>
      </c>
      <c r="AX41" s="220">
        <v>7</v>
      </c>
      <c r="AY41" s="220">
        <v>1</v>
      </c>
      <c r="AZ41" s="220">
        <v>2</v>
      </c>
      <c r="BA41" s="220">
        <v>8</v>
      </c>
      <c r="BB41" s="220">
        <v>10</v>
      </c>
      <c r="BC41" s="220">
        <v>0</v>
      </c>
      <c r="BD41" s="220">
        <v>0</v>
      </c>
      <c r="BE41" s="220">
        <v>7</v>
      </c>
      <c r="BF41" s="220">
        <v>21</v>
      </c>
      <c r="BG41" s="220">
        <v>8</v>
      </c>
      <c r="BH41" s="220">
        <v>2</v>
      </c>
      <c r="BI41" s="220">
        <v>1</v>
      </c>
      <c r="BJ41" s="220">
        <v>10</v>
      </c>
      <c r="BK41" s="220">
        <v>6</v>
      </c>
      <c r="BL41" s="220">
        <v>0</v>
      </c>
      <c r="BM41" s="220">
        <v>1263</v>
      </c>
      <c r="BN41" s="220">
        <v>347</v>
      </c>
      <c r="BO41" s="220">
        <v>0</v>
      </c>
      <c r="BP41" s="220">
        <v>0</v>
      </c>
      <c r="BQ41" s="220">
        <v>0</v>
      </c>
      <c r="BR41" s="220">
        <v>0</v>
      </c>
      <c r="BS41" s="220">
        <v>10</v>
      </c>
      <c r="BT41" s="220">
        <v>35</v>
      </c>
      <c r="BU41" s="220">
        <v>1</v>
      </c>
      <c r="BV41" s="220">
        <v>9</v>
      </c>
      <c r="BW41" s="220">
        <v>62</v>
      </c>
      <c r="BX41" s="220">
        <v>26</v>
      </c>
      <c r="BY41" s="220">
        <v>31</v>
      </c>
      <c r="BZ41" s="220">
        <v>7</v>
      </c>
      <c r="CA41" s="220">
        <v>32</v>
      </c>
      <c r="CB41" s="220">
        <v>1</v>
      </c>
      <c r="CC41" s="220">
        <v>0</v>
      </c>
      <c r="CD41" s="220">
        <v>0</v>
      </c>
      <c r="CE41" s="220">
        <v>0</v>
      </c>
      <c r="CF41" s="220">
        <v>0</v>
      </c>
      <c r="CG41" s="220">
        <v>0</v>
      </c>
      <c r="CH41" s="220">
        <v>6</v>
      </c>
      <c r="CI41" s="220">
        <v>7</v>
      </c>
      <c r="CJ41" s="220">
        <v>118</v>
      </c>
      <c r="CK41" s="220">
        <v>0</v>
      </c>
      <c r="CL41" s="220">
        <v>0</v>
      </c>
      <c r="CM41" s="220">
        <v>1</v>
      </c>
      <c r="CN41" s="220">
        <v>1</v>
      </c>
      <c r="CO41" s="220">
        <v>297</v>
      </c>
      <c r="CP41" s="220">
        <v>82</v>
      </c>
      <c r="CQ41" s="220">
        <v>33</v>
      </c>
      <c r="CR41" s="220">
        <v>10</v>
      </c>
      <c r="CS41" s="220">
        <v>3</v>
      </c>
      <c r="CT41" s="220">
        <v>29</v>
      </c>
      <c r="CU41" s="220">
        <v>0</v>
      </c>
      <c r="CV41" s="220">
        <v>10</v>
      </c>
      <c r="CW41" s="220">
        <v>118</v>
      </c>
      <c r="CX41" s="220">
        <v>1</v>
      </c>
      <c r="CY41" s="220">
        <v>293</v>
      </c>
      <c r="CZ41" s="220">
        <v>0</v>
      </c>
      <c r="DA41" s="220">
        <v>3</v>
      </c>
      <c r="DB41" s="220">
        <v>50</v>
      </c>
      <c r="DC41" s="220">
        <v>2</v>
      </c>
      <c r="DD41" s="220">
        <v>0</v>
      </c>
      <c r="DE41" s="220">
        <v>1</v>
      </c>
      <c r="DF41" s="220">
        <v>0</v>
      </c>
      <c r="DG41" s="220">
        <v>9</v>
      </c>
      <c r="DH41" s="220">
        <v>0</v>
      </c>
      <c r="DI41" s="220">
        <v>4</v>
      </c>
      <c r="DJ41" s="220">
        <v>0</v>
      </c>
      <c r="DK41" s="220">
        <v>0</v>
      </c>
      <c r="DL41" s="220">
        <v>1</v>
      </c>
      <c r="DM41" s="220">
        <v>0</v>
      </c>
      <c r="DN41" s="220">
        <v>278</v>
      </c>
      <c r="DO41" s="220">
        <v>0</v>
      </c>
      <c r="DP41" s="221">
        <v>6588</v>
      </c>
      <c r="DQ41" s="71">
        <f>TRP!AF163</f>
        <v>6588</v>
      </c>
      <c r="DR41" s="71">
        <f t="shared" si="3"/>
        <v>0</v>
      </c>
    </row>
    <row r="42" spans="2:122" x14ac:dyDescent="0.25">
      <c r="B42" s="218" t="s">
        <v>118</v>
      </c>
      <c r="C42" s="222" t="s">
        <v>221</v>
      </c>
      <c r="D42" s="220">
        <v>0</v>
      </c>
      <c r="E42" s="220">
        <v>0</v>
      </c>
      <c r="F42" s="220">
        <v>0</v>
      </c>
      <c r="G42" s="220">
        <v>0</v>
      </c>
      <c r="H42" s="220">
        <v>0</v>
      </c>
      <c r="I42" s="220">
        <v>0</v>
      </c>
      <c r="J42" s="220">
        <v>0</v>
      </c>
      <c r="K42" s="220">
        <v>0</v>
      </c>
      <c r="L42" s="220">
        <v>0</v>
      </c>
      <c r="M42" s="220">
        <v>0</v>
      </c>
      <c r="N42" s="220">
        <v>0</v>
      </c>
      <c r="O42" s="220">
        <v>0</v>
      </c>
      <c r="P42" s="220">
        <v>0</v>
      </c>
      <c r="Q42" s="220">
        <v>0</v>
      </c>
      <c r="R42" s="220">
        <v>0</v>
      </c>
      <c r="S42" s="220">
        <v>0</v>
      </c>
      <c r="T42" s="220">
        <v>0</v>
      </c>
      <c r="U42" s="220">
        <v>0</v>
      </c>
      <c r="V42" s="220">
        <v>0</v>
      </c>
      <c r="W42" s="220">
        <v>0</v>
      </c>
      <c r="X42" s="220">
        <v>0</v>
      </c>
      <c r="Y42" s="220">
        <v>0</v>
      </c>
      <c r="Z42" s="220">
        <v>0</v>
      </c>
      <c r="AA42" s="220">
        <v>0</v>
      </c>
      <c r="AB42" s="220">
        <v>0</v>
      </c>
      <c r="AC42" s="220">
        <v>0</v>
      </c>
      <c r="AD42" s="220">
        <v>0</v>
      </c>
      <c r="AE42" s="220">
        <v>0</v>
      </c>
      <c r="AF42" s="220">
        <v>0</v>
      </c>
      <c r="AG42" s="220">
        <v>0</v>
      </c>
      <c r="AH42" s="220">
        <v>0</v>
      </c>
      <c r="AI42" s="220">
        <v>0</v>
      </c>
      <c r="AJ42" s="220">
        <v>0</v>
      </c>
      <c r="AK42" s="220">
        <v>0</v>
      </c>
      <c r="AL42" s="220">
        <v>0</v>
      </c>
      <c r="AM42" s="220">
        <v>0</v>
      </c>
      <c r="AN42" s="220">
        <v>0</v>
      </c>
      <c r="AO42" s="220">
        <v>111</v>
      </c>
      <c r="AP42" s="220">
        <v>0</v>
      </c>
      <c r="AQ42" s="220">
        <v>0</v>
      </c>
      <c r="AR42" s="220">
        <v>0</v>
      </c>
      <c r="AS42" s="220">
        <v>0</v>
      </c>
      <c r="AT42" s="220">
        <v>0</v>
      </c>
      <c r="AU42" s="220">
        <v>0</v>
      </c>
      <c r="AV42" s="220">
        <v>0</v>
      </c>
      <c r="AW42" s="220">
        <v>0</v>
      </c>
      <c r="AX42" s="220">
        <v>0</v>
      </c>
      <c r="AY42" s="220">
        <v>0</v>
      </c>
      <c r="AZ42" s="220">
        <v>0</v>
      </c>
      <c r="BA42" s="220">
        <v>0</v>
      </c>
      <c r="BB42" s="220">
        <v>0</v>
      </c>
      <c r="BC42" s="220">
        <v>0</v>
      </c>
      <c r="BD42" s="220">
        <v>0</v>
      </c>
      <c r="BE42" s="220">
        <v>0</v>
      </c>
      <c r="BF42" s="220">
        <v>0</v>
      </c>
      <c r="BG42" s="220">
        <v>0</v>
      </c>
      <c r="BH42" s="220">
        <v>0</v>
      </c>
      <c r="BI42" s="220">
        <v>0</v>
      </c>
      <c r="BJ42" s="220">
        <v>0</v>
      </c>
      <c r="BK42" s="220">
        <v>0</v>
      </c>
      <c r="BL42" s="220">
        <v>0</v>
      </c>
      <c r="BM42" s="220">
        <v>0</v>
      </c>
      <c r="BN42" s="220">
        <v>0</v>
      </c>
      <c r="BO42" s="220">
        <v>0</v>
      </c>
      <c r="BP42" s="220">
        <v>0</v>
      </c>
      <c r="BQ42" s="220">
        <v>0</v>
      </c>
      <c r="BR42" s="220">
        <v>0</v>
      </c>
      <c r="BS42" s="220">
        <v>0</v>
      </c>
      <c r="BT42" s="220">
        <v>0</v>
      </c>
      <c r="BU42" s="220">
        <v>0</v>
      </c>
      <c r="BV42" s="220">
        <v>0</v>
      </c>
      <c r="BW42" s="220">
        <v>0</v>
      </c>
      <c r="BX42" s="220">
        <v>0</v>
      </c>
      <c r="BY42" s="220">
        <v>0</v>
      </c>
      <c r="BZ42" s="220">
        <v>0</v>
      </c>
      <c r="CA42" s="220">
        <v>0</v>
      </c>
      <c r="CB42" s="220">
        <v>0</v>
      </c>
      <c r="CC42" s="220">
        <v>0</v>
      </c>
      <c r="CD42" s="220">
        <v>0</v>
      </c>
      <c r="CE42" s="220">
        <v>0</v>
      </c>
      <c r="CF42" s="220">
        <v>0</v>
      </c>
      <c r="CG42" s="220">
        <v>0</v>
      </c>
      <c r="CH42" s="220">
        <v>0</v>
      </c>
      <c r="CI42" s="220">
        <v>0</v>
      </c>
      <c r="CJ42" s="220">
        <v>0</v>
      </c>
      <c r="CK42" s="220">
        <v>0</v>
      </c>
      <c r="CL42" s="220">
        <v>0</v>
      </c>
      <c r="CM42" s="220">
        <v>0</v>
      </c>
      <c r="CN42" s="220">
        <v>0</v>
      </c>
      <c r="CO42" s="220">
        <v>0</v>
      </c>
      <c r="CP42" s="220">
        <v>0</v>
      </c>
      <c r="CQ42" s="220">
        <v>0</v>
      </c>
      <c r="CR42" s="220">
        <v>0</v>
      </c>
      <c r="CS42" s="220">
        <v>0</v>
      </c>
      <c r="CT42" s="220">
        <v>0</v>
      </c>
      <c r="CU42" s="220">
        <v>0</v>
      </c>
      <c r="CV42" s="220">
        <v>0</v>
      </c>
      <c r="CW42" s="220">
        <v>0</v>
      </c>
      <c r="CX42" s="220">
        <v>0</v>
      </c>
      <c r="CY42" s="220">
        <v>0</v>
      </c>
      <c r="CZ42" s="220">
        <v>0</v>
      </c>
      <c r="DA42" s="220">
        <v>0</v>
      </c>
      <c r="DB42" s="220">
        <v>0</v>
      </c>
      <c r="DC42" s="220">
        <v>0</v>
      </c>
      <c r="DD42" s="220">
        <v>17</v>
      </c>
      <c r="DE42" s="220">
        <v>0</v>
      </c>
      <c r="DF42" s="220">
        <v>0</v>
      </c>
      <c r="DG42" s="220">
        <v>0</v>
      </c>
      <c r="DH42" s="220">
        <v>0</v>
      </c>
      <c r="DI42" s="220">
        <v>185</v>
      </c>
      <c r="DJ42" s="220">
        <v>4087</v>
      </c>
      <c r="DK42" s="220">
        <v>0</v>
      </c>
      <c r="DL42" s="220">
        <v>1</v>
      </c>
      <c r="DM42" s="220">
        <v>0</v>
      </c>
      <c r="DN42" s="220">
        <v>0</v>
      </c>
      <c r="DO42" s="220">
        <v>0</v>
      </c>
      <c r="DP42" s="221">
        <v>4401</v>
      </c>
      <c r="DQ42" s="71">
        <f>TRP!AF164</f>
        <v>4401</v>
      </c>
      <c r="DR42" s="71">
        <f t="shared" si="3"/>
        <v>0</v>
      </c>
    </row>
    <row r="43" spans="2:122" x14ac:dyDescent="0.25">
      <c r="B43" s="218" t="s">
        <v>119</v>
      </c>
      <c r="C43" s="222" t="s">
        <v>222</v>
      </c>
      <c r="D43" s="220">
        <v>0</v>
      </c>
      <c r="E43" s="220">
        <v>0</v>
      </c>
      <c r="F43" s="220">
        <v>0</v>
      </c>
      <c r="G43" s="220">
        <v>2</v>
      </c>
      <c r="H43" s="220">
        <v>2</v>
      </c>
      <c r="I43" s="220">
        <v>2</v>
      </c>
      <c r="J43" s="220">
        <v>2</v>
      </c>
      <c r="K43" s="220">
        <v>2</v>
      </c>
      <c r="L43" s="220">
        <v>0</v>
      </c>
      <c r="M43" s="220">
        <v>4</v>
      </c>
      <c r="N43" s="220">
        <v>2</v>
      </c>
      <c r="O43" s="220">
        <v>38</v>
      </c>
      <c r="P43" s="220">
        <v>21</v>
      </c>
      <c r="Q43" s="220">
        <v>10</v>
      </c>
      <c r="R43" s="220">
        <v>2</v>
      </c>
      <c r="S43" s="220">
        <v>0</v>
      </c>
      <c r="T43" s="220">
        <v>3</v>
      </c>
      <c r="U43" s="220">
        <v>89</v>
      </c>
      <c r="V43" s="220">
        <v>75</v>
      </c>
      <c r="W43" s="220">
        <v>11</v>
      </c>
      <c r="X43" s="220">
        <v>925</v>
      </c>
      <c r="Y43" s="220">
        <v>237</v>
      </c>
      <c r="Z43" s="220">
        <v>118</v>
      </c>
      <c r="AA43" s="220">
        <v>25</v>
      </c>
      <c r="AB43" s="220">
        <v>4019</v>
      </c>
      <c r="AC43" s="220">
        <v>7</v>
      </c>
      <c r="AD43" s="220">
        <v>47</v>
      </c>
      <c r="AE43" s="220">
        <v>19</v>
      </c>
      <c r="AF43" s="220">
        <v>155</v>
      </c>
      <c r="AG43" s="220">
        <v>180</v>
      </c>
      <c r="AH43" s="220">
        <v>35</v>
      </c>
      <c r="AI43" s="220">
        <v>19</v>
      </c>
      <c r="AJ43" s="220">
        <v>58</v>
      </c>
      <c r="AK43" s="220">
        <v>94</v>
      </c>
      <c r="AL43" s="220">
        <v>43</v>
      </c>
      <c r="AM43" s="220">
        <v>55</v>
      </c>
      <c r="AN43" s="220">
        <v>454</v>
      </c>
      <c r="AO43" s="220">
        <v>41</v>
      </c>
      <c r="AP43" s="220">
        <v>1126</v>
      </c>
      <c r="AQ43" s="220">
        <v>0</v>
      </c>
      <c r="AR43" s="220">
        <v>0</v>
      </c>
      <c r="AS43" s="220">
        <v>3</v>
      </c>
      <c r="AT43" s="220">
        <v>85</v>
      </c>
      <c r="AU43" s="220">
        <v>5</v>
      </c>
      <c r="AV43" s="220">
        <v>3</v>
      </c>
      <c r="AW43" s="220">
        <v>2</v>
      </c>
      <c r="AX43" s="220">
        <v>2</v>
      </c>
      <c r="AY43" s="220">
        <v>0</v>
      </c>
      <c r="AZ43" s="220">
        <v>0</v>
      </c>
      <c r="BA43" s="220">
        <v>13</v>
      </c>
      <c r="BB43" s="220">
        <v>22</v>
      </c>
      <c r="BC43" s="220">
        <v>9</v>
      </c>
      <c r="BD43" s="220">
        <v>0</v>
      </c>
      <c r="BE43" s="220">
        <v>8</v>
      </c>
      <c r="BF43" s="220">
        <v>37</v>
      </c>
      <c r="BG43" s="220">
        <v>80</v>
      </c>
      <c r="BH43" s="220">
        <v>20</v>
      </c>
      <c r="BI43" s="220">
        <v>31</v>
      </c>
      <c r="BJ43" s="220">
        <v>82</v>
      </c>
      <c r="BK43" s="220">
        <v>43</v>
      </c>
      <c r="BL43" s="220">
        <v>0</v>
      </c>
      <c r="BM43" s="220">
        <v>497</v>
      </c>
      <c r="BN43" s="220">
        <v>896</v>
      </c>
      <c r="BO43" s="220">
        <v>0</v>
      </c>
      <c r="BP43" s="220">
        <v>0</v>
      </c>
      <c r="BQ43" s="220">
        <v>0</v>
      </c>
      <c r="BR43" s="220">
        <v>10</v>
      </c>
      <c r="BS43" s="220">
        <v>25</v>
      </c>
      <c r="BT43" s="220">
        <v>105</v>
      </c>
      <c r="BU43" s="220">
        <v>4</v>
      </c>
      <c r="BV43" s="220">
        <v>18</v>
      </c>
      <c r="BW43" s="220">
        <v>317</v>
      </c>
      <c r="BX43" s="220">
        <v>134</v>
      </c>
      <c r="BY43" s="220">
        <v>41</v>
      </c>
      <c r="BZ43" s="220">
        <v>72</v>
      </c>
      <c r="CA43" s="220">
        <v>77</v>
      </c>
      <c r="CB43" s="220">
        <v>0</v>
      </c>
      <c r="CC43" s="220">
        <v>1</v>
      </c>
      <c r="CD43" s="220">
        <v>2</v>
      </c>
      <c r="CE43" s="220">
        <v>0</v>
      </c>
      <c r="CF43" s="220">
        <v>1</v>
      </c>
      <c r="CG43" s="220">
        <v>1</v>
      </c>
      <c r="CH43" s="220">
        <v>2</v>
      </c>
      <c r="CI43" s="220">
        <v>9</v>
      </c>
      <c r="CJ43" s="220">
        <v>24</v>
      </c>
      <c r="CK43" s="220">
        <v>0</v>
      </c>
      <c r="CL43" s="220">
        <v>0</v>
      </c>
      <c r="CM43" s="220">
        <v>18</v>
      </c>
      <c r="CN43" s="220">
        <v>8</v>
      </c>
      <c r="CO43" s="220">
        <v>191</v>
      </c>
      <c r="CP43" s="220">
        <v>211</v>
      </c>
      <c r="CQ43" s="220">
        <v>56</v>
      </c>
      <c r="CR43" s="220">
        <v>49</v>
      </c>
      <c r="CS43" s="220">
        <v>16</v>
      </c>
      <c r="CT43" s="220">
        <v>66</v>
      </c>
      <c r="CU43" s="220">
        <v>12</v>
      </c>
      <c r="CV43" s="220">
        <v>5</v>
      </c>
      <c r="CW43" s="220">
        <v>163</v>
      </c>
      <c r="CX43" s="220">
        <v>1</v>
      </c>
      <c r="CY43" s="220">
        <v>550</v>
      </c>
      <c r="CZ43" s="220">
        <v>22</v>
      </c>
      <c r="DA43" s="220">
        <v>15</v>
      </c>
      <c r="DB43" s="220">
        <v>295</v>
      </c>
      <c r="DC43" s="220">
        <v>12</v>
      </c>
      <c r="DD43" s="220">
        <v>0</v>
      </c>
      <c r="DE43" s="220">
        <v>6</v>
      </c>
      <c r="DF43" s="220">
        <v>0</v>
      </c>
      <c r="DG43" s="220">
        <v>53</v>
      </c>
      <c r="DH43" s="220">
        <v>0</v>
      </c>
      <c r="DI43" s="220">
        <v>27</v>
      </c>
      <c r="DJ43" s="220">
        <v>0</v>
      </c>
      <c r="DK43" s="220">
        <v>11</v>
      </c>
      <c r="DL43" s="220">
        <v>60</v>
      </c>
      <c r="DM43" s="220">
        <v>0</v>
      </c>
      <c r="DN43" s="220">
        <v>51</v>
      </c>
      <c r="DO43" s="220">
        <v>0</v>
      </c>
      <c r="DP43" s="221">
        <v>12501</v>
      </c>
      <c r="DQ43" s="71">
        <f>TRP!AF165</f>
        <v>12501</v>
      </c>
      <c r="DR43" s="71">
        <f t="shared" si="3"/>
        <v>0</v>
      </c>
    </row>
    <row r="44" spans="2:122" x14ac:dyDescent="0.25">
      <c r="B44" s="218" t="s">
        <v>120</v>
      </c>
      <c r="C44" s="222" t="s">
        <v>223</v>
      </c>
      <c r="D44" s="220">
        <v>0</v>
      </c>
      <c r="E44" s="220">
        <v>0</v>
      </c>
      <c r="F44" s="220">
        <v>0</v>
      </c>
      <c r="G44" s="220">
        <v>0</v>
      </c>
      <c r="H44" s="220">
        <v>0</v>
      </c>
      <c r="I44" s="220">
        <v>0</v>
      </c>
      <c r="J44" s="220">
        <v>0</v>
      </c>
      <c r="K44" s="220">
        <v>0</v>
      </c>
      <c r="L44" s="220">
        <v>0</v>
      </c>
      <c r="M44" s="220">
        <v>0</v>
      </c>
      <c r="N44" s="220">
        <v>0</v>
      </c>
      <c r="O44" s="220">
        <v>0</v>
      </c>
      <c r="P44" s="220">
        <v>0</v>
      </c>
      <c r="Q44" s="220">
        <v>0</v>
      </c>
      <c r="R44" s="220">
        <v>0</v>
      </c>
      <c r="S44" s="220">
        <v>2</v>
      </c>
      <c r="T44" s="220">
        <v>0</v>
      </c>
      <c r="U44" s="220">
        <v>0</v>
      </c>
      <c r="V44" s="220">
        <v>0</v>
      </c>
      <c r="W44" s="220">
        <v>0</v>
      </c>
      <c r="X44" s="220">
        <v>0</v>
      </c>
      <c r="Y44" s="220">
        <v>0</v>
      </c>
      <c r="Z44" s="220">
        <v>0</v>
      </c>
      <c r="AA44" s="220">
        <v>0</v>
      </c>
      <c r="AB44" s="220">
        <v>0</v>
      </c>
      <c r="AC44" s="220">
        <v>0</v>
      </c>
      <c r="AD44" s="220">
        <v>0</v>
      </c>
      <c r="AE44" s="220">
        <v>0</v>
      </c>
      <c r="AF44" s="220">
        <v>0</v>
      </c>
      <c r="AG44" s="220">
        <v>0</v>
      </c>
      <c r="AH44" s="220">
        <v>0</v>
      </c>
      <c r="AI44" s="220">
        <v>0</v>
      </c>
      <c r="AJ44" s="220">
        <v>0</v>
      </c>
      <c r="AK44" s="220">
        <v>0</v>
      </c>
      <c r="AL44" s="220">
        <v>0</v>
      </c>
      <c r="AM44" s="220">
        <v>0</v>
      </c>
      <c r="AN44" s="220">
        <v>0</v>
      </c>
      <c r="AO44" s="220">
        <v>0</v>
      </c>
      <c r="AP44" s="220">
        <v>0</v>
      </c>
      <c r="AQ44" s="220">
        <v>4</v>
      </c>
      <c r="AR44" s="220">
        <v>0</v>
      </c>
      <c r="AS44" s="220">
        <v>4</v>
      </c>
      <c r="AT44" s="220">
        <v>10</v>
      </c>
      <c r="AU44" s="220">
        <v>0</v>
      </c>
      <c r="AV44" s="220">
        <v>0</v>
      </c>
      <c r="AW44" s="220">
        <v>0</v>
      </c>
      <c r="AX44" s="220">
        <v>0</v>
      </c>
      <c r="AY44" s="220">
        <v>0</v>
      </c>
      <c r="AZ44" s="220">
        <v>0</v>
      </c>
      <c r="BA44" s="220">
        <v>6</v>
      </c>
      <c r="BB44" s="220">
        <v>0</v>
      </c>
      <c r="BC44" s="220">
        <v>0</v>
      </c>
      <c r="BD44" s="220">
        <v>0</v>
      </c>
      <c r="BE44" s="220">
        <v>0</v>
      </c>
      <c r="BF44" s="220">
        <v>0</v>
      </c>
      <c r="BG44" s="220">
        <v>1097</v>
      </c>
      <c r="BH44" s="220">
        <v>904</v>
      </c>
      <c r="BI44" s="220">
        <v>8</v>
      </c>
      <c r="BJ44" s="220">
        <v>6</v>
      </c>
      <c r="BK44" s="220">
        <v>10</v>
      </c>
      <c r="BL44" s="220">
        <v>0</v>
      </c>
      <c r="BM44" s="220">
        <v>0</v>
      </c>
      <c r="BN44" s="220">
        <v>0</v>
      </c>
      <c r="BO44" s="220">
        <v>0</v>
      </c>
      <c r="BP44" s="220">
        <v>0</v>
      </c>
      <c r="BQ44" s="220">
        <v>0</v>
      </c>
      <c r="BR44" s="220">
        <v>0</v>
      </c>
      <c r="BS44" s="220">
        <v>0</v>
      </c>
      <c r="BT44" s="220">
        <v>0</v>
      </c>
      <c r="BU44" s="220">
        <v>0</v>
      </c>
      <c r="BV44" s="220">
        <v>0</v>
      </c>
      <c r="BW44" s="220">
        <v>0</v>
      </c>
      <c r="BX44" s="220">
        <v>0</v>
      </c>
      <c r="BY44" s="220">
        <v>0</v>
      </c>
      <c r="BZ44" s="220">
        <v>0</v>
      </c>
      <c r="CA44" s="220">
        <v>0</v>
      </c>
      <c r="CB44" s="220">
        <v>0</v>
      </c>
      <c r="CC44" s="220">
        <v>0</v>
      </c>
      <c r="CD44" s="220">
        <v>0</v>
      </c>
      <c r="CE44" s="220">
        <v>0</v>
      </c>
      <c r="CF44" s="220">
        <v>0</v>
      </c>
      <c r="CG44" s="220">
        <v>0</v>
      </c>
      <c r="CH44" s="220">
        <v>0</v>
      </c>
      <c r="CI44" s="220">
        <v>0</v>
      </c>
      <c r="CJ44" s="220">
        <v>0</v>
      </c>
      <c r="CK44" s="220">
        <v>0</v>
      </c>
      <c r="CL44" s="220">
        <v>0</v>
      </c>
      <c r="CM44" s="220">
        <v>0</v>
      </c>
      <c r="CN44" s="220">
        <v>0</v>
      </c>
      <c r="CO44" s="220">
        <v>0</v>
      </c>
      <c r="CP44" s="220">
        <v>0</v>
      </c>
      <c r="CQ44" s="220">
        <v>0</v>
      </c>
      <c r="CR44" s="220">
        <v>0</v>
      </c>
      <c r="CS44" s="220">
        <v>0</v>
      </c>
      <c r="CT44" s="220">
        <v>0</v>
      </c>
      <c r="CU44" s="220">
        <v>0</v>
      </c>
      <c r="CV44" s="220">
        <v>0</v>
      </c>
      <c r="CW44" s="220">
        <v>0</v>
      </c>
      <c r="CX44" s="220">
        <v>0</v>
      </c>
      <c r="CY44" s="220">
        <v>2</v>
      </c>
      <c r="CZ44" s="220">
        <v>0</v>
      </c>
      <c r="DA44" s="220">
        <v>0</v>
      </c>
      <c r="DB44" s="220">
        <v>0</v>
      </c>
      <c r="DC44" s="220">
        <v>0</v>
      </c>
      <c r="DD44" s="220">
        <v>0</v>
      </c>
      <c r="DE44" s="220">
        <v>0</v>
      </c>
      <c r="DF44" s="220">
        <v>0</v>
      </c>
      <c r="DG44" s="220">
        <v>0</v>
      </c>
      <c r="DH44" s="220">
        <v>0</v>
      </c>
      <c r="DI44" s="220">
        <v>0</v>
      </c>
      <c r="DJ44" s="220">
        <v>0</v>
      </c>
      <c r="DK44" s="220">
        <v>0</v>
      </c>
      <c r="DL44" s="220">
        <v>0</v>
      </c>
      <c r="DM44" s="220">
        <v>0</v>
      </c>
      <c r="DN44" s="220">
        <v>0</v>
      </c>
      <c r="DO44" s="220">
        <v>0</v>
      </c>
      <c r="DP44" s="221">
        <v>2053</v>
      </c>
      <c r="DQ44" s="71">
        <f>TRP!AF166</f>
        <v>2053</v>
      </c>
      <c r="DR44" s="71">
        <f t="shared" si="3"/>
        <v>0</v>
      </c>
    </row>
    <row r="45" spans="2:122" x14ac:dyDescent="0.25">
      <c r="B45" s="218" t="s">
        <v>121</v>
      </c>
      <c r="C45" s="222" t="s">
        <v>224</v>
      </c>
      <c r="D45" s="220">
        <v>164</v>
      </c>
      <c r="E45" s="220">
        <v>0</v>
      </c>
      <c r="F45" s="220">
        <v>8</v>
      </c>
      <c r="G45" s="220">
        <v>35</v>
      </c>
      <c r="H45" s="220">
        <v>0</v>
      </c>
      <c r="I45" s="220">
        <v>0</v>
      </c>
      <c r="J45" s="220">
        <v>14</v>
      </c>
      <c r="K45" s="220">
        <v>72</v>
      </c>
      <c r="L45" s="220">
        <v>0</v>
      </c>
      <c r="M45" s="220">
        <v>0</v>
      </c>
      <c r="N45" s="220">
        <v>0</v>
      </c>
      <c r="O45" s="220">
        <v>0</v>
      </c>
      <c r="P45" s="220">
        <v>0</v>
      </c>
      <c r="Q45" s="220">
        <v>70</v>
      </c>
      <c r="R45" s="220">
        <v>21</v>
      </c>
      <c r="S45" s="220">
        <v>0</v>
      </c>
      <c r="T45" s="220">
        <v>0</v>
      </c>
      <c r="U45" s="220">
        <v>0</v>
      </c>
      <c r="V45" s="220">
        <v>0</v>
      </c>
      <c r="W45" s="220">
        <v>0</v>
      </c>
      <c r="X45" s="220">
        <v>0</v>
      </c>
      <c r="Y45" s="220">
        <v>0</v>
      </c>
      <c r="Z45" s="220">
        <v>0</v>
      </c>
      <c r="AA45" s="220">
        <v>0</v>
      </c>
      <c r="AB45" s="220">
        <v>0</v>
      </c>
      <c r="AC45" s="220">
        <v>0</v>
      </c>
      <c r="AD45" s="220">
        <v>48</v>
      </c>
      <c r="AE45" s="220">
        <v>45</v>
      </c>
      <c r="AF45" s="220">
        <v>7</v>
      </c>
      <c r="AG45" s="220">
        <v>43</v>
      </c>
      <c r="AH45" s="220">
        <v>2</v>
      </c>
      <c r="AI45" s="220">
        <v>1</v>
      </c>
      <c r="AJ45" s="220">
        <v>6</v>
      </c>
      <c r="AK45" s="220">
        <v>0</v>
      </c>
      <c r="AL45" s="220">
        <v>1</v>
      </c>
      <c r="AM45" s="220">
        <v>8</v>
      </c>
      <c r="AN45" s="220">
        <v>7</v>
      </c>
      <c r="AO45" s="220">
        <v>8</v>
      </c>
      <c r="AP45" s="220">
        <v>16</v>
      </c>
      <c r="AQ45" s="220">
        <v>0</v>
      </c>
      <c r="AR45" s="220">
        <v>274</v>
      </c>
      <c r="AS45" s="220">
        <v>258</v>
      </c>
      <c r="AT45" s="220">
        <v>1734</v>
      </c>
      <c r="AU45" s="220">
        <v>0</v>
      </c>
      <c r="AV45" s="220">
        <v>0</v>
      </c>
      <c r="AW45" s="220">
        <v>0</v>
      </c>
      <c r="AX45" s="220">
        <v>2</v>
      </c>
      <c r="AY45" s="220">
        <v>96</v>
      </c>
      <c r="AZ45" s="220">
        <v>90</v>
      </c>
      <c r="BA45" s="220">
        <v>567</v>
      </c>
      <c r="BB45" s="220">
        <v>31</v>
      </c>
      <c r="BC45" s="220">
        <v>135</v>
      </c>
      <c r="BD45" s="220">
        <v>0</v>
      </c>
      <c r="BE45" s="220">
        <v>30</v>
      </c>
      <c r="BF45" s="220">
        <v>45</v>
      </c>
      <c r="BG45" s="220">
        <v>95</v>
      </c>
      <c r="BH45" s="220">
        <v>140</v>
      </c>
      <c r="BI45" s="220">
        <v>127</v>
      </c>
      <c r="BJ45" s="220">
        <v>21</v>
      </c>
      <c r="BK45" s="220">
        <v>44</v>
      </c>
      <c r="BL45" s="220">
        <v>0</v>
      </c>
      <c r="BM45" s="220">
        <v>35</v>
      </c>
      <c r="BN45" s="220">
        <v>6</v>
      </c>
      <c r="BO45" s="220">
        <v>0</v>
      </c>
      <c r="BP45" s="220">
        <v>0</v>
      </c>
      <c r="BQ45" s="220">
        <v>0</v>
      </c>
      <c r="BR45" s="220">
        <v>0</v>
      </c>
      <c r="BS45" s="220">
        <v>0</v>
      </c>
      <c r="BT45" s="220">
        <v>0</v>
      </c>
      <c r="BU45" s="220">
        <v>4</v>
      </c>
      <c r="BV45" s="220">
        <v>34</v>
      </c>
      <c r="BW45" s="220">
        <v>1955</v>
      </c>
      <c r="BX45" s="220">
        <v>544</v>
      </c>
      <c r="BY45" s="220">
        <v>12</v>
      </c>
      <c r="BZ45" s="220">
        <v>8</v>
      </c>
      <c r="CA45" s="220">
        <v>14</v>
      </c>
      <c r="CB45" s="220">
        <v>0</v>
      </c>
      <c r="CC45" s="220">
        <v>0</v>
      </c>
      <c r="CD45" s="220">
        <v>0</v>
      </c>
      <c r="CE45" s="220">
        <v>0</v>
      </c>
      <c r="CF45" s="220">
        <v>0</v>
      </c>
      <c r="CG45" s="220">
        <v>0</v>
      </c>
      <c r="CH45" s="220">
        <v>0</v>
      </c>
      <c r="CI45" s="220">
        <v>0</v>
      </c>
      <c r="CJ45" s="220">
        <v>12</v>
      </c>
      <c r="CK45" s="220">
        <v>0</v>
      </c>
      <c r="CL45" s="220">
        <v>0</v>
      </c>
      <c r="CM45" s="220">
        <v>0</v>
      </c>
      <c r="CN45" s="220">
        <v>0</v>
      </c>
      <c r="CO45" s="220">
        <v>15</v>
      </c>
      <c r="CP45" s="220">
        <v>0</v>
      </c>
      <c r="CQ45" s="220">
        <v>0</v>
      </c>
      <c r="CR45" s="220">
        <v>0</v>
      </c>
      <c r="CS45" s="220">
        <v>0</v>
      </c>
      <c r="CT45" s="220">
        <v>0</v>
      </c>
      <c r="CU45" s="220">
        <v>0</v>
      </c>
      <c r="CV45" s="220">
        <v>0</v>
      </c>
      <c r="CW45" s="220">
        <v>0</v>
      </c>
      <c r="CX45" s="220">
        <v>7</v>
      </c>
      <c r="CY45" s="220">
        <v>20</v>
      </c>
      <c r="CZ45" s="220">
        <v>0</v>
      </c>
      <c r="DA45" s="220">
        <v>0</v>
      </c>
      <c r="DB45" s="220">
        <v>0</v>
      </c>
      <c r="DC45" s="220">
        <v>0</v>
      </c>
      <c r="DD45" s="220">
        <v>0</v>
      </c>
      <c r="DE45" s="220">
        <v>0</v>
      </c>
      <c r="DF45" s="220">
        <v>0</v>
      </c>
      <c r="DG45" s="220">
        <v>0</v>
      </c>
      <c r="DH45" s="220">
        <v>0</v>
      </c>
      <c r="DI45" s="220">
        <v>0</v>
      </c>
      <c r="DJ45" s="220">
        <v>0</v>
      </c>
      <c r="DK45" s="220">
        <v>0</v>
      </c>
      <c r="DL45" s="220">
        <v>0</v>
      </c>
      <c r="DM45" s="220">
        <v>0</v>
      </c>
      <c r="DN45" s="220">
        <v>0</v>
      </c>
      <c r="DO45" s="220">
        <v>0</v>
      </c>
      <c r="DP45" s="221">
        <v>6931</v>
      </c>
      <c r="DQ45" s="71">
        <f>TRP!AF167</f>
        <v>6931</v>
      </c>
      <c r="DR45" s="71">
        <f t="shared" si="3"/>
        <v>0</v>
      </c>
    </row>
    <row r="46" spans="2:122" x14ac:dyDescent="0.25">
      <c r="B46" s="218" t="s">
        <v>122</v>
      </c>
      <c r="C46" s="222" t="s">
        <v>225</v>
      </c>
      <c r="D46" s="220">
        <v>323</v>
      </c>
      <c r="E46" s="220">
        <v>0</v>
      </c>
      <c r="F46" s="220">
        <v>0</v>
      </c>
      <c r="G46" s="220">
        <v>1</v>
      </c>
      <c r="H46" s="220">
        <v>18</v>
      </c>
      <c r="I46" s="220">
        <v>580</v>
      </c>
      <c r="J46" s="220">
        <v>0</v>
      </c>
      <c r="K46" s="220">
        <v>242</v>
      </c>
      <c r="L46" s="220">
        <v>0</v>
      </c>
      <c r="M46" s="220">
        <v>0</v>
      </c>
      <c r="N46" s="220">
        <v>0</v>
      </c>
      <c r="O46" s="220">
        <v>0</v>
      </c>
      <c r="P46" s="220">
        <v>184</v>
      </c>
      <c r="Q46" s="220">
        <v>141</v>
      </c>
      <c r="R46" s="220">
        <v>225</v>
      </c>
      <c r="S46" s="220">
        <v>1</v>
      </c>
      <c r="T46" s="220">
        <v>20</v>
      </c>
      <c r="U46" s="220">
        <v>14</v>
      </c>
      <c r="V46" s="220">
        <v>8</v>
      </c>
      <c r="W46" s="220">
        <v>34</v>
      </c>
      <c r="X46" s="220">
        <v>452</v>
      </c>
      <c r="Y46" s="220">
        <v>291</v>
      </c>
      <c r="Z46" s="220">
        <v>8</v>
      </c>
      <c r="AA46" s="220">
        <v>12</v>
      </c>
      <c r="AB46" s="220">
        <v>38</v>
      </c>
      <c r="AC46" s="220">
        <v>5</v>
      </c>
      <c r="AD46" s="220">
        <v>168</v>
      </c>
      <c r="AE46" s="220">
        <v>0</v>
      </c>
      <c r="AF46" s="220">
        <v>43</v>
      </c>
      <c r="AG46" s="220">
        <v>27</v>
      </c>
      <c r="AH46" s="220">
        <v>0</v>
      </c>
      <c r="AI46" s="220">
        <v>0</v>
      </c>
      <c r="AJ46" s="220">
        <v>10</v>
      </c>
      <c r="AK46" s="220">
        <v>1</v>
      </c>
      <c r="AL46" s="220">
        <v>1</v>
      </c>
      <c r="AM46" s="220">
        <v>0</v>
      </c>
      <c r="AN46" s="220">
        <v>113</v>
      </c>
      <c r="AO46" s="220">
        <v>79</v>
      </c>
      <c r="AP46" s="220">
        <v>140</v>
      </c>
      <c r="AQ46" s="220">
        <v>0</v>
      </c>
      <c r="AR46" s="220">
        <v>6</v>
      </c>
      <c r="AS46" s="220">
        <v>340</v>
      </c>
      <c r="AT46" s="220">
        <v>73</v>
      </c>
      <c r="AU46" s="220">
        <v>4</v>
      </c>
      <c r="AV46" s="220">
        <v>4</v>
      </c>
      <c r="AW46" s="220">
        <v>1</v>
      </c>
      <c r="AX46" s="220">
        <v>32</v>
      </c>
      <c r="AY46" s="220">
        <v>36</v>
      </c>
      <c r="AZ46" s="220">
        <v>9</v>
      </c>
      <c r="BA46" s="220">
        <v>6</v>
      </c>
      <c r="BB46" s="220">
        <v>34</v>
      </c>
      <c r="BC46" s="220">
        <v>30</v>
      </c>
      <c r="BD46" s="220">
        <v>0</v>
      </c>
      <c r="BE46" s="220">
        <v>8</v>
      </c>
      <c r="BF46" s="220">
        <v>95</v>
      </c>
      <c r="BG46" s="220">
        <v>7</v>
      </c>
      <c r="BH46" s="220">
        <v>2</v>
      </c>
      <c r="BI46" s="220">
        <v>1</v>
      </c>
      <c r="BJ46" s="220">
        <v>24</v>
      </c>
      <c r="BK46" s="220">
        <v>5</v>
      </c>
      <c r="BL46" s="220">
        <v>0</v>
      </c>
      <c r="BM46" s="220">
        <v>141</v>
      </c>
      <c r="BN46" s="220">
        <v>123</v>
      </c>
      <c r="BO46" s="220">
        <v>0</v>
      </c>
      <c r="BP46" s="220">
        <v>0</v>
      </c>
      <c r="BQ46" s="220">
        <v>0</v>
      </c>
      <c r="BR46" s="220">
        <v>0</v>
      </c>
      <c r="BS46" s="220">
        <v>0</v>
      </c>
      <c r="BT46" s="220">
        <v>0</v>
      </c>
      <c r="BU46" s="220">
        <v>0</v>
      </c>
      <c r="BV46" s="220">
        <v>0</v>
      </c>
      <c r="BW46" s="220">
        <v>459</v>
      </c>
      <c r="BX46" s="220">
        <v>154</v>
      </c>
      <c r="BY46" s="220">
        <v>16</v>
      </c>
      <c r="BZ46" s="220">
        <v>92</v>
      </c>
      <c r="CA46" s="220">
        <v>90</v>
      </c>
      <c r="CB46" s="220">
        <v>2</v>
      </c>
      <c r="CC46" s="220">
        <v>0</v>
      </c>
      <c r="CD46" s="220">
        <v>1</v>
      </c>
      <c r="CE46" s="220">
        <v>3</v>
      </c>
      <c r="CF46" s="220">
        <v>2</v>
      </c>
      <c r="CG46" s="220">
        <v>63</v>
      </c>
      <c r="CH46" s="220">
        <v>0</v>
      </c>
      <c r="CI46" s="220">
        <v>34</v>
      </c>
      <c r="CJ46" s="220">
        <v>0</v>
      </c>
      <c r="CK46" s="220">
        <v>0</v>
      </c>
      <c r="CL46" s="220">
        <v>0</v>
      </c>
      <c r="CM46" s="220">
        <v>0</v>
      </c>
      <c r="CN46" s="220">
        <v>0</v>
      </c>
      <c r="CO46" s="220">
        <v>13</v>
      </c>
      <c r="CP46" s="220">
        <v>15</v>
      </c>
      <c r="CQ46" s="220">
        <v>10</v>
      </c>
      <c r="CR46" s="220">
        <v>19</v>
      </c>
      <c r="CS46" s="220">
        <v>3</v>
      </c>
      <c r="CT46" s="220">
        <v>13</v>
      </c>
      <c r="CU46" s="220">
        <v>9</v>
      </c>
      <c r="CV46" s="220">
        <v>16</v>
      </c>
      <c r="CW46" s="220">
        <v>71</v>
      </c>
      <c r="CX46" s="220">
        <v>1</v>
      </c>
      <c r="CY46" s="220">
        <v>15</v>
      </c>
      <c r="CZ46" s="220">
        <v>207</v>
      </c>
      <c r="DA46" s="220">
        <v>43</v>
      </c>
      <c r="DB46" s="220">
        <v>2</v>
      </c>
      <c r="DC46" s="220">
        <v>37</v>
      </c>
      <c r="DD46" s="220">
        <v>0</v>
      </c>
      <c r="DE46" s="220">
        <v>2</v>
      </c>
      <c r="DF46" s="220">
        <v>0</v>
      </c>
      <c r="DG46" s="220">
        <v>18</v>
      </c>
      <c r="DH46" s="220">
        <v>124</v>
      </c>
      <c r="DI46" s="220">
        <v>24</v>
      </c>
      <c r="DJ46" s="220">
        <v>0</v>
      </c>
      <c r="DK46" s="220">
        <v>0</v>
      </c>
      <c r="DL46" s="220">
        <v>1</v>
      </c>
      <c r="DM46" s="220">
        <v>0</v>
      </c>
      <c r="DN46" s="220">
        <v>3</v>
      </c>
      <c r="DO46" s="220">
        <v>0</v>
      </c>
      <c r="DP46" s="221">
        <v>5722</v>
      </c>
      <c r="DQ46" s="71">
        <f>TRP!AF168</f>
        <v>5722</v>
      </c>
      <c r="DR46" s="71">
        <f t="shared" si="3"/>
        <v>0</v>
      </c>
    </row>
    <row r="47" spans="2:122" x14ac:dyDescent="0.25">
      <c r="B47" s="218" t="s">
        <v>123</v>
      </c>
      <c r="C47" s="222" t="s">
        <v>226</v>
      </c>
      <c r="D47" s="220">
        <v>61</v>
      </c>
      <c r="E47" s="220">
        <v>0</v>
      </c>
      <c r="F47" s="220">
        <v>0</v>
      </c>
      <c r="G47" s="220">
        <v>6</v>
      </c>
      <c r="H47" s="220">
        <v>6</v>
      </c>
      <c r="I47" s="220">
        <v>6</v>
      </c>
      <c r="J47" s="220">
        <v>0</v>
      </c>
      <c r="K47" s="220">
        <v>33</v>
      </c>
      <c r="L47" s="220">
        <v>0</v>
      </c>
      <c r="M47" s="220">
        <v>30</v>
      </c>
      <c r="N47" s="220">
        <v>3</v>
      </c>
      <c r="O47" s="220">
        <v>9</v>
      </c>
      <c r="P47" s="220">
        <v>71</v>
      </c>
      <c r="Q47" s="220">
        <v>53</v>
      </c>
      <c r="R47" s="220">
        <v>70</v>
      </c>
      <c r="S47" s="220">
        <v>2</v>
      </c>
      <c r="T47" s="220">
        <v>29</v>
      </c>
      <c r="U47" s="220">
        <v>16</v>
      </c>
      <c r="V47" s="220">
        <v>5</v>
      </c>
      <c r="W47" s="220">
        <v>6</v>
      </c>
      <c r="X47" s="220">
        <v>307</v>
      </c>
      <c r="Y47" s="220">
        <v>194</v>
      </c>
      <c r="Z47" s="220">
        <v>11</v>
      </c>
      <c r="AA47" s="220">
        <v>10</v>
      </c>
      <c r="AB47" s="220">
        <v>63</v>
      </c>
      <c r="AC47" s="220">
        <v>6</v>
      </c>
      <c r="AD47" s="220">
        <v>30</v>
      </c>
      <c r="AE47" s="220">
        <v>29</v>
      </c>
      <c r="AF47" s="220">
        <v>40</v>
      </c>
      <c r="AG47" s="220">
        <v>120</v>
      </c>
      <c r="AH47" s="220">
        <v>6</v>
      </c>
      <c r="AI47" s="220">
        <v>1</v>
      </c>
      <c r="AJ47" s="220">
        <v>27</v>
      </c>
      <c r="AK47" s="220">
        <v>0</v>
      </c>
      <c r="AL47" s="220">
        <v>1</v>
      </c>
      <c r="AM47" s="220">
        <v>9</v>
      </c>
      <c r="AN47" s="220">
        <v>24</v>
      </c>
      <c r="AO47" s="220">
        <v>8</v>
      </c>
      <c r="AP47" s="220">
        <v>66</v>
      </c>
      <c r="AQ47" s="220">
        <v>0</v>
      </c>
      <c r="AR47" s="220">
        <v>449</v>
      </c>
      <c r="AS47" s="220">
        <v>487</v>
      </c>
      <c r="AT47" s="220">
        <v>3853</v>
      </c>
      <c r="AU47" s="220">
        <v>3</v>
      </c>
      <c r="AV47" s="220">
        <v>1</v>
      </c>
      <c r="AW47" s="220">
        <v>1</v>
      </c>
      <c r="AX47" s="220">
        <v>50</v>
      </c>
      <c r="AY47" s="220">
        <v>54</v>
      </c>
      <c r="AZ47" s="220">
        <v>33</v>
      </c>
      <c r="BA47" s="220">
        <v>41</v>
      </c>
      <c r="BB47" s="220">
        <v>79</v>
      </c>
      <c r="BC47" s="220">
        <v>53</v>
      </c>
      <c r="BD47" s="220">
        <v>0</v>
      </c>
      <c r="BE47" s="220">
        <v>4</v>
      </c>
      <c r="BF47" s="220">
        <v>88</v>
      </c>
      <c r="BG47" s="220">
        <v>107</v>
      </c>
      <c r="BH47" s="220">
        <v>26</v>
      </c>
      <c r="BI47" s="220">
        <v>301</v>
      </c>
      <c r="BJ47" s="220">
        <v>61</v>
      </c>
      <c r="BK47" s="220">
        <v>111</v>
      </c>
      <c r="BL47" s="220">
        <v>18</v>
      </c>
      <c r="BM47" s="220">
        <v>50</v>
      </c>
      <c r="BN47" s="220">
        <v>35</v>
      </c>
      <c r="BO47" s="220">
        <v>0</v>
      </c>
      <c r="BP47" s="220">
        <v>0</v>
      </c>
      <c r="BQ47" s="220">
        <v>0</v>
      </c>
      <c r="BR47" s="220">
        <v>6</v>
      </c>
      <c r="BS47" s="220">
        <v>25</v>
      </c>
      <c r="BT47" s="220">
        <v>26</v>
      </c>
      <c r="BU47" s="220">
        <v>0</v>
      </c>
      <c r="BV47" s="220">
        <v>6</v>
      </c>
      <c r="BW47" s="220">
        <v>14135</v>
      </c>
      <c r="BX47" s="220">
        <v>3393</v>
      </c>
      <c r="BY47" s="220">
        <v>170</v>
      </c>
      <c r="BZ47" s="220">
        <v>117</v>
      </c>
      <c r="CA47" s="220">
        <v>198</v>
      </c>
      <c r="CB47" s="220">
        <v>2</v>
      </c>
      <c r="CC47" s="220">
        <v>43</v>
      </c>
      <c r="CD47" s="220">
        <v>155</v>
      </c>
      <c r="CE47" s="220">
        <v>2</v>
      </c>
      <c r="CF47" s="220">
        <v>0</v>
      </c>
      <c r="CG47" s="220">
        <v>13</v>
      </c>
      <c r="CH47" s="220">
        <v>0</v>
      </c>
      <c r="CI47" s="220">
        <v>14</v>
      </c>
      <c r="CJ47" s="220">
        <v>0</v>
      </c>
      <c r="CK47" s="220">
        <v>0</v>
      </c>
      <c r="CL47" s="220">
        <v>0</v>
      </c>
      <c r="CM47" s="220">
        <v>55</v>
      </c>
      <c r="CN47" s="220">
        <v>95</v>
      </c>
      <c r="CO47" s="220">
        <v>39</v>
      </c>
      <c r="CP47" s="220">
        <v>30</v>
      </c>
      <c r="CQ47" s="220">
        <v>29</v>
      </c>
      <c r="CR47" s="220">
        <v>9</v>
      </c>
      <c r="CS47" s="220">
        <v>8</v>
      </c>
      <c r="CT47" s="220">
        <v>73</v>
      </c>
      <c r="CU47" s="220">
        <v>7</v>
      </c>
      <c r="CV47" s="220">
        <v>16</v>
      </c>
      <c r="CW47" s="220">
        <v>505</v>
      </c>
      <c r="CX47" s="220">
        <v>23</v>
      </c>
      <c r="CY47" s="220">
        <v>49</v>
      </c>
      <c r="CZ47" s="220">
        <v>0</v>
      </c>
      <c r="DA47" s="220">
        <v>542</v>
      </c>
      <c r="DB47" s="220">
        <v>86</v>
      </c>
      <c r="DC47" s="220">
        <v>100</v>
      </c>
      <c r="DD47" s="220">
        <v>0</v>
      </c>
      <c r="DE47" s="220">
        <v>30</v>
      </c>
      <c r="DF47" s="220">
        <v>0</v>
      </c>
      <c r="DG47" s="220">
        <v>51</v>
      </c>
      <c r="DH47" s="220">
        <v>85</v>
      </c>
      <c r="DI47" s="220">
        <v>274</v>
      </c>
      <c r="DJ47" s="220">
        <v>339</v>
      </c>
      <c r="DK47" s="220">
        <v>2</v>
      </c>
      <c r="DL47" s="220">
        <v>32</v>
      </c>
      <c r="DM47" s="220">
        <v>2</v>
      </c>
      <c r="DN47" s="220">
        <v>10</v>
      </c>
      <c r="DO47" s="220">
        <v>0</v>
      </c>
      <c r="DP47" s="221">
        <v>28059</v>
      </c>
      <c r="DQ47" s="71">
        <f>TRP!AF169</f>
        <v>28059</v>
      </c>
      <c r="DR47" s="71">
        <f t="shared" si="3"/>
        <v>0</v>
      </c>
    </row>
    <row r="48" spans="2:122" x14ac:dyDescent="0.25">
      <c r="B48" s="218" t="s">
        <v>124</v>
      </c>
      <c r="C48" s="222" t="s">
        <v>227</v>
      </c>
      <c r="D48" s="220">
        <v>0</v>
      </c>
      <c r="E48" s="220">
        <v>0</v>
      </c>
      <c r="F48" s="220">
        <v>0</v>
      </c>
      <c r="G48" s="220">
        <v>0</v>
      </c>
      <c r="H48" s="220">
        <v>0</v>
      </c>
      <c r="I48" s="220">
        <v>0</v>
      </c>
      <c r="J48" s="220">
        <v>0</v>
      </c>
      <c r="K48" s="220">
        <v>0</v>
      </c>
      <c r="L48" s="220">
        <v>0</v>
      </c>
      <c r="M48" s="220">
        <v>1363</v>
      </c>
      <c r="N48" s="220">
        <v>81</v>
      </c>
      <c r="O48" s="220">
        <v>14</v>
      </c>
      <c r="P48" s="220">
        <v>0</v>
      </c>
      <c r="Q48" s="220">
        <v>2</v>
      </c>
      <c r="R48" s="220">
        <v>465</v>
      </c>
      <c r="S48" s="220">
        <v>0</v>
      </c>
      <c r="T48" s="220">
        <v>7</v>
      </c>
      <c r="U48" s="220">
        <v>0</v>
      </c>
      <c r="V48" s="220">
        <v>3</v>
      </c>
      <c r="W48" s="220">
        <v>8</v>
      </c>
      <c r="X48" s="220">
        <v>209</v>
      </c>
      <c r="Y48" s="220">
        <v>33</v>
      </c>
      <c r="Z48" s="220">
        <v>13</v>
      </c>
      <c r="AA48" s="220">
        <v>4</v>
      </c>
      <c r="AB48" s="220">
        <v>54</v>
      </c>
      <c r="AC48" s="220">
        <v>0</v>
      </c>
      <c r="AD48" s="220">
        <v>3</v>
      </c>
      <c r="AE48" s="220">
        <v>2</v>
      </c>
      <c r="AF48" s="220">
        <v>7</v>
      </c>
      <c r="AG48" s="220">
        <v>2</v>
      </c>
      <c r="AH48" s="220">
        <v>1</v>
      </c>
      <c r="AI48" s="220">
        <v>1</v>
      </c>
      <c r="AJ48" s="220">
        <v>8</v>
      </c>
      <c r="AK48" s="220">
        <v>0</v>
      </c>
      <c r="AL48" s="220">
        <v>1</v>
      </c>
      <c r="AM48" s="220">
        <v>0</v>
      </c>
      <c r="AN48" s="220">
        <v>2</v>
      </c>
      <c r="AO48" s="220">
        <v>0</v>
      </c>
      <c r="AP48" s="220">
        <v>1</v>
      </c>
      <c r="AQ48" s="220">
        <v>0</v>
      </c>
      <c r="AR48" s="220">
        <v>0</v>
      </c>
      <c r="AS48" s="220">
        <v>8</v>
      </c>
      <c r="AT48" s="220">
        <v>23</v>
      </c>
      <c r="AU48" s="220">
        <v>1427</v>
      </c>
      <c r="AV48" s="220">
        <v>535</v>
      </c>
      <c r="AW48" s="220">
        <v>51</v>
      </c>
      <c r="AX48" s="220">
        <v>3</v>
      </c>
      <c r="AY48" s="220">
        <v>45</v>
      </c>
      <c r="AZ48" s="220">
        <v>44</v>
      </c>
      <c r="BA48" s="220">
        <v>4</v>
      </c>
      <c r="BB48" s="220">
        <v>3</v>
      </c>
      <c r="BC48" s="220">
        <v>3</v>
      </c>
      <c r="BD48" s="220">
        <v>4</v>
      </c>
      <c r="BE48" s="220">
        <v>150</v>
      </c>
      <c r="BF48" s="220">
        <v>34</v>
      </c>
      <c r="BG48" s="220">
        <v>0</v>
      </c>
      <c r="BH48" s="220">
        <v>0</v>
      </c>
      <c r="BI48" s="220">
        <v>0</v>
      </c>
      <c r="BJ48" s="220">
        <v>0</v>
      </c>
      <c r="BK48" s="220">
        <v>0</v>
      </c>
      <c r="BL48" s="220">
        <v>28</v>
      </c>
      <c r="BM48" s="220">
        <v>42</v>
      </c>
      <c r="BN48" s="220">
        <v>19</v>
      </c>
      <c r="BO48" s="220">
        <v>0</v>
      </c>
      <c r="BP48" s="220">
        <v>0</v>
      </c>
      <c r="BQ48" s="220">
        <v>0</v>
      </c>
      <c r="BR48" s="220">
        <v>0</v>
      </c>
      <c r="BS48" s="220">
        <v>0</v>
      </c>
      <c r="BT48" s="220">
        <v>0</v>
      </c>
      <c r="BU48" s="220">
        <v>0</v>
      </c>
      <c r="BV48" s="220">
        <v>0</v>
      </c>
      <c r="BW48" s="220">
        <v>120</v>
      </c>
      <c r="BX48" s="220">
        <v>102</v>
      </c>
      <c r="BY48" s="220">
        <v>8</v>
      </c>
      <c r="BZ48" s="220">
        <v>121</v>
      </c>
      <c r="CA48" s="220">
        <v>24</v>
      </c>
      <c r="CB48" s="220">
        <v>0</v>
      </c>
      <c r="CC48" s="220">
        <v>5</v>
      </c>
      <c r="CD48" s="220">
        <v>2</v>
      </c>
      <c r="CE48" s="220">
        <v>2</v>
      </c>
      <c r="CF48" s="220">
        <v>1</v>
      </c>
      <c r="CG48" s="220">
        <v>0</v>
      </c>
      <c r="CH48" s="220">
        <v>1</v>
      </c>
      <c r="CI48" s="220">
        <v>1</v>
      </c>
      <c r="CJ48" s="220">
        <v>0</v>
      </c>
      <c r="CK48" s="220">
        <v>0</v>
      </c>
      <c r="CL48" s="220">
        <v>0</v>
      </c>
      <c r="CM48" s="220">
        <v>0</v>
      </c>
      <c r="CN48" s="220">
        <v>0</v>
      </c>
      <c r="CO48" s="220">
        <v>0</v>
      </c>
      <c r="CP48" s="220">
        <v>0</v>
      </c>
      <c r="CQ48" s="220">
        <v>0</v>
      </c>
      <c r="CR48" s="220">
        <v>0</v>
      </c>
      <c r="CS48" s="220">
        <v>0</v>
      </c>
      <c r="CT48" s="220">
        <v>0</v>
      </c>
      <c r="CU48" s="220">
        <v>0</v>
      </c>
      <c r="CV48" s="220">
        <v>0</v>
      </c>
      <c r="CW48" s="220">
        <v>0</v>
      </c>
      <c r="CX48" s="220">
        <v>0</v>
      </c>
      <c r="CY48" s="220">
        <v>0</v>
      </c>
      <c r="CZ48" s="220">
        <v>0</v>
      </c>
      <c r="DA48" s="220">
        <v>11</v>
      </c>
      <c r="DB48" s="220">
        <v>0</v>
      </c>
      <c r="DC48" s="220">
        <v>0</v>
      </c>
      <c r="DD48" s="220">
        <v>0</v>
      </c>
      <c r="DE48" s="220">
        <v>0</v>
      </c>
      <c r="DF48" s="220">
        <v>0</v>
      </c>
      <c r="DG48" s="220">
        <v>0</v>
      </c>
      <c r="DH48" s="220">
        <v>0</v>
      </c>
      <c r="DI48" s="220">
        <v>0</v>
      </c>
      <c r="DJ48" s="220">
        <v>0</v>
      </c>
      <c r="DK48" s="220">
        <v>0</v>
      </c>
      <c r="DL48" s="220">
        <v>0</v>
      </c>
      <c r="DM48" s="220">
        <v>0</v>
      </c>
      <c r="DN48" s="220">
        <v>0</v>
      </c>
      <c r="DO48" s="220">
        <v>0</v>
      </c>
      <c r="DP48" s="221">
        <v>5105</v>
      </c>
      <c r="DQ48" s="71">
        <f>TRP!AF170</f>
        <v>5105</v>
      </c>
      <c r="DR48" s="71">
        <f t="shared" si="3"/>
        <v>0</v>
      </c>
    </row>
    <row r="49" spans="2:122" x14ac:dyDescent="0.25">
      <c r="B49" s="218" t="s">
        <v>125</v>
      </c>
      <c r="C49" s="222" t="s">
        <v>228</v>
      </c>
      <c r="D49" s="220">
        <v>128</v>
      </c>
      <c r="E49" s="220">
        <v>0</v>
      </c>
      <c r="F49" s="220">
        <v>17</v>
      </c>
      <c r="G49" s="220">
        <v>1</v>
      </c>
      <c r="H49" s="220">
        <v>0</v>
      </c>
      <c r="I49" s="220">
        <v>2</v>
      </c>
      <c r="J49" s="220">
        <v>3</v>
      </c>
      <c r="K49" s="220">
        <v>7</v>
      </c>
      <c r="L49" s="220">
        <v>0</v>
      </c>
      <c r="M49" s="220">
        <v>327</v>
      </c>
      <c r="N49" s="220">
        <v>58</v>
      </c>
      <c r="O49" s="220">
        <v>10</v>
      </c>
      <c r="P49" s="220">
        <v>166</v>
      </c>
      <c r="Q49" s="220">
        <v>118</v>
      </c>
      <c r="R49" s="220">
        <v>276</v>
      </c>
      <c r="S49" s="220">
        <v>0</v>
      </c>
      <c r="T49" s="220">
        <v>7</v>
      </c>
      <c r="U49" s="220">
        <v>5</v>
      </c>
      <c r="V49" s="220">
        <v>0</v>
      </c>
      <c r="W49" s="220">
        <v>9</v>
      </c>
      <c r="X49" s="220">
        <v>614</v>
      </c>
      <c r="Y49" s="220">
        <v>88</v>
      </c>
      <c r="Z49" s="220">
        <v>14</v>
      </c>
      <c r="AA49" s="220">
        <v>4</v>
      </c>
      <c r="AB49" s="220">
        <v>131</v>
      </c>
      <c r="AC49" s="220">
        <v>5</v>
      </c>
      <c r="AD49" s="220">
        <v>5</v>
      </c>
      <c r="AE49" s="220">
        <v>5</v>
      </c>
      <c r="AF49" s="220">
        <v>12</v>
      </c>
      <c r="AG49" s="220">
        <v>19</v>
      </c>
      <c r="AH49" s="220">
        <v>9</v>
      </c>
      <c r="AI49" s="220">
        <v>7</v>
      </c>
      <c r="AJ49" s="220">
        <v>18</v>
      </c>
      <c r="AK49" s="220">
        <v>0</v>
      </c>
      <c r="AL49" s="220">
        <v>3</v>
      </c>
      <c r="AM49" s="220">
        <v>16</v>
      </c>
      <c r="AN49" s="220">
        <v>54</v>
      </c>
      <c r="AO49" s="220">
        <v>26</v>
      </c>
      <c r="AP49" s="220">
        <v>60</v>
      </c>
      <c r="AQ49" s="220">
        <v>0</v>
      </c>
      <c r="AR49" s="220">
        <v>8</v>
      </c>
      <c r="AS49" s="220">
        <v>7</v>
      </c>
      <c r="AT49" s="220">
        <v>35</v>
      </c>
      <c r="AU49" s="220">
        <v>35</v>
      </c>
      <c r="AV49" s="220">
        <v>1429</v>
      </c>
      <c r="AW49" s="220">
        <v>48</v>
      </c>
      <c r="AX49" s="220">
        <v>2</v>
      </c>
      <c r="AY49" s="220">
        <v>76</v>
      </c>
      <c r="AZ49" s="220">
        <v>19</v>
      </c>
      <c r="BA49" s="220">
        <v>24</v>
      </c>
      <c r="BB49" s="220">
        <v>108</v>
      </c>
      <c r="BC49" s="220">
        <v>107</v>
      </c>
      <c r="BD49" s="220">
        <v>1</v>
      </c>
      <c r="BE49" s="220">
        <v>22</v>
      </c>
      <c r="BF49" s="220">
        <v>76</v>
      </c>
      <c r="BG49" s="220">
        <v>15</v>
      </c>
      <c r="BH49" s="220">
        <v>19</v>
      </c>
      <c r="BI49" s="220">
        <v>51</v>
      </c>
      <c r="BJ49" s="220">
        <v>10</v>
      </c>
      <c r="BK49" s="220">
        <v>10</v>
      </c>
      <c r="BL49" s="220">
        <v>0</v>
      </c>
      <c r="BM49" s="220">
        <v>11</v>
      </c>
      <c r="BN49" s="220">
        <v>20</v>
      </c>
      <c r="BO49" s="220">
        <v>0</v>
      </c>
      <c r="BP49" s="220">
        <v>0</v>
      </c>
      <c r="BQ49" s="220">
        <v>0</v>
      </c>
      <c r="BR49" s="220">
        <v>0</v>
      </c>
      <c r="BS49" s="220">
        <v>0</v>
      </c>
      <c r="BT49" s="220">
        <v>0</v>
      </c>
      <c r="BU49" s="220">
        <v>0</v>
      </c>
      <c r="BV49" s="220">
        <v>0</v>
      </c>
      <c r="BW49" s="220">
        <v>298</v>
      </c>
      <c r="BX49" s="220">
        <v>111</v>
      </c>
      <c r="BY49" s="220">
        <v>46</v>
      </c>
      <c r="BZ49" s="220">
        <v>130</v>
      </c>
      <c r="CA49" s="220">
        <v>158</v>
      </c>
      <c r="CB49" s="220">
        <v>0</v>
      </c>
      <c r="CC49" s="220">
        <v>2</v>
      </c>
      <c r="CD49" s="220">
        <v>2</v>
      </c>
      <c r="CE49" s="220">
        <v>4</v>
      </c>
      <c r="CF49" s="220">
        <v>2</v>
      </c>
      <c r="CG49" s="220">
        <v>0</v>
      </c>
      <c r="CH49" s="220">
        <v>1</v>
      </c>
      <c r="CI49" s="220">
        <v>3</v>
      </c>
      <c r="CJ49" s="220">
        <v>7</v>
      </c>
      <c r="CK49" s="220">
        <v>0</v>
      </c>
      <c r="CL49" s="220">
        <v>3</v>
      </c>
      <c r="CM49" s="220">
        <v>0</v>
      </c>
      <c r="CN49" s="220">
        <v>0</v>
      </c>
      <c r="CO49" s="220">
        <v>0</v>
      </c>
      <c r="CP49" s="220">
        <v>0</v>
      </c>
      <c r="CQ49" s="220">
        <v>0</v>
      </c>
      <c r="CR49" s="220">
        <v>0</v>
      </c>
      <c r="CS49" s="220">
        <v>0</v>
      </c>
      <c r="CT49" s="220">
        <v>0</v>
      </c>
      <c r="CU49" s="220">
        <v>0</v>
      </c>
      <c r="CV49" s="220">
        <v>0</v>
      </c>
      <c r="CW49" s="220">
        <v>4</v>
      </c>
      <c r="CX49" s="220">
        <v>2</v>
      </c>
      <c r="CY49" s="220">
        <v>2</v>
      </c>
      <c r="CZ49" s="220">
        <v>0</v>
      </c>
      <c r="DA49" s="220">
        <v>132</v>
      </c>
      <c r="DB49" s="220">
        <v>14</v>
      </c>
      <c r="DC49" s="220">
        <v>2</v>
      </c>
      <c r="DD49" s="220">
        <v>0</v>
      </c>
      <c r="DE49" s="220">
        <v>12</v>
      </c>
      <c r="DF49" s="220">
        <v>0</v>
      </c>
      <c r="DG49" s="220">
        <v>0</v>
      </c>
      <c r="DH49" s="220">
        <v>0</v>
      </c>
      <c r="DI49" s="220">
        <v>148</v>
      </c>
      <c r="DJ49" s="220">
        <v>183</v>
      </c>
      <c r="DK49" s="220">
        <v>2</v>
      </c>
      <c r="DL49" s="220">
        <v>8</v>
      </c>
      <c r="DM49" s="220">
        <v>0</v>
      </c>
      <c r="DN49" s="220">
        <v>0</v>
      </c>
      <c r="DO49" s="220">
        <v>0</v>
      </c>
      <c r="DP49" s="221">
        <v>5633</v>
      </c>
      <c r="DQ49" s="71">
        <f>TRP!AF171</f>
        <v>5633</v>
      </c>
      <c r="DR49" s="71">
        <f t="shared" si="3"/>
        <v>0</v>
      </c>
    </row>
    <row r="50" spans="2:122" x14ac:dyDescent="0.25">
      <c r="B50" s="218" t="s">
        <v>126</v>
      </c>
      <c r="C50" s="222" t="s">
        <v>229</v>
      </c>
      <c r="D50" s="220">
        <v>0</v>
      </c>
      <c r="E50" s="220">
        <v>0</v>
      </c>
      <c r="F50" s="220">
        <v>0</v>
      </c>
      <c r="G50" s="220">
        <v>0</v>
      </c>
      <c r="H50" s="220">
        <v>0</v>
      </c>
      <c r="I50" s="220">
        <v>0</v>
      </c>
      <c r="J50" s="220">
        <v>0</v>
      </c>
      <c r="K50" s="220">
        <v>2</v>
      </c>
      <c r="L50" s="220">
        <v>0</v>
      </c>
      <c r="M50" s="220">
        <v>102</v>
      </c>
      <c r="N50" s="220">
        <v>0</v>
      </c>
      <c r="O50" s="220">
        <v>0</v>
      </c>
      <c r="P50" s="220">
        <v>0</v>
      </c>
      <c r="Q50" s="220">
        <v>0</v>
      </c>
      <c r="R50" s="220">
        <v>0</v>
      </c>
      <c r="S50" s="220">
        <v>0</v>
      </c>
      <c r="T50" s="220">
        <v>0</v>
      </c>
      <c r="U50" s="220">
        <v>0</v>
      </c>
      <c r="V50" s="220">
        <v>0</v>
      </c>
      <c r="W50" s="220">
        <v>0</v>
      </c>
      <c r="X50" s="220">
        <v>0</v>
      </c>
      <c r="Y50" s="220">
        <v>0</v>
      </c>
      <c r="Z50" s="220">
        <v>0</v>
      </c>
      <c r="AA50" s="220">
        <v>0</v>
      </c>
      <c r="AB50" s="220">
        <v>0</v>
      </c>
      <c r="AC50" s="220">
        <v>0</v>
      </c>
      <c r="AD50" s="220">
        <v>0</v>
      </c>
      <c r="AE50" s="220">
        <v>0</v>
      </c>
      <c r="AF50" s="220">
        <v>3</v>
      </c>
      <c r="AG50" s="220">
        <v>0</v>
      </c>
      <c r="AH50" s="220">
        <v>0</v>
      </c>
      <c r="AI50" s="220">
        <v>0</v>
      </c>
      <c r="AJ50" s="220">
        <v>0</v>
      </c>
      <c r="AK50" s="220">
        <v>0</v>
      </c>
      <c r="AL50" s="220">
        <v>0</v>
      </c>
      <c r="AM50" s="220">
        <v>0</v>
      </c>
      <c r="AN50" s="220">
        <v>0</v>
      </c>
      <c r="AO50" s="220">
        <v>0</v>
      </c>
      <c r="AP50" s="220">
        <v>0</v>
      </c>
      <c r="AQ50" s="220">
        <v>0</v>
      </c>
      <c r="AR50" s="220">
        <v>0</v>
      </c>
      <c r="AS50" s="220">
        <v>0</v>
      </c>
      <c r="AT50" s="220">
        <v>0</v>
      </c>
      <c r="AU50" s="220">
        <v>18</v>
      </c>
      <c r="AV50" s="220">
        <v>124</v>
      </c>
      <c r="AW50" s="220">
        <v>118</v>
      </c>
      <c r="AX50" s="220">
        <v>0</v>
      </c>
      <c r="AY50" s="220">
        <v>0</v>
      </c>
      <c r="AZ50" s="220">
        <v>0</v>
      </c>
      <c r="BA50" s="220">
        <v>0</v>
      </c>
      <c r="BB50" s="220">
        <v>0</v>
      </c>
      <c r="BC50" s="220">
        <v>0</v>
      </c>
      <c r="BD50" s="220">
        <v>0</v>
      </c>
      <c r="BE50" s="220">
        <v>0</v>
      </c>
      <c r="BF50" s="220">
        <v>0</v>
      </c>
      <c r="BG50" s="220">
        <v>0</v>
      </c>
      <c r="BH50" s="220">
        <v>0</v>
      </c>
      <c r="BI50" s="220">
        <v>0</v>
      </c>
      <c r="BJ50" s="220">
        <v>0</v>
      </c>
      <c r="BK50" s="220">
        <v>0</v>
      </c>
      <c r="BL50" s="220">
        <v>0</v>
      </c>
      <c r="BM50" s="220">
        <v>0</v>
      </c>
      <c r="BN50" s="220">
        <v>0</v>
      </c>
      <c r="BO50" s="220">
        <v>0</v>
      </c>
      <c r="BP50" s="220">
        <v>0</v>
      </c>
      <c r="BQ50" s="220">
        <v>0</v>
      </c>
      <c r="BR50" s="220">
        <v>0</v>
      </c>
      <c r="BS50" s="220">
        <v>0</v>
      </c>
      <c r="BT50" s="220">
        <v>0</v>
      </c>
      <c r="BU50" s="220">
        <v>0</v>
      </c>
      <c r="BV50" s="220">
        <v>0</v>
      </c>
      <c r="BW50" s="220">
        <v>0</v>
      </c>
      <c r="BX50" s="220">
        <v>0</v>
      </c>
      <c r="BY50" s="220">
        <v>0</v>
      </c>
      <c r="BZ50" s="220">
        <v>0</v>
      </c>
      <c r="CA50" s="220">
        <v>0</v>
      </c>
      <c r="CB50" s="220">
        <v>0</v>
      </c>
      <c r="CC50" s="220">
        <v>0</v>
      </c>
      <c r="CD50" s="220">
        <v>0</v>
      </c>
      <c r="CE50" s="220">
        <v>0</v>
      </c>
      <c r="CF50" s="220">
        <v>0</v>
      </c>
      <c r="CG50" s="220">
        <v>0</v>
      </c>
      <c r="CH50" s="220">
        <v>0</v>
      </c>
      <c r="CI50" s="220">
        <v>0</v>
      </c>
      <c r="CJ50" s="220">
        <v>0</v>
      </c>
      <c r="CK50" s="220">
        <v>0</v>
      </c>
      <c r="CL50" s="220">
        <v>0</v>
      </c>
      <c r="CM50" s="220">
        <v>0</v>
      </c>
      <c r="CN50" s="220">
        <v>0</v>
      </c>
      <c r="CO50" s="220">
        <v>0</v>
      </c>
      <c r="CP50" s="220">
        <v>0</v>
      </c>
      <c r="CQ50" s="220">
        <v>0</v>
      </c>
      <c r="CR50" s="220">
        <v>0</v>
      </c>
      <c r="CS50" s="220">
        <v>0</v>
      </c>
      <c r="CT50" s="220">
        <v>0</v>
      </c>
      <c r="CU50" s="220">
        <v>0</v>
      </c>
      <c r="CV50" s="220">
        <v>0</v>
      </c>
      <c r="CW50" s="220">
        <v>0</v>
      </c>
      <c r="CX50" s="220">
        <v>0</v>
      </c>
      <c r="CY50" s="220">
        <v>0</v>
      </c>
      <c r="CZ50" s="220">
        <v>0</v>
      </c>
      <c r="DA50" s="220">
        <v>0</v>
      </c>
      <c r="DB50" s="220">
        <v>0</v>
      </c>
      <c r="DC50" s="220">
        <v>0</v>
      </c>
      <c r="DD50" s="220">
        <v>0</v>
      </c>
      <c r="DE50" s="220">
        <v>0</v>
      </c>
      <c r="DF50" s="220">
        <v>0</v>
      </c>
      <c r="DG50" s="220">
        <v>0</v>
      </c>
      <c r="DH50" s="220">
        <v>0</v>
      </c>
      <c r="DI50" s="220">
        <v>0</v>
      </c>
      <c r="DJ50" s="220">
        <v>0</v>
      </c>
      <c r="DK50" s="220">
        <v>2</v>
      </c>
      <c r="DL50" s="220">
        <v>0</v>
      </c>
      <c r="DM50" s="220">
        <v>0</v>
      </c>
      <c r="DN50" s="220">
        <v>0</v>
      </c>
      <c r="DO50" s="220">
        <v>0</v>
      </c>
      <c r="DP50" s="221">
        <v>369</v>
      </c>
      <c r="DQ50" s="71">
        <f>TRP!AF172</f>
        <v>369</v>
      </c>
      <c r="DR50" s="71">
        <f t="shared" si="3"/>
        <v>0</v>
      </c>
    </row>
    <row r="51" spans="2:122" x14ac:dyDescent="0.25">
      <c r="B51" s="218" t="s">
        <v>127</v>
      </c>
      <c r="C51" s="222" t="s">
        <v>230</v>
      </c>
      <c r="D51" s="220">
        <v>659</v>
      </c>
      <c r="E51" s="220">
        <v>0</v>
      </c>
      <c r="F51" s="220">
        <v>3</v>
      </c>
      <c r="G51" s="220">
        <v>69</v>
      </c>
      <c r="H51" s="220">
        <v>47</v>
      </c>
      <c r="I51" s="220">
        <v>132</v>
      </c>
      <c r="J51" s="220">
        <v>32</v>
      </c>
      <c r="K51" s="220">
        <v>107</v>
      </c>
      <c r="L51" s="220">
        <v>0</v>
      </c>
      <c r="M51" s="220">
        <v>3</v>
      </c>
      <c r="N51" s="220">
        <v>3</v>
      </c>
      <c r="O51" s="220">
        <v>153</v>
      </c>
      <c r="P51" s="220">
        <v>89</v>
      </c>
      <c r="Q51" s="220">
        <v>61</v>
      </c>
      <c r="R51" s="220">
        <v>2866</v>
      </c>
      <c r="S51" s="220">
        <v>3</v>
      </c>
      <c r="T51" s="220">
        <v>84</v>
      </c>
      <c r="U51" s="220">
        <v>13</v>
      </c>
      <c r="V51" s="220">
        <v>6</v>
      </c>
      <c r="W51" s="220">
        <v>6</v>
      </c>
      <c r="X51" s="220">
        <v>142</v>
      </c>
      <c r="Y51" s="220">
        <v>130</v>
      </c>
      <c r="Z51" s="220">
        <v>46</v>
      </c>
      <c r="AA51" s="220">
        <v>10</v>
      </c>
      <c r="AB51" s="220">
        <v>66</v>
      </c>
      <c r="AC51" s="220">
        <v>0</v>
      </c>
      <c r="AD51" s="220">
        <v>11</v>
      </c>
      <c r="AE51" s="220">
        <v>15</v>
      </c>
      <c r="AF51" s="220">
        <v>11</v>
      </c>
      <c r="AG51" s="220">
        <v>17</v>
      </c>
      <c r="AH51" s="220">
        <v>41</v>
      </c>
      <c r="AI51" s="220">
        <v>3</v>
      </c>
      <c r="AJ51" s="220">
        <v>9</v>
      </c>
      <c r="AK51" s="220">
        <v>41</v>
      </c>
      <c r="AL51" s="220">
        <v>1</v>
      </c>
      <c r="AM51" s="220">
        <v>1</v>
      </c>
      <c r="AN51" s="220">
        <v>35</v>
      </c>
      <c r="AO51" s="220">
        <v>0</v>
      </c>
      <c r="AP51" s="220">
        <v>45</v>
      </c>
      <c r="AQ51" s="220">
        <v>0</v>
      </c>
      <c r="AR51" s="220">
        <v>54</v>
      </c>
      <c r="AS51" s="220">
        <v>49</v>
      </c>
      <c r="AT51" s="220">
        <v>355</v>
      </c>
      <c r="AU51" s="220">
        <v>11</v>
      </c>
      <c r="AV51" s="220">
        <v>6</v>
      </c>
      <c r="AW51" s="220">
        <v>2</v>
      </c>
      <c r="AX51" s="220">
        <v>3120</v>
      </c>
      <c r="AY51" s="220">
        <v>190</v>
      </c>
      <c r="AZ51" s="220">
        <v>136</v>
      </c>
      <c r="BA51" s="220">
        <v>0</v>
      </c>
      <c r="BB51" s="220">
        <v>11</v>
      </c>
      <c r="BC51" s="220">
        <v>0</v>
      </c>
      <c r="BD51" s="220">
        <v>0</v>
      </c>
      <c r="BE51" s="220">
        <v>4</v>
      </c>
      <c r="BF51" s="220">
        <v>104</v>
      </c>
      <c r="BG51" s="220">
        <v>79</v>
      </c>
      <c r="BH51" s="220">
        <v>39</v>
      </c>
      <c r="BI51" s="220">
        <v>25</v>
      </c>
      <c r="BJ51" s="220">
        <v>86</v>
      </c>
      <c r="BK51" s="220">
        <v>52</v>
      </c>
      <c r="BL51" s="220">
        <v>45</v>
      </c>
      <c r="BM51" s="220">
        <v>56</v>
      </c>
      <c r="BN51" s="220">
        <v>22</v>
      </c>
      <c r="BO51" s="220">
        <v>0</v>
      </c>
      <c r="BP51" s="220">
        <v>0</v>
      </c>
      <c r="BQ51" s="220">
        <v>0</v>
      </c>
      <c r="BR51" s="220">
        <v>0</v>
      </c>
      <c r="BS51" s="220">
        <v>2</v>
      </c>
      <c r="BT51" s="220">
        <v>1</v>
      </c>
      <c r="BU51" s="220">
        <v>1</v>
      </c>
      <c r="BV51" s="220">
        <v>8</v>
      </c>
      <c r="BW51" s="220">
        <v>3624</v>
      </c>
      <c r="BX51" s="220">
        <v>1054</v>
      </c>
      <c r="BY51" s="220">
        <v>106</v>
      </c>
      <c r="BZ51" s="220">
        <v>149</v>
      </c>
      <c r="CA51" s="220">
        <v>74</v>
      </c>
      <c r="CB51" s="220">
        <v>1</v>
      </c>
      <c r="CC51" s="220">
        <v>0</v>
      </c>
      <c r="CD51" s="220">
        <v>3</v>
      </c>
      <c r="CE51" s="220">
        <v>9</v>
      </c>
      <c r="CF51" s="220">
        <v>5</v>
      </c>
      <c r="CG51" s="220">
        <v>33</v>
      </c>
      <c r="CH51" s="220">
        <v>0</v>
      </c>
      <c r="CI51" s="220">
        <v>35</v>
      </c>
      <c r="CJ51" s="220">
        <v>8</v>
      </c>
      <c r="CK51" s="220">
        <v>0</v>
      </c>
      <c r="CL51" s="220">
        <v>0</v>
      </c>
      <c r="CM51" s="220">
        <v>18</v>
      </c>
      <c r="CN51" s="220">
        <v>59</v>
      </c>
      <c r="CO51" s="220">
        <v>89</v>
      </c>
      <c r="CP51" s="220">
        <v>14</v>
      </c>
      <c r="CQ51" s="220">
        <v>7</v>
      </c>
      <c r="CR51" s="220">
        <v>3</v>
      </c>
      <c r="CS51" s="220">
        <v>2</v>
      </c>
      <c r="CT51" s="220">
        <v>2</v>
      </c>
      <c r="CU51" s="220">
        <v>2</v>
      </c>
      <c r="CV51" s="220">
        <v>5</v>
      </c>
      <c r="CW51" s="220">
        <v>43</v>
      </c>
      <c r="CX51" s="220">
        <v>0</v>
      </c>
      <c r="CY51" s="220">
        <v>23</v>
      </c>
      <c r="CZ51" s="220">
        <v>0</v>
      </c>
      <c r="DA51" s="220">
        <v>55</v>
      </c>
      <c r="DB51" s="220">
        <v>17</v>
      </c>
      <c r="DC51" s="220">
        <v>44</v>
      </c>
      <c r="DD51" s="220">
        <v>158</v>
      </c>
      <c r="DE51" s="220">
        <v>28</v>
      </c>
      <c r="DF51" s="220">
        <v>0</v>
      </c>
      <c r="DG51" s="220">
        <v>7</v>
      </c>
      <c r="DH51" s="220">
        <v>29</v>
      </c>
      <c r="DI51" s="220">
        <v>1</v>
      </c>
      <c r="DJ51" s="220">
        <v>0</v>
      </c>
      <c r="DK51" s="220">
        <v>0</v>
      </c>
      <c r="DL51" s="220">
        <v>0</v>
      </c>
      <c r="DM51" s="220">
        <v>0</v>
      </c>
      <c r="DN51" s="220">
        <v>6</v>
      </c>
      <c r="DO51" s="220">
        <v>45</v>
      </c>
      <c r="DP51" s="221">
        <v>15176</v>
      </c>
      <c r="DQ51" s="71">
        <f>TRP!AF173</f>
        <v>15176</v>
      </c>
      <c r="DR51" s="71">
        <f t="shared" si="3"/>
        <v>0</v>
      </c>
    </row>
    <row r="52" spans="2:122" x14ac:dyDescent="0.25">
      <c r="B52" s="218" t="s">
        <v>128</v>
      </c>
      <c r="C52" s="222" t="s">
        <v>231</v>
      </c>
      <c r="D52" s="220">
        <v>0</v>
      </c>
      <c r="E52" s="220">
        <v>0</v>
      </c>
      <c r="F52" s="220">
        <v>0</v>
      </c>
      <c r="G52" s="220">
        <v>68</v>
      </c>
      <c r="H52" s="220">
        <v>132</v>
      </c>
      <c r="I52" s="220">
        <v>9</v>
      </c>
      <c r="J52" s="220">
        <v>79</v>
      </c>
      <c r="K52" s="220">
        <v>275</v>
      </c>
      <c r="L52" s="220">
        <v>4</v>
      </c>
      <c r="M52" s="220">
        <v>24</v>
      </c>
      <c r="N52" s="220">
        <v>23</v>
      </c>
      <c r="O52" s="220">
        <v>1806</v>
      </c>
      <c r="P52" s="220">
        <v>456</v>
      </c>
      <c r="Q52" s="220">
        <v>147</v>
      </c>
      <c r="R52" s="220">
        <v>16</v>
      </c>
      <c r="S52" s="220">
        <v>2</v>
      </c>
      <c r="T52" s="220">
        <v>25</v>
      </c>
      <c r="U52" s="220">
        <v>27</v>
      </c>
      <c r="V52" s="220">
        <v>12</v>
      </c>
      <c r="W52" s="220">
        <v>16</v>
      </c>
      <c r="X52" s="220">
        <v>20</v>
      </c>
      <c r="Y52" s="220">
        <v>52</v>
      </c>
      <c r="Z52" s="220">
        <v>2</v>
      </c>
      <c r="AA52" s="220">
        <v>4</v>
      </c>
      <c r="AB52" s="220">
        <v>16</v>
      </c>
      <c r="AC52" s="220">
        <v>3</v>
      </c>
      <c r="AD52" s="220">
        <v>8</v>
      </c>
      <c r="AE52" s="220">
        <v>10</v>
      </c>
      <c r="AF52" s="220">
        <v>24</v>
      </c>
      <c r="AG52" s="220">
        <v>18</v>
      </c>
      <c r="AH52" s="220">
        <v>9</v>
      </c>
      <c r="AI52" s="220">
        <v>2</v>
      </c>
      <c r="AJ52" s="220">
        <v>9</v>
      </c>
      <c r="AK52" s="220">
        <v>1</v>
      </c>
      <c r="AL52" s="220">
        <v>3</v>
      </c>
      <c r="AM52" s="220">
        <v>9</v>
      </c>
      <c r="AN52" s="220">
        <v>21</v>
      </c>
      <c r="AO52" s="220">
        <v>48</v>
      </c>
      <c r="AP52" s="220">
        <v>33</v>
      </c>
      <c r="AQ52" s="220">
        <v>0</v>
      </c>
      <c r="AR52" s="220">
        <v>17</v>
      </c>
      <c r="AS52" s="220">
        <v>98</v>
      </c>
      <c r="AT52" s="220">
        <v>62</v>
      </c>
      <c r="AU52" s="220">
        <v>31</v>
      </c>
      <c r="AV52" s="220">
        <v>3</v>
      </c>
      <c r="AW52" s="220">
        <v>25</v>
      </c>
      <c r="AX52" s="220">
        <v>0</v>
      </c>
      <c r="AY52" s="220">
        <v>2446</v>
      </c>
      <c r="AZ52" s="220">
        <v>2134</v>
      </c>
      <c r="BA52" s="220">
        <v>15</v>
      </c>
      <c r="BB52" s="220">
        <v>111</v>
      </c>
      <c r="BC52" s="220">
        <v>172</v>
      </c>
      <c r="BD52" s="220">
        <v>2</v>
      </c>
      <c r="BE52" s="220">
        <v>19</v>
      </c>
      <c r="BF52" s="220">
        <v>59</v>
      </c>
      <c r="BG52" s="220">
        <v>0</v>
      </c>
      <c r="BH52" s="220">
        <v>15</v>
      </c>
      <c r="BI52" s="220">
        <v>0</v>
      </c>
      <c r="BJ52" s="220">
        <v>30</v>
      </c>
      <c r="BK52" s="220">
        <v>11</v>
      </c>
      <c r="BL52" s="220">
        <v>93</v>
      </c>
      <c r="BM52" s="220">
        <v>104</v>
      </c>
      <c r="BN52" s="220">
        <v>31</v>
      </c>
      <c r="BO52" s="220">
        <v>0</v>
      </c>
      <c r="BP52" s="220">
        <v>0</v>
      </c>
      <c r="BQ52" s="220">
        <v>0</v>
      </c>
      <c r="BR52" s="220">
        <v>18</v>
      </c>
      <c r="BS52" s="220">
        <v>9</v>
      </c>
      <c r="BT52" s="220">
        <v>18</v>
      </c>
      <c r="BU52" s="220">
        <v>3</v>
      </c>
      <c r="BV52" s="220">
        <v>16</v>
      </c>
      <c r="BW52" s="220">
        <v>101</v>
      </c>
      <c r="BX52" s="220">
        <v>73</v>
      </c>
      <c r="BY52" s="220">
        <v>75</v>
      </c>
      <c r="BZ52" s="220">
        <v>737</v>
      </c>
      <c r="CA52" s="220">
        <v>406</v>
      </c>
      <c r="CB52" s="220">
        <v>0</v>
      </c>
      <c r="CC52" s="220">
        <v>9</v>
      </c>
      <c r="CD52" s="220">
        <v>15</v>
      </c>
      <c r="CE52" s="220">
        <v>16</v>
      </c>
      <c r="CF52" s="220">
        <v>0</v>
      </c>
      <c r="CG52" s="220">
        <v>0</v>
      </c>
      <c r="CH52" s="220">
        <v>1</v>
      </c>
      <c r="CI52" s="220">
        <v>1</v>
      </c>
      <c r="CJ52" s="220">
        <v>0</v>
      </c>
      <c r="CK52" s="220">
        <v>0</v>
      </c>
      <c r="CL52" s="220">
        <v>0</v>
      </c>
      <c r="CM52" s="220">
        <v>73</v>
      </c>
      <c r="CN52" s="220">
        <v>12</v>
      </c>
      <c r="CO52" s="220">
        <v>7</v>
      </c>
      <c r="CP52" s="220">
        <v>88</v>
      </c>
      <c r="CQ52" s="220">
        <v>161</v>
      </c>
      <c r="CR52" s="220">
        <v>166</v>
      </c>
      <c r="CS52" s="220">
        <v>17</v>
      </c>
      <c r="CT52" s="220">
        <v>184</v>
      </c>
      <c r="CU52" s="220">
        <v>33</v>
      </c>
      <c r="CV52" s="220">
        <v>2</v>
      </c>
      <c r="CW52" s="220">
        <v>243</v>
      </c>
      <c r="CX52" s="220">
        <v>7</v>
      </c>
      <c r="CY52" s="220">
        <v>46</v>
      </c>
      <c r="CZ52" s="220">
        <v>0</v>
      </c>
      <c r="DA52" s="220">
        <v>54</v>
      </c>
      <c r="DB52" s="220">
        <v>0</v>
      </c>
      <c r="DC52" s="220">
        <v>1</v>
      </c>
      <c r="DD52" s="220">
        <v>0</v>
      </c>
      <c r="DE52" s="220">
        <v>21</v>
      </c>
      <c r="DF52" s="220">
        <v>0</v>
      </c>
      <c r="DG52" s="220">
        <v>76</v>
      </c>
      <c r="DH52" s="220">
        <v>0</v>
      </c>
      <c r="DI52" s="220">
        <v>7</v>
      </c>
      <c r="DJ52" s="220">
        <v>0</v>
      </c>
      <c r="DK52" s="220">
        <v>11</v>
      </c>
      <c r="DL52" s="220">
        <v>1</v>
      </c>
      <c r="DM52" s="220">
        <v>0</v>
      </c>
      <c r="DN52" s="220">
        <v>1</v>
      </c>
      <c r="DO52" s="220">
        <v>0</v>
      </c>
      <c r="DP52" s="221">
        <v>11600</v>
      </c>
      <c r="DQ52" s="71">
        <f>TRP!AF174</f>
        <v>11600</v>
      </c>
      <c r="DR52" s="71">
        <f t="shared" si="3"/>
        <v>0</v>
      </c>
    </row>
    <row r="53" spans="2:122" x14ac:dyDescent="0.25">
      <c r="B53" s="218" t="s">
        <v>129</v>
      </c>
      <c r="C53" s="222" t="s">
        <v>232</v>
      </c>
      <c r="D53" s="220">
        <v>126</v>
      </c>
      <c r="E53" s="220">
        <v>4</v>
      </c>
      <c r="F53" s="220">
        <v>1</v>
      </c>
      <c r="G53" s="220">
        <v>170</v>
      </c>
      <c r="H53" s="220">
        <v>310</v>
      </c>
      <c r="I53" s="220">
        <v>108</v>
      </c>
      <c r="J53" s="220">
        <v>85</v>
      </c>
      <c r="K53" s="220">
        <v>809</v>
      </c>
      <c r="L53" s="220">
        <v>2</v>
      </c>
      <c r="M53" s="220">
        <v>31</v>
      </c>
      <c r="N53" s="220">
        <v>19</v>
      </c>
      <c r="O53" s="220">
        <v>2848</v>
      </c>
      <c r="P53" s="220">
        <v>344</v>
      </c>
      <c r="Q53" s="220">
        <v>111</v>
      </c>
      <c r="R53" s="220">
        <v>53</v>
      </c>
      <c r="S53" s="220">
        <v>7</v>
      </c>
      <c r="T53" s="220">
        <v>59</v>
      </c>
      <c r="U53" s="220">
        <v>19</v>
      </c>
      <c r="V53" s="220">
        <v>12</v>
      </c>
      <c r="W53" s="220">
        <v>15</v>
      </c>
      <c r="X53" s="220">
        <v>24</v>
      </c>
      <c r="Y53" s="220">
        <v>12</v>
      </c>
      <c r="Z53" s="220">
        <v>5</v>
      </c>
      <c r="AA53" s="220">
        <v>4</v>
      </c>
      <c r="AB53" s="220">
        <v>29</v>
      </c>
      <c r="AC53" s="220">
        <v>4</v>
      </c>
      <c r="AD53" s="220">
        <v>7</v>
      </c>
      <c r="AE53" s="220">
        <v>9</v>
      </c>
      <c r="AF53" s="220">
        <v>20</v>
      </c>
      <c r="AG53" s="220">
        <v>44</v>
      </c>
      <c r="AH53" s="220">
        <v>8</v>
      </c>
      <c r="AI53" s="220">
        <v>3</v>
      </c>
      <c r="AJ53" s="220">
        <v>29</v>
      </c>
      <c r="AK53" s="220">
        <v>1</v>
      </c>
      <c r="AL53" s="220">
        <v>3</v>
      </c>
      <c r="AM53" s="220">
        <v>13</v>
      </c>
      <c r="AN53" s="220">
        <v>22</v>
      </c>
      <c r="AO53" s="220">
        <v>41</v>
      </c>
      <c r="AP53" s="220">
        <v>43</v>
      </c>
      <c r="AQ53" s="220">
        <v>0</v>
      </c>
      <c r="AR53" s="220">
        <v>17</v>
      </c>
      <c r="AS53" s="220">
        <v>105</v>
      </c>
      <c r="AT53" s="220">
        <v>53</v>
      </c>
      <c r="AU53" s="220">
        <v>31</v>
      </c>
      <c r="AV53" s="220">
        <v>3</v>
      </c>
      <c r="AW53" s="220">
        <v>24</v>
      </c>
      <c r="AX53" s="220">
        <v>94</v>
      </c>
      <c r="AY53" s="220">
        <v>200</v>
      </c>
      <c r="AZ53" s="220">
        <v>1624</v>
      </c>
      <c r="BA53" s="220">
        <v>15</v>
      </c>
      <c r="BB53" s="220">
        <v>98</v>
      </c>
      <c r="BC53" s="220">
        <v>131</v>
      </c>
      <c r="BD53" s="220">
        <v>11</v>
      </c>
      <c r="BE53" s="220">
        <v>14</v>
      </c>
      <c r="BF53" s="220">
        <v>433</v>
      </c>
      <c r="BG53" s="220">
        <v>0</v>
      </c>
      <c r="BH53" s="220">
        <v>23</v>
      </c>
      <c r="BI53" s="220">
        <v>0</v>
      </c>
      <c r="BJ53" s="220">
        <v>22</v>
      </c>
      <c r="BK53" s="220">
        <v>16</v>
      </c>
      <c r="BL53" s="220">
        <v>89</v>
      </c>
      <c r="BM53" s="220">
        <v>44</v>
      </c>
      <c r="BN53" s="220">
        <v>21</v>
      </c>
      <c r="BO53" s="220">
        <v>0</v>
      </c>
      <c r="BP53" s="220">
        <v>0</v>
      </c>
      <c r="BQ53" s="220">
        <v>0</v>
      </c>
      <c r="BR53" s="220">
        <v>19</v>
      </c>
      <c r="BS53" s="220">
        <v>7</v>
      </c>
      <c r="BT53" s="220">
        <v>8</v>
      </c>
      <c r="BU53" s="220">
        <v>0</v>
      </c>
      <c r="BV53" s="220">
        <v>16</v>
      </c>
      <c r="BW53" s="220">
        <v>142</v>
      </c>
      <c r="BX53" s="220">
        <v>67</v>
      </c>
      <c r="BY53" s="220">
        <v>5</v>
      </c>
      <c r="BZ53" s="220">
        <v>152</v>
      </c>
      <c r="CA53" s="220">
        <v>122</v>
      </c>
      <c r="CB53" s="220">
        <v>0</v>
      </c>
      <c r="CC53" s="220">
        <v>3</v>
      </c>
      <c r="CD53" s="220">
        <v>3</v>
      </c>
      <c r="CE53" s="220">
        <v>4</v>
      </c>
      <c r="CF53" s="220">
        <v>2</v>
      </c>
      <c r="CG53" s="220">
        <v>42</v>
      </c>
      <c r="CH53" s="220">
        <v>96</v>
      </c>
      <c r="CI53" s="220">
        <v>66</v>
      </c>
      <c r="CJ53" s="220">
        <v>440</v>
      </c>
      <c r="CK53" s="220">
        <v>122</v>
      </c>
      <c r="CL53" s="220">
        <v>177</v>
      </c>
      <c r="CM53" s="220">
        <v>39</v>
      </c>
      <c r="CN53" s="220">
        <v>20</v>
      </c>
      <c r="CO53" s="220">
        <v>77</v>
      </c>
      <c r="CP53" s="220">
        <v>30</v>
      </c>
      <c r="CQ53" s="220">
        <v>83</v>
      </c>
      <c r="CR53" s="220">
        <v>57</v>
      </c>
      <c r="CS53" s="220">
        <v>12</v>
      </c>
      <c r="CT53" s="220">
        <v>76</v>
      </c>
      <c r="CU53" s="220">
        <v>18</v>
      </c>
      <c r="CV53" s="220">
        <v>16</v>
      </c>
      <c r="CW53" s="220">
        <v>84</v>
      </c>
      <c r="CX53" s="220">
        <v>2</v>
      </c>
      <c r="CY53" s="220">
        <v>25</v>
      </c>
      <c r="CZ53" s="220">
        <v>24</v>
      </c>
      <c r="DA53" s="220">
        <v>101</v>
      </c>
      <c r="DB53" s="220">
        <v>42</v>
      </c>
      <c r="DC53" s="220">
        <v>26</v>
      </c>
      <c r="DD53" s="220">
        <v>111</v>
      </c>
      <c r="DE53" s="220">
        <v>16</v>
      </c>
      <c r="DF53" s="220">
        <v>0</v>
      </c>
      <c r="DG53" s="220">
        <v>107</v>
      </c>
      <c r="DH53" s="220">
        <v>149</v>
      </c>
      <c r="DI53" s="220">
        <v>5</v>
      </c>
      <c r="DJ53" s="220">
        <v>2</v>
      </c>
      <c r="DK53" s="220">
        <v>13</v>
      </c>
      <c r="DL53" s="220">
        <v>6</v>
      </c>
      <c r="DM53" s="220">
        <v>76</v>
      </c>
      <c r="DN53" s="220">
        <v>593</v>
      </c>
      <c r="DO53" s="220">
        <v>5</v>
      </c>
      <c r="DP53" s="221">
        <v>11830</v>
      </c>
      <c r="DQ53" s="71">
        <f>TRP!AF175</f>
        <v>11830</v>
      </c>
      <c r="DR53" s="71">
        <f t="shared" si="3"/>
        <v>0</v>
      </c>
    </row>
    <row r="54" spans="2:122" x14ac:dyDescent="0.25">
      <c r="B54" s="218" t="s">
        <v>130</v>
      </c>
      <c r="C54" s="222" t="s">
        <v>233</v>
      </c>
      <c r="D54" s="220">
        <v>2958</v>
      </c>
      <c r="E54" s="220">
        <v>0</v>
      </c>
      <c r="F54" s="220">
        <v>0</v>
      </c>
      <c r="G54" s="220">
        <v>0</v>
      </c>
      <c r="H54" s="220">
        <v>0</v>
      </c>
      <c r="I54" s="220">
        <v>1</v>
      </c>
      <c r="J54" s="220">
        <v>0</v>
      </c>
      <c r="K54" s="220">
        <v>15</v>
      </c>
      <c r="L54" s="220">
        <v>0</v>
      </c>
      <c r="M54" s="220">
        <v>61</v>
      </c>
      <c r="N54" s="220">
        <v>101</v>
      </c>
      <c r="O54" s="220">
        <v>14</v>
      </c>
      <c r="P54" s="220">
        <v>207</v>
      </c>
      <c r="Q54" s="220">
        <v>451</v>
      </c>
      <c r="R54" s="220">
        <v>75</v>
      </c>
      <c r="S54" s="220">
        <v>0</v>
      </c>
      <c r="T54" s="220">
        <v>11</v>
      </c>
      <c r="U54" s="220">
        <v>23</v>
      </c>
      <c r="V54" s="220">
        <v>4</v>
      </c>
      <c r="W54" s="220">
        <v>5</v>
      </c>
      <c r="X54" s="220">
        <v>101</v>
      </c>
      <c r="Y54" s="220">
        <v>117</v>
      </c>
      <c r="Z54" s="220">
        <v>32</v>
      </c>
      <c r="AA54" s="220">
        <v>0</v>
      </c>
      <c r="AB54" s="220">
        <v>141</v>
      </c>
      <c r="AC54" s="220">
        <v>1</v>
      </c>
      <c r="AD54" s="220">
        <v>50</v>
      </c>
      <c r="AE54" s="220">
        <v>54</v>
      </c>
      <c r="AF54" s="220">
        <v>10</v>
      </c>
      <c r="AG54" s="220">
        <v>60</v>
      </c>
      <c r="AH54" s="220">
        <v>11</v>
      </c>
      <c r="AI54" s="220">
        <v>3</v>
      </c>
      <c r="AJ54" s="220">
        <v>24</v>
      </c>
      <c r="AK54" s="220">
        <v>7</v>
      </c>
      <c r="AL54" s="220">
        <v>2</v>
      </c>
      <c r="AM54" s="220">
        <v>2</v>
      </c>
      <c r="AN54" s="220">
        <v>6</v>
      </c>
      <c r="AO54" s="220">
        <v>10</v>
      </c>
      <c r="AP54" s="220">
        <v>7</v>
      </c>
      <c r="AQ54" s="220">
        <v>0</v>
      </c>
      <c r="AR54" s="220">
        <v>56</v>
      </c>
      <c r="AS54" s="220">
        <v>203</v>
      </c>
      <c r="AT54" s="220">
        <v>44</v>
      </c>
      <c r="AU54" s="220">
        <v>69</v>
      </c>
      <c r="AV54" s="220">
        <v>102</v>
      </c>
      <c r="AW54" s="220">
        <v>25</v>
      </c>
      <c r="AX54" s="220">
        <v>54</v>
      </c>
      <c r="AY54" s="220">
        <v>84</v>
      </c>
      <c r="AZ54" s="220">
        <v>92</v>
      </c>
      <c r="BA54" s="220">
        <v>1734</v>
      </c>
      <c r="BB54" s="220">
        <v>1186</v>
      </c>
      <c r="BC54" s="220">
        <v>387</v>
      </c>
      <c r="BD54" s="220">
        <v>19</v>
      </c>
      <c r="BE54" s="220">
        <v>11</v>
      </c>
      <c r="BF54" s="220">
        <v>99</v>
      </c>
      <c r="BG54" s="220">
        <v>209</v>
      </c>
      <c r="BH54" s="220">
        <v>54</v>
      </c>
      <c r="BI54" s="220">
        <v>51</v>
      </c>
      <c r="BJ54" s="220">
        <v>113</v>
      </c>
      <c r="BK54" s="220">
        <v>85</v>
      </c>
      <c r="BL54" s="220">
        <v>0</v>
      </c>
      <c r="BM54" s="220">
        <v>13</v>
      </c>
      <c r="BN54" s="220">
        <v>32</v>
      </c>
      <c r="BO54" s="220">
        <v>0</v>
      </c>
      <c r="BP54" s="220">
        <v>0</v>
      </c>
      <c r="BQ54" s="220">
        <v>0</v>
      </c>
      <c r="BR54" s="220">
        <v>0</v>
      </c>
      <c r="BS54" s="220">
        <v>24</v>
      </c>
      <c r="BT54" s="220">
        <v>0</v>
      </c>
      <c r="BU54" s="220">
        <v>6</v>
      </c>
      <c r="BV54" s="220">
        <v>30</v>
      </c>
      <c r="BW54" s="220">
        <v>93</v>
      </c>
      <c r="BX54" s="220">
        <v>38</v>
      </c>
      <c r="BY54" s="220">
        <v>59</v>
      </c>
      <c r="BZ54" s="220">
        <v>37</v>
      </c>
      <c r="CA54" s="220">
        <v>35</v>
      </c>
      <c r="CB54" s="220">
        <v>1</v>
      </c>
      <c r="CC54" s="220">
        <v>2</v>
      </c>
      <c r="CD54" s="220">
        <v>2</v>
      </c>
      <c r="CE54" s="220">
        <v>3</v>
      </c>
      <c r="CF54" s="220">
        <v>2</v>
      </c>
      <c r="CG54" s="220">
        <v>2</v>
      </c>
      <c r="CH54" s="220">
        <v>1</v>
      </c>
      <c r="CI54" s="220">
        <v>3</v>
      </c>
      <c r="CJ54" s="220">
        <v>0</v>
      </c>
      <c r="CK54" s="220">
        <v>0</v>
      </c>
      <c r="CL54" s="220">
        <v>0</v>
      </c>
      <c r="CM54" s="220">
        <v>1</v>
      </c>
      <c r="CN54" s="220">
        <v>5</v>
      </c>
      <c r="CO54" s="220">
        <v>4</v>
      </c>
      <c r="CP54" s="220">
        <v>11</v>
      </c>
      <c r="CQ54" s="220">
        <v>1</v>
      </c>
      <c r="CR54" s="220">
        <v>1</v>
      </c>
      <c r="CS54" s="220">
        <v>1</v>
      </c>
      <c r="CT54" s="220">
        <v>8</v>
      </c>
      <c r="CU54" s="220">
        <v>1</v>
      </c>
      <c r="CV54" s="220">
        <v>2</v>
      </c>
      <c r="CW54" s="220">
        <v>19</v>
      </c>
      <c r="CX54" s="220">
        <v>9</v>
      </c>
      <c r="CY54" s="220">
        <v>51</v>
      </c>
      <c r="CZ54" s="220">
        <v>25</v>
      </c>
      <c r="DA54" s="220">
        <v>10</v>
      </c>
      <c r="DB54" s="220">
        <v>2</v>
      </c>
      <c r="DC54" s="220">
        <v>1</v>
      </c>
      <c r="DD54" s="220">
        <v>0</v>
      </c>
      <c r="DE54" s="220">
        <v>9</v>
      </c>
      <c r="DF54" s="220">
        <v>0</v>
      </c>
      <c r="DG54" s="220">
        <v>0</v>
      </c>
      <c r="DH54" s="220">
        <v>0</v>
      </c>
      <c r="DI54" s="220">
        <v>18</v>
      </c>
      <c r="DJ54" s="220">
        <v>0</v>
      </c>
      <c r="DK54" s="220">
        <v>0</v>
      </c>
      <c r="DL54" s="220">
        <v>24</v>
      </c>
      <c r="DM54" s="220">
        <v>0</v>
      </c>
      <c r="DN54" s="220">
        <v>2</v>
      </c>
      <c r="DO54" s="220">
        <v>0</v>
      </c>
      <c r="DP54" s="221">
        <v>9829</v>
      </c>
      <c r="DQ54" s="71">
        <f>TRP!AF176</f>
        <v>9829</v>
      </c>
      <c r="DR54" s="71">
        <f t="shared" si="3"/>
        <v>0</v>
      </c>
    </row>
    <row r="55" spans="2:122" x14ac:dyDescent="0.25">
      <c r="B55" s="218" t="s">
        <v>131</v>
      </c>
      <c r="C55" s="222" t="s">
        <v>234</v>
      </c>
      <c r="D55" s="220">
        <v>0</v>
      </c>
      <c r="E55" s="220">
        <v>0</v>
      </c>
      <c r="F55" s="220">
        <v>0</v>
      </c>
      <c r="G55" s="220">
        <v>17</v>
      </c>
      <c r="H55" s="220">
        <v>23</v>
      </c>
      <c r="I55" s="220">
        <v>42</v>
      </c>
      <c r="J55" s="220">
        <v>22</v>
      </c>
      <c r="K55" s="220">
        <v>60</v>
      </c>
      <c r="L55" s="220">
        <v>1</v>
      </c>
      <c r="M55" s="220">
        <v>230</v>
      </c>
      <c r="N55" s="220">
        <v>178</v>
      </c>
      <c r="O55" s="220">
        <v>303</v>
      </c>
      <c r="P55" s="220">
        <v>2202</v>
      </c>
      <c r="Q55" s="220">
        <v>1303</v>
      </c>
      <c r="R55" s="220">
        <v>49</v>
      </c>
      <c r="S55" s="220">
        <v>2</v>
      </c>
      <c r="T55" s="220">
        <v>104</v>
      </c>
      <c r="U55" s="220">
        <v>52</v>
      </c>
      <c r="V55" s="220">
        <v>22</v>
      </c>
      <c r="W55" s="220">
        <v>10</v>
      </c>
      <c r="X55" s="220">
        <v>261</v>
      </c>
      <c r="Y55" s="220">
        <v>123</v>
      </c>
      <c r="Z55" s="220">
        <v>6</v>
      </c>
      <c r="AA55" s="220">
        <v>8</v>
      </c>
      <c r="AB55" s="220">
        <v>92</v>
      </c>
      <c r="AC55" s="220">
        <v>3</v>
      </c>
      <c r="AD55" s="220">
        <v>59</v>
      </c>
      <c r="AE55" s="220">
        <v>55</v>
      </c>
      <c r="AF55" s="220">
        <v>120</v>
      </c>
      <c r="AG55" s="220">
        <v>94</v>
      </c>
      <c r="AH55" s="220">
        <v>20</v>
      </c>
      <c r="AI55" s="220">
        <v>2</v>
      </c>
      <c r="AJ55" s="220">
        <v>49</v>
      </c>
      <c r="AK55" s="220">
        <v>0</v>
      </c>
      <c r="AL55" s="220">
        <v>1</v>
      </c>
      <c r="AM55" s="220">
        <v>82</v>
      </c>
      <c r="AN55" s="220">
        <v>1</v>
      </c>
      <c r="AO55" s="220">
        <v>3</v>
      </c>
      <c r="AP55" s="220">
        <v>1</v>
      </c>
      <c r="AQ55" s="220">
        <v>0</v>
      </c>
      <c r="AR55" s="220">
        <v>34</v>
      </c>
      <c r="AS55" s="220">
        <v>60</v>
      </c>
      <c r="AT55" s="220">
        <v>106</v>
      </c>
      <c r="AU55" s="220">
        <v>89</v>
      </c>
      <c r="AV55" s="220">
        <v>21</v>
      </c>
      <c r="AW55" s="220">
        <v>27</v>
      </c>
      <c r="AX55" s="220">
        <v>60</v>
      </c>
      <c r="AY55" s="220">
        <v>427</v>
      </c>
      <c r="AZ55" s="220">
        <v>292</v>
      </c>
      <c r="BA55" s="220">
        <v>108</v>
      </c>
      <c r="BB55" s="220">
        <v>4411</v>
      </c>
      <c r="BC55" s="220">
        <v>2224</v>
      </c>
      <c r="BD55" s="220">
        <v>34</v>
      </c>
      <c r="BE55" s="220">
        <v>869</v>
      </c>
      <c r="BF55" s="220">
        <v>8377</v>
      </c>
      <c r="BG55" s="220">
        <v>47</v>
      </c>
      <c r="BH55" s="220">
        <v>40</v>
      </c>
      <c r="BI55" s="220">
        <v>13</v>
      </c>
      <c r="BJ55" s="220">
        <v>113</v>
      </c>
      <c r="BK55" s="220">
        <v>57</v>
      </c>
      <c r="BL55" s="220">
        <v>0</v>
      </c>
      <c r="BM55" s="220">
        <v>355</v>
      </c>
      <c r="BN55" s="220">
        <v>29</v>
      </c>
      <c r="BO55" s="220">
        <v>0</v>
      </c>
      <c r="BP55" s="220">
        <v>0</v>
      </c>
      <c r="BQ55" s="220">
        <v>0</v>
      </c>
      <c r="BR55" s="220">
        <v>0</v>
      </c>
      <c r="BS55" s="220">
        <v>1065</v>
      </c>
      <c r="BT55" s="220">
        <v>17</v>
      </c>
      <c r="BU55" s="220">
        <v>5</v>
      </c>
      <c r="BV55" s="220">
        <v>86</v>
      </c>
      <c r="BW55" s="220">
        <v>57</v>
      </c>
      <c r="BX55" s="220">
        <v>8</v>
      </c>
      <c r="BY55" s="220">
        <v>125</v>
      </c>
      <c r="BZ55" s="220">
        <v>119</v>
      </c>
      <c r="CA55" s="220">
        <v>93</v>
      </c>
      <c r="CB55" s="220">
        <v>1</v>
      </c>
      <c r="CC55" s="220">
        <v>3</v>
      </c>
      <c r="CD55" s="220">
        <v>2</v>
      </c>
      <c r="CE55" s="220">
        <v>3</v>
      </c>
      <c r="CF55" s="220">
        <v>2</v>
      </c>
      <c r="CG55" s="220">
        <v>2</v>
      </c>
      <c r="CH55" s="220">
        <v>1</v>
      </c>
      <c r="CI55" s="220">
        <v>4</v>
      </c>
      <c r="CJ55" s="220">
        <v>0</v>
      </c>
      <c r="CK55" s="220">
        <v>0</v>
      </c>
      <c r="CL55" s="220">
        <v>0</v>
      </c>
      <c r="CM55" s="220">
        <v>3</v>
      </c>
      <c r="CN55" s="220">
        <v>14</v>
      </c>
      <c r="CO55" s="220">
        <v>9</v>
      </c>
      <c r="CP55" s="220">
        <v>3</v>
      </c>
      <c r="CQ55" s="220">
        <v>1</v>
      </c>
      <c r="CR55" s="220">
        <v>1</v>
      </c>
      <c r="CS55" s="220">
        <v>2</v>
      </c>
      <c r="CT55" s="220">
        <v>4</v>
      </c>
      <c r="CU55" s="220">
        <v>2</v>
      </c>
      <c r="CV55" s="220">
        <v>2</v>
      </c>
      <c r="CW55" s="220">
        <v>83</v>
      </c>
      <c r="CX55" s="220">
        <v>4</v>
      </c>
      <c r="CY55" s="220">
        <v>137</v>
      </c>
      <c r="CZ55" s="220">
        <v>5</v>
      </c>
      <c r="DA55" s="220">
        <v>22</v>
      </c>
      <c r="DB55" s="220">
        <v>289</v>
      </c>
      <c r="DC55" s="220">
        <v>50</v>
      </c>
      <c r="DD55" s="220">
        <v>0</v>
      </c>
      <c r="DE55" s="220">
        <v>20</v>
      </c>
      <c r="DF55" s="220">
        <v>0</v>
      </c>
      <c r="DG55" s="220">
        <v>0</v>
      </c>
      <c r="DH55" s="220">
        <v>0</v>
      </c>
      <c r="DI55" s="220">
        <v>147</v>
      </c>
      <c r="DJ55" s="220">
        <v>185</v>
      </c>
      <c r="DK55" s="220">
        <v>0</v>
      </c>
      <c r="DL55" s="220">
        <v>41</v>
      </c>
      <c r="DM55" s="220">
        <v>0</v>
      </c>
      <c r="DN55" s="220">
        <v>22</v>
      </c>
      <c r="DO55" s="220">
        <v>0</v>
      </c>
      <c r="DP55" s="221">
        <v>26032</v>
      </c>
      <c r="DQ55" s="71">
        <f>TRP!AF177</f>
        <v>26032</v>
      </c>
      <c r="DR55" s="71">
        <f t="shared" si="3"/>
        <v>0</v>
      </c>
    </row>
    <row r="56" spans="2:122" x14ac:dyDescent="0.25">
      <c r="B56" s="218" t="s">
        <v>132</v>
      </c>
      <c r="C56" s="222" t="s">
        <v>235</v>
      </c>
      <c r="D56" s="220">
        <v>2617</v>
      </c>
      <c r="E56" s="220">
        <v>3</v>
      </c>
      <c r="F56" s="220">
        <v>1</v>
      </c>
      <c r="G56" s="220">
        <v>17</v>
      </c>
      <c r="H56" s="220">
        <v>24</v>
      </c>
      <c r="I56" s="220">
        <v>21</v>
      </c>
      <c r="J56" s="220">
        <v>7</v>
      </c>
      <c r="K56" s="220">
        <v>32</v>
      </c>
      <c r="L56" s="220">
        <v>1</v>
      </c>
      <c r="M56" s="220">
        <v>38</v>
      </c>
      <c r="N56" s="220">
        <v>4</v>
      </c>
      <c r="O56" s="220">
        <v>756</v>
      </c>
      <c r="P56" s="220">
        <v>902</v>
      </c>
      <c r="Q56" s="220">
        <v>763</v>
      </c>
      <c r="R56" s="220">
        <v>187</v>
      </c>
      <c r="S56" s="220">
        <v>7</v>
      </c>
      <c r="T56" s="220">
        <v>76</v>
      </c>
      <c r="U56" s="220">
        <v>27</v>
      </c>
      <c r="V56" s="220">
        <v>4</v>
      </c>
      <c r="W56" s="220">
        <v>15</v>
      </c>
      <c r="X56" s="220">
        <v>526</v>
      </c>
      <c r="Y56" s="220">
        <v>365</v>
      </c>
      <c r="Z56" s="220">
        <v>25</v>
      </c>
      <c r="AA56" s="220">
        <v>6</v>
      </c>
      <c r="AB56" s="220">
        <v>125</v>
      </c>
      <c r="AC56" s="220">
        <v>18</v>
      </c>
      <c r="AD56" s="220">
        <v>70</v>
      </c>
      <c r="AE56" s="220">
        <v>67</v>
      </c>
      <c r="AF56" s="220">
        <v>87</v>
      </c>
      <c r="AG56" s="220">
        <v>110</v>
      </c>
      <c r="AH56" s="220">
        <v>17</v>
      </c>
      <c r="AI56" s="220">
        <v>14</v>
      </c>
      <c r="AJ56" s="220">
        <v>31</v>
      </c>
      <c r="AK56" s="220">
        <v>11</v>
      </c>
      <c r="AL56" s="220">
        <v>4</v>
      </c>
      <c r="AM56" s="220">
        <v>81</v>
      </c>
      <c r="AN56" s="220">
        <v>15</v>
      </c>
      <c r="AO56" s="220">
        <v>42</v>
      </c>
      <c r="AP56" s="220">
        <v>32</v>
      </c>
      <c r="AQ56" s="220">
        <v>0</v>
      </c>
      <c r="AR56" s="220">
        <v>81</v>
      </c>
      <c r="AS56" s="220">
        <v>49</v>
      </c>
      <c r="AT56" s="220">
        <v>90</v>
      </c>
      <c r="AU56" s="220">
        <v>17</v>
      </c>
      <c r="AV56" s="220">
        <v>29</v>
      </c>
      <c r="AW56" s="220">
        <v>7</v>
      </c>
      <c r="AX56" s="220">
        <v>46</v>
      </c>
      <c r="AY56" s="220">
        <v>62</v>
      </c>
      <c r="AZ56" s="220">
        <v>131</v>
      </c>
      <c r="BA56" s="220">
        <v>56</v>
      </c>
      <c r="BB56" s="220">
        <v>232</v>
      </c>
      <c r="BC56" s="220">
        <v>681</v>
      </c>
      <c r="BD56" s="220">
        <v>1</v>
      </c>
      <c r="BE56" s="220">
        <v>126</v>
      </c>
      <c r="BF56" s="220">
        <v>328</v>
      </c>
      <c r="BG56" s="220">
        <v>123</v>
      </c>
      <c r="BH56" s="220">
        <v>1</v>
      </c>
      <c r="BI56" s="220">
        <v>60</v>
      </c>
      <c r="BJ56" s="220">
        <v>708</v>
      </c>
      <c r="BK56" s="220">
        <v>105</v>
      </c>
      <c r="BL56" s="220">
        <v>0</v>
      </c>
      <c r="BM56" s="220">
        <v>367</v>
      </c>
      <c r="BN56" s="220">
        <v>28</v>
      </c>
      <c r="BO56" s="220">
        <v>0</v>
      </c>
      <c r="BP56" s="220">
        <v>0</v>
      </c>
      <c r="BQ56" s="220">
        <v>0</v>
      </c>
      <c r="BR56" s="220">
        <v>9</v>
      </c>
      <c r="BS56" s="220">
        <v>23</v>
      </c>
      <c r="BT56" s="220">
        <v>40</v>
      </c>
      <c r="BU56" s="220">
        <v>8</v>
      </c>
      <c r="BV56" s="220">
        <v>14</v>
      </c>
      <c r="BW56" s="220">
        <v>1097</v>
      </c>
      <c r="BX56" s="220">
        <v>295</v>
      </c>
      <c r="BY56" s="220">
        <v>78</v>
      </c>
      <c r="BZ56" s="220">
        <v>40</v>
      </c>
      <c r="CA56" s="220">
        <v>72</v>
      </c>
      <c r="CB56" s="220">
        <v>1</v>
      </c>
      <c r="CC56" s="220">
        <v>7</v>
      </c>
      <c r="CD56" s="220">
        <v>18</v>
      </c>
      <c r="CE56" s="220">
        <v>18</v>
      </c>
      <c r="CF56" s="220">
        <v>11</v>
      </c>
      <c r="CG56" s="220">
        <v>9</v>
      </c>
      <c r="CH56" s="220">
        <v>0</v>
      </c>
      <c r="CI56" s="220">
        <v>6</v>
      </c>
      <c r="CJ56" s="220">
        <v>7</v>
      </c>
      <c r="CK56" s="220">
        <v>19</v>
      </c>
      <c r="CL56" s="220">
        <v>6</v>
      </c>
      <c r="CM56" s="220">
        <v>50</v>
      </c>
      <c r="CN56" s="220">
        <v>2</v>
      </c>
      <c r="CO56" s="220">
        <v>70</v>
      </c>
      <c r="CP56" s="220">
        <v>29</v>
      </c>
      <c r="CQ56" s="220">
        <v>18</v>
      </c>
      <c r="CR56" s="220">
        <v>16</v>
      </c>
      <c r="CS56" s="220">
        <v>15</v>
      </c>
      <c r="CT56" s="220">
        <v>49</v>
      </c>
      <c r="CU56" s="220">
        <v>6</v>
      </c>
      <c r="CV56" s="220">
        <v>10</v>
      </c>
      <c r="CW56" s="220">
        <v>70</v>
      </c>
      <c r="CX56" s="220">
        <v>6</v>
      </c>
      <c r="CY56" s="220">
        <v>104</v>
      </c>
      <c r="CZ56" s="220">
        <v>0</v>
      </c>
      <c r="DA56" s="220">
        <v>72</v>
      </c>
      <c r="DB56" s="220">
        <v>9</v>
      </c>
      <c r="DC56" s="220">
        <v>7</v>
      </c>
      <c r="DD56" s="220">
        <v>0</v>
      </c>
      <c r="DE56" s="220">
        <v>114</v>
      </c>
      <c r="DF56" s="220">
        <v>0</v>
      </c>
      <c r="DG56" s="220">
        <v>8</v>
      </c>
      <c r="DH56" s="220">
        <v>7</v>
      </c>
      <c r="DI56" s="220">
        <v>56</v>
      </c>
      <c r="DJ56" s="220">
        <v>0</v>
      </c>
      <c r="DK56" s="220">
        <v>2</v>
      </c>
      <c r="DL56" s="220">
        <v>7</v>
      </c>
      <c r="DM56" s="220">
        <v>1</v>
      </c>
      <c r="DN56" s="220">
        <v>8</v>
      </c>
      <c r="DO56" s="220">
        <v>0</v>
      </c>
      <c r="DP56" s="221">
        <v>12990</v>
      </c>
      <c r="DQ56" s="71">
        <f>TRP!AF178</f>
        <v>12990</v>
      </c>
      <c r="DR56" s="71">
        <f t="shared" si="3"/>
        <v>0</v>
      </c>
    </row>
    <row r="57" spans="2:122" x14ac:dyDescent="0.25">
      <c r="B57" s="218" t="s">
        <v>133</v>
      </c>
      <c r="C57" s="222" t="s">
        <v>236</v>
      </c>
      <c r="D57" s="220">
        <v>0</v>
      </c>
      <c r="E57" s="220">
        <v>0</v>
      </c>
      <c r="F57" s="220">
        <v>0</v>
      </c>
      <c r="G57" s="220">
        <v>0</v>
      </c>
      <c r="H57" s="220">
        <v>1</v>
      </c>
      <c r="I57" s="220">
        <v>9</v>
      </c>
      <c r="J57" s="220">
        <v>3</v>
      </c>
      <c r="K57" s="220">
        <v>5</v>
      </c>
      <c r="L57" s="220">
        <v>1</v>
      </c>
      <c r="M57" s="220">
        <v>13</v>
      </c>
      <c r="N57" s="220">
        <v>0</v>
      </c>
      <c r="O57" s="220">
        <v>0</v>
      </c>
      <c r="P57" s="220">
        <v>1</v>
      </c>
      <c r="Q57" s="220">
        <v>0</v>
      </c>
      <c r="R57" s="220">
        <v>38</v>
      </c>
      <c r="S57" s="220">
        <v>0</v>
      </c>
      <c r="T57" s="220">
        <v>4</v>
      </c>
      <c r="U57" s="220">
        <v>0</v>
      </c>
      <c r="V57" s="220">
        <v>0</v>
      </c>
      <c r="W57" s="220">
        <v>0</v>
      </c>
      <c r="X57" s="220">
        <v>2</v>
      </c>
      <c r="Y57" s="220">
        <v>0</v>
      </c>
      <c r="Z57" s="220">
        <v>0</v>
      </c>
      <c r="AA57" s="220">
        <v>0</v>
      </c>
      <c r="AB57" s="220">
        <v>0</v>
      </c>
      <c r="AC57" s="220">
        <v>0</v>
      </c>
      <c r="AD57" s="220">
        <v>0</v>
      </c>
      <c r="AE57" s="220">
        <v>0</v>
      </c>
      <c r="AF57" s="220">
        <v>0</v>
      </c>
      <c r="AG57" s="220">
        <v>0</v>
      </c>
      <c r="AH57" s="220">
        <v>0</v>
      </c>
      <c r="AI57" s="220">
        <v>0</v>
      </c>
      <c r="AJ57" s="220">
        <v>0</v>
      </c>
      <c r="AK57" s="220">
        <v>0</v>
      </c>
      <c r="AL57" s="220">
        <v>0</v>
      </c>
      <c r="AM57" s="220">
        <v>0</v>
      </c>
      <c r="AN57" s="220">
        <v>0</v>
      </c>
      <c r="AO57" s="220">
        <v>0</v>
      </c>
      <c r="AP57" s="220">
        <v>0</v>
      </c>
      <c r="AQ57" s="220">
        <v>0</v>
      </c>
      <c r="AR57" s="220">
        <v>0</v>
      </c>
      <c r="AS57" s="220">
        <v>0</v>
      </c>
      <c r="AT57" s="220">
        <v>0</v>
      </c>
      <c r="AU57" s="220">
        <v>348</v>
      </c>
      <c r="AV57" s="220">
        <v>76</v>
      </c>
      <c r="AW57" s="220">
        <v>51</v>
      </c>
      <c r="AX57" s="220">
        <v>0</v>
      </c>
      <c r="AY57" s="220">
        <v>0</v>
      </c>
      <c r="AZ57" s="220">
        <v>0</v>
      </c>
      <c r="BA57" s="220">
        <v>0</v>
      </c>
      <c r="BB57" s="220">
        <v>3</v>
      </c>
      <c r="BC57" s="220">
        <v>0</v>
      </c>
      <c r="BD57" s="220">
        <v>94</v>
      </c>
      <c r="BE57" s="220">
        <v>55</v>
      </c>
      <c r="BF57" s="220">
        <v>49</v>
      </c>
      <c r="BG57" s="220">
        <v>0</v>
      </c>
      <c r="BH57" s="220">
        <v>0</v>
      </c>
      <c r="BI57" s="220">
        <v>0</v>
      </c>
      <c r="BJ57" s="220">
        <v>0</v>
      </c>
      <c r="BK57" s="220">
        <v>0</v>
      </c>
      <c r="BL57" s="220">
        <v>0</v>
      </c>
      <c r="BM57" s="220">
        <v>0</v>
      </c>
      <c r="BN57" s="220">
        <v>0</v>
      </c>
      <c r="BO57" s="220">
        <v>0</v>
      </c>
      <c r="BP57" s="220">
        <v>0</v>
      </c>
      <c r="BQ57" s="220">
        <v>0</v>
      </c>
      <c r="BR57" s="220">
        <v>0</v>
      </c>
      <c r="BS57" s="220">
        <v>0</v>
      </c>
      <c r="BT57" s="220">
        <v>0</v>
      </c>
      <c r="BU57" s="220">
        <v>0</v>
      </c>
      <c r="BV57" s="220">
        <v>0</v>
      </c>
      <c r="BW57" s="220">
        <v>0</v>
      </c>
      <c r="BX57" s="220">
        <v>0</v>
      </c>
      <c r="BY57" s="220">
        <v>0</v>
      </c>
      <c r="BZ57" s="220">
        <v>0</v>
      </c>
      <c r="CA57" s="220">
        <v>0</v>
      </c>
      <c r="CB57" s="220">
        <v>0</v>
      </c>
      <c r="CC57" s="220">
        <v>0</v>
      </c>
      <c r="CD57" s="220">
        <v>0</v>
      </c>
      <c r="CE57" s="220">
        <v>0</v>
      </c>
      <c r="CF57" s="220">
        <v>0</v>
      </c>
      <c r="CG57" s="220">
        <v>0</v>
      </c>
      <c r="CH57" s="220">
        <v>0</v>
      </c>
      <c r="CI57" s="220">
        <v>0</v>
      </c>
      <c r="CJ57" s="220">
        <v>0</v>
      </c>
      <c r="CK57" s="220">
        <v>0</v>
      </c>
      <c r="CL57" s="220">
        <v>0</v>
      </c>
      <c r="CM57" s="220">
        <v>0</v>
      </c>
      <c r="CN57" s="220">
        <v>0</v>
      </c>
      <c r="CO57" s="220">
        <v>0</v>
      </c>
      <c r="CP57" s="220">
        <v>0</v>
      </c>
      <c r="CQ57" s="220">
        <v>0</v>
      </c>
      <c r="CR57" s="220">
        <v>0</v>
      </c>
      <c r="CS57" s="220">
        <v>0</v>
      </c>
      <c r="CT57" s="220">
        <v>0</v>
      </c>
      <c r="CU57" s="220">
        <v>0</v>
      </c>
      <c r="CV57" s="220">
        <v>0</v>
      </c>
      <c r="CW57" s="220">
        <v>0</v>
      </c>
      <c r="CX57" s="220">
        <v>0</v>
      </c>
      <c r="CY57" s="220">
        <v>5</v>
      </c>
      <c r="CZ57" s="220">
        <v>0</v>
      </c>
      <c r="DA57" s="220">
        <v>0</v>
      </c>
      <c r="DB57" s="220">
        <v>0</v>
      </c>
      <c r="DC57" s="220">
        <v>0</v>
      </c>
      <c r="DD57" s="220">
        <v>7</v>
      </c>
      <c r="DE57" s="220">
        <v>0</v>
      </c>
      <c r="DF57" s="220">
        <v>0</v>
      </c>
      <c r="DG57" s="220">
        <v>0</v>
      </c>
      <c r="DH57" s="220">
        <v>0</v>
      </c>
      <c r="DI57" s="220">
        <v>0</v>
      </c>
      <c r="DJ57" s="220">
        <v>0</v>
      </c>
      <c r="DK57" s="220">
        <v>0</v>
      </c>
      <c r="DL57" s="220">
        <v>0</v>
      </c>
      <c r="DM57" s="220">
        <v>0</v>
      </c>
      <c r="DN57" s="220">
        <v>0</v>
      </c>
      <c r="DO57" s="220">
        <v>0</v>
      </c>
      <c r="DP57" s="221">
        <v>765</v>
      </c>
      <c r="DQ57" s="71">
        <f>TRP!AF179</f>
        <v>765</v>
      </c>
      <c r="DR57" s="71">
        <f t="shared" si="3"/>
        <v>0</v>
      </c>
    </row>
    <row r="58" spans="2:122" x14ac:dyDescent="0.25">
      <c r="B58" s="218" t="s">
        <v>134</v>
      </c>
      <c r="C58" s="222" t="s">
        <v>237</v>
      </c>
      <c r="D58" s="220">
        <v>117</v>
      </c>
      <c r="E58" s="220">
        <v>10</v>
      </c>
      <c r="F58" s="220">
        <v>0</v>
      </c>
      <c r="G58" s="220">
        <v>6</v>
      </c>
      <c r="H58" s="220">
        <v>6</v>
      </c>
      <c r="I58" s="220">
        <v>5</v>
      </c>
      <c r="J58" s="220">
        <v>6</v>
      </c>
      <c r="K58" s="220">
        <v>20</v>
      </c>
      <c r="L58" s="220">
        <v>0</v>
      </c>
      <c r="M58" s="220">
        <v>0</v>
      </c>
      <c r="N58" s="220">
        <v>16</v>
      </c>
      <c r="O58" s="220">
        <v>5</v>
      </c>
      <c r="P58" s="220">
        <v>85</v>
      </c>
      <c r="Q58" s="220">
        <v>9</v>
      </c>
      <c r="R58" s="220">
        <v>31</v>
      </c>
      <c r="S58" s="220">
        <v>1</v>
      </c>
      <c r="T58" s="220">
        <v>30</v>
      </c>
      <c r="U58" s="220">
        <v>44</v>
      </c>
      <c r="V58" s="220">
        <v>37</v>
      </c>
      <c r="W58" s="220">
        <v>0</v>
      </c>
      <c r="X58" s="220">
        <v>1496</v>
      </c>
      <c r="Y58" s="220">
        <v>782</v>
      </c>
      <c r="Z58" s="220">
        <v>0</v>
      </c>
      <c r="AA58" s="220">
        <v>45</v>
      </c>
      <c r="AB58" s="220">
        <v>141</v>
      </c>
      <c r="AC58" s="220">
        <v>40</v>
      </c>
      <c r="AD58" s="220">
        <v>7</v>
      </c>
      <c r="AE58" s="220">
        <v>9</v>
      </c>
      <c r="AF58" s="220">
        <v>34</v>
      </c>
      <c r="AG58" s="220">
        <v>103</v>
      </c>
      <c r="AH58" s="220">
        <v>276</v>
      </c>
      <c r="AI58" s="220">
        <v>2</v>
      </c>
      <c r="AJ58" s="220">
        <v>63</v>
      </c>
      <c r="AK58" s="220">
        <v>19</v>
      </c>
      <c r="AL58" s="220">
        <v>3</v>
      </c>
      <c r="AM58" s="220">
        <v>45</v>
      </c>
      <c r="AN58" s="220">
        <v>97</v>
      </c>
      <c r="AO58" s="220">
        <v>0</v>
      </c>
      <c r="AP58" s="220">
        <v>84</v>
      </c>
      <c r="AQ58" s="220">
        <v>0</v>
      </c>
      <c r="AR58" s="220">
        <v>20</v>
      </c>
      <c r="AS58" s="220">
        <v>24</v>
      </c>
      <c r="AT58" s="220">
        <v>40</v>
      </c>
      <c r="AU58" s="220">
        <v>10</v>
      </c>
      <c r="AV58" s="220">
        <v>18</v>
      </c>
      <c r="AW58" s="220">
        <v>20</v>
      </c>
      <c r="AX58" s="220">
        <v>5</v>
      </c>
      <c r="AY58" s="220">
        <v>10</v>
      </c>
      <c r="AZ58" s="220">
        <v>5</v>
      </c>
      <c r="BA58" s="220">
        <v>20</v>
      </c>
      <c r="BB58" s="220">
        <v>32</v>
      </c>
      <c r="BC58" s="220">
        <v>91</v>
      </c>
      <c r="BD58" s="220">
        <v>1</v>
      </c>
      <c r="BE58" s="220">
        <v>1909</v>
      </c>
      <c r="BF58" s="220">
        <v>65</v>
      </c>
      <c r="BG58" s="220">
        <v>57</v>
      </c>
      <c r="BH58" s="220">
        <v>34</v>
      </c>
      <c r="BI58" s="220">
        <v>37</v>
      </c>
      <c r="BJ58" s="220">
        <v>38</v>
      </c>
      <c r="BK58" s="220">
        <v>8</v>
      </c>
      <c r="BL58" s="220">
        <v>0</v>
      </c>
      <c r="BM58" s="220">
        <v>178</v>
      </c>
      <c r="BN58" s="220">
        <v>80</v>
      </c>
      <c r="BO58" s="220">
        <v>0</v>
      </c>
      <c r="BP58" s="220">
        <v>0</v>
      </c>
      <c r="BQ58" s="220">
        <v>0</v>
      </c>
      <c r="BR58" s="220">
        <v>33</v>
      </c>
      <c r="BS58" s="220">
        <v>101</v>
      </c>
      <c r="BT58" s="220">
        <v>8</v>
      </c>
      <c r="BU58" s="220">
        <v>2</v>
      </c>
      <c r="BV58" s="220">
        <v>0</v>
      </c>
      <c r="BW58" s="220">
        <v>259</v>
      </c>
      <c r="BX58" s="220">
        <v>75</v>
      </c>
      <c r="BY58" s="220">
        <v>49</v>
      </c>
      <c r="BZ58" s="220">
        <v>48</v>
      </c>
      <c r="CA58" s="220">
        <v>2</v>
      </c>
      <c r="CB58" s="220">
        <v>1</v>
      </c>
      <c r="CC58" s="220">
        <v>87</v>
      </c>
      <c r="CD58" s="220">
        <v>353</v>
      </c>
      <c r="CE58" s="220">
        <v>38</v>
      </c>
      <c r="CF58" s="220">
        <v>49</v>
      </c>
      <c r="CG58" s="220">
        <v>25</v>
      </c>
      <c r="CH58" s="220">
        <v>0</v>
      </c>
      <c r="CI58" s="220">
        <v>14</v>
      </c>
      <c r="CJ58" s="220">
        <v>0</v>
      </c>
      <c r="CK58" s="220">
        <v>6</v>
      </c>
      <c r="CL58" s="220">
        <v>7</v>
      </c>
      <c r="CM58" s="220">
        <v>3</v>
      </c>
      <c r="CN58" s="220">
        <v>6</v>
      </c>
      <c r="CO58" s="220">
        <v>212</v>
      </c>
      <c r="CP58" s="220">
        <v>50</v>
      </c>
      <c r="CQ58" s="220">
        <v>30</v>
      </c>
      <c r="CR58" s="220">
        <v>4</v>
      </c>
      <c r="CS58" s="220">
        <v>28</v>
      </c>
      <c r="CT58" s="220">
        <v>42</v>
      </c>
      <c r="CU58" s="220">
        <v>18</v>
      </c>
      <c r="CV58" s="220">
        <v>21</v>
      </c>
      <c r="CW58" s="220">
        <v>81</v>
      </c>
      <c r="CX58" s="220">
        <v>4</v>
      </c>
      <c r="CY58" s="220">
        <v>40</v>
      </c>
      <c r="CZ58" s="220">
        <v>0</v>
      </c>
      <c r="DA58" s="220">
        <v>12</v>
      </c>
      <c r="DB58" s="220">
        <v>1</v>
      </c>
      <c r="DC58" s="220">
        <v>2</v>
      </c>
      <c r="DD58" s="220">
        <v>0</v>
      </c>
      <c r="DE58" s="220">
        <v>5</v>
      </c>
      <c r="DF58" s="220">
        <v>0</v>
      </c>
      <c r="DG58" s="220">
        <v>2</v>
      </c>
      <c r="DH58" s="220">
        <v>0</v>
      </c>
      <c r="DI58" s="220">
        <v>149</v>
      </c>
      <c r="DJ58" s="220">
        <v>0</v>
      </c>
      <c r="DK58" s="220">
        <v>5</v>
      </c>
      <c r="DL58" s="220">
        <v>14</v>
      </c>
      <c r="DM58" s="220">
        <v>0</v>
      </c>
      <c r="DN58" s="220">
        <v>0</v>
      </c>
      <c r="DO58" s="220">
        <v>0</v>
      </c>
      <c r="DP58" s="221">
        <v>8262</v>
      </c>
      <c r="DQ58" s="71">
        <f>TRP!AF180</f>
        <v>8262</v>
      </c>
      <c r="DR58" s="71">
        <f t="shared" si="3"/>
        <v>0</v>
      </c>
    </row>
    <row r="59" spans="2:122" x14ac:dyDescent="0.25">
      <c r="B59" s="218" t="s">
        <v>135</v>
      </c>
      <c r="C59" s="222" t="s">
        <v>238</v>
      </c>
      <c r="D59" s="220">
        <v>248</v>
      </c>
      <c r="E59" s="220">
        <v>0</v>
      </c>
      <c r="F59" s="220">
        <v>1</v>
      </c>
      <c r="G59" s="220">
        <v>200</v>
      </c>
      <c r="H59" s="220">
        <v>886</v>
      </c>
      <c r="I59" s="220">
        <v>385</v>
      </c>
      <c r="J59" s="220">
        <v>337</v>
      </c>
      <c r="K59" s="220">
        <v>868</v>
      </c>
      <c r="L59" s="220">
        <v>1</v>
      </c>
      <c r="M59" s="220">
        <v>262</v>
      </c>
      <c r="N59" s="220">
        <v>163</v>
      </c>
      <c r="O59" s="220">
        <v>429</v>
      </c>
      <c r="P59" s="220">
        <v>304</v>
      </c>
      <c r="Q59" s="220">
        <v>677</v>
      </c>
      <c r="R59" s="220">
        <v>445</v>
      </c>
      <c r="S59" s="220">
        <v>8</v>
      </c>
      <c r="T59" s="220">
        <v>267</v>
      </c>
      <c r="U59" s="220">
        <v>146</v>
      </c>
      <c r="V59" s="220">
        <v>82</v>
      </c>
      <c r="W59" s="220">
        <v>48</v>
      </c>
      <c r="X59" s="220">
        <v>2569</v>
      </c>
      <c r="Y59" s="220">
        <v>965</v>
      </c>
      <c r="Z59" s="220">
        <v>39</v>
      </c>
      <c r="AA59" s="220">
        <v>43</v>
      </c>
      <c r="AB59" s="220">
        <v>440</v>
      </c>
      <c r="AC59" s="220">
        <v>24</v>
      </c>
      <c r="AD59" s="220">
        <v>102</v>
      </c>
      <c r="AE59" s="220">
        <v>132</v>
      </c>
      <c r="AF59" s="220">
        <v>208</v>
      </c>
      <c r="AG59" s="220">
        <v>368</v>
      </c>
      <c r="AH59" s="220">
        <v>82</v>
      </c>
      <c r="AI59" s="220">
        <v>12</v>
      </c>
      <c r="AJ59" s="220">
        <v>111</v>
      </c>
      <c r="AK59" s="220">
        <v>21</v>
      </c>
      <c r="AL59" s="220">
        <v>12</v>
      </c>
      <c r="AM59" s="220">
        <v>229</v>
      </c>
      <c r="AN59" s="220">
        <v>328</v>
      </c>
      <c r="AO59" s="220">
        <v>149</v>
      </c>
      <c r="AP59" s="220">
        <v>188</v>
      </c>
      <c r="AQ59" s="220">
        <v>0</v>
      </c>
      <c r="AR59" s="220">
        <v>45</v>
      </c>
      <c r="AS59" s="220">
        <v>41</v>
      </c>
      <c r="AT59" s="220">
        <v>148</v>
      </c>
      <c r="AU59" s="220">
        <v>11</v>
      </c>
      <c r="AV59" s="220">
        <v>18</v>
      </c>
      <c r="AW59" s="220">
        <v>19</v>
      </c>
      <c r="AX59" s="220">
        <v>52</v>
      </c>
      <c r="AY59" s="220">
        <v>67</v>
      </c>
      <c r="AZ59" s="220">
        <v>202</v>
      </c>
      <c r="BA59" s="220">
        <v>138</v>
      </c>
      <c r="BB59" s="220">
        <v>312</v>
      </c>
      <c r="BC59" s="220">
        <v>404</v>
      </c>
      <c r="BD59" s="220">
        <v>17</v>
      </c>
      <c r="BE59" s="220">
        <v>151</v>
      </c>
      <c r="BF59" s="220">
        <v>1767</v>
      </c>
      <c r="BG59" s="220">
        <v>86</v>
      </c>
      <c r="BH59" s="220">
        <v>88</v>
      </c>
      <c r="BI59" s="220">
        <v>12</v>
      </c>
      <c r="BJ59" s="220">
        <v>470</v>
      </c>
      <c r="BK59" s="220">
        <v>157</v>
      </c>
      <c r="BL59" s="220">
        <v>0</v>
      </c>
      <c r="BM59" s="220">
        <v>1056</v>
      </c>
      <c r="BN59" s="220">
        <v>380</v>
      </c>
      <c r="BO59" s="220">
        <v>0</v>
      </c>
      <c r="BP59" s="220">
        <v>0</v>
      </c>
      <c r="BQ59" s="220">
        <v>0</v>
      </c>
      <c r="BR59" s="220">
        <v>0</v>
      </c>
      <c r="BS59" s="220">
        <v>551</v>
      </c>
      <c r="BT59" s="220">
        <v>336</v>
      </c>
      <c r="BU59" s="220">
        <v>4</v>
      </c>
      <c r="BV59" s="220">
        <v>16</v>
      </c>
      <c r="BW59" s="220">
        <v>2867</v>
      </c>
      <c r="BX59" s="220">
        <v>702</v>
      </c>
      <c r="BY59" s="220">
        <v>303</v>
      </c>
      <c r="BZ59" s="220">
        <v>1552</v>
      </c>
      <c r="CA59" s="220">
        <v>841</v>
      </c>
      <c r="CB59" s="220">
        <v>1</v>
      </c>
      <c r="CC59" s="220">
        <v>1</v>
      </c>
      <c r="CD59" s="220">
        <v>8</v>
      </c>
      <c r="CE59" s="220">
        <v>12</v>
      </c>
      <c r="CF59" s="220">
        <v>28</v>
      </c>
      <c r="CG59" s="220">
        <v>52</v>
      </c>
      <c r="CH59" s="220">
        <v>11</v>
      </c>
      <c r="CI59" s="220">
        <v>30</v>
      </c>
      <c r="CJ59" s="220">
        <v>15</v>
      </c>
      <c r="CK59" s="220">
        <v>24</v>
      </c>
      <c r="CL59" s="220">
        <v>19</v>
      </c>
      <c r="CM59" s="220">
        <v>8</v>
      </c>
      <c r="CN59" s="220">
        <v>25</v>
      </c>
      <c r="CO59" s="220">
        <v>375</v>
      </c>
      <c r="CP59" s="220">
        <v>84</v>
      </c>
      <c r="CQ59" s="220">
        <v>42</v>
      </c>
      <c r="CR59" s="220">
        <v>55</v>
      </c>
      <c r="CS59" s="220">
        <v>30</v>
      </c>
      <c r="CT59" s="220">
        <v>41</v>
      </c>
      <c r="CU59" s="220">
        <v>42</v>
      </c>
      <c r="CV59" s="220">
        <v>2</v>
      </c>
      <c r="CW59" s="220">
        <v>142</v>
      </c>
      <c r="CX59" s="220">
        <v>7</v>
      </c>
      <c r="CY59" s="220">
        <v>93</v>
      </c>
      <c r="CZ59" s="220">
        <v>0</v>
      </c>
      <c r="DA59" s="220">
        <v>86</v>
      </c>
      <c r="DB59" s="220">
        <v>60</v>
      </c>
      <c r="DC59" s="220">
        <v>89</v>
      </c>
      <c r="DD59" s="220">
        <v>0</v>
      </c>
      <c r="DE59" s="220">
        <v>68</v>
      </c>
      <c r="DF59" s="220">
        <v>0</v>
      </c>
      <c r="DG59" s="220">
        <v>7</v>
      </c>
      <c r="DH59" s="220">
        <v>0</v>
      </c>
      <c r="DI59" s="220">
        <v>127</v>
      </c>
      <c r="DJ59" s="220">
        <v>0</v>
      </c>
      <c r="DK59" s="220">
        <v>22</v>
      </c>
      <c r="DL59" s="220">
        <v>37</v>
      </c>
      <c r="DM59" s="220">
        <v>0</v>
      </c>
      <c r="DN59" s="220">
        <v>1</v>
      </c>
      <c r="DO59" s="220">
        <v>0</v>
      </c>
      <c r="DP59" s="221">
        <v>26236</v>
      </c>
      <c r="DQ59" s="71">
        <f>TRP!AF181</f>
        <v>26236</v>
      </c>
      <c r="DR59" s="71">
        <f t="shared" si="3"/>
        <v>0</v>
      </c>
    </row>
    <row r="60" spans="2:122" x14ac:dyDescent="0.25">
      <c r="B60" s="218" t="s">
        <v>136</v>
      </c>
      <c r="C60" s="222" t="s">
        <v>239</v>
      </c>
      <c r="D60" s="220">
        <v>0</v>
      </c>
      <c r="E60" s="220">
        <v>26</v>
      </c>
      <c r="F60" s="220">
        <v>0</v>
      </c>
      <c r="G60" s="220">
        <v>0</v>
      </c>
      <c r="H60" s="220">
        <v>0</v>
      </c>
      <c r="I60" s="220">
        <v>0</v>
      </c>
      <c r="J60" s="220">
        <v>0</v>
      </c>
      <c r="K60" s="220">
        <v>0</v>
      </c>
      <c r="L60" s="220">
        <v>0</v>
      </c>
      <c r="M60" s="220">
        <v>7</v>
      </c>
      <c r="N60" s="220">
        <v>6</v>
      </c>
      <c r="O60" s="220">
        <v>0</v>
      </c>
      <c r="P60" s="220">
        <v>0</v>
      </c>
      <c r="Q60" s="220">
        <v>0</v>
      </c>
      <c r="R60" s="220">
        <v>164</v>
      </c>
      <c r="S60" s="220">
        <v>0</v>
      </c>
      <c r="T60" s="220">
        <v>0</v>
      </c>
      <c r="U60" s="220">
        <v>18</v>
      </c>
      <c r="V60" s="220">
        <v>0</v>
      </c>
      <c r="W60" s="220">
        <v>5</v>
      </c>
      <c r="X60" s="220">
        <v>2256</v>
      </c>
      <c r="Y60" s="220">
        <v>1357</v>
      </c>
      <c r="Z60" s="220">
        <v>97</v>
      </c>
      <c r="AA60" s="220">
        <v>87</v>
      </c>
      <c r="AB60" s="220">
        <v>385</v>
      </c>
      <c r="AC60" s="220">
        <v>23</v>
      </c>
      <c r="AD60" s="220">
        <v>1545</v>
      </c>
      <c r="AE60" s="220">
        <v>1395</v>
      </c>
      <c r="AF60" s="220">
        <v>175</v>
      </c>
      <c r="AG60" s="220">
        <v>391</v>
      </c>
      <c r="AH60" s="220">
        <v>454</v>
      </c>
      <c r="AI60" s="220">
        <v>42</v>
      </c>
      <c r="AJ60" s="220">
        <v>879</v>
      </c>
      <c r="AK60" s="220">
        <v>6</v>
      </c>
      <c r="AL60" s="220">
        <v>8</v>
      </c>
      <c r="AM60" s="220">
        <v>171</v>
      </c>
      <c r="AN60" s="220">
        <v>148</v>
      </c>
      <c r="AO60" s="220">
        <v>98</v>
      </c>
      <c r="AP60" s="220">
        <v>42</v>
      </c>
      <c r="AQ60" s="220">
        <v>0</v>
      </c>
      <c r="AR60" s="220">
        <v>0</v>
      </c>
      <c r="AS60" s="220">
        <v>15</v>
      </c>
      <c r="AT60" s="220">
        <v>283</v>
      </c>
      <c r="AU60" s="220">
        <v>0</v>
      </c>
      <c r="AV60" s="220">
        <v>0</v>
      </c>
      <c r="AW60" s="220">
        <v>0</v>
      </c>
      <c r="AX60" s="220">
        <v>0</v>
      </c>
      <c r="AY60" s="220">
        <v>0</v>
      </c>
      <c r="AZ60" s="220">
        <v>0</v>
      </c>
      <c r="BA60" s="220">
        <v>0</v>
      </c>
      <c r="BB60" s="220">
        <v>96</v>
      </c>
      <c r="BC60" s="220">
        <v>32</v>
      </c>
      <c r="BD60" s="220">
        <v>0</v>
      </c>
      <c r="BE60" s="220">
        <v>346</v>
      </c>
      <c r="BF60" s="220">
        <v>133</v>
      </c>
      <c r="BG60" s="220">
        <v>7915</v>
      </c>
      <c r="BH60" s="220">
        <v>1</v>
      </c>
      <c r="BI60" s="220">
        <v>84</v>
      </c>
      <c r="BJ60" s="220">
        <v>3195</v>
      </c>
      <c r="BK60" s="220">
        <v>2127</v>
      </c>
      <c r="BL60" s="220">
        <v>1488</v>
      </c>
      <c r="BM60" s="220">
        <v>304</v>
      </c>
      <c r="BN60" s="220">
        <v>24</v>
      </c>
      <c r="BO60" s="220">
        <v>0</v>
      </c>
      <c r="BP60" s="220">
        <v>0</v>
      </c>
      <c r="BQ60" s="220">
        <v>0</v>
      </c>
      <c r="BR60" s="220">
        <v>6</v>
      </c>
      <c r="BS60" s="220">
        <v>87</v>
      </c>
      <c r="BT60" s="220">
        <v>47</v>
      </c>
      <c r="BU60" s="220">
        <v>4</v>
      </c>
      <c r="BV60" s="220">
        <v>104</v>
      </c>
      <c r="BW60" s="220">
        <v>1282</v>
      </c>
      <c r="BX60" s="220">
        <v>1002</v>
      </c>
      <c r="BY60" s="220">
        <v>39</v>
      </c>
      <c r="BZ60" s="220">
        <v>33</v>
      </c>
      <c r="CA60" s="220">
        <v>72</v>
      </c>
      <c r="CB60" s="220">
        <v>9</v>
      </c>
      <c r="CC60" s="220">
        <v>0</v>
      </c>
      <c r="CD60" s="220">
        <v>7</v>
      </c>
      <c r="CE60" s="220">
        <v>5</v>
      </c>
      <c r="CF60" s="220">
        <v>1</v>
      </c>
      <c r="CG60" s="220">
        <v>87</v>
      </c>
      <c r="CH60" s="220">
        <v>0</v>
      </c>
      <c r="CI60" s="220">
        <v>37</v>
      </c>
      <c r="CJ60" s="220">
        <v>0</v>
      </c>
      <c r="CK60" s="220">
        <v>0</v>
      </c>
      <c r="CL60" s="220">
        <v>0</v>
      </c>
      <c r="CM60" s="220">
        <v>0</v>
      </c>
      <c r="CN60" s="220">
        <v>0</v>
      </c>
      <c r="CO60" s="220">
        <v>17</v>
      </c>
      <c r="CP60" s="220">
        <v>6</v>
      </c>
      <c r="CQ60" s="220">
        <v>1</v>
      </c>
      <c r="CR60" s="220">
        <v>2</v>
      </c>
      <c r="CS60" s="220">
        <v>0</v>
      </c>
      <c r="CT60" s="220">
        <v>1</v>
      </c>
      <c r="CU60" s="220">
        <v>23</v>
      </c>
      <c r="CV60" s="220">
        <v>2</v>
      </c>
      <c r="CW60" s="220">
        <v>63</v>
      </c>
      <c r="CX60" s="220">
        <v>0</v>
      </c>
      <c r="CY60" s="220">
        <v>125</v>
      </c>
      <c r="CZ60" s="220">
        <v>0</v>
      </c>
      <c r="DA60" s="220">
        <v>0</v>
      </c>
      <c r="DB60" s="220">
        <v>4</v>
      </c>
      <c r="DC60" s="220">
        <v>14</v>
      </c>
      <c r="DD60" s="220">
        <v>0</v>
      </c>
      <c r="DE60" s="220">
        <v>0</v>
      </c>
      <c r="DF60" s="220">
        <v>0</v>
      </c>
      <c r="DG60" s="220">
        <v>0</v>
      </c>
      <c r="DH60" s="220">
        <v>0</v>
      </c>
      <c r="DI60" s="220">
        <v>0</v>
      </c>
      <c r="DJ60" s="220">
        <v>0</v>
      </c>
      <c r="DK60" s="220">
        <v>2</v>
      </c>
      <c r="DL60" s="220">
        <v>0</v>
      </c>
      <c r="DM60" s="220">
        <v>0</v>
      </c>
      <c r="DN60" s="220">
        <v>0</v>
      </c>
      <c r="DO60" s="220">
        <v>0</v>
      </c>
      <c r="DP60" s="221">
        <v>28910</v>
      </c>
      <c r="DQ60" s="71">
        <f>TRP!AF182</f>
        <v>28910</v>
      </c>
      <c r="DR60" s="71">
        <f t="shared" si="3"/>
        <v>0</v>
      </c>
    </row>
    <row r="61" spans="2:122" x14ac:dyDescent="0.25">
      <c r="B61" s="218" t="s">
        <v>137</v>
      </c>
      <c r="C61" s="222" t="s">
        <v>240</v>
      </c>
      <c r="D61" s="220">
        <v>0</v>
      </c>
      <c r="E61" s="220">
        <v>0</v>
      </c>
      <c r="F61" s="220">
        <v>0</v>
      </c>
      <c r="G61" s="220">
        <v>29</v>
      </c>
      <c r="H61" s="220">
        <v>0</v>
      </c>
      <c r="I61" s="220">
        <v>58</v>
      </c>
      <c r="J61" s="220">
        <v>0</v>
      </c>
      <c r="K61" s="220">
        <v>0</v>
      </c>
      <c r="L61" s="220">
        <v>0</v>
      </c>
      <c r="M61" s="220">
        <v>0</v>
      </c>
      <c r="N61" s="220">
        <v>7</v>
      </c>
      <c r="O61" s="220">
        <v>105</v>
      </c>
      <c r="P61" s="220">
        <v>243</v>
      </c>
      <c r="Q61" s="220">
        <v>85</v>
      </c>
      <c r="R61" s="220">
        <v>41</v>
      </c>
      <c r="S61" s="220">
        <v>50</v>
      </c>
      <c r="T61" s="220">
        <v>0</v>
      </c>
      <c r="U61" s="220">
        <v>26</v>
      </c>
      <c r="V61" s="220">
        <v>40</v>
      </c>
      <c r="W61" s="220">
        <v>121</v>
      </c>
      <c r="X61" s="220">
        <v>220</v>
      </c>
      <c r="Y61" s="220">
        <v>241</v>
      </c>
      <c r="Z61" s="220">
        <v>56</v>
      </c>
      <c r="AA61" s="220">
        <v>16</v>
      </c>
      <c r="AB61" s="220">
        <v>53</v>
      </c>
      <c r="AC61" s="220">
        <v>13</v>
      </c>
      <c r="AD61" s="220">
        <v>211</v>
      </c>
      <c r="AE61" s="220">
        <v>233</v>
      </c>
      <c r="AF61" s="220">
        <v>266</v>
      </c>
      <c r="AG61" s="220">
        <v>345</v>
      </c>
      <c r="AH61" s="220">
        <v>42</v>
      </c>
      <c r="AI61" s="220">
        <v>38</v>
      </c>
      <c r="AJ61" s="220">
        <v>223</v>
      </c>
      <c r="AK61" s="220">
        <v>9</v>
      </c>
      <c r="AL61" s="220">
        <v>0</v>
      </c>
      <c r="AM61" s="220">
        <v>265</v>
      </c>
      <c r="AN61" s="220">
        <v>143</v>
      </c>
      <c r="AO61" s="220">
        <v>164</v>
      </c>
      <c r="AP61" s="220">
        <v>324</v>
      </c>
      <c r="AQ61" s="220">
        <v>0</v>
      </c>
      <c r="AR61" s="220">
        <v>28</v>
      </c>
      <c r="AS61" s="220">
        <v>141</v>
      </c>
      <c r="AT61" s="220">
        <v>110</v>
      </c>
      <c r="AU61" s="220">
        <v>0</v>
      </c>
      <c r="AV61" s="220">
        <v>0</v>
      </c>
      <c r="AW61" s="220">
        <v>0</v>
      </c>
      <c r="AX61" s="220">
        <v>39</v>
      </c>
      <c r="AY61" s="220">
        <v>3</v>
      </c>
      <c r="AZ61" s="220">
        <v>6</v>
      </c>
      <c r="BA61" s="220">
        <v>98</v>
      </c>
      <c r="BB61" s="220">
        <v>11</v>
      </c>
      <c r="BC61" s="220">
        <v>58</v>
      </c>
      <c r="BD61" s="220">
        <v>0</v>
      </c>
      <c r="BE61" s="220">
        <v>0</v>
      </c>
      <c r="BF61" s="220">
        <v>40</v>
      </c>
      <c r="BG61" s="220">
        <v>817</v>
      </c>
      <c r="BH61" s="220">
        <v>4969</v>
      </c>
      <c r="BI61" s="220">
        <v>608</v>
      </c>
      <c r="BJ61" s="220">
        <v>1475</v>
      </c>
      <c r="BK61" s="220">
        <v>629</v>
      </c>
      <c r="BL61" s="220">
        <v>738</v>
      </c>
      <c r="BM61" s="220">
        <v>2047</v>
      </c>
      <c r="BN61" s="220">
        <v>159</v>
      </c>
      <c r="BO61" s="220">
        <v>0</v>
      </c>
      <c r="BP61" s="220">
        <v>0</v>
      </c>
      <c r="BQ61" s="220">
        <v>0</v>
      </c>
      <c r="BR61" s="220">
        <v>0</v>
      </c>
      <c r="BS61" s="220">
        <v>71</v>
      </c>
      <c r="BT61" s="220">
        <v>0</v>
      </c>
      <c r="BU61" s="220">
        <v>0</v>
      </c>
      <c r="BV61" s="220">
        <v>35</v>
      </c>
      <c r="BW61" s="220">
        <v>1068</v>
      </c>
      <c r="BX61" s="220">
        <v>157</v>
      </c>
      <c r="BY61" s="220">
        <v>14</v>
      </c>
      <c r="BZ61" s="220">
        <v>69</v>
      </c>
      <c r="CA61" s="220">
        <v>83</v>
      </c>
      <c r="CB61" s="220">
        <v>0</v>
      </c>
      <c r="CC61" s="220">
        <v>0</v>
      </c>
      <c r="CD61" s="220">
        <v>0</v>
      </c>
      <c r="CE61" s="220">
        <v>0</v>
      </c>
      <c r="CF61" s="220">
        <v>0</v>
      </c>
      <c r="CG61" s="220">
        <v>0</v>
      </c>
      <c r="CH61" s="220">
        <v>0</v>
      </c>
      <c r="CI61" s="220">
        <v>0</v>
      </c>
      <c r="CJ61" s="220">
        <v>0</v>
      </c>
      <c r="CK61" s="220">
        <v>0</v>
      </c>
      <c r="CL61" s="220">
        <v>0</v>
      </c>
      <c r="CM61" s="220">
        <v>0</v>
      </c>
      <c r="CN61" s="220">
        <v>0</v>
      </c>
      <c r="CO61" s="220">
        <v>0</v>
      </c>
      <c r="CP61" s="220">
        <v>6</v>
      </c>
      <c r="CQ61" s="220">
        <v>1</v>
      </c>
      <c r="CR61" s="220">
        <v>0</v>
      </c>
      <c r="CS61" s="220">
        <v>0</v>
      </c>
      <c r="CT61" s="220">
        <v>3</v>
      </c>
      <c r="CU61" s="220">
        <v>0</v>
      </c>
      <c r="CV61" s="220">
        <v>0</v>
      </c>
      <c r="CW61" s="220">
        <v>11</v>
      </c>
      <c r="CX61" s="220">
        <v>0</v>
      </c>
      <c r="CY61" s="220">
        <v>197</v>
      </c>
      <c r="CZ61" s="220">
        <v>0</v>
      </c>
      <c r="DA61" s="220">
        <v>0</v>
      </c>
      <c r="DB61" s="220">
        <v>0</v>
      </c>
      <c r="DC61" s="220">
        <v>0</v>
      </c>
      <c r="DD61" s="220">
        <v>0</v>
      </c>
      <c r="DE61" s="220">
        <v>0</v>
      </c>
      <c r="DF61" s="220">
        <v>0</v>
      </c>
      <c r="DG61" s="220">
        <v>0</v>
      </c>
      <c r="DH61" s="220">
        <v>0</v>
      </c>
      <c r="DI61" s="220">
        <v>0</v>
      </c>
      <c r="DJ61" s="220">
        <v>0</v>
      </c>
      <c r="DK61" s="220">
        <v>0</v>
      </c>
      <c r="DL61" s="220">
        <v>0</v>
      </c>
      <c r="DM61" s="220">
        <v>0</v>
      </c>
      <c r="DN61" s="220">
        <v>0</v>
      </c>
      <c r="DO61" s="220">
        <v>0</v>
      </c>
      <c r="DP61" s="221">
        <v>17358</v>
      </c>
      <c r="DQ61" s="71">
        <f>TRP!AF183</f>
        <v>17358</v>
      </c>
      <c r="DR61" s="71">
        <f t="shared" si="3"/>
        <v>0</v>
      </c>
    </row>
    <row r="62" spans="2:122" x14ac:dyDescent="0.25">
      <c r="B62" s="218" t="s">
        <v>138</v>
      </c>
      <c r="C62" s="222" t="s">
        <v>241</v>
      </c>
      <c r="D62" s="220">
        <v>0</v>
      </c>
      <c r="E62" s="220">
        <v>0</v>
      </c>
      <c r="F62" s="220">
        <v>0</v>
      </c>
      <c r="G62" s="220">
        <v>0</v>
      </c>
      <c r="H62" s="220">
        <v>0</v>
      </c>
      <c r="I62" s="220">
        <v>0</v>
      </c>
      <c r="J62" s="220">
        <v>0</v>
      </c>
      <c r="K62" s="220">
        <v>0</v>
      </c>
      <c r="L62" s="220">
        <v>0</v>
      </c>
      <c r="M62" s="220">
        <v>0</v>
      </c>
      <c r="N62" s="220">
        <v>0</v>
      </c>
      <c r="O62" s="220">
        <v>0</v>
      </c>
      <c r="P62" s="220">
        <v>0</v>
      </c>
      <c r="Q62" s="220">
        <v>0</v>
      </c>
      <c r="R62" s="220">
        <v>17</v>
      </c>
      <c r="S62" s="220">
        <v>0</v>
      </c>
      <c r="T62" s="220">
        <v>62</v>
      </c>
      <c r="U62" s="220">
        <v>52</v>
      </c>
      <c r="V62" s="220">
        <v>0</v>
      </c>
      <c r="W62" s="220">
        <v>18</v>
      </c>
      <c r="X62" s="220">
        <v>1643</v>
      </c>
      <c r="Y62" s="220">
        <v>1268</v>
      </c>
      <c r="Z62" s="220">
        <v>20</v>
      </c>
      <c r="AA62" s="220">
        <v>45</v>
      </c>
      <c r="AB62" s="220">
        <v>41</v>
      </c>
      <c r="AC62" s="220">
        <v>33</v>
      </c>
      <c r="AD62" s="220">
        <v>35</v>
      </c>
      <c r="AE62" s="220">
        <v>42</v>
      </c>
      <c r="AF62" s="220">
        <v>162</v>
      </c>
      <c r="AG62" s="220">
        <v>513</v>
      </c>
      <c r="AH62" s="220">
        <v>165</v>
      </c>
      <c r="AI62" s="220">
        <v>47</v>
      </c>
      <c r="AJ62" s="220">
        <v>399</v>
      </c>
      <c r="AK62" s="220">
        <v>0</v>
      </c>
      <c r="AL62" s="220">
        <v>0</v>
      </c>
      <c r="AM62" s="220">
        <v>55</v>
      </c>
      <c r="AN62" s="220">
        <v>0</v>
      </c>
      <c r="AO62" s="220">
        <v>58</v>
      </c>
      <c r="AP62" s="220">
        <v>86</v>
      </c>
      <c r="AQ62" s="220">
        <v>0</v>
      </c>
      <c r="AR62" s="220">
        <v>0</v>
      </c>
      <c r="AS62" s="220">
        <v>0</v>
      </c>
      <c r="AT62" s="220">
        <v>78</v>
      </c>
      <c r="AU62" s="220">
        <v>0</v>
      </c>
      <c r="AV62" s="220">
        <v>0</v>
      </c>
      <c r="AW62" s="220">
        <v>0</v>
      </c>
      <c r="AX62" s="220">
        <v>0</v>
      </c>
      <c r="AY62" s="220">
        <v>0</v>
      </c>
      <c r="AZ62" s="220">
        <v>0</v>
      </c>
      <c r="BA62" s="220">
        <v>0</v>
      </c>
      <c r="BB62" s="220">
        <v>0</v>
      </c>
      <c r="BC62" s="220">
        <v>0</v>
      </c>
      <c r="BD62" s="220">
        <v>0</v>
      </c>
      <c r="BE62" s="220">
        <v>0</v>
      </c>
      <c r="BF62" s="220">
        <v>0</v>
      </c>
      <c r="BG62" s="220">
        <v>28</v>
      </c>
      <c r="BH62" s="220">
        <v>25</v>
      </c>
      <c r="BI62" s="220">
        <v>74</v>
      </c>
      <c r="BJ62" s="220">
        <v>40</v>
      </c>
      <c r="BK62" s="220">
        <v>26</v>
      </c>
      <c r="BL62" s="220">
        <v>0</v>
      </c>
      <c r="BM62" s="220">
        <v>156</v>
      </c>
      <c r="BN62" s="220">
        <v>0</v>
      </c>
      <c r="BO62" s="220">
        <v>0</v>
      </c>
      <c r="BP62" s="220">
        <v>0</v>
      </c>
      <c r="BQ62" s="220">
        <v>0</v>
      </c>
      <c r="BR62" s="220">
        <v>0</v>
      </c>
      <c r="BS62" s="220">
        <v>0</v>
      </c>
      <c r="BT62" s="220">
        <v>0</v>
      </c>
      <c r="BU62" s="220">
        <v>0</v>
      </c>
      <c r="BV62" s="220">
        <v>0</v>
      </c>
      <c r="BW62" s="220">
        <v>302</v>
      </c>
      <c r="BX62" s="220">
        <v>74</v>
      </c>
      <c r="BY62" s="220">
        <v>0</v>
      </c>
      <c r="BZ62" s="220">
        <v>0</v>
      </c>
      <c r="CA62" s="220">
        <v>0</v>
      </c>
      <c r="CB62" s="220">
        <v>0</v>
      </c>
      <c r="CC62" s="220">
        <v>0</v>
      </c>
      <c r="CD62" s="220">
        <v>0</v>
      </c>
      <c r="CE62" s="220">
        <v>0</v>
      </c>
      <c r="CF62" s="220">
        <v>0</v>
      </c>
      <c r="CG62" s="220">
        <v>0</v>
      </c>
      <c r="CH62" s="220">
        <v>0</v>
      </c>
      <c r="CI62" s="220">
        <v>0</v>
      </c>
      <c r="CJ62" s="220">
        <v>0</v>
      </c>
      <c r="CK62" s="220">
        <v>0</v>
      </c>
      <c r="CL62" s="220">
        <v>0</v>
      </c>
      <c r="CM62" s="220">
        <v>0</v>
      </c>
      <c r="CN62" s="220">
        <v>0</v>
      </c>
      <c r="CO62" s="220">
        <v>0</v>
      </c>
      <c r="CP62" s="220">
        <v>0</v>
      </c>
      <c r="CQ62" s="220">
        <v>0</v>
      </c>
      <c r="CR62" s="220">
        <v>0</v>
      </c>
      <c r="CS62" s="220">
        <v>0</v>
      </c>
      <c r="CT62" s="220">
        <v>0</v>
      </c>
      <c r="CU62" s="220">
        <v>0</v>
      </c>
      <c r="CV62" s="220">
        <v>0</v>
      </c>
      <c r="CW62" s="220">
        <v>0</v>
      </c>
      <c r="CX62" s="220">
        <v>0</v>
      </c>
      <c r="CY62" s="220">
        <v>0</v>
      </c>
      <c r="CZ62" s="220">
        <v>0</v>
      </c>
      <c r="DA62" s="220">
        <v>8</v>
      </c>
      <c r="DB62" s="220">
        <v>0</v>
      </c>
      <c r="DC62" s="220">
        <v>0</v>
      </c>
      <c r="DD62" s="220">
        <v>0</v>
      </c>
      <c r="DE62" s="220">
        <v>0</v>
      </c>
      <c r="DF62" s="220">
        <v>0</v>
      </c>
      <c r="DG62" s="220">
        <v>0</v>
      </c>
      <c r="DH62" s="220">
        <v>0</v>
      </c>
      <c r="DI62" s="220">
        <v>0</v>
      </c>
      <c r="DJ62" s="220">
        <v>0</v>
      </c>
      <c r="DK62" s="220">
        <v>0</v>
      </c>
      <c r="DL62" s="220">
        <v>0</v>
      </c>
      <c r="DM62" s="220">
        <v>0</v>
      </c>
      <c r="DN62" s="220">
        <v>0</v>
      </c>
      <c r="DO62" s="220">
        <v>0</v>
      </c>
      <c r="DP62" s="221">
        <v>5572</v>
      </c>
      <c r="DQ62" s="71">
        <f>TRP!AF184</f>
        <v>5572</v>
      </c>
      <c r="DR62" s="71">
        <f t="shared" si="3"/>
        <v>0</v>
      </c>
    </row>
    <row r="63" spans="2:122" x14ac:dyDescent="0.25">
      <c r="B63" s="218" t="s">
        <v>139</v>
      </c>
      <c r="C63" s="222" t="s">
        <v>242</v>
      </c>
      <c r="D63" s="220">
        <v>0</v>
      </c>
      <c r="E63" s="220">
        <v>0</v>
      </c>
      <c r="F63" s="220">
        <v>6</v>
      </c>
      <c r="G63" s="220">
        <v>244</v>
      </c>
      <c r="H63" s="220">
        <v>28</v>
      </c>
      <c r="I63" s="220">
        <v>459</v>
      </c>
      <c r="J63" s="220">
        <v>44</v>
      </c>
      <c r="K63" s="220">
        <v>405</v>
      </c>
      <c r="L63" s="220">
        <v>1</v>
      </c>
      <c r="M63" s="220">
        <v>72</v>
      </c>
      <c r="N63" s="220">
        <v>27</v>
      </c>
      <c r="O63" s="220">
        <v>26</v>
      </c>
      <c r="P63" s="220">
        <v>76</v>
      </c>
      <c r="Q63" s="220">
        <v>162</v>
      </c>
      <c r="R63" s="220">
        <v>192</v>
      </c>
      <c r="S63" s="220">
        <v>3</v>
      </c>
      <c r="T63" s="220">
        <v>92</v>
      </c>
      <c r="U63" s="220">
        <v>106</v>
      </c>
      <c r="V63" s="220">
        <v>37</v>
      </c>
      <c r="W63" s="220">
        <v>62</v>
      </c>
      <c r="X63" s="220">
        <v>2677</v>
      </c>
      <c r="Y63" s="220">
        <v>1474</v>
      </c>
      <c r="Z63" s="220">
        <v>69</v>
      </c>
      <c r="AA63" s="220">
        <v>75</v>
      </c>
      <c r="AB63" s="220">
        <v>442</v>
      </c>
      <c r="AC63" s="220">
        <v>43</v>
      </c>
      <c r="AD63" s="220">
        <v>1274</v>
      </c>
      <c r="AE63" s="220">
        <v>596</v>
      </c>
      <c r="AF63" s="220">
        <v>803</v>
      </c>
      <c r="AG63" s="220">
        <v>1012</v>
      </c>
      <c r="AH63" s="220">
        <v>380</v>
      </c>
      <c r="AI63" s="220">
        <v>56</v>
      </c>
      <c r="AJ63" s="220">
        <v>654</v>
      </c>
      <c r="AK63" s="220">
        <v>22</v>
      </c>
      <c r="AL63" s="220">
        <v>3</v>
      </c>
      <c r="AM63" s="220">
        <v>234</v>
      </c>
      <c r="AN63" s="220">
        <v>318</v>
      </c>
      <c r="AO63" s="220">
        <v>70</v>
      </c>
      <c r="AP63" s="220">
        <v>416</v>
      </c>
      <c r="AQ63" s="220">
        <v>0</v>
      </c>
      <c r="AR63" s="220">
        <v>82</v>
      </c>
      <c r="AS63" s="220">
        <v>38</v>
      </c>
      <c r="AT63" s="220">
        <v>67</v>
      </c>
      <c r="AU63" s="220">
        <v>8</v>
      </c>
      <c r="AV63" s="220">
        <v>10</v>
      </c>
      <c r="AW63" s="220">
        <v>8</v>
      </c>
      <c r="AX63" s="220">
        <v>170</v>
      </c>
      <c r="AY63" s="220">
        <v>89</v>
      </c>
      <c r="AZ63" s="220">
        <v>77</v>
      </c>
      <c r="BA63" s="220">
        <v>11</v>
      </c>
      <c r="BB63" s="220">
        <v>206</v>
      </c>
      <c r="BC63" s="220">
        <v>111</v>
      </c>
      <c r="BD63" s="220">
        <v>1</v>
      </c>
      <c r="BE63" s="220">
        <v>89</v>
      </c>
      <c r="BF63" s="220">
        <v>102</v>
      </c>
      <c r="BG63" s="220">
        <v>1062</v>
      </c>
      <c r="BH63" s="220">
        <v>162</v>
      </c>
      <c r="BI63" s="220">
        <v>127</v>
      </c>
      <c r="BJ63" s="220">
        <v>3774</v>
      </c>
      <c r="BK63" s="220">
        <v>974</v>
      </c>
      <c r="BL63" s="220">
        <v>118</v>
      </c>
      <c r="BM63" s="220">
        <v>1590</v>
      </c>
      <c r="BN63" s="220">
        <v>243</v>
      </c>
      <c r="BO63" s="220">
        <v>0</v>
      </c>
      <c r="BP63" s="220">
        <v>0</v>
      </c>
      <c r="BQ63" s="220">
        <v>0</v>
      </c>
      <c r="BR63" s="220">
        <v>7</v>
      </c>
      <c r="BS63" s="220">
        <v>214</v>
      </c>
      <c r="BT63" s="220">
        <v>156</v>
      </c>
      <c r="BU63" s="220">
        <v>31</v>
      </c>
      <c r="BV63" s="220">
        <v>146</v>
      </c>
      <c r="BW63" s="220">
        <v>1140</v>
      </c>
      <c r="BX63" s="220">
        <v>404</v>
      </c>
      <c r="BY63" s="220">
        <v>280</v>
      </c>
      <c r="BZ63" s="220">
        <v>279</v>
      </c>
      <c r="CA63" s="220">
        <v>240</v>
      </c>
      <c r="CB63" s="220">
        <v>3</v>
      </c>
      <c r="CC63" s="220">
        <v>8</v>
      </c>
      <c r="CD63" s="220">
        <v>100</v>
      </c>
      <c r="CE63" s="220">
        <v>5</v>
      </c>
      <c r="CF63" s="220">
        <v>13</v>
      </c>
      <c r="CG63" s="220">
        <v>76</v>
      </c>
      <c r="CH63" s="220">
        <v>0</v>
      </c>
      <c r="CI63" s="220">
        <v>9</v>
      </c>
      <c r="CJ63" s="220">
        <v>0</v>
      </c>
      <c r="CK63" s="220">
        <v>0</v>
      </c>
      <c r="CL63" s="220">
        <v>0</v>
      </c>
      <c r="CM63" s="220">
        <v>16</v>
      </c>
      <c r="CN63" s="220">
        <v>10</v>
      </c>
      <c r="CO63" s="220">
        <v>72</v>
      </c>
      <c r="CP63" s="220">
        <v>57</v>
      </c>
      <c r="CQ63" s="220">
        <v>29</v>
      </c>
      <c r="CR63" s="220">
        <v>83</v>
      </c>
      <c r="CS63" s="220">
        <v>4</v>
      </c>
      <c r="CT63" s="220">
        <v>31</v>
      </c>
      <c r="CU63" s="220">
        <v>32</v>
      </c>
      <c r="CV63" s="220">
        <v>8</v>
      </c>
      <c r="CW63" s="220">
        <v>213</v>
      </c>
      <c r="CX63" s="220">
        <v>1</v>
      </c>
      <c r="CY63" s="220">
        <v>71</v>
      </c>
      <c r="CZ63" s="220">
        <v>0</v>
      </c>
      <c r="DA63" s="220">
        <v>8</v>
      </c>
      <c r="DB63" s="220">
        <v>66</v>
      </c>
      <c r="DC63" s="220">
        <v>80</v>
      </c>
      <c r="DD63" s="220">
        <v>0</v>
      </c>
      <c r="DE63" s="220">
        <v>12</v>
      </c>
      <c r="DF63" s="220">
        <v>0</v>
      </c>
      <c r="DG63" s="220">
        <v>0</v>
      </c>
      <c r="DH63" s="220">
        <v>0</v>
      </c>
      <c r="DI63" s="220">
        <v>76</v>
      </c>
      <c r="DJ63" s="220">
        <v>0</v>
      </c>
      <c r="DK63" s="220">
        <v>2</v>
      </c>
      <c r="DL63" s="220">
        <v>42</v>
      </c>
      <c r="DM63" s="220">
        <v>0</v>
      </c>
      <c r="DN63" s="220">
        <v>0</v>
      </c>
      <c r="DO63" s="220">
        <v>0</v>
      </c>
      <c r="DP63" s="221">
        <v>25803</v>
      </c>
      <c r="DQ63" s="71">
        <f>TRP!AF185</f>
        <v>25803</v>
      </c>
      <c r="DR63" s="71">
        <f t="shared" si="3"/>
        <v>0</v>
      </c>
    </row>
    <row r="64" spans="2:122" x14ac:dyDescent="0.25">
      <c r="B64" s="218" t="s">
        <v>140</v>
      </c>
      <c r="C64" s="222" t="s">
        <v>243</v>
      </c>
      <c r="D64" s="220">
        <v>496</v>
      </c>
      <c r="E64" s="220">
        <v>0</v>
      </c>
      <c r="F64" s="220">
        <v>3</v>
      </c>
      <c r="G64" s="220">
        <v>37</v>
      </c>
      <c r="H64" s="220">
        <v>10</v>
      </c>
      <c r="I64" s="220">
        <v>132</v>
      </c>
      <c r="J64" s="220">
        <v>22</v>
      </c>
      <c r="K64" s="220">
        <v>52</v>
      </c>
      <c r="L64" s="220">
        <v>1</v>
      </c>
      <c r="M64" s="220">
        <v>85</v>
      </c>
      <c r="N64" s="220">
        <v>6</v>
      </c>
      <c r="O64" s="220">
        <v>11</v>
      </c>
      <c r="P64" s="220">
        <v>65</v>
      </c>
      <c r="Q64" s="220">
        <v>84</v>
      </c>
      <c r="R64" s="220">
        <v>154</v>
      </c>
      <c r="S64" s="220">
        <v>10</v>
      </c>
      <c r="T64" s="220">
        <v>102</v>
      </c>
      <c r="U64" s="220">
        <v>81</v>
      </c>
      <c r="V64" s="220">
        <v>22</v>
      </c>
      <c r="W64" s="220">
        <v>26</v>
      </c>
      <c r="X64" s="220">
        <v>1310</v>
      </c>
      <c r="Y64" s="220">
        <v>766</v>
      </c>
      <c r="Z64" s="220">
        <v>50</v>
      </c>
      <c r="AA64" s="220">
        <v>77</v>
      </c>
      <c r="AB64" s="220">
        <v>287</v>
      </c>
      <c r="AC64" s="220">
        <v>35</v>
      </c>
      <c r="AD64" s="220">
        <v>863</v>
      </c>
      <c r="AE64" s="220">
        <v>525</v>
      </c>
      <c r="AF64" s="220">
        <v>662</v>
      </c>
      <c r="AG64" s="220">
        <v>1182</v>
      </c>
      <c r="AH64" s="220">
        <v>264</v>
      </c>
      <c r="AI64" s="220">
        <v>144</v>
      </c>
      <c r="AJ64" s="220">
        <v>479</v>
      </c>
      <c r="AK64" s="220">
        <v>25</v>
      </c>
      <c r="AL64" s="220">
        <v>7</v>
      </c>
      <c r="AM64" s="220">
        <v>135</v>
      </c>
      <c r="AN64" s="220">
        <v>172</v>
      </c>
      <c r="AO64" s="220">
        <v>276</v>
      </c>
      <c r="AP64" s="220">
        <v>291</v>
      </c>
      <c r="AQ64" s="220">
        <v>0</v>
      </c>
      <c r="AR64" s="220">
        <v>9</v>
      </c>
      <c r="AS64" s="220">
        <v>56</v>
      </c>
      <c r="AT64" s="220">
        <v>220</v>
      </c>
      <c r="AU64" s="220">
        <v>24</v>
      </c>
      <c r="AV64" s="220">
        <v>5</v>
      </c>
      <c r="AW64" s="220">
        <v>3</v>
      </c>
      <c r="AX64" s="220">
        <v>184</v>
      </c>
      <c r="AY64" s="220">
        <v>135</v>
      </c>
      <c r="AZ64" s="220">
        <v>48</v>
      </c>
      <c r="BA64" s="220">
        <v>9</v>
      </c>
      <c r="BB64" s="220">
        <v>212</v>
      </c>
      <c r="BC64" s="220">
        <v>227</v>
      </c>
      <c r="BD64" s="220">
        <v>1</v>
      </c>
      <c r="BE64" s="220">
        <v>99</v>
      </c>
      <c r="BF64" s="220">
        <v>150</v>
      </c>
      <c r="BG64" s="220">
        <v>1274</v>
      </c>
      <c r="BH64" s="220">
        <v>244</v>
      </c>
      <c r="BI64" s="220">
        <v>149</v>
      </c>
      <c r="BJ64" s="220">
        <v>1442</v>
      </c>
      <c r="BK64" s="220">
        <v>866</v>
      </c>
      <c r="BL64" s="220">
        <v>127</v>
      </c>
      <c r="BM64" s="220">
        <v>913</v>
      </c>
      <c r="BN64" s="220">
        <v>173</v>
      </c>
      <c r="BO64" s="220">
        <v>0</v>
      </c>
      <c r="BP64" s="220">
        <v>0</v>
      </c>
      <c r="BQ64" s="220">
        <v>0</v>
      </c>
      <c r="BR64" s="220">
        <v>16</v>
      </c>
      <c r="BS64" s="220">
        <v>145</v>
      </c>
      <c r="BT64" s="220">
        <v>161</v>
      </c>
      <c r="BU64" s="220">
        <v>2</v>
      </c>
      <c r="BV64" s="220">
        <v>53</v>
      </c>
      <c r="BW64" s="220">
        <v>500</v>
      </c>
      <c r="BX64" s="220">
        <v>404</v>
      </c>
      <c r="BY64" s="220">
        <v>116</v>
      </c>
      <c r="BZ64" s="220">
        <v>90</v>
      </c>
      <c r="CA64" s="220">
        <v>132</v>
      </c>
      <c r="CB64" s="220">
        <v>2</v>
      </c>
      <c r="CC64" s="220">
        <v>5</v>
      </c>
      <c r="CD64" s="220">
        <v>73</v>
      </c>
      <c r="CE64" s="220">
        <v>5</v>
      </c>
      <c r="CF64" s="220">
        <v>28</v>
      </c>
      <c r="CG64" s="220">
        <v>72</v>
      </c>
      <c r="CH64" s="220">
        <v>13</v>
      </c>
      <c r="CI64" s="220">
        <v>81</v>
      </c>
      <c r="CJ64" s="220">
        <v>7</v>
      </c>
      <c r="CK64" s="220">
        <v>0</v>
      </c>
      <c r="CL64" s="220">
        <v>0</v>
      </c>
      <c r="CM64" s="220">
        <v>18</v>
      </c>
      <c r="CN64" s="220">
        <v>82</v>
      </c>
      <c r="CO64" s="220">
        <v>39</v>
      </c>
      <c r="CP64" s="220">
        <v>75</v>
      </c>
      <c r="CQ64" s="220">
        <v>49</v>
      </c>
      <c r="CR64" s="220">
        <v>100</v>
      </c>
      <c r="CS64" s="220">
        <v>19</v>
      </c>
      <c r="CT64" s="220">
        <v>36</v>
      </c>
      <c r="CU64" s="220">
        <v>29</v>
      </c>
      <c r="CV64" s="220">
        <v>19</v>
      </c>
      <c r="CW64" s="220">
        <v>245</v>
      </c>
      <c r="CX64" s="220">
        <v>1</v>
      </c>
      <c r="CY64" s="220">
        <v>132</v>
      </c>
      <c r="CZ64" s="220">
        <v>0</v>
      </c>
      <c r="DA64" s="220">
        <v>162</v>
      </c>
      <c r="DB64" s="220">
        <v>44</v>
      </c>
      <c r="DC64" s="220">
        <v>38</v>
      </c>
      <c r="DD64" s="220">
        <v>22</v>
      </c>
      <c r="DE64" s="220">
        <v>5</v>
      </c>
      <c r="DF64" s="220">
        <v>0</v>
      </c>
      <c r="DG64" s="220">
        <v>7</v>
      </c>
      <c r="DH64" s="220">
        <v>14</v>
      </c>
      <c r="DI64" s="220">
        <v>17</v>
      </c>
      <c r="DJ64" s="220">
        <v>154</v>
      </c>
      <c r="DK64" s="220">
        <v>0</v>
      </c>
      <c r="DL64" s="220">
        <v>5</v>
      </c>
      <c r="DM64" s="220">
        <v>56</v>
      </c>
      <c r="DN64" s="220">
        <v>75</v>
      </c>
      <c r="DO64" s="220">
        <v>0</v>
      </c>
      <c r="DP64" s="221">
        <v>18867</v>
      </c>
      <c r="DQ64" s="71">
        <f>TRP!AF186</f>
        <v>18867</v>
      </c>
      <c r="DR64" s="71">
        <f t="shared" si="3"/>
        <v>0</v>
      </c>
    </row>
    <row r="65" spans="2:122" x14ac:dyDescent="0.25">
      <c r="B65" s="218" t="s">
        <v>141</v>
      </c>
      <c r="C65" s="222" t="s">
        <v>244</v>
      </c>
      <c r="D65" s="220">
        <v>0</v>
      </c>
      <c r="E65" s="220">
        <v>0</v>
      </c>
      <c r="F65" s="220">
        <v>0</v>
      </c>
      <c r="G65" s="220">
        <v>0</v>
      </c>
      <c r="H65" s="220">
        <v>0</v>
      </c>
      <c r="I65" s="220">
        <v>0</v>
      </c>
      <c r="J65" s="220">
        <v>0</v>
      </c>
      <c r="K65" s="220">
        <v>0</v>
      </c>
      <c r="L65" s="220">
        <v>0</v>
      </c>
      <c r="M65" s="220">
        <v>0</v>
      </c>
      <c r="N65" s="220">
        <v>0</v>
      </c>
      <c r="O65" s="220">
        <v>0</v>
      </c>
      <c r="P65" s="220">
        <v>0</v>
      </c>
      <c r="Q65" s="220">
        <v>0</v>
      </c>
      <c r="R65" s="220">
        <v>0</v>
      </c>
      <c r="S65" s="220">
        <v>0</v>
      </c>
      <c r="T65" s="220">
        <v>0</v>
      </c>
      <c r="U65" s="220">
        <v>0</v>
      </c>
      <c r="V65" s="220">
        <v>0</v>
      </c>
      <c r="W65" s="220">
        <v>0</v>
      </c>
      <c r="X65" s="220">
        <v>0</v>
      </c>
      <c r="Y65" s="220">
        <v>0</v>
      </c>
      <c r="Z65" s="220">
        <v>0</v>
      </c>
      <c r="AA65" s="220">
        <v>0</v>
      </c>
      <c r="AB65" s="220">
        <v>0</v>
      </c>
      <c r="AC65" s="220">
        <v>0</v>
      </c>
      <c r="AD65" s="220">
        <v>0</v>
      </c>
      <c r="AE65" s="220">
        <v>0</v>
      </c>
      <c r="AF65" s="220">
        <v>0</v>
      </c>
      <c r="AG65" s="220">
        <v>0</v>
      </c>
      <c r="AH65" s="220">
        <v>0</v>
      </c>
      <c r="AI65" s="220">
        <v>0</v>
      </c>
      <c r="AJ65" s="220">
        <v>0</v>
      </c>
      <c r="AK65" s="220">
        <v>0</v>
      </c>
      <c r="AL65" s="220">
        <v>0</v>
      </c>
      <c r="AM65" s="220">
        <v>0</v>
      </c>
      <c r="AN65" s="220">
        <v>0</v>
      </c>
      <c r="AO65" s="220">
        <v>0</v>
      </c>
      <c r="AP65" s="220">
        <v>0</v>
      </c>
      <c r="AQ65" s="220">
        <v>0</v>
      </c>
      <c r="AR65" s="220">
        <v>0</v>
      </c>
      <c r="AS65" s="220">
        <v>0</v>
      </c>
      <c r="AT65" s="220">
        <v>0</v>
      </c>
      <c r="AU65" s="220">
        <v>0</v>
      </c>
      <c r="AV65" s="220">
        <v>0</v>
      </c>
      <c r="AW65" s="220">
        <v>0</v>
      </c>
      <c r="AX65" s="220">
        <v>0</v>
      </c>
      <c r="AY65" s="220">
        <v>0</v>
      </c>
      <c r="AZ65" s="220">
        <v>0</v>
      </c>
      <c r="BA65" s="220">
        <v>0</v>
      </c>
      <c r="BB65" s="220">
        <v>0</v>
      </c>
      <c r="BC65" s="220">
        <v>0</v>
      </c>
      <c r="BD65" s="220">
        <v>0</v>
      </c>
      <c r="BE65" s="220">
        <v>0</v>
      </c>
      <c r="BF65" s="220">
        <v>0</v>
      </c>
      <c r="BG65" s="220">
        <v>0</v>
      </c>
      <c r="BH65" s="220">
        <v>0</v>
      </c>
      <c r="BI65" s="220">
        <v>0</v>
      </c>
      <c r="BJ65" s="220">
        <v>0</v>
      </c>
      <c r="BK65" s="220">
        <v>0</v>
      </c>
      <c r="BL65" s="220">
        <v>0</v>
      </c>
      <c r="BM65" s="220">
        <v>0</v>
      </c>
      <c r="BN65" s="220">
        <v>0</v>
      </c>
      <c r="BO65" s="220">
        <v>0</v>
      </c>
      <c r="BP65" s="220">
        <v>0</v>
      </c>
      <c r="BQ65" s="220">
        <v>0</v>
      </c>
      <c r="BR65" s="220">
        <v>0</v>
      </c>
      <c r="BS65" s="220">
        <v>0</v>
      </c>
      <c r="BT65" s="220">
        <v>0</v>
      </c>
      <c r="BU65" s="220">
        <v>0</v>
      </c>
      <c r="BV65" s="220">
        <v>0</v>
      </c>
      <c r="BW65" s="220">
        <v>0</v>
      </c>
      <c r="BX65" s="220">
        <v>0</v>
      </c>
      <c r="BY65" s="220">
        <v>0</v>
      </c>
      <c r="BZ65" s="220">
        <v>0</v>
      </c>
      <c r="CA65" s="220">
        <v>0</v>
      </c>
      <c r="CB65" s="220">
        <v>0</v>
      </c>
      <c r="CC65" s="220">
        <v>0</v>
      </c>
      <c r="CD65" s="220">
        <v>0</v>
      </c>
      <c r="CE65" s="220">
        <v>0</v>
      </c>
      <c r="CF65" s="220">
        <v>0</v>
      </c>
      <c r="CG65" s="220">
        <v>0</v>
      </c>
      <c r="CH65" s="220">
        <v>0</v>
      </c>
      <c r="CI65" s="220">
        <v>0</v>
      </c>
      <c r="CJ65" s="220">
        <v>0</v>
      </c>
      <c r="CK65" s="220">
        <v>0</v>
      </c>
      <c r="CL65" s="220">
        <v>0</v>
      </c>
      <c r="CM65" s="220">
        <v>0</v>
      </c>
      <c r="CN65" s="220">
        <v>0</v>
      </c>
      <c r="CO65" s="220">
        <v>0</v>
      </c>
      <c r="CP65" s="220">
        <v>0</v>
      </c>
      <c r="CQ65" s="220">
        <v>0</v>
      </c>
      <c r="CR65" s="220">
        <v>0</v>
      </c>
      <c r="CS65" s="220">
        <v>0</v>
      </c>
      <c r="CT65" s="220">
        <v>0</v>
      </c>
      <c r="CU65" s="220">
        <v>0</v>
      </c>
      <c r="CV65" s="220">
        <v>0</v>
      </c>
      <c r="CW65" s="220">
        <v>0</v>
      </c>
      <c r="CX65" s="220">
        <v>0</v>
      </c>
      <c r="CY65" s="220">
        <v>0</v>
      </c>
      <c r="CZ65" s="220">
        <v>0</v>
      </c>
      <c r="DA65" s="220">
        <v>0</v>
      </c>
      <c r="DB65" s="220">
        <v>0</v>
      </c>
      <c r="DC65" s="220">
        <v>0</v>
      </c>
      <c r="DD65" s="220">
        <v>0</v>
      </c>
      <c r="DE65" s="220">
        <v>0</v>
      </c>
      <c r="DF65" s="220">
        <v>0</v>
      </c>
      <c r="DG65" s="220">
        <v>0</v>
      </c>
      <c r="DH65" s="220">
        <v>0</v>
      </c>
      <c r="DI65" s="220">
        <v>0</v>
      </c>
      <c r="DJ65" s="220">
        <v>0</v>
      </c>
      <c r="DK65" s="220">
        <v>0</v>
      </c>
      <c r="DL65" s="220">
        <v>0</v>
      </c>
      <c r="DM65" s="220">
        <v>0</v>
      </c>
      <c r="DN65" s="220">
        <v>0</v>
      </c>
      <c r="DO65" s="220">
        <v>0</v>
      </c>
      <c r="DP65" s="221">
        <v>0</v>
      </c>
      <c r="DQ65" s="71">
        <f>TRP!AF187</f>
        <v>0</v>
      </c>
      <c r="DR65" s="71">
        <f t="shared" si="3"/>
        <v>0</v>
      </c>
    </row>
    <row r="66" spans="2:122" x14ac:dyDescent="0.25">
      <c r="B66" s="218" t="s">
        <v>142</v>
      </c>
      <c r="C66" s="222" t="s">
        <v>245</v>
      </c>
      <c r="D66" s="220">
        <v>50</v>
      </c>
      <c r="E66" s="220">
        <v>0</v>
      </c>
      <c r="F66" s="220">
        <v>0</v>
      </c>
      <c r="G66" s="220">
        <v>19</v>
      </c>
      <c r="H66" s="220">
        <v>9</v>
      </c>
      <c r="I66" s="220">
        <v>19</v>
      </c>
      <c r="J66" s="220">
        <v>8</v>
      </c>
      <c r="K66" s="220">
        <v>27</v>
      </c>
      <c r="L66" s="220">
        <v>0</v>
      </c>
      <c r="M66" s="220">
        <v>1</v>
      </c>
      <c r="N66" s="220">
        <v>0</v>
      </c>
      <c r="O66" s="220">
        <v>9</v>
      </c>
      <c r="P66" s="220">
        <v>3</v>
      </c>
      <c r="Q66" s="220">
        <v>4</v>
      </c>
      <c r="R66" s="220">
        <v>64</v>
      </c>
      <c r="S66" s="220">
        <v>18</v>
      </c>
      <c r="T66" s="220">
        <v>67</v>
      </c>
      <c r="U66" s="220">
        <v>76</v>
      </c>
      <c r="V66" s="220">
        <v>118</v>
      </c>
      <c r="W66" s="220">
        <v>2</v>
      </c>
      <c r="X66" s="220">
        <v>864</v>
      </c>
      <c r="Y66" s="220">
        <v>987</v>
      </c>
      <c r="Z66" s="220">
        <v>39</v>
      </c>
      <c r="AA66" s="220">
        <v>7</v>
      </c>
      <c r="AB66" s="220">
        <v>179</v>
      </c>
      <c r="AC66" s="220">
        <v>34</v>
      </c>
      <c r="AD66" s="220">
        <v>67</v>
      </c>
      <c r="AE66" s="220">
        <v>58</v>
      </c>
      <c r="AF66" s="220">
        <v>275</v>
      </c>
      <c r="AG66" s="220">
        <v>483</v>
      </c>
      <c r="AH66" s="220">
        <v>70</v>
      </c>
      <c r="AI66" s="220">
        <v>55</v>
      </c>
      <c r="AJ66" s="220">
        <v>262</v>
      </c>
      <c r="AK66" s="220">
        <v>23</v>
      </c>
      <c r="AL66" s="220">
        <v>20</v>
      </c>
      <c r="AM66" s="220">
        <v>217</v>
      </c>
      <c r="AN66" s="220">
        <v>350</v>
      </c>
      <c r="AO66" s="220">
        <v>18</v>
      </c>
      <c r="AP66" s="220">
        <v>147</v>
      </c>
      <c r="AQ66" s="220">
        <v>0</v>
      </c>
      <c r="AR66" s="220">
        <v>15</v>
      </c>
      <c r="AS66" s="220">
        <v>26</v>
      </c>
      <c r="AT66" s="220">
        <v>79</v>
      </c>
      <c r="AU66" s="220">
        <v>8</v>
      </c>
      <c r="AV66" s="220">
        <v>0</v>
      </c>
      <c r="AW66" s="220">
        <v>0</v>
      </c>
      <c r="AX66" s="220">
        <v>14</v>
      </c>
      <c r="AY66" s="220">
        <v>29</v>
      </c>
      <c r="AZ66" s="220">
        <v>27</v>
      </c>
      <c r="BA66" s="220">
        <v>17</v>
      </c>
      <c r="BB66" s="220">
        <v>88</v>
      </c>
      <c r="BC66" s="220">
        <v>28</v>
      </c>
      <c r="BD66" s="220">
        <v>0</v>
      </c>
      <c r="BE66" s="220">
        <v>9</v>
      </c>
      <c r="BF66" s="220">
        <v>20</v>
      </c>
      <c r="BG66" s="220">
        <v>125</v>
      </c>
      <c r="BH66" s="220">
        <v>99</v>
      </c>
      <c r="BI66" s="220">
        <v>87</v>
      </c>
      <c r="BJ66" s="220">
        <v>328</v>
      </c>
      <c r="BK66" s="220">
        <v>165</v>
      </c>
      <c r="BL66" s="220">
        <v>0</v>
      </c>
      <c r="BM66" s="220">
        <v>1826</v>
      </c>
      <c r="BN66" s="220">
        <v>322</v>
      </c>
      <c r="BO66" s="220">
        <v>0</v>
      </c>
      <c r="BP66" s="220">
        <v>0</v>
      </c>
      <c r="BQ66" s="220">
        <v>0</v>
      </c>
      <c r="BR66" s="220">
        <v>26</v>
      </c>
      <c r="BS66" s="220">
        <v>67</v>
      </c>
      <c r="BT66" s="220">
        <v>382</v>
      </c>
      <c r="BU66" s="220">
        <v>7</v>
      </c>
      <c r="BV66" s="220">
        <v>70</v>
      </c>
      <c r="BW66" s="220">
        <v>2647</v>
      </c>
      <c r="BX66" s="220">
        <v>1074</v>
      </c>
      <c r="BY66" s="220">
        <v>121</v>
      </c>
      <c r="BZ66" s="220">
        <v>681</v>
      </c>
      <c r="CA66" s="220">
        <v>353</v>
      </c>
      <c r="CB66" s="220">
        <v>3</v>
      </c>
      <c r="CC66" s="220">
        <v>4</v>
      </c>
      <c r="CD66" s="220">
        <v>1</v>
      </c>
      <c r="CE66" s="220">
        <v>5</v>
      </c>
      <c r="CF66" s="220">
        <v>4</v>
      </c>
      <c r="CG66" s="220">
        <v>163</v>
      </c>
      <c r="CH66" s="220">
        <v>28</v>
      </c>
      <c r="CI66" s="220">
        <v>145</v>
      </c>
      <c r="CJ66" s="220">
        <v>25</v>
      </c>
      <c r="CK66" s="220">
        <v>13</v>
      </c>
      <c r="CL66" s="220">
        <v>12</v>
      </c>
      <c r="CM66" s="220">
        <v>24</v>
      </c>
      <c r="CN66" s="220">
        <v>32</v>
      </c>
      <c r="CO66" s="220">
        <v>1108</v>
      </c>
      <c r="CP66" s="220">
        <v>430</v>
      </c>
      <c r="CQ66" s="220">
        <v>229</v>
      </c>
      <c r="CR66" s="220">
        <v>126</v>
      </c>
      <c r="CS66" s="220">
        <v>8</v>
      </c>
      <c r="CT66" s="220">
        <v>159</v>
      </c>
      <c r="CU66" s="220">
        <v>23</v>
      </c>
      <c r="CV66" s="220">
        <v>7</v>
      </c>
      <c r="CW66" s="220">
        <v>353</v>
      </c>
      <c r="CX66" s="220">
        <v>3</v>
      </c>
      <c r="CY66" s="220">
        <v>372</v>
      </c>
      <c r="CZ66" s="220">
        <v>0</v>
      </c>
      <c r="DA66" s="220">
        <v>89</v>
      </c>
      <c r="DB66" s="220">
        <v>78</v>
      </c>
      <c r="DC66" s="220">
        <v>26</v>
      </c>
      <c r="DD66" s="220">
        <v>22</v>
      </c>
      <c r="DE66" s="220">
        <v>3</v>
      </c>
      <c r="DF66" s="220">
        <v>0</v>
      </c>
      <c r="DG66" s="220">
        <v>3</v>
      </c>
      <c r="DH66" s="220">
        <v>14</v>
      </c>
      <c r="DI66" s="220">
        <v>19</v>
      </c>
      <c r="DJ66" s="220">
        <v>0</v>
      </c>
      <c r="DK66" s="220">
        <v>0</v>
      </c>
      <c r="DL66" s="220">
        <v>7</v>
      </c>
      <c r="DM66" s="220">
        <v>4</v>
      </c>
      <c r="DN66" s="220">
        <v>75</v>
      </c>
      <c r="DO66" s="220">
        <v>0</v>
      </c>
      <c r="DP66" s="221">
        <v>17006</v>
      </c>
      <c r="DQ66" s="71">
        <f>TRP!AF188</f>
        <v>17006</v>
      </c>
      <c r="DR66" s="71">
        <f t="shared" si="3"/>
        <v>0</v>
      </c>
    </row>
    <row r="67" spans="2:122" x14ac:dyDescent="0.25">
      <c r="B67" s="218" t="s">
        <v>143</v>
      </c>
      <c r="C67" s="222" t="s">
        <v>246</v>
      </c>
      <c r="D67" s="220">
        <v>0</v>
      </c>
      <c r="E67" s="220">
        <v>0</v>
      </c>
      <c r="F67" s="220">
        <v>0</v>
      </c>
      <c r="G67" s="220">
        <v>0</v>
      </c>
      <c r="H67" s="220">
        <v>7</v>
      </c>
      <c r="I67" s="220">
        <v>1</v>
      </c>
      <c r="J67" s="220">
        <v>7</v>
      </c>
      <c r="K67" s="220">
        <v>24</v>
      </c>
      <c r="L67" s="220">
        <v>0</v>
      </c>
      <c r="M67" s="220">
        <v>0</v>
      </c>
      <c r="N67" s="220">
        <v>0</v>
      </c>
      <c r="O67" s="220">
        <v>20</v>
      </c>
      <c r="P67" s="220">
        <v>0</v>
      </c>
      <c r="Q67" s="220">
        <v>7</v>
      </c>
      <c r="R67" s="220">
        <v>7</v>
      </c>
      <c r="S67" s="220">
        <v>8</v>
      </c>
      <c r="T67" s="220">
        <v>121</v>
      </c>
      <c r="U67" s="220">
        <v>66</v>
      </c>
      <c r="V67" s="220">
        <v>219</v>
      </c>
      <c r="W67" s="220">
        <v>15</v>
      </c>
      <c r="X67" s="220">
        <v>466</v>
      </c>
      <c r="Y67" s="220">
        <v>518</v>
      </c>
      <c r="Z67" s="220">
        <v>46</v>
      </c>
      <c r="AA67" s="220">
        <v>28</v>
      </c>
      <c r="AB67" s="220">
        <v>696</v>
      </c>
      <c r="AC67" s="220">
        <v>6</v>
      </c>
      <c r="AD67" s="220">
        <v>37</v>
      </c>
      <c r="AE67" s="220">
        <v>46</v>
      </c>
      <c r="AF67" s="220">
        <v>180</v>
      </c>
      <c r="AG67" s="220">
        <v>357</v>
      </c>
      <c r="AH67" s="220">
        <v>129</v>
      </c>
      <c r="AI67" s="220">
        <v>44</v>
      </c>
      <c r="AJ67" s="220">
        <v>113</v>
      </c>
      <c r="AK67" s="220">
        <v>66</v>
      </c>
      <c r="AL67" s="220">
        <v>104</v>
      </c>
      <c r="AM67" s="220">
        <v>204</v>
      </c>
      <c r="AN67" s="220">
        <v>1209</v>
      </c>
      <c r="AO67" s="220">
        <v>362</v>
      </c>
      <c r="AP67" s="220">
        <v>425</v>
      </c>
      <c r="AQ67" s="220">
        <v>0</v>
      </c>
      <c r="AR67" s="220">
        <v>22</v>
      </c>
      <c r="AS67" s="220">
        <v>5</v>
      </c>
      <c r="AT67" s="220">
        <v>1</v>
      </c>
      <c r="AU67" s="220">
        <v>1</v>
      </c>
      <c r="AV67" s="220">
        <v>1</v>
      </c>
      <c r="AW67" s="220">
        <v>3</v>
      </c>
      <c r="AX67" s="220">
        <v>0</v>
      </c>
      <c r="AY67" s="220">
        <v>0</v>
      </c>
      <c r="AZ67" s="220">
        <v>0</v>
      </c>
      <c r="BA67" s="220">
        <v>9</v>
      </c>
      <c r="BB67" s="220">
        <v>22</v>
      </c>
      <c r="BC67" s="220">
        <v>19</v>
      </c>
      <c r="BD67" s="220">
        <v>0</v>
      </c>
      <c r="BE67" s="220">
        <v>21</v>
      </c>
      <c r="BF67" s="220">
        <v>39</v>
      </c>
      <c r="BG67" s="220">
        <v>72</v>
      </c>
      <c r="BH67" s="220">
        <v>22</v>
      </c>
      <c r="BI67" s="220">
        <v>15</v>
      </c>
      <c r="BJ67" s="220">
        <v>42</v>
      </c>
      <c r="BK67" s="220">
        <v>22</v>
      </c>
      <c r="BL67" s="220">
        <v>0</v>
      </c>
      <c r="BM67" s="220">
        <v>869</v>
      </c>
      <c r="BN67" s="220">
        <v>1027</v>
      </c>
      <c r="BO67" s="220">
        <v>0</v>
      </c>
      <c r="BP67" s="220">
        <v>0</v>
      </c>
      <c r="BQ67" s="220">
        <v>0</v>
      </c>
      <c r="BR67" s="220">
        <v>5</v>
      </c>
      <c r="BS67" s="220">
        <v>77</v>
      </c>
      <c r="BT67" s="220">
        <v>131</v>
      </c>
      <c r="BU67" s="220">
        <v>0</v>
      </c>
      <c r="BV67" s="220">
        <v>0</v>
      </c>
      <c r="BW67" s="220">
        <v>299</v>
      </c>
      <c r="BX67" s="220">
        <v>199</v>
      </c>
      <c r="BY67" s="220">
        <v>169</v>
      </c>
      <c r="BZ67" s="220">
        <v>344</v>
      </c>
      <c r="CA67" s="220">
        <v>40</v>
      </c>
      <c r="CB67" s="220">
        <v>2</v>
      </c>
      <c r="CC67" s="220">
        <v>0</v>
      </c>
      <c r="CD67" s="220">
        <v>3</v>
      </c>
      <c r="CE67" s="220">
        <v>0</v>
      </c>
      <c r="CF67" s="220">
        <v>0</v>
      </c>
      <c r="CG67" s="220">
        <v>28</v>
      </c>
      <c r="CH67" s="220">
        <v>7</v>
      </c>
      <c r="CI67" s="220">
        <v>33</v>
      </c>
      <c r="CJ67" s="220">
        <v>28</v>
      </c>
      <c r="CK67" s="220">
        <v>13</v>
      </c>
      <c r="CL67" s="220">
        <v>7</v>
      </c>
      <c r="CM67" s="220">
        <v>8</v>
      </c>
      <c r="CN67" s="220">
        <v>7</v>
      </c>
      <c r="CO67" s="220">
        <v>1104</v>
      </c>
      <c r="CP67" s="220">
        <v>702</v>
      </c>
      <c r="CQ67" s="220">
        <v>87</v>
      </c>
      <c r="CR67" s="220">
        <v>79</v>
      </c>
      <c r="CS67" s="220">
        <v>1</v>
      </c>
      <c r="CT67" s="220">
        <v>139</v>
      </c>
      <c r="CU67" s="220">
        <v>16</v>
      </c>
      <c r="CV67" s="220">
        <v>18</v>
      </c>
      <c r="CW67" s="220">
        <v>231</v>
      </c>
      <c r="CX67" s="220">
        <v>10</v>
      </c>
      <c r="CY67" s="220">
        <v>265</v>
      </c>
      <c r="CZ67" s="220">
        <v>0</v>
      </c>
      <c r="DA67" s="220">
        <v>36</v>
      </c>
      <c r="DB67" s="220">
        <v>149</v>
      </c>
      <c r="DC67" s="220">
        <v>55</v>
      </c>
      <c r="DD67" s="220">
        <v>0</v>
      </c>
      <c r="DE67" s="220">
        <v>3</v>
      </c>
      <c r="DF67" s="220">
        <v>0</v>
      </c>
      <c r="DG67" s="220">
        <v>31</v>
      </c>
      <c r="DH67" s="220">
        <v>0</v>
      </c>
      <c r="DI67" s="220">
        <v>27</v>
      </c>
      <c r="DJ67" s="220">
        <v>0</v>
      </c>
      <c r="DK67" s="220">
        <v>0</v>
      </c>
      <c r="DL67" s="220">
        <v>24</v>
      </c>
      <c r="DM67" s="220">
        <v>0</v>
      </c>
      <c r="DN67" s="220">
        <v>0</v>
      </c>
      <c r="DO67" s="220">
        <v>0</v>
      </c>
      <c r="DP67" s="221">
        <v>12127</v>
      </c>
      <c r="DQ67" s="71">
        <f>TRP!AF189</f>
        <v>12127</v>
      </c>
      <c r="DR67" s="71">
        <f t="shared" si="3"/>
        <v>0</v>
      </c>
    </row>
    <row r="68" spans="2:122" x14ac:dyDescent="0.25">
      <c r="B68" s="218" t="s">
        <v>144</v>
      </c>
      <c r="C68" s="222" t="s">
        <v>247</v>
      </c>
      <c r="D68" s="220">
        <v>0</v>
      </c>
      <c r="E68" s="220">
        <v>0</v>
      </c>
      <c r="F68" s="220">
        <v>0</v>
      </c>
      <c r="G68" s="220">
        <v>0</v>
      </c>
      <c r="H68" s="220">
        <v>0</v>
      </c>
      <c r="I68" s="220">
        <v>0</v>
      </c>
      <c r="J68" s="220">
        <v>0</v>
      </c>
      <c r="K68" s="220">
        <v>0</v>
      </c>
      <c r="L68" s="220">
        <v>0</v>
      </c>
      <c r="M68" s="220">
        <v>0</v>
      </c>
      <c r="N68" s="220">
        <v>0</v>
      </c>
      <c r="O68" s="220">
        <v>0</v>
      </c>
      <c r="P68" s="220">
        <v>0</v>
      </c>
      <c r="Q68" s="220">
        <v>0</v>
      </c>
      <c r="R68" s="220">
        <v>0</v>
      </c>
      <c r="S68" s="220">
        <v>0</v>
      </c>
      <c r="T68" s="220">
        <v>0</v>
      </c>
      <c r="U68" s="220">
        <v>0</v>
      </c>
      <c r="V68" s="220">
        <v>0</v>
      </c>
      <c r="W68" s="220">
        <v>0</v>
      </c>
      <c r="X68" s="220">
        <v>0</v>
      </c>
      <c r="Y68" s="220">
        <v>0</v>
      </c>
      <c r="Z68" s="220">
        <v>0</v>
      </c>
      <c r="AA68" s="220">
        <v>0</v>
      </c>
      <c r="AB68" s="220">
        <v>0</v>
      </c>
      <c r="AC68" s="220">
        <v>0</v>
      </c>
      <c r="AD68" s="220">
        <v>0</v>
      </c>
      <c r="AE68" s="220">
        <v>0</v>
      </c>
      <c r="AF68" s="220">
        <v>0</v>
      </c>
      <c r="AG68" s="220">
        <v>0</v>
      </c>
      <c r="AH68" s="220">
        <v>0</v>
      </c>
      <c r="AI68" s="220">
        <v>0</v>
      </c>
      <c r="AJ68" s="220">
        <v>0</v>
      </c>
      <c r="AK68" s="220">
        <v>0</v>
      </c>
      <c r="AL68" s="220">
        <v>0</v>
      </c>
      <c r="AM68" s="220">
        <v>0</v>
      </c>
      <c r="AN68" s="220">
        <v>0</v>
      </c>
      <c r="AO68" s="220">
        <v>0</v>
      </c>
      <c r="AP68" s="220">
        <v>0</v>
      </c>
      <c r="AQ68" s="220">
        <v>0</v>
      </c>
      <c r="AR68" s="220">
        <v>0</v>
      </c>
      <c r="AS68" s="220">
        <v>0</v>
      </c>
      <c r="AT68" s="220">
        <v>2</v>
      </c>
      <c r="AU68" s="220">
        <v>0</v>
      </c>
      <c r="AV68" s="220">
        <v>0</v>
      </c>
      <c r="AW68" s="220">
        <v>0</v>
      </c>
      <c r="AX68" s="220">
        <v>0</v>
      </c>
      <c r="AY68" s="220">
        <v>7</v>
      </c>
      <c r="AZ68" s="220">
        <v>0</v>
      </c>
      <c r="BA68" s="220">
        <v>10</v>
      </c>
      <c r="BB68" s="220">
        <v>3</v>
      </c>
      <c r="BC68" s="220">
        <v>0</v>
      </c>
      <c r="BD68" s="220">
        <v>0</v>
      </c>
      <c r="BE68" s="220">
        <v>0</v>
      </c>
      <c r="BF68" s="220">
        <v>0</v>
      </c>
      <c r="BG68" s="220">
        <v>380</v>
      </c>
      <c r="BH68" s="220">
        <v>0</v>
      </c>
      <c r="BI68" s="220">
        <v>0</v>
      </c>
      <c r="BJ68" s="220">
        <v>0</v>
      </c>
      <c r="BK68" s="220">
        <v>0</v>
      </c>
      <c r="BL68" s="220">
        <v>0</v>
      </c>
      <c r="BM68" s="220">
        <v>0</v>
      </c>
      <c r="BN68" s="220">
        <v>0</v>
      </c>
      <c r="BO68" s="220">
        <v>5</v>
      </c>
      <c r="BP68" s="220">
        <v>0</v>
      </c>
      <c r="BQ68" s="220">
        <v>0</v>
      </c>
      <c r="BR68" s="220">
        <v>486</v>
      </c>
      <c r="BS68" s="220">
        <v>0</v>
      </c>
      <c r="BT68" s="220">
        <v>724</v>
      </c>
      <c r="BU68" s="220">
        <v>47</v>
      </c>
      <c r="BV68" s="220">
        <v>0</v>
      </c>
      <c r="BW68" s="220">
        <v>0</v>
      </c>
      <c r="BX68" s="220">
        <v>0</v>
      </c>
      <c r="BY68" s="220">
        <v>0</v>
      </c>
      <c r="BZ68" s="220">
        <v>37</v>
      </c>
      <c r="CA68" s="220">
        <v>0</v>
      </c>
      <c r="CB68" s="220">
        <v>0</v>
      </c>
      <c r="CC68" s="220">
        <v>0</v>
      </c>
      <c r="CD68" s="220">
        <v>0</v>
      </c>
      <c r="CE68" s="220">
        <v>0</v>
      </c>
      <c r="CF68" s="220">
        <v>0</v>
      </c>
      <c r="CG68" s="220">
        <v>0</v>
      </c>
      <c r="CH68" s="220">
        <v>0</v>
      </c>
      <c r="CI68" s="220">
        <v>0</v>
      </c>
      <c r="CJ68" s="220">
        <v>0</v>
      </c>
      <c r="CK68" s="220">
        <v>0</v>
      </c>
      <c r="CL68" s="220">
        <v>0</v>
      </c>
      <c r="CM68" s="220">
        <v>0</v>
      </c>
      <c r="CN68" s="220">
        <v>0</v>
      </c>
      <c r="CO68" s="220">
        <v>0</v>
      </c>
      <c r="CP68" s="220">
        <v>0</v>
      </c>
      <c r="CQ68" s="220">
        <v>0</v>
      </c>
      <c r="CR68" s="220">
        <v>0</v>
      </c>
      <c r="CS68" s="220">
        <v>0</v>
      </c>
      <c r="CT68" s="220">
        <v>0</v>
      </c>
      <c r="CU68" s="220">
        <v>0</v>
      </c>
      <c r="CV68" s="220">
        <v>0</v>
      </c>
      <c r="CW68" s="220">
        <v>0</v>
      </c>
      <c r="CX68" s="220">
        <v>0</v>
      </c>
      <c r="CY68" s="220">
        <v>0</v>
      </c>
      <c r="CZ68" s="220">
        <v>0</v>
      </c>
      <c r="DA68" s="220">
        <v>0</v>
      </c>
      <c r="DB68" s="220">
        <v>0</v>
      </c>
      <c r="DC68" s="220">
        <v>0</v>
      </c>
      <c r="DD68" s="220">
        <v>0</v>
      </c>
      <c r="DE68" s="220">
        <v>0</v>
      </c>
      <c r="DF68" s="220">
        <v>0</v>
      </c>
      <c r="DG68" s="220">
        <v>0</v>
      </c>
      <c r="DH68" s="220">
        <v>1</v>
      </c>
      <c r="DI68" s="220">
        <v>0</v>
      </c>
      <c r="DJ68" s="220">
        <v>0</v>
      </c>
      <c r="DK68" s="220">
        <v>0</v>
      </c>
      <c r="DL68" s="220">
        <v>0</v>
      </c>
      <c r="DM68" s="220">
        <v>0</v>
      </c>
      <c r="DN68" s="220">
        <v>105</v>
      </c>
      <c r="DO68" s="220">
        <v>0</v>
      </c>
      <c r="DP68" s="221">
        <v>1807</v>
      </c>
      <c r="DQ68" s="71">
        <f>TRP!AF190</f>
        <v>1807</v>
      </c>
      <c r="DR68" s="71">
        <f t="shared" si="3"/>
        <v>0</v>
      </c>
    </row>
    <row r="69" spans="2:122" x14ac:dyDescent="0.25">
      <c r="B69" s="218" t="s">
        <v>145</v>
      </c>
      <c r="C69" s="222" t="s">
        <v>248</v>
      </c>
      <c r="D69" s="220">
        <v>0</v>
      </c>
      <c r="E69" s="220">
        <v>0</v>
      </c>
      <c r="F69" s="220">
        <v>0</v>
      </c>
      <c r="G69" s="220">
        <v>0</v>
      </c>
      <c r="H69" s="220">
        <v>0</v>
      </c>
      <c r="I69" s="220">
        <v>0</v>
      </c>
      <c r="J69" s="220">
        <v>0</v>
      </c>
      <c r="K69" s="220">
        <v>0</v>
      </c>
      <c r="L69" s="220">
        <v>0</v>
      </c>
      <c r="M69" s="220">
        <v>0</v>
      </c>
      <c r="N69" s="220">
        <v>0</v>
      </c>
      <c r="O69" s="220">
        <v>0</v>
      </c>
      <c r="P69" s="220">
        <v>0</v>
      </c>
      <c r="Q69" s="220">
        <v>0</v>
      </c>
      <c r="R69" s="220">
        <v>0</v>
      </c>
      <c r="S69" s="220">
        <v>0</v>
      </c>
      <c r="T69" s="220">
        <v>0</v>
      </c>
      <c r="U69" s="220">
        <v>0</v>
      </c>
      <c r="V69" s="220">
        <v>0</v>
      </c>
      <c r="W69" s="220">
        <v>0</v>
      </c>
      <c r="X69" s="220">
        <v>0</v>
      </c>
      <c r="Y69" s="220">
        <v>0</v>
      </c>
      <c r="Z69" s="220">
        <v>0</v>
      </c>
      <c r="AA69" s="220">
        <v>0</v>
      </c>
      <c r="AB69" s="220">
        <v>0</v>
      </c>
      <c r="AC69" s="220">
        <v>0</v>
      </c>
      <c r="AD69" s="220">
        <v>0</v>
      </c>
      <c r="AE69" s="220">
        <v>0</v>
      </c>
      <c r="AF69" s="220">
        <v>0</v>
      </c>
      <c r="AG69" s="220">
        <v>0</v>
      </c>
      <c r="AH69" s="220">
        <v>0</v>
      </c>
      <c r="AI69" s="220">
        <v>0</v>
      </c>
      <c r="AJ69" s="220">
        <v>0</v>
      </c>
      <c r="AK69" s="220">
        <v>0</v>
      </c>
      <c r="AL69" s="220">
        <v>0</v>
      </c>
      <c r="AM69" s="220">
        <v>0</v>
      </c>
      <c r="AN69" s="220">
        <v>0</v>
      </c>
      <c r="AO69" s="220">
        <v>0</v>
      </c>
      <c r="AP69" s="220">
        <v>0</v>
      </c>
      <c r="AQ69" s="220">
        <v>0</v>
      </c>
      <c r="AR69" s="220">
        <v>0</v>
      </c>
      <c r="AS69" s="220">
        <v>0</v>
      </c>
      <c r="AT69" s="220">
        <v>0</v>
      </c>
      <c r="AU69" s="220">
        <v>0</v>
      </c>
      <c r="AV69" s="220">
        <v>0</v>
      </c>
      <c r="AW69" s="220">
        <v>0</v>
      </c>
      <c r="AX69" s="220">
        <v>0</v>
      </c>
      <c r="AY69" s="220">
        <v>0</v>
      </c>
      <c r="AZ69" s="220">
        <v>0</v>
      </c>
      <c r="BA69" s="220">
        <v>24</v>
      </c>
      <c r="BB69" s="220">
        <v>0</v>
      </c>
      <c r="BC69" s="220">
        <v>0</v>
      </c>
      <c r="BD69" s="220">
        <v>0</v>
      </c>
      <c r="BE69" s="220">
        <v>0</v>
      </c>
      <c r="BF69" s="220">
        <v>0</v>
      </c>
      <c r="BG69" s="220">
        <v>0</v>
      </c>
      <c r="BH69" s="220">
        <v>0</v>
      </c>
      <c r="BI69" s="220">
        <v>0</v>
      </c>
      <c r="BJ69" s="220">
        <v>0</v>
      </c>
      <c r="BK69" s="220">
        <v>0</v>
      </c>
      <c r="BL69" s="220">
        <v>0</v>
      </c>
      <c r="BM69" s="220">
        <v>0</v>
      </c>
      <c r="BN69" s="220">
        <v>0</v>
      </c>
      <c r="BO69" s="220">
        <v>0</v>
      </c>
      <c r="BP69" s="220">
        <v>9</v>
      </c>
      <c r="BQ69" s="220">
        <v>0</v>
      </c>
      <c r="BR69" s="220">
        <v>0</v>
      </c>
      <c r="BS69" s="220">
        <v>32416</v>
      </c>
      <c r="BT69" s="220">
        <v>0</v>
      </c>
      <c r="BU69" s="220">
        <v>9701</v>
      </c>
      <c r="BV69" s="220">
        <v>0</v>
      </c>
      <c r="BW69" s="220">
        <v>0</v>
      </c>
      <c r="BX69" s="220">
        <v>0</v>
      </c>
      <c r="BY69" s="220">
        <v>0</v>
      </c>
      <c r="BZ69" s="220">
        <v>0</v>
      </c>
      <c r="CA69" s="220">
        <v>0</v>
      </c>
      <c r="CB69" s="220">
        <v>0</v>
      </c>
      <c r="CC69" s="220">
        <v>0</v>
      </c>
      <c r="CD69" s="220">
        <v>0</v>
      </c>
      <c r="CE69" s="220">
        <v>0</v>
      </c>
      <c r="CF69" s="220">
        <v>0</v>
      </c>
      <c r="CG69" s="220">
        <v>0</v>
      </c>
      <c r="CH69" s="220">
        <v>0</v>
      </c>
      <c r="CI69" s="220">
        <v>0</v>
      </c>
      <c r="CJ69" s="220">
        <v>0</v>
      </c>
      <c r="CK69" s="220">
        <v>0</v>
      </c>
      <c r="CL69" s="220">
        <v>0</v>
      </c>
      <c r="CM69" s="220">
        <v>0</v>
      </c>
      <c r="CN69" s="220">
        <v>0</v>
      </c>
      <c r="CO69" s="220">
        <v>0</v>
      </c>
      <c r="CP69" s="220">
        <v>0</v>
      </c>
      <c r="CQ69" s="220">
        <v>0</v>
      </c>
      <c r="CR69" s="220">
        <v>0</v>
      </c>
      <c r="CS69" s="220">
        <v>0</v>
      </c>
      <c r="CT69" s="220">
        <v>0</v>
      </c>
      <c r="CU69" s="220">
        <v>0</v>
      </c>
      <c r="CV69" s="220">
        <v>0</v>
      </c>
      <c r="CW69" s="220">
        <v>0</v>
      </c>
      <c r="CX69" s="220">
        <v>0</v>
      </c>
      <c r="CY69" s="220">
        <v>0</v>
      </c>
      <c r="CZ69" s="220">
        <v>0</v>
      </c>
      <c r="DA69" s="220">
        <v>0</v>
      </c>
      <c r="DB69" s="220">
        <v>0</v>
      </c>
      <c r="DC69" s="220">
        <v>0</v>
      </c>
      <c r="DD69" s="220">
        <v>0</v>
      </c>
      <c r="DE69" s="220">
        <v>0</v>
      </c>
      <c r="DF69" s="220">
        <v>0</v>
      </c>
      <c r="DG69" s="220">
        <v>0</v>
      </c>
      <c r="DH69" s="220">
        <v>0</v>
      </c>
      <c r="DI69" s="220">
        <v>0</v>
      </c>
      <c r="DJ69" s="220">
        <v>0</v>
      </c>
      <c r="DK69" s="220">
        <v>0</v>
      </c>
      <c r="DL69" s="220">
        <v>0</v>
      </c>
      <c r="DM69" s="220">
        <v>0</v>
      </c>
      <c r="DN69" s="220">
        <v>0</v>
      </c>
      <c r="DO69" s="220">
        <v>0</v>
      </c>
      <c r="DP69" s="221">
        <v>42150</v>
      </c>
      <c r="DQ69" s="71">
        <f>TRP!AF191</f>
        <v>42150</v>
      </c>
      <c r="DR69" s="71">
        <f t="shared" si="3"/>
        <v>0</v>
      </c>
    </row>
    <row r="70" spans="2:122" x14ac:dyDescent="0.25">
      <c r="B70" s="218" t="s">
        <v>146</v>
      </c>
      <c r="C70" s="222" t="s">
        <v>249</v>
      </c>
      <c r="D70" s="220">
        <v>0</v>
      </c>
      <c r="E70" s="220">
        <v>0</v>
      </c>
      <c r="F70" s="220">
        <v>0</v>
      </c>
      <c r="G70" s="220">
        <v>0</v>
      </c>
      <c r="H70" s="220">
        <v>0</v>
      </c>
      <c r="I70" s="220">
        <v>0</v>
      </c>
      <c r="J70" s="220">
        <v>0</v>
      </c>
      <c r="K70" s="220">
        <v>0</v>
      </c>
      <c r="L70" s="220">
        <v>0</v>
      </c>
      <c r="M70" s="220">
        <v>0</v>
      </c>
      <c r="N70" s="220">
        <v>0</v>
      </c>
      <c r="O70" s="220">
        <v>0</v>
      </c>
      <c r="P70" s="220">
        <v>0</v>
      </c>
      <c r="Q70" s="220">
        <v>0</v>
      </c>
      <c r="R70" s="220">
        <v>0</v>
      </c>
      <c r="S70" s="220">
        <v>0</v>
      </c>
      <c r="T70" s="220">
        <v>0</v>
      </c>
      <c r="U70" s="220">
        <v>0</v>
      </c>
      <c r="V70" s="220">
        <v>0</v>
      </c>
      <c r="W70" s="220">
        <v>0</v>
      </c>
      <c r="X70" s="220">
        <v>0</v>
      </c>
      <c r="Y70" s="220">
        <v>0</v>
      </c>
      <c r="Z70" s="220">
        <v>0</v>
      </c>
      <c r="AA70" s="220">
        <v>0</v>
      </c>
      <c r="AB70" s="220">
        <v>0</v>
      </c>
      <c r="AC70" s="220">
        <v>0</v>
      </c>
      <c r="AD70" s="220">
        <v>0</v>
      </c>
      <c r="AE70" s="220">
        <v>0</v>
      </c>
      <c r="AF70" s="220">
        <v>0</v>
      </c>
      <c r="AG70" s="220">
        <v>0</v>
      </c>
      <c r="AH70" s="220">
        <v>0</v>
      </c>
      <c r="AI70" s="220">
        <v>0</v>
      </c>
      <c r="AJ70" s="220">
        <v>0</v>
      </c>
      <c r="AK70" s="220">
        <v>0</v>
      </c>
      <c r="AL70" s="220">
        <v>0</v>
      </c>
      <c r="AM70" s="220">
        <v>0</v>
      </c>
      <c r="AN70" s="220">
        <v>0</v>
      </c>
      <c r="AO70" s="220">
        <v>0</v>
      </c>
      <c r="AP70" s="220">
        <v>0</v>
      </c>
      <c r="AQ70" s="220">
        <v>0</v>
      </c>
      <c r="AR70" s="220">
        <v>0</v>
      </c>
      <c r="AS70" s="220">
        <v>0</v>
      </c>
      <c r="AT70" s="220">
        <v>0</v>
      </c>
      <c r="AU70" s="220">
        <v>0</v>
      </c>
      <c r="AV70" s="220">
        <v>0</v>
      </c>
      <c r="AW70" s="220">
        <v>0</v>
      </c>
      <c r="AX70" s="220">
        <v>0</v>
      </c>
      <c r="AY70" s="220">
        <v>0</v>
      </c>
      <c r="AZ70" s="220">
        <v>0</v>
      </c>
      <c r="BA70" s="220">
        <v>0</v>
      </c>
      <c r="BB70" s="220">
        <v>0</v>
      </c>
      <c r="BC70" s="220">
        <v>0</v>
      </c>
      <c r="BD70" s="220">
        <v>0</v>
      </c>
      <c r="BE70" s="220">
        <v>0</v>
      </c>
      <c r="BF70" s="220">
        <v>0</v>
      </c>
      <c r="BG70" s="220">
        <v>0</v>
      </c>
      <c r="BH70" s="220">
        <v>0</v>
      </c>
      <c r="BI70" s="220">
        <v>0</v>
      </c>
      <c r="BJ70" s="220">
        <v>0</v>
      </c>
      <c r="BK70" s="220">
        <v>0</v>
      </c>
      <c r="BL70" s="220">
        <v>0</v>
      </c>
      <c r="BM70" s="220">
        <v>0</v>
      </c>
      <c r="BN70" s="220">
        <v>0</v>
      </c>
      <c r="BO70" s="220">
        <v>0</v>
      </c>
      <c r="BP70" s="220">
        <v>0</v>
      </c>
      <c r="BQ70" s="220">
        <v>2</v>
      </c>
      <c r="BR70" s="220">
        <v>0</v>
      </c>
      <c r="BS70" s="220">
        <v>0</v>
      </c>
      <c r="BT70" s="220">
        <v>0</v>
      </c>
      <c r="BU70" s="220">
        <v>0</v>
      </c>
      <c r="BV70" s="220">
        <v>0</v>
      </c>
      <c r="BW70" s="220">
        <v>0</v>
      </c>
      <c r="BX70" s="220">
        <v>0</v>
      </c>
      <c r="BY70" s="220">
        <v>0</v>
      </c>
      <c r="BZ70" s="220">
        <v>0</v>
      </c>
      <c r="CA70" s="220">
        <v>0</v>
      </c>
      <c r="CB70" s="220">
        <v>0</v>
      </c>
      <c r="CC70" s="220">
        <v>0</v>
      </c>
      <c r="CD70" s="220">
        <v>0</v>
      </c>
      <c r="CE70" s="220">
        <v>0</v>
      </c>
      <c r="CF70" s="220">
        <v>0</v>
      </c>
      <c r="CG70" s="220">
        <v>0</v>
      </c>
      <c r="CH70" s="220">
        <v>0</v>
      </c>
      <c r="CI70" s="220">
        <v>0</v>
      </c>
      <c r="CJ70" s="220">
        <v>0</v>
      </c>
      <c r="CK70" s="220">
        <v>0</v>
      </c>
      <c r="CL70" s="220">
        <v>0</v>
      </c>
      <c r="CM70" s="220">
        <v>0</v>
      </c>
      <c r="CN70" s="220">
        <v>0</v>
      </c>
      <c r="CO70" s="220">
        <v>0</v>
      </c>
      <c r="CP70" s="220">
        <v>0</v>
      </c>
      <c r="CQ70" s="220">
        <v>0</v>
      </c>
      <c r="CR70" s="220">
        <v>0</v>
      </c>
      <c r="CS70" s="220">
        <v>0</v>
      </c>
      <c r="CT70" s="220">
        <v>0</v>
      </c>
      <c r="CU70" s="220">
        <v>0</v>
      </c>
      <c r="CV70" s="220">
        <v>0</v>
      </c>
      <c r="CW70" s="220">
        <v>0</v>
      </c>
      <c r="CX70" s="220">
        <v>0</v>
      </c>
      <c r="CY70" s="220">
        <v>0</v>
      </c>
      <c r="CZ70" s="220">
        <v>0</v>
      </c>
      <c r="DA70" s="220">
        <v>0</v>
      </c>
      <c r="DB70" s="220">
        <v>0</v>
      </c>
      <c r="DC70" s="220">
        <v>0</v>
      </c>
      <c r="DD70" s="220">
        <v>0</v>
      </c>
      <c r="DE70" s="220">
        <v>0</v>
      </c>
      <c r="DF70" s="220">
        <v>0</v>
      </c>
      <c r="DG70" s="220">
        <v>0</v>
      </c>
      <c r="DH70" s="220">
        <v>0</v>
      </c>
      <c r="DI70" s="220">
        <v>0</v>
      </c>
      <c r="DJ70" s="220">
        <v>0</v>
      </c>
      <c r="DK70" s="220">
        <v>0</v>
      </c>
      <c r="DL70" s="220">
        <v>0</v>
      </c>
      <c r="DM70" s="220">
        <v>0</v>
      </c>
      <c r="DN70" s="220">
        <v>0</v>
      </c>
      <c r="DO70" s="220">
        <v>0</v>
      </c>
      <c r="DP70" s="221">
        <v>2</v>
      </c>
      <c r="DQ70" s="71">
        <f>TRP!AF192</f>
        <v>2</v>
      </c>
      <c r="DR70" s="71">
        <f t="shared" ref="DR70:DR123" si="4">DP70-DQ70</f>
        <v>0</v>
      </c>
    </row>
    <row r="71" spans="2:122" x14ac:dyDescent="0.25">
      <c r="B71" s="218" t="s">
        <v>147</v>
      </c>
      <c r="C71" s="222" t="s">
        <v>250</v>
      </c>
      <c r="D71" s="220">
        <v>0</v>
      </c>
      <c r="E71" s="220">
        <v>0</v>
      </c>
      <c r="F71" s="220">
        <v>0</v>
      </c>
      <c r="G71" s="220">
        <v>0</v>
      </c>
      <c r="H71" s="220">
        <v>0</v>
      </c>
      <c r="I71" s="220">
        <v>0</v>
      </c>
      <c r="J71" s="220">
        <v>0</v>
      </c>
      <c r="K71" s="220">
        <v>0</v>
      </c>
      <c r="L71" s="220">
        <v>0</v>
      </c>
      <c r="M71" s="220">
        <v>0</v>
      </c>
      <c r="N71" s="220">
        <v>0</v>
      </c>
      <c r="O71" s="220">
        <v>0</v>
      </c>
      <c r="P71" s="220">
        <v>0</v>
      </c>
      <c r="Q71" s="220">
        <v>0</v>
      </c>
      <c r="R71" s="220">
        <v>0</v>
      </c>
      <c r="S71" s="220">
        <v>0</v>
      </c>
      <c r="T71" s="220">
        <v>0</v>
      </c>
      <c r="U71" s="220">
        <v>0</v>
      </c>
      <c r="V71" s="220">
        <v>0</v>
      </c>
      <c r="W71" s="220">
        <v>0</v>
      </c>
      <c r="X71" s="220">
        <v>0</v>
      </c>
      <c r="Y71" s="220">
        <v>0</v>
      </c>
      <c r="Z71" s="220">
        <v>0</v>
      </c>
      <c r="AA71" s="220">
        <v>0</v>
      </c>
      <c r="AB71" s="220">
        <v>0</v>
      </c>
      <c r="AC71" s="220">
        <v>0</v>
      </c>
      <c r="AD71" s="220">
        <v>0</v>
      </c>
      <c r="AE71" s="220">
        <v>0</v>
      </c>
      <c r="AF71" s="220">
        <v>0</v>
      </c>
      <c r="AG71" s="220">
        <v>0</v>
      </c>
      <c r="AH71" s="220">
        <v>0</v>
      </c>
      <c r="AI71" s="220">
        <v>0</v>
      </c>
      <c r="AJ71" s="220">
        <v>0</v>
      </c>
      <c r="AK71" s="220">
        <v>0</v>
      </c>
      <c r="AL71" s="220">
        <v>0</v>
      </c>
      <c r="AM71" s="220">
        <v>0</v>
      </c>
      <c r="AN71" s="220">
        <v>0</v>
      </c>
      <c r="AO71" s="220">
        <v>0</v>
      </c>
      <c r="AP71" s="220">
        <v>0</v>
      </c>
      <c r="AQ71" s="220">
        <v>0</v>
      </c>
      <c r="AR71" s="220">
        <v>0</v>
      </c>
      <c r="AS71" s="220">
        <v>0</v>
      </c>
      <c r="AT71" s="220">
        <v>0</v>
      </c>
      <c r="AU71" s="220">
        <v>0</v>
      </c>
      <c r="AV71" s="220">
        <v>0</v>
      </c>
      <c r="AW71" s="220">
        <v>0</v>
      </c>
      <c r="AX71" s="220">
        <v>0</v>
      </c>
      <c r="AY71" s="220">
        <v>0</v>
      </c>
      <c r="AZ71" s="220">
        <v>0</v>
      </c>
      <c r="BA71" s="220">
        <v>0</v>
      </c>
      <c r="BB71" s="220">
        <v>0</v>
      </c>
      <c r="BC71" s="220">
        <v>0</v>
      </c>
      <c r="BD71" s="220">
        <v>0</v>
      </c>
      <c r="BE71" s="220">
        <v>0</v>
      </c>
      <c r="BF71" s="220">
        <v>0</v>
      </c>
      <c r="BG71" s="220">
        <v>153</v>
      </c>
      <c r="BH71" s="220">
        <v>0</v>
      </c>
      <c r="BI71" s="220">
        <v>0</v>
      </c>
      <c r="BJ71" s="220">
        <v>0</v>
      </c>
      <c r="BK71" s="220">
        <v>0</v>
      </c>
      <c r="BL71" s="220">
        <v>0</v>
      </c>
      <c r="BM71" s="220">
        <v>0</v>
      </c>
      <c r="BN71" s="220">
        <v>0</v>
      </c>
      <c r="BO71" s="220">
        <v>0</v>
      </c>
      <c r="BP71" s="220">
        <v>0</v>
      </c>
      <c r="BQ71" s="220">
        <v>0</v>
      </c>
      <c r="BR71" s="220">
        <v>1019</v>
      </c>
      <c r="BS71" s="220">
        <v>0</v>
      </c>
      <c r="BT71" s="220">
        <v>3116</v>
      </c>
      <c r="BU71" s="220">
        <v>3</v>
      </c>
      <c r="BV71" s="220">
        <v>0</v>
      </c>
      <c r="BW71" s="220">
        <v>0</v>
      </c>
      <c r="BX71" s="220">
        <v>0</v>
      </c>
      <c r="BY71" s="220">
        <v>0</v>
      </c>
      <c r="BZ71" s="220">
        <v>0</v>
      </c>
      <c r="CA71" s="220">
        <v>0</v>
      </c>
      <c r="CB71" s="220">
        <v>0</v>
      </c>
      <c r="CC71" s="220">
        <v>0</v>
      </c>
      <c r="CD71" s="220">
        <v>0</v>
      </c>
      <c r="CE71" s="220">
        <v>0</v>
      </c>
      <c r="CF71" s="220">
        <v>0</v>
      </c>
      <c r="CG71" s="220">
        <v>0</v>
      </c>
      <c r="CH71" s="220">
        <v>0</v>
      </c>
      <c r="CI71" s="220">
        <v>0</v>
      </c>
      <c r="CJ71" s="220">
        <v>0</v>
      </c>
      <c r="CK71" s="220">
        <v>0</v>
      </c>
      <c r="CL71" s="220">
        <v>0</v>
      </c>
      <c r="CM71" s="220">
        <v>0</v>
      </c>
      <c r="CN71" s="220">
        <v>0</v>
      </c>
      <c r="CO71" s="220">
        <v>0</v>
      </c>
      <c r="CP71" s="220">
        <v>0</v>
      </c>
      <c r="CQ71" s="220">
        <v>0</v>
      </c>
      <c r="CR71" s="220">
        <v>0</v>
      </c>
      <c r="CS71" s="220">
        <v>0</v>
      </c>
      <c r="CT71" s="220">
        <v>0</v>
      </c>
      <c r="CU71" s="220">
        <v>0</v>
      </c>
      <c r="CV71" s="220">
        <v>0</v>
      </c>
      <c r="CW71" s="220">
        <v>0</v>
      </c>
      <c r="CX71" s="220">
        <v>0</v>
      </c>
      <c r="CY71" s="220">
        <v>0</v>
      </c>
      <c r="CZ71" s="220">
        <v>259</v>
      </c>
      <c r="DA71" s="220">
        <v>0</v>
      </c>
      <c r="DB71" s="220">
        <v>0</v>
      </c>
      <c r="DC71" s="220">
        <v>0</v>
      </c>
      <c r="DD71" s="220">
        <v>0</v>
      </c>
      <c r="DE71" s="220">
        <v>0</v>
      </c>
      <c r="DF71" s="220">
        <v>0</v>
      </c>
      <c r="DG71" s="220">
        <v>0</v>
      </c>
      <c r="DH71" s="220">
        <v>0</v>
      </c>
      <c r="DI71" s="220">
        <v>0</v>
      </c>
      <c r="DJ71" s="220">
        <v>0</v>
      </c>
      <c r="DK71" s="220">
        <v>0</v>
      </c>
      <c r="DL71" s="220">
        <v>0</v>
      </c>
      <c r="DM71" s="220">
        <v>0</v>
      </c>
      <c r="DN71" s="220">
        <v>0</v>
      </c>
      <c r="DO71" s="220">
        <v>1</v>
      </c>
      <c r="DP71" s="221">
        <v>4551</v>
      </c>
      <c r="DQ71" s="71">
        <f>TRP!AF193</f>
        <v>4551</v>
      </c>
      <c r="DR71" s="71">
        <f t="shared" si="4"/>
        <v>0</v>
      </c>
    </row>
    <row r="72" spans="2:122" x14ac:dyDescent="0.25">
      <c r="B72" s="218" t="s">
        <v>148</v>
      </c>
      <c r="C72" s="222" t="s">
        <v>251</v>
      </c>
      <c r="D72" s="220">
        <v>3447</v>
      </c>
      <c r="E72" s="220">
        <v>173</v>
      </c>
      <c r="F72" s="220">
        <v>311</v>
      </c>
      <c r="G72" s="220">
        <v>156</v>
      </c>
      <c r="H72" s="220">
        <v>251</v>
      </c>
      <c r="I72" s="220">
        <v>107</v>
      </c>
      <c r="J72" s="220">
        <v>185</v>
      </c>
      <c r="K72" s="220">
        <v>284</v>
      </c>
      <c r="L72" s="220">
        <v>1</v>
      </c>
      <c r="M72" s="220">
        <v>84</v>
      </c>
      <c r="N72" s="220">
        <v>24</v>
      </c>
      <c r="O72" s="220">
        <v>252</v>
      </c>
      <c r="P72" s="220">
        <v>122</v>
      </c>
      <c r="Q72" s="220">
        <v>140</v>
      </c>
      <c r="R72" s="220">
        <v>117</v>
      </c>
      <c r="S72" s="220">
        <v>13</v>
      </c>
      <c r="T72" s="220">
        <v>46</v>
      </c>
      <c r="U72" s="220">
        <v>24</v>
      </c>
      <c r="V72" s="220">
        <v>9</v>
      </c>
      <c r="W72" s="220">
        <v>22</v>
      </c>
      <c r="X72" s="220">
        <v>384</v>
      </c>
      <c r="Y72" s="220">
        <v>84</v>
      </c>
      <c r="Z72" s="220">
        <v>16</v>
      </c>
      <c r="AA72" s="220">
        <v>18</v>
      </c>
      <c r="AB72" s="220">
        <v>77</v>
      </c>
      <c r="AC72" s="220">
        <v>10</v>
      </c>
      <c r="AD72" s="220">
        <v>36</v>
      </c>
      <c r="AE72" s="220">
        <v>55</v>
      </c>
      <c r="AF72" s="220">
        <v>77</v>
      </c>
      <c r="AG72" s="220">
        <v>113</v>
      </c>
      <c r="AH72" s="220">
        <v>42</v>
      </c>
      <c r="AI72" s="220">
        <v>17</v>
      </c>
      <c r="AJ72" s="220">
        <v>78</v>
      </c>
      <c r="AK72" s="220">
        <v>15</v>
      </c>
      <c r="AL72" s="220">
        <v>5</v>
      </c>
      <c r="AM72" s="220">
        <v>28</v>
      </c>
      <c r="AN72" s="220">
        <v>36</v>
      </c>
      <c r="AO72" s="220">
        <v>30</v>
      </c>
      <c r="AP72" s="220">
        <v>53</v>
      </c>
      <c r="AQ72" s="220">
        <v>14</v>
      </c>
      <c r="AR72" s="220">
        <v>281</v>
      </c>
      <c r="AS72" s="220">
        <v>91</v>
      </c>
      <c r="AT72" s="220">
        <v>533</v>
      </c>
      <c r="AU72" s="220">
        <v>55</v>
      </c>
      <c r="AV72" s="220">
        <v>33</v>
      </c>
      <c r="AW72" s="220">
        <v>23</v>
      </c>
      <c r="AX72" s="220">
        <v>118</v>
      </c>
      <c r="AY72" s="220">
        <v>126</v>
      </c>
      <c r="AZ72" s="220">
        <v>76</v>
      </c>
      <c r="BA72" s="220">
        <v>112</v>
      </c>
      <c r="BB72" s="220">
        <v>6931</v>
      </c>
      <c r="BC72" s="220">
        <v>131</v>
      </c>
      <c r="BD72" s="220">
        <v>10</v>
      </c>
      <c r="BE72" s="220">
        <v>88</v>
      </c>
      <c r="BF72" s="220">
        <v>168</v>
      </c>
      <c r="BG72" s="220">
        <v>0</v>
      </c>
      <c r="BH72" s="220">
        <v>0</v>
      </c>
      <c r="BI72" s="220">
        <v>43</v>
      </c>
      <c r="BJ72" s="220">
        <v>94</v>
      </c>
      <c r="BK72" s="220">
        <v>103</v>
      </c>
      <c r="BL72" s="220">
        <v>137</v>
      </c>
      <c r="BM72" s="220">
        <v>65</v>
      </c>
      <c r="BN72" s="220">
        <v>25</v>
      </c>
      <c r="BO72" s="220">
        <v>0</v>
      </c>
      <c r="BP72" s="220">
        <v>5</v>
      </c>
      <c r="BQ72" s="220">
        <v>0</v>
      </c>
      <c r="BR72" s="220">
        <v>46</v>
      </c>
      <c r="BS72" s="220">
        <v>7434</v>
      </c>
      <c r="BT72" s="220">
        <v>490</v>
      </c>
      <c r="BU72" s="220">
        <v>121</v>
      </c>
      <c r="BV72" s="220">
        <v>135</v>
      </c>
      <c r="BW72" s="220">
        <v>1537</v>
      </c>
      <c r="BX72" s="220">
        <v>2241</v>
      </c>
      <c r="BY72" s="220">
        <v>720</v>
      </c>
      <c r="BZ72" s="220">
        <v>7007</v>
      </c>
      <c r="CA72" s="220">
        <v>2369</v>
      </c>
      <c r="CB72" s="220">
        <v>121</v>
      </c>
      <c r="CC72" s="220">
        <v>1407</v>
      </c>
      <c r="CD72" s="220">
        <v>6850</v>
      </c>
      <c r="CE72" s="220">
        <v>951</v>
      </c>
      <c r="CF72" s="220">
        <v>2459</v>
      </c>
      <c r="CG72" s="220">
        <v>763</v>
      </c>
      <c r="CH72" s="220">
        <v>281</v>
      </c>
      <c r="CI72" s="220">
        <v>0</v>
      </c>
      <c r="CJ72" s="220">
        <v>305</v>
      </c>
      <c r="CK72" s="220">
        <v>92</v>
      </c>
      <c r="CL72" s="220">
        <v>57</v>
      </c>
      <c r="CM72" s="220">
        <v>164</v>
      </c>
      <c r="CN72" s="220">
        <v>185</v>
      </c>
      <c r="CO72" s="220">
        <v>751</v>
      </c>
      <c r="CP72" s="220">
        <v>707</v>
      </c>
      <c r="CQ72" s="220">
        <v>361</v>
      </c>
      <c r="CR72" s="220">
        <v>321</v>
      </c>
      <c r="CS72" s="220">
        <v>223</v>
      </c>
      <c r="CT72" s="220">
        <v>510</v>
      </c>
      <c r="CU72" s="220">
        <v>240</v>
      </c>
      <c r="CV72" s="220">
        <v>41</v>
      </c>
      <c r="CW72" s="220">
        <v>993</v>
      </c>
      <c r="CX72" s="220">
        <v>118</v>
      </c>
      <c r="CY72" s="220">
        <v>275</v>
      </c>
      <c r="CZ72" s="220">
        <v>22</v>
      </c>
      <c r="DA72" s="220">
        <v>1006</v>
      </c>
      <c r="DB72" s="220">
        <v>331</v>
      </c>
      <c r="DC72" s="220">
        <v>328</v>
      </c>
      <c r="DD72" s="220">
        <v>395</v>
      </c>
      <c r="DE72" s="220">
        <v>76</v>
      </c>
      <c r="DF72" s="220">
        <v>0</v>
      </c>
      <c r="DG72" s="220">
        <v>237</v>
      </c>
      <c r="DH72" s="220">
        <v>208</v>
      </c>
      <c r="DI72" s="220">
        <v>172</v>
      </c>
      <c r="DJ72" s="220">
        <v>91</v>
      </c>
      <c r="DK72" s="220">
        <v>15</v>
      </c>
      <c r="DL72" s="220">
        <v>157</v>
      </c>
      <c r="DM72" s="220">
        <v>95</v>
      </c>
      <c r="DN72" s="220">
        <v>1328</v>
      </c>
      <c r="DO72" s="220">
        <v>123</v>
      </c>
      <c r="DP72" s="221">
        <v>61063</v>
      </c>
      <c r="DQ72" s="71">
        <f>TRP!AF194</f>
        <v>61063</v>
      </c>
      <c r="DR72" s="71">
        <f t="shared" si="4"/>
        <v>0</v>
      </c>
    </row>
    <row r="73" spans="2:122" x14ac:dyDescent="0.25">
      <c r="B73" s="218" t="s">
        <v>149</v>
      </c>
      <c r="C73" s="222" t="s">
        <v>252</v>
      </c>
      <c r="D73" s="220">
        <v>453</v>
      </c>
      <c r="E73" s="220">
        <v>211</v>
      </c>
      <c r="F73" s="220">
        <v>120</v>
      </c>
      <c r="G73" s="220">
        <v>214</v>
      </c>
      <c r="H73" s="220">
        <v>206</v>
      </c>
      <c r="I73" s="220">
        <v>109</v>
      </c>
      <c r="J73" s="220">
        <v>218</v>
      </c>
      <c r="K73" s="220">
        <v>571</v>
      </c>
      <c r="L73" s="220">
        <v>5</v>
      </c>
      <c r="M73" s="220">
        <v>11</v>
      </c>
      <c r="N73" s="220">
        <v>11</v>
      </c>
      <c r="O73" s="220">
        <v>115</v>
      </c>
      <c r="P73" s="220">
        <v>155</v>
      </c>
      <c r="Q73" s="220">
        <v>38</v>
      </c>
      <c r="R73" s="220">
        <v>63</v>
      </c>
      <c r="S73" s="220">
        <v>5</v>
      </c>
      <c r="T73" s="220">
        <v>19</v>
      </c>
      <c r="U73" s="220">
        <v>20</v>
      </c>
      <c r="V73" s="220">
        <v>3</v>
      </c>
      <c r="W73" s="220">
        <v>7</v>
      </c>
      <c r="X73" s="220">
        <v>233</v>
      </c>
      <c r="Y73" s="220">
        <v>149</v>
      </c>
      <c r="Z73" s="220">
        <v>100</v>
      </c>
      <c r="AA73" s="220">
        <v>8</v>
      </c>
      <c r="AB73" s="220">
        <v>107</v>
      </c>
      <c r="AC73" s="220">
        <v>3</v>
      </c>
      <c r="AD73" s="220">
        <v>21</v>
      </c>
      <c r="AE73" s="220">
        <v>32</v>
      </c>
      <c r="AF73" s="220">
        <v>61</v>
      </c>
      <c r="AG73" s="220">
        <v>54</v>
      </c>
      <c r="AH73" s="220">
        <v>17</v>
      </c>
      <c r="AI73" s="220">
        <v>7</v>
      </c>
      <c r="AJ73" s="220">
        <v>54</v>
      </c>
      <c r="AK73" s="220">
        <v>7</v>
      </c>
      <c r="AL73" s="220">
        <v>63</v>
      </c>
      <c r="AM73" s="220">
        <v>22</v>
      </c>
      <c r="AN73" s="220">
        <v>25</v>
      </c>
      <c r="AO73" s="220">
        <v>26</v>
      </c>
      <c r="AP73" s="220">
        <v>36</v>
      </c>
      <c r="AQ73" s="220">
        <v>0</v>
      </c>
      <c r="AR73" s="220">
        <v>118</v>
      </c>
      <c r="AS73" s="220">
        <v>184</v>
      </c>
      <c r="AT73" s="220">
        <v>304</v>
      </c>
      <c r="AU73" s="220">
        <v>79</v>
      </c>
      <c r="AV73" s="220">
        <v>29</v>
      </c>
      <c r="AW73" s="220">
        <v>5</v>
      </c>
      <c r="AX73" s="220">
        <v>151</v>
      </c>
      <c r="AY73" s="220">
        <v>524</v>
      </c>
      <c r="AZ73" s="220">
        <v>122</v>
      </c>
      <c r="BA73" s="220">
        <v>351</v>
      </c>
      <c r="BB73" s="220">
        <v>413</v>
      </c>
      <c r="BC73" s="220">
        <v>81</v>
      </c>
      <c r="BD73" s="220">
        <v>27</v>
      </c>
      <c r="BE73" s="220">
        <v>122</v>
      </c>
      <c r="BF73" s="220">
        <v>400</v>
      </c>
      <c r="BG73" s="220">
        <v>520</v>
      </c>
      <c r="BH73" s="220">
        <v>259</v>
      </c>
      <c r="BI73" s="220">
        <v>134</v>
      </c>
      <c r="BJ73" s="220">
        <v>271</v>
      </c>
      <c r="BK73" s="220">
        <v>145</v>
      </c>
      <c r="BL73" s="220">
        <v>26</v>
      </c>
      <c r="BM73" s="220">
        <v>173</v>
      </c>
      <c r="BN73" s="220">
        <v>76</v>
      </c>
      <c r="BO73" s="220">
        <v>3</v>
      </c>
      <c r="BP73" s="220">
        <v>3</v>
      </c>
      <c r="BQ73" s="220">
        <v>0</v>
      </c>
      <c r="BR73" s="220">
        <v>180</v>
      </c>
      <c r="BS73" s="220">
        <v>201</v>
      </c>
      <c r="BT73" s="220">
        <v>10864</v>
      </c>
      <c r="BU73" s="220">
        <v>99</v>
      </c>
      <c r="BV73" s="220">
        <v>217</v>
      </c>
      <c r="BW73" s="220">
        <v>242</v>
      </c>
      <c r="BX73" s="220">
        <v>324</v>
      </c>
      <c r="BY73" s="220">
        <v>318</v>
      </c>
      <c r="BZ73" s="220">
        <v>719</v>
      </c>
      <c r="CA73" s="220">
        <v>1071</v>
      </c>
      <c r="CB73" s="220">
        <v>382</v>
      </c>
      <c r="CC73" s="220">
        <v>143</v>
      </c>
      <c r="CD73" s="220">
        <v>49</v>
      </c>
      <c r="CE73" s="220">
        <v>0</v>
      </c>
      <c r="CF73" s="220">
        <v>10</v>
      </c>
      <c r="CG73" s="220">
        <v>84</v>
      </c>
      <c r="CH73" s="220">
        <v>3</v>
      </c>
      <c r="CI73" s="220">
        <v>45</v>
      </c>
      <c r="CJ73" s="220">
        <v>230</v>
      </c>
      <c r="CK73" s="220">
        <v>77</v>
      </c>
      <c r="CL73" s="220">
        <v>100</v>
      </c>
      <c r="CM73" s="220">
        <v>164</v>
      </c>
      <c r="CN73" s="220">
        <v>481</v>
      </c>
      <c r="CO73" s="220">
        <v>562</v>
      </c>
      <c r="CP73" s="220">
        <v>86</v>
      </c>
      <c r="CQ73" s="220">
        <v>124</v>
      </c>
      <c r="CR73" s="220">
        <v>219</v>
      </c>
      <c r="CS73" s="220">
        <v>62</v>
      </c>
      <c r="CT73" s="220">
        <v>103</v>
      </c>
      <c r="CU73" s="220">
        <v>22</v>
      </c>
      <c r="CV73" s="220">
        <v>9</v>
      </c>
      <c r="CW73" s="220">
        <v>146</v>
      </c>
      <c r="CX73" s="220">
        <v>80</v>
      </c>
      <c r="CY73" s="220">
        <v>64</v>
      </c>
      <c r="CZ73" s="220">
        <v>94</v>
      </c>
      <c r="DA73" s="220">
        <v>738</v>
      </c>
      <c r="DB73" s="220">
        <v>100</v>
      </c>
      <c r="DC73" s="220">
        <v>121</v>
      </c>
      <c r="DD73" s="220">
        <v>799</v>
      </c>
      <c r="DE73" s="220">
        <v>78</v>
      </c>
      <c r="DF73" s="220">
        <v>0</v>
      </c>
      <c r="DG73" s="220">
        <v>48</v>
      </c>
      <c r="DH73" s="220">
        <v>901</v>
      </c>
      <c r="DI73" s="220">
        <v>182</v>
      </c>
      <c r="DJ73" s="220">
        <v>12</v>
      </c>
      <c r="DK73" s="220">
        <v>4</v>
      </c>
      <c r="DL73" s="220">
        <v>100</v>
      </c>
      <c r="DM73" s="220">
        <v>290</v>
      </c>
      <c r="DN73" s="220">
        <v>1526</v>
      </c>
      <c r="DO73" s="220">
        <v>152</v>
      </c>
      <c r="DP73" s="221">
        <v>30724</v>
      </c>
      <c r="DQ73" s="71">
        <f>TRP!AF195</f>
        <v>30724</v>
      </c>
      <c r="DR73" s="71">
        <f t="shared" si="4"/>
        <v>0</v>
      </c>
    </row>
    <row r="74" spans="2:122" x14ac:dyDescent="0.25">
      <c r="B74" s="218" t="s">
        <v>150</v>
      </c>
      <c r="C74" s="222" t="s">
        <v>253</v>
      </c>
      <c r="D74" s="220">
        <v>148</v>
      </c>
      <c r="E74" s="220">
        <v>5</v>
      </c>
      <c r="F74" s="220">
        <v>22</v>
      </c>
      <c r="G74" s="220">
        <v>89</v>
      </c>
      <c r="H74" s="220">
        <v>347</v>
      </c>
      <c r="I74" s="220">
        <v>66</v>
      </c>
      <c r="J74" s="220">
        <v>178</v>
      </c>
      <c r="K74" s="220">
        <v>366</v>
      </c>
      <c r="L74" s="220">
        <v>1</v>
      </c>
      <c r="M74" s="220">
        <v>3</v>
      </c>
      <c r="N74" s="220">
        <v>15</v>
      </c>
      <c r="O74" s="220">
        <v>37</v>
      </c>
      <c r="P74" s="220">
        <v>116</v>
      </c>
      <c r="Q74" s="220">
        <v>22</v>
      </c>
      <c r="R74" s="220">
        <v>14</v>
      </c>
      <c r="S74" s="220">
        <v>1</v>
      </c>
      <c r="T74" s="220">
        <v>7</v>
      </c>
      <c r="U74" s="220">
        <v>11</v>
      </c>
      <c r="V74" s="220">
        <v>2</v>
      </c>
      <c r="W74" s="220">
        <v>1</v>
      </c>
      <c r="X74" s="220">
        <v>139</v>
      </c>
      <c r="Y74" s="220">
        <v>55</v>
      </c>
      <c r="Z74" s="220">
        <v>16</v>
      </c>
      <c r="AA74" s="220">
        <v>7</v>
      </c>
      <c r="AB74" s="220">
        <v>50</v>
      </c>
      <c r="AC74" s="220">
        <v>6</v>
      </c>
      <c r="AD74" s="220">
        <v>13</v>
      </c>
      <c r="AE74" s="220">
        <v>18</v>
      </c>
      <c r="AF74" s="220">
        <v>25</v>
      </c>
      <c r="AG74" s="220">
        <v>26</v>
      </c>
      <c r="AH74" s="220">
        <v>9</v>
      </c>
      <c r="AI74" s="220">
        <v>7</v>
      </c>
      <c r="AJ74" s="220">
        <v>22</v>
      </c>
      <c r="AK74" s="220">
        <v>4</v>
      </c>
      <c r="AL74" s="220">
        <v>6</v>
      </c>
      <c r="AM74" s="220">
        <v>11</v>
      </c>
      <c r="AN74" s="220">
        <v>6</v>
      </c>
      <c r="AO74" s="220">
        <v>5</v>
      </c>
      <c r="AP74" s="220">
        <v>12</v>
      </c>
      <c r="AQ74" s="220">
        <v>0</v>
      </c>
      <c r="AR74" s="220">
        <v>70</v>
      </c>
      <c r="AS74" s="220">
        <v>198</v>
      </c>
      <c r="AT74" s="220">
        <v>310</v>
      </c>
      <c r="AU74" s="220">
        <v>60</v>
      </c>
      <c r="AV74" s="220">
        <v>19</v>
      </c>
      <c r="AW74" s="220">
        <v>5</v>
      </c>
      <c r="AX74" s="220">
        <v>22</v>
      </c>
      <c r="AY74" s="220">
        <v>373</v>
      </c>
      <c r="AZ74" s="220">
        <v>78</v>
      </c>
      <c r="BA74" s="220">
        <v>581</v>
      </c>
      <c r="BB74" s="220">
        <v>846</v>
      </c>
      <c r="BC74" s="220">
        <v>77</v>
      </c>
      <c r="BD74" s="220">
        <v>20</v>
      </c>
      <c r="BE74" s="220">
        <v>116</v>
      </c>
      <c r="BF74" s="220">
        <v>79</v>
      </c>
      <c r="BG74" s="220">
        <v>328</v>
      </c>
      <c r="BH74" s="220">
        <v>102</v>
      </c>
      <c r="BI74" s="220">
        <v>52</v>
      </c>
      <c r="BJ74" s="220">
        <v>114</v>
      </c>
      <c r="BK74" s="220">
        <v>65</v>
      </c>
      <c r="BL74" s="220">
        <v>16</v>
      </c>
      <c r="BM74" s="220">
        <v>47</v>
      </c>
      <c r="BN74" s="220">
        <v>16</v>
      </c>
      <c r="BO74" s="220">
        <v>0</v>
      </c>
      <c r="BP74" s="220">
        <v>0</v>
      </c>
      <c r="BQ74" s="220">
        <v>0</v>
      </c>
      <c r="BR74" s="220">
        <v>24</v>
      </c>
      <c r="BS74" s="220">
        <v>21</v>
      </c>
      <c r="BT74" s="220">
        <v>436</v>
      </c>
      <c r="BU74" s="220">
        <v>6684</v>
      </c>
      <c r="BV74" s="220">
        <v>27</v>
      </c>
      <c r="BW74" s="220">
        <v>42</v>
      </c>
      <c r="BX74" s="220">
        <v>6</v>
      </c>
      <c r="BY74" s="220">
        <v>25</v>
      </c>
      <c r="BZ74" s="220">
        <v>150</v>
      </c>
      <c r="CA74" s="220">
        <v>274</v>
      </c>
      <c r="CB74" s="220">
        <v>46</v>
      </c>
      <c r="CC74" s="220">
        <v>63</v>
      </c>
      <c r="CD74" s="220">
        <v>52</v>
      </c>
      <c r="CE74" s="220">
        <v>0</v>
      </c>
      <c r="CF74" s="220">
        <v>1</v>
      </c>
      <c r="CG74" s="220">
        <v>194</v>
      </c>
      <c r="CH74" s="220">
        <v>2</v>
      </c>
      <c r="CI74" s="220">
        <v>14</v>
      </c>
      <c r="CJ74" s="220">
        <v>63</v>
      </c>
      <c r="CK74" s="220">
        <v>34</v>
      </c>
      <c r="CL74" s="220">
        <v>26</v>
      </c>
      <c r="CM74" s="220">
        <v>10</v>
      </c>
      <c r="CN74" s="220">
        <v>41</v>
      </c>
      <c r="CO74" s="220">
        <v>138</v>
      </c>
      <c r="CP74" s="220">
        <v>16</v>
      </c>
      <c r="CQ74" s="220">
        <v>57</v>
      </c>
      <c r="CR74" s="220">
        <v>85</v>
      </c>
      <c r="CS74" s="220">
        <v>19</v>
      </c>
      <c r="CT74" s="220">
        <v>27</v>
      </c>
      <c r="CU74" s="220">
        <v>2</v>
      </c>
      <c r="CV74" s="220">
        <v>1</v>
      </c>
      <c r="CW74" s="220">
        <v>34</v>
      </c>
      <c r="CX74" s="220">
        <v>40</v>
      </c>
      <c r="CY74" s="220">
        <v>7</v>
      </c>
      <c r="CZ74" s="220">
        <v>19</v>
      </c>
      <c r="DA74" s="220">
        <v>424</v>
      </c>
      <c r="DB74" s="220">
        <v>56</v>
      </c>
      <c r="DC74" s="220">
        <v>69</v>
      </c>
      <c r="DD74" s="220">
        <v>216</v>
      </c>
      <c r="DE74" s="220">
        <v>47</v>
      </c>
      <c r="DF74" s="220">
        <v>0</v>
      </c>
      <c r="DG74" s="220">
        <v>132</v>
      </c>
      <c r="DH74" s="220">
        <v>534</v>
      </c>
      <c r="DI74" s="220">
        <v>256</v>
      </c>
      <c r="DJ74" s="220">
        <v>426</v>
      </c>
      <c r="DK74" s="220">
        <v>7</v>
      </c>
      <c r="DL74" s="220">
        <v>187</v>
      </c>
      <c r="DM74" s="220">
        <v>124</v>
      </c>
      <c r="DN74" s="220">
        <v>330</v>
      </c>
      <c r="DO74" s="220">
        <v>61</v>
      </c>
      <c r="DP74" s="221">
        <v>17031</v>
      </c>
      <c r="DQ74" s="71">
        <f>TRP!AF196</f>
        <v>17031</v>
      </c>
      <c r="DR74" s="71">
        <f t="shared" si="4"/>
        <v>0</v>
      </c>
    </row>
    <row r="75" spans="2:122" x14ac:dyDescent="0.25">
      <c r="B75" s="218" t="s">
        <v>151</v>
      </c>
      <c r="C75" s="222" t="s">
        <v>254</v>
      </c>
      <c r="D75" s="220">
        <v>332</v>
      </c>
      <c r="E75" s="220">
        <v>1</v>
      </c>
      <c r="F75" s="220">
        <v>22</v>
      </c>
      <c r="G75" s="220">
        <v>129</v>
      </c>
      <c r="H75" s="220">
        <v>23</v>
      </c>
      <c r="I75" s="220">
        <v>75</v>
      </c>
      <c r="J75" s="220">
        <v>8</v>
      </c>
      <c r="K75" s="220">
        <v>143</v>
      </c>
      <c r="L75" s="220">
        <v>1</v>
      </c>
      <c r="M75" s="220">
        <v>9</v>
      </c>
      <c r="N75" s="220">
        <v>3</v>
      </c>
      <c r="O75" s="220">
        <v>24</v>
      </c>
      <c r="P75" s="220">
        <v>13</v>
      </c>
      <c r="Q75" s="220">
        <v>8</v>
      </c>
      <c r="R75" s="220">
        <v>7</v>
      </c>
      <c r="S75" s="220">
        <v>6</v>
      </c>
      <c r="T75" s="220">
        <v>10</v>
      </c>
      <c r="U75" s="220">
        <v>1</v>
      </c>
      <c r="V75" s="220">
        <v>3</v>
      </c>
      <c r="W75" s="220">
        <v>1</v>
      </c>
      <c r="X75" s="220">
        <v>23</v>
      </c>
      <c r="Y75" s="220">
        <v>12</v>
      </c>
      <c r="Z75" s="220">
        <v>4</v>
      </c>
      <c r="AA75" s="220">
        <v>4</v>
      </c>
      <c r="AB75" s="220">
        <v>22</v>
      </c>
      <c r="AC75" s="220">
        <v>2</v>
      </c>
      <c r="AD75" s="220">
        <v>14</v>
      </c>
      <c r="AE75" s="220">
        <v>22</v>
      </c>
      <c r="AF75" s="220">
        <v>24</v>
      </c>
      <c r="AG75" s="220">
        <v>35</v>
      </c>
      <c r="AH75" s="220">
        <v>4</v>
      </c>
      <c r="AI75" s="220">
        <v>1</v>
      </c>
      <c r="AJ75" s="220">
        <v>14</v>
      </c>
      <c r="AK75" s="220">
        <v>7</v>
      </c>
      <c r="AL75" s="220">
        <v>1</v>
      </c>
      <c r="AM75" s="220">
        <v>9</v>
      </c>
      <c r="AN75" s="220">
        <v>9</v>
      </c>
      <c r="AO75" s="220">
        <v>12</v>
      </c>
      <c r="AP75" s="220">
        <v>15</v>
      </c>
      <c r="AQ75" s="220">
        <v>0</v>
      </c>
      <c r="AR75" s="220">
        <v>0</v>
      </c>
      <c r="AS75" s="220">
        <v>10</v>
      </c>
      <c r="AT75" s="220">
        <v>17</v>
      </c>
      <c r="AU75" s="220">
        <v>12</v>
      </c>
      <c r="AV75" s="220">
        <v>12</v>
      </c>
      <c r="AW75" s="220">
        <v>3</v>
      </c>
      <c r="AX75" s="220">
        <v>22</v>
      </c>
      <c r="AY75" s="220">
        <v>21</v>
      </c>
      <c r="AZ75" s="220">
        <v>26</v>
      </c>
      <c r="BA75" s="220">
        <v>17</v>
      </c>
      <c r="BB75" s="220">
        <v>43</v>
      </c>
      <c r="BC75" s="220">
        <v>32</v>
      </c>
      <c r="BD75" s="220">
        <v>6</v>
      </c>
      <c r="BE75" s="220">
        <v>10</v>
      </c>
      <c r="BF75" s="220">
        <v>28</v>
      </c>
      <c r="BG75" s="220">
        <v>81</v>
      </c>
      <c r="BH75" s="220">
        <v>17</v>
      </c>
      <c r="BI75" s="220">
        <v>20</v>
      </c>
      <c r="BJ75" s="220">
        <v>39</v>
      </c>
      <c r="BK75" s="220">
        <v>26</v>
      </c>
      <c r="BL75" s="220">
        <v>6</v>
      </c>
      <c r="BM75" s="220">
        <v>16</v>
      </c>
      <c r="BN75" s="220">
        <v>11</v>
      </c>
      <c r="BO75" s="220">
        <v>0</v>
      </c>
      <c r="BP75" s="220">
        <v>0</v>
      </c>
      <c r="BQ75" s="220">
        <v>0</v>
      </c>
      <c r="BR75" s="220">
        <v>5</v>
      </c>
      <c r="BS75" s="220">
        <v>63</v>
      </c>
      <c r="BT75" s="220">
        <v>72</v>
      </c>
      <c r="BU75" s="220">
        <v>30</v>
      </c>
      <c r="BV75" s="220">
        <v>1361</v>
      </c>
      <c r="BW75" s="220">
        <v>120</v>
      </c>
      <c r="BX75" s="220">
        <v>47</v>
      </c>
      <c r="BY75" s="220">
        <v>52</v>
      </c>
      <c r="BZ75" s="220">
        <v>209</v>
      </c>
      <c r="CA75" s="220">
        <v>154</v>
      </c>
      <c r="CB75" s="220">
        <v>1</v>
      </c>
      <c r="CC75" s="220">
        <v>2</v>
      </c>
      <c r="CD75" s="220">
        <v>7</v>
      </c>
      <c r="CE75" s="220">
        <v>2</v>
      </c>
      <c r="CF75" s="220">
        <v>8</v>
      </c>
      <c r="CG75" s="220">
        <v>20</v>
      </c>
      <c r="CH75" s="220">
        <v>22</v>
      </c>
      <c r="CI75" s="220">
        <v>20</v>
      </c>
      <c r="CJ75" s="220">
        <v>35</v>
      </c>
      <c r="CK75" s="220">
        <v>6</v>
      </c>
      <c r="CL75" s="220">
        <v>58</v>
      </c>
      <c r="CM75" s="220">
        <v>4</v>
      </c>
      <c r="CN75" s="220">
        <v>10</v>
      </c>
      <c r="CO75" s="220">
        <v>48</v>
      </c>
      <c r="CP75" s="220">
        <v>14</v>
      </c>
      <c r="CQ75" s="220">
        <v>5</v>
      </c>
      <c r="CR75" s="220">
        <v>4</v>
      </c>
      <c r="CS75" s="220">
        <v>1</v>
      </c>
      <c r="CT75" s="220">
        <v>14</v>
      </c>
      <c r="CU75" s="220">
        <v>4</v>
      </c>
      <c r="CV75" s="220">
        <v>2</v>
      </c>
      <c r="CW75" s="220">
        <v>77</v>
      </c>
      <c r="CX75" s="220">
        <v>23</v>
      </c>
      <c r="CY75" s="220">
        <v>25</v>
      </c>
      <c r="CZ75" s="220">
        <v>10</v>
      </c>
      <c r="DA75" s="220">
        <v>145</v>
      </c>
      <c r="DB75" s="220">
        <v>1</v>
      </c>
      <c r="DC75" s="220">
        <v>42</v>
      </c>
      <c r="DD75" s="220">
        <v>214</v>
      </c>
      <c r="DE75" s="220">
        <v>7</v>
      </c>
      <c r="DF75" s="220">
        <v>0</v>
      </c>
      <c r="DG75" s="220">
        <v>44</v>
      </c>
      <c r="DH75" s="220">
        <v>170</v>
      </c>
      <c r="DI75" s="220">
        <v>106</v>
      </c>
      <c r="DJ75" s="220">
        <v>367</v>
      </c>
      <c r="DK75" s="220">
        <v>0</v>
      </c>
      <c r="DL75" s="220">
        <v>1</v>
      </c>
      <c r="DM75" s="220">
        <v>86</v>
      </c>
      <c r="DN75" s="220">
        <v>299</v>
      </c>
      <c r="DO75" s="220">
        <v>30</v>
      </c>
      <c r="DP75" s="221">
        <v>5575</v>
      </c>
      <c r="DQ75" s="71">
        <f>TRP!AF197</f>
        <v>5575</v>
      </c>
      <c r="DR75" s="71">
        <f t="shared" si="4"/>
        <v>0</v>
      </c>
    </row>
    <row r="76" spans="2:122" x14ac:dyDescent="0.25">
      <c r="B76" s="218" t="s">
        <v>69</v>
      </c>
      <c r="C76" s="222" t="s">
        <v>255</v>
      </c>
      <c r="D76" s="220">
        <v>242</v>
      </c>
      <c r="E76" s="220">
        <v>4</v>
      </c>
      <c r="F76" s="220">
        <v>0</v>
      </c>
      <c r="G76" s="220">
        <v>11</v>
      </c>
      <c r="H76" s="220">
        <v>15</v>
      </c>
      <c r="I76" s="220">
        <v>21</v>
      </c>
      <c r="J76" s="220">
        <v>13</v>
      </c>
      <c r="K76" s="220">
        <v>37</v>
      </c>
      <c r="L76" s="220">
        <v>1</v>
      </c>
      <c r="M76" s="220">
        <v>19</v>
      </c>
      <c r="N76" s="220">
        <v>14</v>
      </c>
      <c r="O76" s="220">
        <v>21</v>
      </c>
      <c r="P76" s="220">
        <v>34</v>
      </c>
      <c r="Q76" s="220">
        <v>43</v>
      </c>
      <c r="R76" s="220">
        <v>24</v>
      </c>
      <c r="S76" s="220">
        <v>0</v>
      </c>
      <c r="T76" s="220">
        <v>13</v>
      </c>
      <c r="U76" s="220">
        <v>10</v>
      </c>
      <c r="V76" s="220">
        <v>7</v>
      </c>
      <c r="W76" s="220">
        <v>5</v>
      </c>
      <c r="X76" s="220">
        <v>77</v>
      </c>
      <c r="Y76" s="220">
        <v>41</v>
      </c>
      <c r="Z76" s="220">
        <v>11</v>
      </c>
      <c r="AA76" s="220">
        <v>4</v>
      </c>
      <c r="AB76" s="220">
        <v>55</v>
      </c>
      <c r="AC76" s="220">
        <v>6</v>
      </c>
      <c r="AD76" s="220">
        <v>25</v>
      </c>
      <c r="AE76" s="220">
        <v>13</v>
      </c>
      <c r="AF76" s="220">
        <v>20</v>
      </c>
      <c r="AG76" s="220">
        <v>30</v>
      </c>
      <c r="AH76" s="220">
        <v>3</v>
      </c>
      <c r="AI76" s="220">
        <v>1</v>
      </c>
      <c r="AJ76" s="220">
        <v>26</v>
      </c>
      <c r="AK76" s="220">
        <v>6</v>
      </c>
      <c r="AL76" s="220">
        <v>1</v>
      </c>
      <c r="AM76" s="220">
        <v>3</v>
      </c>
      <c r="AN76" s="220">
        <v>10</v>
      </c>
      <c r="AO76" s="220">
        <v>9</v>
      </c>
      <c r="AP76" s="220">
        <v>7</v>
      </c>
      <c r="AQ76" s="220">
        <v>0</v>
      </c>
      <c r="AR76" s="220">
        <v>36</v>
      </c>
      <c r="AS76" s="220">
        <v>21</v>
      </c>
      <c r="AT76" s="220">
        <v>45</v>
      </c>
      <c r="AU76" s="220">
        <v>7</v>
      </c>
      <c r="AV76" s="220">
        <v>6</v>
      </c>
      <c r="AW76" s="220">
        <v>1</v>
      </c>
      <c r="AX76" s="220">
        <v>15</v>
      </c>
      <c r="AY76" s="220">
        <v>6</v>
      </c>
      <c r="AZ76" s="220">
        <v>13</v>
      </c>
      <c r="BA76" s="220">
        <v>8</v>
      </c>
      <c r="BB76" s="220">
        <v>41</v>
      </c>
      <c r="BC76" s="220">
        <v>28</v>
      </c>
      <c r="BD76" s="220">
        <v>2</v>
      </c>
      <c r="BE76" s="220">
        <v>0</v>
      </c>
      <c r="BF76" s="220">
        <v>19</v>
      </c>
      <c r="BG76" s="220">
        <v>11</v>
      </c>
      <c r="BH76" s="220">
        <v>14</v>
      </c>
      <c r="BI76" s="220">
        <v>12</v>
      </c>
      <c r="BJ76" s="220">
        <v>37</v>
      </c>
      <c r="BK76" s="220">
        <v>6</v>
      </c>
      <c r="BL76" s="220">
        <v>0</v>
      </c>
      <c r="BM76" s="220">
        <v>28</v>
      </c>
      <c r="BN76" s="220">
        <v>6</v>
      </c>
      <c r="BO76" s="220">
        <v>0</v>
      </c>
      <c r="BP76" s="220">
        <v>0</v>
      </c>
      <c r="BQ76" s="220">
        <v>0</v>
      </c>
      <c r="BR76" s="220">
        <v>5</v>
      </c>
      <c r="BS76" s="220">
        <v>256</v>
      </c>
      <c r="BT76" s="220">
        <v>1488</v>
      </c>
      <c r="BU76" s="220">
        <v>69</v>
      </c>
      <c r="BV76" s="220">
        <v>356</v>
      </c>
      <c r="BW76" s="220">
        <v>23262</v>
      </c>
      <c r="BX76" s="220">
        <v>14</v>
      </c>
      <c r="BY76" s="220">
        <v>198</v>
      </c>
      <c r="BZ76" s="220">
        <v>270</v>
      </c>
      <c r="CA76" s="220">
        <v>172</v>
      </c>
      <c r="CB76" s="220">
        <v>8</v>
      </c>
      <c r="CC76" s="220">
        <v>31</v>
      </c>
      <c r="CD76" s="220">
        <v>49</v>
      </c>
      <c r="CE76" s="220">
        <v>43</v>
      </c>
      <c r="CF76" s="220">
        <v>86</v>
      </c>
      <c r="CG76" s="220">
        <v>135</v>
      </c>
      <c r="CH76" s="220">
        <v>35</v>
      </c>
      <c r="CI76" s="220">
        <v>55</v>
      </c>
      <c r="CJ76" s="220">
        <v>314</v>
      </c>
      <c r="CK76" s="220">
        <v>415</v>
      </c>
      <c r="CL76" s="220">
        <v>384</v>
      </c>
      <c r="CM76" s="220">
        <v>1379</v>
      </c>
      <c r="CN76" s="220">
        <v>3018</v>
      </c>
      <c r="CO76" s="220">
        <v>811</v>
      </c>
      <c r="CP76" s="220">
        <v>176</v>
      </c>
      <c r="CQ76" s="220">
        <v>97</v>
      </c>
      <c r="CR76" s="220">
        <v>129</v>
      </c>
      <c r="CS76" s="220">
        <v>6</v>
      </c>
      <c r="CT76" s="220">
        <v>73</v>
      </c>
      <c r="CU76" s="220">
        <v>26</v>
      </c>
      <c r="CV76" s="220">
        <v>18</v>
      </c>
      <c r="CW76" s="220">
        <v>475</v>
      </c>
      <c r="CX76" s="220">
        <v>6</v>
      </c>
      <c r="CY76" s="220">
        <v>165</v>
      </c>
      <c r="CZ76" s="220">
        <v>65</v>
      </c>
      <c r="DA76" s="220">
        <v>135</v>
      </c>
      <c r="DB76" s="220">
        <v>495</v>
      </c>
      <c r="DC76" s="220">
        <v>98</v>
      </c>
      <c r="DD76" s="220">
        <v>821</v>
      </c>
      <c r="DE76" s="220">
        <v>48</v>
      </c>
      <c r="DF76" s="220">
        <v>0</v>
      </c>
      <c r="DG76" s="220">
        <v>134</v>
      </c>
      <c r="DH76" s="220">
        <v>1092</v>
      </c>
      <c r="DI76" s="220">
        <v>199</v>
      </c>
      <c r="DJ76" s="220">
        <v>262</v>
      </c>
      <c r="DK76" s="220">
        <v>2</v>
      </c>
      <c r="DL76" s="220">
        <v>187</v>
      </c>
      <c r="DM76" s="220">
        <v>408</v>
      </c>
      <c r="DN76" s="220">
        <v>1664</v>
      </c>
      <c r="DO76" s="220">
        <v>150</v>
      </c>
      <c r="DP76" s="221">
        <v>41028</v>
      </c>
      <c r="DQ76" s="71">
        <f>TRP!AF198</f>
        <v>41028</v>
      </c>
      <c r="DR76" s="71">
        <f t="shared" si="4"/>
        <v>0</v>
      </c>
    </row>
    <row r="77" spans="2:122" x14ac:dyDescent="0.25">
      <c r="B77" s="218" t="s">
        <v>70</v>
      </c>
      <c r="C77" s="222" t="s">
        <v>256</v>
      </c>
      <c r="D77" s="220">
        <v>0</v>
      </c>
      <c r="E77" s="220">
        <v>0</v>
      </c>
      <c r="F77" s="220">
        <v>8</v>
      </c>
      <c r="G77" s="220">
        <v>13</v>
      </c>
      <c r="H77" s="220">
        <v>13</v>
      </c>
      <c r="I77" s="220">
        <v>14</v>
      </c>
      <c r="J77" s="220">
        <v>8</v>
      </c>
      <c r="K77" s="220">
        <v>38</v>
      </c>
      <c r="L77" s="220">
        <v>2</v>
      </c>
      <c r="M77" s="220">
        <v>23</v>
      </c>
      <c r="N77" s="220">
        <v>8</v>
      </c>
      <c r="O77" s="220">
        <v>8</v>
      </c>
      <c r="P77" s="220">
        <v>25</v>
      </c>
      <c r="Q77" s="220">
        <v>24</v>
      </c>
      <c r="R77" s="220">
        <v>14</v>
      </c>
      <c r="S77" s="220">
        <v>7</v>
      </c>
      <c r="T77" s="220">
        <v>14</v>
      </c>
      <c r="U77" s="220">
        <v>7</v>
      </c>
      <c r="V77" s="220">
        <v>7</v>
      </c>
      <c r="W77" s="220">
        <v>12</v>
      </c>
      <c r="X77" s="220">
        <v>14</v>
      </c>
      <c r="Y77" s="220">
        <v>16</v>
      </c>
      <c r="Z77" s="220">
        <v>5</v>
      </c>
      <c r="AA77" s="220">
        <v>12</v>
      </c>
      <c r="AB77" s="220">
        <v>14</v>
      </c>
      <c r="AC77" s="220">
        <v>12</v>
      </c>
      <c r="AD77" s="220">
        <v>20</v>
      </c>
      <c r="AE77" s="220">
        <v>9</v>
      </c>
      <c r="AF77" s="220">
        <v>15</v>
      </c>
      <c r="AG77" s="220">
        <v>20</v>
      </c>
      <c r="AH77" s="220">
        <v>12</v>
      </c>
      <c r="AI77" s="220">
        <v>8</v>
      </c>
      <c r="AJ77" s="220">
        <v>14</v>
      </c>
      <c r="AK77" s="220">
        <v>7</v>
      </c>
      <c r="AL77" s="220">
        <v>3</v>
      </c>
      <c r="AM77" s="220">
        <v>9</v>
      </c>
      <c r="AN77" s="220">
        <v>14</v>
      </c>
      <c r="AO77" s="220">
        <v>12</v>
      </c>
      <c r="AP77" s="220">
        <v>7</v>
      </c>
      <c r="AQ77" s="220">
        <v>4</v>
      </c>
      <c r="AR77" s="220">
        <v>15</v>
      </c>
      <c r="AS77" s="220">
        <v>13</v>
      </c>
      <c r="AT77" s="220">
        <v>21</v>
      </c>
      <c r="AU77" s="220">
        <v>8</v>
      </c>
      <c r="AV77" s="220">
        <v>10</v>
      </c>
      <c r="AW77" s="220">
        <v>8</v>
      </c>
      <c r="AX77" s="220">
        <v>14</v>
      </c>
      <c r="AY77" s="220">
        <v>17</v>
      </c>
      <c r="AZ77" s="220">
        <v>9</v>
      </c>
      <c r="BA77" s="220">
        <v>16</v>
      </c>
      <c r="BB77" s="220">
        <v>22</v>
      </c>
      <c r="BC77" s="220">
        <v>13</v>
      </c>
      <c r="BD77" s="220">
        <v>9</v>
      </c>
      <c r="BE77" s="220">
        <v>0</v>
      </c>
      <c r="BF77" s="220">
        <v>24</v>
      </c>
      <c r="BG77" s="220">
        <v>45</v>
      </c>
      <c r="BH77" s="220">
        <v>36</v>
      </c>
      <c r="BI77" s="220">
        <v>27</v>
      </c>
      <c r="BJ77" s="220">
        <v>33</v>
      </c>
      <c r="BK77" s="220">
        <v>20</v>
      </c>
      <c r="BL77" s="220">
        <v>16</v>
      </c>
      <c r="BM77" s="220">
        <v>14</v>
      </c>
      <c r="BN77" s="220">
        <v>9</v>
      </c>
      <c r="BO77" s="220">
        <v>0</v>
      </c>
      <c r="BP77" s="220">
        <v>9</v>
      </c>
      <c r="BQ77" s="220">
        <v>0</v>
      </c>
      <c r="BR77" s="220">
        <v>5</v>
      </c>
      <c r="BS77" s="220">
        <v>318</v>
      </c>
      <c r="BT77" s="220">
        <v>995</v>
      </c>
      <c r="BU77" s="220">
        <v>135</v>
      </c>
      <c r="BV77" s="220">
        <v>193</v>
      </c>
      <c r="BW77" s="220">
        <v>62</v>
      </c>
      <c r="BX77" s="220">
        <v>6118</v>
      </c>
      <c r="BY77" s="220">
        <v>56</v>
      </c>
      <c r="BZ77" s="220">
        <v>61</v>
      </c>
      <c r="CA77" s="220">
        <v>147</v>
      </c>
      <c r="CB77" s="220">
        <v>20</v>
      </c>
      <c r="CC77" s="220">
        <v>30</v>
      </c>
      <c r="CD77" s="220">
        <v>41</v>
      </c>
      <c r="CE77" s="220">
        <v>97</v>
      </c>
      <c r="CF77" s="220">
        <v>40</v>
      </c>
      <c r="CG77" s="220">
        <v>33</v>
      </c>
      <c r="CH77" s="220">
        <v>14</v>
      </c>
      <c r="CI77" s="220">
        <v>43</v>
      </c>
      <c r="CJ77" s="220">
        <v>0</v>
      </c>
      <c r="CK77" s="220">
        <v>0</v>
      </c>
      <c r="CL77" s="220">
        <v>0</v>
      </c>
      <c r="CM77" s="220">
        <v>15</v>
      </c>
      <c r="CN77" s="220">
        <v>34</v>
      </c>
      <c r="CO77" s="220">
        <v>287</v>
      </c>
      <c r="CP77" s="220">
        <v>97</v>
      </c>
      <c r="CQ77" s="220">
        <v>97</v>
      </c>
      <c r="CR77" s="220">
        <v>58</v>
      </c>
      <c r="CS77" s="220">
        <v>22</v>
      </c>
      <c r="CT77" s="220">
        <v>61</v>
      </c>
      <c r="CU77" s="220">
        <v>28</v>
      </c>
      <c r="CV77" s="220">
        <v>21</v>
      </c>
      <c r="CW77" s="220">
        <v>210</v>
      </c>
      <c r="CX77" s="220">
        <v>20</v>
      </c>
      <c r="CY77" s="220">
        <v>89</v>
      </c>
      <c r="CZ77" s="220">
        <v>657</v>
      </c>
      <c r="DA77" s="220">
        <v>12</v>
      </c>
      <c r="DB77" s="220">
        <v>26</v>
      </c>
      <c r="DC77" s="220">
        <v>23</v>
      </c>
      <c r="DD77" s="220">
        <v>142</v>
      </c>
      <c r="DE77" s="220">
        <v>3</v>
      </c>
      <c r="DF77" s="220">
        <v>0</v>
      </c>
      <c r="DG77" s="220">
        <v>28</v>
      </c>
      <c r="DH77" s="220">
        <v>128</v>
      </c>
      <c r="DI77" s="220">
        <v>8</v>
      </c>
      <c r="DJ77" s="220">
        <v>2</v>
      </c>
      <c r="DK77" s="220">
        <v>2</v>
      </c>
      <c r="DL77" s="220">
        <v>16</v>
      </c>
      <c r="DM77" s="220">
        <v>13</v>
      </c>
      <c r="DN77" s="220">
        <v>2096</v>
      </c>
      <c r="DO77" s="220">
        <v>0</v>
      </c>
      <c r="DP77" s="221">
        <v>13483</v>
      </c>
      <c r="DQ77" s="71">
        <f>TRP!AF199</f>
        <v>13483</v>
      </c>
      <c r="DR77" s="71">
        <f t="shared" si="4"/>
        <v>0</v>
      </c>
    </row>
    <row r="78" spans="2:122" x14ac:dyDescent="0.25">
      <c r="B78" s="218" t="s">
        <v>71</v>
      </c>
      <c r="C78" s="222" t="s">
        <v>257</v>
      </c>
      <c r="D78" s="220">
        <v>209</v>
      </c>
      <c r="E78" s="220">
        <v>4</v>
      </c>
      <c r="F78" s="220">
        <v>0</v>
      </c>
      <c r="G78" s="220">
        <v>15</v>
      </c>
      <c r="H78" s="220">
        <v>6</v>
      </c>
      <c r="I78" s="220">
        <v>5</v>
      </c>
      <c r="J78" s="220">
        <v>11</v>
      </c>
      <c r="K78" s="220">
        <v>24</v>
      </c>
      <c r="L78" s="220">
        <v>1</v>
      </c>
      <c r="M78" s="220">
        <v>9</v>
      </c>
      <c r="N78" s="220">
        <v>0</v>
      </c>
      <c r="O78" s="220">
        <v>24</v>
      </c>
      <c r="P78" s="220">
        <v>5</v>
      </c>
      <c r="Q78" s="220">
        <v>5</v>
      </c>
      <c r="R78" s="220">
        <v>19</v>
      </c>
      <c r="S78" s="220">
        <v>0</v>
      </c>
      <c r="T78" s="220">
        <v>1</v>
      </c>
      <c r="U78" s="220">
        <v>4</v>
      </c>
      <c r="V78" s="220">
        <v>4</v>
      </c>
      <c r="W78" s="220">
        <v>4</v>
      </c>
      <c r="X78" s="220">
        <v>41</v>
      </c>
      <c r="Y78" s="220">
        <v>26</v>
      </c>
      <c r="Z78" s="220">
        <v>10</v>
      </c>
      <c r="AA78" s="220">
        <v>0</v>
      </c>
      <c r="AB78" s="220">
        <v>31</v>
      </c>
      <c r="AC78" s="220">
        <v>5</v>
      </c>
      <c r="AD78" s="220">
        <v>0</v>
      </c>
      <c r="AE78" s="220">
        <v>0</v>
      </c>
      <c r="AF78" s="220">
        <v>0</v>
      </c>
      <c r="AG78" s="220">
        <v>0</v>
      </c>
      <c r="AH78" s="220">
        <v>8</v>
      </c>
      <c r="AI78" s="220">
        <v>0</v>
      </c>
      <c r="AJ78" s="220">
        <v>0</v>
      </c>
      <c r="AK78" s="220">
        <v>0</v>
      </c>
      <c r="AL78" s="220">
        <v>0</v>
      </c>
      <c r="AM78" s="220">
        <v>0</v>
      </c>
      <c r="AN78" s="220">
        <v>0</v>
      </c>
      <c r="AO78" s="220">
        <v>0</v>
      </c>
      <c r="AP78" s="220">
        <v>0</v>
      </c>
      <c r="AQ78" s="220">
        <v>0</v>
      </c>
      <c r="AR78" s="220">
        <v>17</v>
      </c>
      <c r="AS78" s="220">
        <v>8</v>
      </c>
      <c r="AT78" s="220">
        <v>67</v>
      </c>
      <c r="AU78" s="220">
        <v>5</v>
      </c>
      <c r="AV78" s="220">
        <v>3</v>
      </c>
      <c r="AW78" s="220">
        <v>1</v>
      </c>
      <c r="AX78" s="220">
        <v>17</v>
      </c>
      <c r="AY78" s="220">
        <v>9</v>
      </c>
      <c r="AZ78" s="220">
        <v>18</v>
      </c>
      <c r="BA78" s="220">
        <v>4</v>
      </c>
      <c r="BB78" s="220">
        <v>4</v>
      </c>
      <c r="BC78" s="220">
        <v>12</v>
      </c>
      <c r="BD78" s="220">
        <v>0</v>
      </c>
      <c r="BE78" s="220">
        <v>5</v>
      </c>
      <c r="BF78" s="220">
        <v>20</v>
      </c>
      <c r="BG78" s="220">
        <v>26</v>
      </c>
      <c r="BH78" s="220">
        <v>16</v>
      </c>
      <c r="BI78" s="220">
        <v>10</v>
      </c>
      <c r="BJ78" s="220">
        <v>5</v>
      </c>
      <c r="BK78" s="220">
        <v>5</v>
      </c>
      <c r="BL78" s="220">
        <v>5</v>
      </c>
      <c r="BM78" s="220">
        <v>4</v>
      </c>
      <c r="BN78" s="220">
        <v>6</v>
      </c>
      <c r="BO78" s="220">
        <v>0</v>
      </c>
      <c r="BP78" s="220">
        <v>0</v>
      </c>
      <c r="BQ78" s="220">
        <v>0</v>
      </c>
      <c r="BR78" s="220">
        <v>0</v>
      </c>
      <c r="BS78" s="220">
        <v>16</v>
      </c>
      <c r="BT78" s="220">
        <v>5</v>
      </c>
      <c r="BU78" s="220">
        <v>1</v>
      </c>
      <c r="BV78" s="220">
        <v>5</v>
      </c>
      <c r="BW78" s="220">
        <v>49</v>
      </c>
      <c r="BX78" s="220">
        <v>24</v>
      </c>
      <c r="BY78" s="220">
        <v>261</v>
      </c>
      <c r="BZ78" s="220">
        <v>515</v>
      </c>
      <c r="CA78" s="220">
        <v>115</v>
      </c>
      <c r="CB78" s="220">
        <v>0</v>
      </c>
      <c r="CC78" s="220">
        <v>93</v>
      </c>
      <c r="CD78" s="220">
        <v>785</v>
      </c>
      <c r="CE78" s="220">
        <v>0</v>
      </c>
      <c r="CF78" s="220">
        <v>23</v>
      </c>
      <c r="CG78" s="220">
        <v>21</v>
      </c>
      <c r="CH78" s="220">
        <v>0</v>
      </c>
      <c r="CI78" s="220">
        <v>0</v>
      </c>
      <c r="CJ78" s="220">
        <v>15</v>
      </c>
      <c r="CK78" s="220">
        <v>51</v>
      </c>
      <c r="CL78" s="220">
        <v>15</v>
      </c>
      <c r="CM78" s="220">
        <v>16</v>
      </c>
      <c r="CN78" s="220">
        <v>21</v>
      </c>
      <c r="CO78" s="220">
        <v>7</v>
      </c>
      <c r="CP78" s="220">
        <v>19</v>
      </c>
      <c r="CQ78" s="220">
        <v>22</v>
      </c>
      <c r="CR78" s="220">
        <v>9</v>
      </c>
      <c r="CS78" s="220">
        <v>5</v>
      </c>
      <c r="CT78" s="220">
        <v>14</v>
      </c>
      <c r="CU78" s="220">
        <v>27</v>
      </c>
      <c r="CV78" s="220">
        <v>18</v>
      </c>
      <c r="CW78" s="220">
        <v>34</v>
      </c>
      <c r="CX78" s="220">
        <v>1</v>
      </c>
      <c r="CY78" s="220">
        <v>24</v>
      </c>
      <c r="CZ78" s="220">
        <v>2</v>
      </c>
      <c r="DA78" s="220">
        <v>48</v>
      </c>
      <c r="DB78" s="220">
        <v>30</v>
      </c>
      <c r="DC78" s="220">
        <v>24</v>
      </c>
      <c r="DD78" s="220">
        <v>112</v>
      </c>
      <c r="DE78" s="220">
        <v>0</v>
      </c>
      <c r="DF78" s="220">
        <v>0</v>
      </c>
      <c r="DG78" s="220">
        <v>7</v>
      </c>
      <c r="DH78" s="220">
        <v>20</v>
      </c>
      <c r="DI78" s="220">
        <v>11</v>
      </c>
      <c r="DJ78" s="220">
        <v>0</v>
      </c>
      <c r="DK78" s="220">
        <v>4</v>
      </c>
      <c r="DL78" s="220">
        <v>66</v>
      </c>
      <c r="DM78" s="220">
        <v>43</v>
      </c>
      <c r="DN78" s="220">
        <v>269</v>
      </c>
      <c r="DO78" s="220">
        <v>68</v>
      </c>
      <c r="DP78" s="221">
        <v>3653</v>
      </c>
      <c r="DQ78" s="71">
        <f>TRP!AF200</f>
        <v>3653</v>
      </c>
      <c r="DR78" s="71">
        <f t="shared" si="4"/>
        <v>0</v>
      </c>
    </row>
    <row r="79" spans="2:122" x14ac:dyDescent="0.25">
      <c r="B79" s="218" t="s">
        <v>72</v>
      </c>
      <c r="C79" s="222" t="s">
        <v>258</v>
      </c>
      <c r="D79" s="220">
        <v>3</v>
      </c>
      <c r="E79" s="220">
        <v>0</v>
      </c>
      <c r="F79" s="220">
        <v>0</v>
      </c>
      <c r="G79" s="220">
        <v>142</v>
      </c>
      <c r="H79" s="220">
        <v>203</v>
      </c>
      <c r="I79" s="220">
        <v>188</v>
      </c>
      <c r="J79" s="220">
        <v>219</v>
      </c>
      <c r="K79" s="220">
        <v>311</v>
      </c>
      <c r="L79" s="220">
        <v>1</v>
      </c>
      <c r="M79" s="220">
        <v>143</v>
      </c>
      <c r="N79" s="220">
        <v>55</v>
      </c>
      <c r="O79" s="220">
        <v>497</v>
      </c>
      <c r="P79" s="220">
        <v>567</v>
      </c>
      <c r="Q79" s="220">
        <v>184</v>
      </c>
      <c r="R79" s="220">
        <v>156</v>
      </c>
      <c r="S79" s="220">
        <v>19</v>
      </c>
      <c r="T79" s="220">
        <v>42</v>
      </c>
      <c r="U79" s="220">
        <v>44</v>
      </c>
      <c r="V79" s="220">
        <v>44</v>
      </c>
      <c r="W79" s="220">
        <v>22</v>
      </c>
      <c r="X79" s="220">
        <v>515</v>
      </c>
      <c r="Y79" s="220">
        <v>475</v>
      </c>
      <c r="Z79" s="220">
        <v>47</v>
      </c>
      <c r="AA79" s="220">
        <v>0</v>
      </c>
      <c r="AB79" s="220">
        <v>489</v>
      </c>
      <c r="AC79" s="220">
        <v>3</v>
      </c>
      <c r="AD79" s="220">
        <v>44</v>
      </c>
      <c r="AE79" s="220">
        <v>124</v>
      </c>
      <c r="AF79" s="220">
        <v>134</v>
      </c>
      <c r="AG79" s="220">
        <v>336</v>
      </c>
      <c r="AH79" s="220">
        <v>20</v>
      </c>
      <c r="AI79" s="220">
        <v>8</v>
      </c>
      <c r="AJ79" s="220">
        <v>84</v>
      </c>
      <c r="AK79" s="220">
        <v>64</v>
      </c>
      <c r="AL79" s="220">
        <v>26</v>
      </c>
      <c r="AM79" s="220">
        <v>132</v>
      </c>
      <c r="AN79" s="220">
        <v>85</v>
      </c>
      <c r="AO79" s="220">
        <v>54</v>
      </c>
      <c r="AP79" s="220">
        <v>169</v>
      </c>
      <c r="AQ79" s="220">
        <v>0</v>
      </c>
      <c r="AR79" s="220">
        <v>76</v>
      </c>
      <c r="AS79" s="220">
        <v>147</v>
      </c>
      <c r="AT79" s="220">
        <v>331</v>
      </c>
      <c r="AU79" s="220">
        <v>44</v>
      </c>
      <c r="AV79" s="220">
        <v>17</v>
      </c>
      <c r="AW79" s="220">
        <v>11</v>
      </c>
      <c r="AX79" s="220">
        <v>107</v>
      </c>
      <c r="AY79" s="220">
        <v>40</v>
      </c>
      <c r="AZ79" s="220">
        <v>28</v>
      </c>
      <c r="BA79" s="220">
        <v>43</v>
      </c>
      <c r="BB79" s="220">
        <v>161</v>
      </c>
      <c r="BC79" s="220">
        <v>114</v>
      </c>
      <c r="BD79" s="220">
        <v>0</v>
      </c>
      <c r="BE79" s="220">
        <v>37</v>
      </c>
      <c r="BF79" s="220">
        <v>273</v>
      </c>
      <c r="BG79" s="220">
        <v>206</v>
      </c>
      <c r="BH79" s="220">
        <v>41</v>
      </c>
      <c r="BI79" s="220">
        <v>59</v>
      </c>
      <c r="BJ79" s="220">
        <v>246</v>
      </c>
      <c r="BK79" s="220">
        <v>143</v>
      </c>
      <c r="BL79" s="220">
        <v>49</v>
      </c>
      <c r="BM79" s="220">
        <v>151</v>
      </c>
      <c r="BN79" s="220">
        <v>44</v>
      </c>
      <c r="BO79" s="220">
        <v>0</v>
      </c>
      <c r="BP79" s="220">
        <v>0</v>
      </c>
      <c r="BQ79" s="220">
        <v>0</v>
      </c>
      <c r="BR79" s="220">
        <v>10</v>
      </c>
      <c r="BS79" s="220">
        <v>267</v>
      </c>
      <c r="BT79" s="220">
        <v>132</v>
      </c>
      <c r="BU79" s="220">
        <v>11</v>
      </c>
      <c r="BV79" s="220">
        <v>153</v>
      </c>
      <c r="BW79" s="220">
        <v>1684</v>
      </c>
      <c r="BX79" s="220">
        <v>512</v>
      </c>
      <c r="BY79" s="220">
        <v>109</v>
      </c>
      <c r="BZ79" s="220">
        <v>10976</v>
      </c>
      <c r="CA79" s="220">
        <v>525</v>
      </c>
      <c r="CB79" s="220">
        <v>0</v>
      </c>
      <c r="CC79" s="220">
        <v>69</v>
      </c>
      <c r="CD79" s="220">
        <v>1088</v>
      </c>
      <c r="CE79" s="220">
        <v>108</v>
      </c>
      <c r="CF79" s="220">
        <v>270</v>
      </c>
      <c r="CG79" s="220">
        <v>299</v>
      </c>
      <c r="CH79" s="220">
        <v>48</v>
      </c>
      <c r="CI79" s="220">
        <v>303</v>
      </c>
      <c r="CJ79" s="220">
        <v>27</v>
      </c>
      <c r="CK79" s="220">
        <v>17</v>
      </c>
      <c r="CL79" s="220">
        <v>44</v>
      </c>
      <c r="CM79" s="220">
        <v>588</v>
      </c>
      <c r="CN79" s="220">
        <v>1163</v>
      </c>
      <c r="CO79" s="220">
        <v>197</v>
      </c>
      <c r="CP79" s="220">
        <v>386</v>
      </c>
      <c r="CQ79" s="220">
        <v>460</v>
      </c>
      <c r="CR79" s="220">
        <v>990</v>
      </c>
      <c r="CS79" s="220">
        <v>27</v>
      </c>
      <c r="CT79" s="220">
        <v>317</v>
      </c>
      <c r="CU79" s="220">
        <v>44</v>
      </c>
      <c r="CV79" s="220">
        <v>20</v>
      </c>
      <c r="CW79" s="220">
        <v>1741</v>
      </c>
      <c r="CX79" s="220">
        <v>23</v>
      </c>
      <c r="CY79" s="220">
        <v>455</v>
      </c>
      <c r="CZ79" s="220">
        <v>0</v>
      </c>
      <c r="DA79" s="220">
        <v>194</v>
      </c>
      <c r="DB79" s="220">
        <v>391</v>
      </c>
      <c r="DC79" s="220">
        <v>96</v>
      </c>
      <c r="DD79" s="220">
        <v>0</v>
      </c>
      <c r="DE79" s="220">
        <v>65</v>
      </c>
      <c r="DF79" s="220">
        <v>0</v>
      </c>
      <c r="DG79" s="220">
        <v>71</v>
      </c>
      <c r="DH79" s="220">
        <v>0</v>
      </c>
      <c r="DI79" s="220">
        <v>703</v>
      </c>
      <c r="DJ79" s="220">
        <v>0</v>
      </c>
      <c r="DK79" s="220">
        <v>4</v>
      </c>
      <c r="DL79" s="220">
        <v>223</v>
      </c>
      <c r="DM79" s="220">
        <v>0</v>
      </c>
      <c r="DN79" s="220">
        <v>0</v>
      </c>
      <c r="DO79" s="220">
        <v>0</v>
      </c>
      <c r="DP79" s="221">
        <v>32827</v>
      </c>
      <c r="DQ79" s="71">
        <f>TRP!AF201</f>
        <v>32827</v>
      </c>
      <c r="DR79" s="71">
        <f t="shared" si="4"/>
        <v>0</v>
      </c>
    </row>
    <row r="80" spans="2:122" x14ac:dyDescent="0.25">
      <c r="B80" s="218" t="s">
        <v>73</v>
      </c>
      <c r="C80" s="222" t="s">
        <v>259</v>
      </c>
      <c r="D80" s="220">
        <v>1</v>
      </c>
      <c r="E80" s="220">
        <v>0</v>
      </c>
      <c r="F80" s="220">
        <v>0</v>
      </c>
      <c r="G80" s="220">
        <v>0</v>
      </c>
      <c r="H80" s="220">
        <v>0</v>
      </c>
      <c r="I80" s="220">
        <v>0</v>
      </c>
      <c r="J80" s="220">
        <v>0</v>
      </c>
      <c r="K80" s="220">
        <v>15</v>
      </c>
      <c r="L80" s="220">
        <v>0</v>
      </c>
      <c r="M80" s="220">
        <v>0</v>
      </c>
      <c r="N80" s="220">
        <v>0</v>
      </c>
      <c r="O80" s="220">
        <v>3</v>
      </c>
      <c r="P80" s="220">
        <v>0</v>
      </c>
      <c r="Q80" s="220">
        <v>0</v>
      </c>
      <c r="R80" s="220">
        <v>0</v>
      </c>
      <c r="S80" s="220">
        <v>0</v>
      </c>
      <c r="T80" s="220">
        <v>0</v>
      </c>
      <c r="U80" s="220">
        <v>0</v>
      </c>
      <c r="V80" s="220">
        <v>0</v>
      </c>
      <c r="W80" s="220">
        <v>0</v>
      </c>
      <c r="X80" s="220">
        <v>5</v>
      </c>
      <c r="Y80" s="220">
        <v>0</v>
      </c>
      <c r="Z80" s="220">
        <v>0</v>
      </c>
      <c r="AA80" s="220">
        <v>0</v>
      </c>
      <c r="AB80" s="220">
        <v>0</v>
      </c>
      <c r="AC80" s="220">
        <v>0</v>
      </c>
      <c r="AD80" s="220">
        <v>0</v>
      </c>
      <c r="AE80" s="220">
        <v>0</v>
      </c>
      <c r="AF80" s="220">
        <v>0</v>
      </c>
      <c r="AG80" s="220">
        <v>5</v>
      </c>
      <c r="AH80" s="220">
        <v>0</v>
      </c>
      <c r="AI80" s="220">
        <v>0</v>
      </c>
      <c r="AJ80" s="220">
        <v>0</v>
      </c>
      <c r="AK80" s="220">
        <v>0</v>
      </c>
      <c r="AL80" s="220">
        <v>0</v>
      </c>
      <c r="AM80" s="220">
        <v>0</v>
      </c>
      <c r="AN80" s="220">
        <v>4</v>
      </c>
      <c r="AO80" s="220">
        <v>0</v>
      </c>
      <c r="AP80" s="220">
        <v>0</v>
      </c>
      <c r="AQ80" s="220">
        <v>0</v>
      </c>
      <c r="AR80" s="220">
        <v>0</v>
      </c>
      <c r="AS80" s="220">
        <v>0</v>
      </c>
      <c r="AT80" s="220">
        <v>0</v>
      </c>
      <c r="AU80" s="220">
        <v>0</v>
      </c>
      <c r="AV80" s="220">
        <v>0</v>
      </c>
      <c r="AW80" s="220">
        <v>0</v>
      </c>
      <c r="AX80" s="220">
        <v>0</v>
      </c>
      <c r="AY80" s="220">
        <v>0</v>
      </c>
      <c r="AZ80" s="220">
        <v>0</v>
      </c>
      <c r="BA80" s="220">
        <v>0</v>
      </c>
      <c r="BB80" s="220">
        <v>0</v>
      </c>
      <c r="BC80" s="220">
        <v>4</v>
      </c>
      <c r="BD80" s="220">
        <v>0</v>
      </c>
      <c r="BE80" s="220">
        <v>0</v>
      </c>
      <c r="BF80" s="220">
        <v>0</v>
      </c>
      <c r="BG80" s="220">
        <v>0</v>
      </c>
      <c r="BH80" s="220">
        <v>0</v>
      </c>
      <c r="BI80" s="220">
        <v>0</v>
      </c>
      <c r="BJ80" s="220">
        <v>0</v>
      </c>
      <c r="BK80" s="220">
        <v>0</v>
      </c>
      <c r="BL80" s="220">
        <v>0</v>
      </c>
      <c r="BM80" s="220">
        <v>0</v>
      </c>
      <c r="BN80" s="220">
        <v>0</v>
      </c>
      <c r="BO80" s="220">
        <v>0</v>
      </c>
      <c r="BP80" s="220">
        <v>0</v>
      </c>
      <c r="BQ80" s="220">
        <v>0</v>
      </c>
      <c r="BR80" s="220">
        <v>0</v>
      </c>
      <c r="BS80" s="220">
        <v>7</v>
      </c>
      <c r="BT80" s="220">
        <v>0</v>
      </c>
      <c r="BU80" s="220">
        <v>0</v>
      </c>
      <c r="BV80" s="220">
        <v>0</v>
      </c>
      <c r="BW80" s="220">
        <v>4</v>
      </c>
      <c r="BX80" s="220">
        <v>0</v>
      </c>
      <c r="BY80" s="220">
        <v>0</v>
      </c>
      <c r="BZ80" s="220">
        <v>4</v>
      </c>
      <c r="CA80" s="220">
        <v>0</v>
      </c>
      <c r="CB80" s="220">
        <v>0</v>
      </c>
      <c r="CC80" s="220">
        <v>0</v>
      </c>
      <c r="CD80" s="220">
        <v>4</v>
      </c>
      <c r="CE80" s="220">
        <v>0</v>
      </c>
      <c r="CF80" s="220">
        <v>0</v>
      </c>
      <c r="CG80" s="220">
        <v>0</v>
      </c>
      <c r="CH80" s="220">
        <v>0</v>
      </c>
      <c r="CI80" s="220">
        <v>0</v>
      </c>
      <c r="CJ80" s="220">
        <v>0</v>
      </c>
      <c r="CK80" s="220">
        <v>2</v>
      </c>
      <c r="CL80" s="220">
        <v>0</v>
      </c>
      <c r="CM80" s="220">
        <v>0</v>
      </c>
      <c r="CN80" s="220">
        <v>5</v>
      </c>
      <c r="CO80" s="220">
        <v>0</v>
      </c>
      <c r="CP80" s="220">
        <v>5</v>
      </c>
      <c r="CQ80" s="220">
        <v>0</v>
      </c>
      <c r="CR80" s="220">
        <v>0</v>
      </c>
      <c r="CS80" s="220">
        <v>0</v>
      </c>
      <c r="CT80" s="220">
        <v>0</v>
      </c>
      <c r="CU80" s="220">
        <v>0</v>
      </c>
      <c r="CV80" s="220">
        <v>0</v>
      </c>
      <c r="CW80" s="220">
        <v>0</v>
      </c>
      <c r="CX80" s="220">
        <v>0</v>
      </c>
      <c r="CY80" s="220">
        <v>0</v>
      </c>
      <c r="CZ80" s="220">
        <v>0</v>
      </c>
      <c r="DA80" s="220">
        <v>5</v>
      </c>
      <c r="DB80" s="220">
        <v>0</v>
      </c>
      <c r="DC80" s="220">
        <v>0</v>
      </c>
      <c r="DD80" s="220">
        <v>47</v>
      </c>
      <c r="DE80" s="220">
        <v>0</v>
      </c>
      <c r="DF80" s="220">
        <v>0</v>
      </c>
      <c r="DG80" s="220">
        <v>0</v>
      </c>
      <c r="DH80" s="220">
        <v>37</v>
      </c>
      <c r="DI80" s="220">
        <v>0</v>
      </c>
      <c r="DJ80" s="220">
        <v>56</v>
      </c>
      <c r="DK80" s="220">
        <v>0</v>
      </c>
      <c r="DL80" s="220">
        <v>0</v>
      </c>
      <c r="DM80" s="220">
        <v>6</v>
      </c>
      <c r="DN80" s="220">
        <v>156</v>
      </c>
      <c r="DO80" s="220">
        <v>0</v>
      </c>
      <c r="DP80" s="221">
        <v>375</v>
      </c>
      <c r="DQ80" s="71">
        <f>TRP!AF202</f>
        <v>375</v>
      </c>
      <c r="DR80" s="71">
        <f t="shared" si="4"/>
        <v>0</v>
      </c>
    </row>
    <row r="81" spans="2:122" x14ac:dyDescent="0.25">
      <c r="B81" s="218" t="s">
        <v>152</v>
      </c>
      <c r="C81" s="222" t="s">
        <v>260</v>
      </c>
      <c r="D81" s="220">
        <v>0</v>
      </c>
      <c r="E81" s="220">
        <v>0</v>
      </c>
      <c r="F81" s="220">
        <v>1</v>
      </c>
      <c r="G81" s="220">
        <v>1</v>
      </c>
      <c r="H81" s="220">
        <v>1</v>
      </c>
      <c r="I81" s="220">
        <v>2</v>
      </c>
      <c r="J81" s="220">
        <v>1</v>
      </c>
      <c r="K81" s="220">
        <v>7</v>
      </c>
      <c r="L81" s="220">
        <v>0</v>
      </c>
      <c r="M81" s="220">
        <v>1</v>
      </c>
      <c r="N81" s="220">
        <v>1</v>
      </c>
      <c r="O81" s="220">
        <v>7</v>
      </c>
      <c r="P81" s="220">
        <v>17</v>
      </c>
      <c r="Q81" s="220">
        <v>10</v>
      </c>
      <c r="R81" s="220">
        <v>2</v>
      </c>
      <c r="S81" s="220">
        <v>1</v>
      </c>
      <c r="T81" s="220">
        <v>7</v>
      </c>
      <c r="U81" s="220">
        <v>2</v>
      </c>
      <c r="V81" s="220">
        <v>4</v>
      </c>
      <c r="W81" s="220">
        <v>1</v>
      </c>
      <c r="X81" s="220">
        <v>2</v>
      </c>
      <c r="Y81" s="220">
        <v>1</v>
      </c>
      <c r="Z81" s="220">
        <v>1</v>
      </c>
      <c r="AA81" s="220">
        <v>0</v>
      </c>
      <c r="AB81" s="220">
        <v>1</v>
      </c>
      <c r="AC81" s="220">
        <v>0</v>
      </c>
      <c r="AD81" s="220">
        <v>1</v>
      </c>
      <c r="AE81" s="220">
        <v>1</v>
      </c>
      <c r="AF81" s="220">
        <v>2</v>
      </c>
      <c r="AG81" s="220">
        <v>1</v>
      </c>
      <c r="AH81" s="220">
        <v>1</v>
      </c>
      <c r="AI81" s="220">
        <v>1</v>
      </c>
      <c r="AJ81" s="220">
        <v>1</v>
      </c>
      <c r="AK81" s="220">
        <v>1</v>
      </c>
      <c r="AL81" s="220">
        <v>1</v>
      </c>
      <c r="AM81" s="220">
        <v>1</v>
      </c>
      <c r="AN81" s="220">
        <v>3</v>
      </c>
      <c r="AO81" s="220">
        <v>1</v>
      </c>
      <c r="AP81" s="220">
        <v>6</v>
      </c>
      <c r="AQ81" s="220">
        <v>0</v>
      </c>
      <c r="AR81" s="220">
        <v>1</v>
      </c>
      <c r="AS81" s="220">
        <v>1</v>
      </c>
      <c r="AT81" s="220">
        <v>1</v>
      </c>
      <c r="AU81" s="220">
        <v>1</v>
      </c>
      <c r="AV81" s="220">
        <v>1</v>
      </c>
      <c r="AW81" s="220">
        <v>1</v>
      </c>
      <c r="AX81" s="220">
        <v>1</v>
      </c>
      <c r="AY81" s="220">
        <v>1</v>
      </c>
      <c r="AZ81" s="220">
        <v>4</v>
      </c>
      <c r="BA81" s="220">
        <v>2</v>
      </c>
      <c r="BB81" s="220">
        <v>4</v>
      </c>
      <c r="BC81" s="220">
        <v>3</v>
      </c>
      <c r="BD81" s="220">
        <v>1</v>
      </c>
      <c r="BE81" s="220">
        <v>1</v>
      </c>
      <c r="BF81" s="220">
        <v>4</v>
      </c>
      <c r="BG81" s="220">
        <v>4</v>
      </c>
      <c r="BH81" s="220">
        <v>2</v>
      </c>
      <c r="BI81" s="220">
        <v>1</v>
      </c>
      <c r="BJ81" s="220">
        <v>6</v>
      </c>
      <c r="BK81" s="220">
        <v>7</v>
      </c>
      <c r="BL81" s="220">
        <v>1</v>
      </c>
      <c r="BM81" s="220">
        <v>2</v>
      </c>
      <c r="BN81" s="220">
        <v>0</v>
      </c>
      <c r="BO81" s="220">
        <v>0</v>
      </c>
      <c r="BP81" s="220">
        <v>0</v>
      </c>
      <c r="BQ81" s="220">
        <v>0</v>
      </c>
      <c r="BR81" s="220">
        <v>6</v>
      </c>
      <c r="BS81" s="220">
        <v>17</v>
      </c>
      <c r="BT81" s="220">
        <v>7</v>
      </c>
      <c r="BU81" s="220">
        <v>1</v>
      </c>
      <c r="BV81" s="220">
        <v>3</v>
      </c>
      <c r="BW81" s="220">
        <v>23</v>
      </c>
      <c r="BX81" s="220">
        <v>6</v>
      </c>
      <c r="BY81" s="220">
        <v>23</v>
      </c>
      <c r="BZ81" s="220">
        <v>225</v>
      </c>
      <c r="CA81" s="220">
        <v>117</v>
      </c>
      <c r="CB81" s="220">
        <v>18</v>
      </c>
      <c r="CC81" s="220">
        <v>1</v>
      </c>
      <c r="CD81" s="220">
        <v>2</v>
      </c>
      <c r="CE81" s="220">
        <v>1</v>
      </c>
      <c r="CF81" s="220">
        <v>4</v>
      </c>
      <c r="CG81" s="220">
        <v>6</v>
      </c>
      <c r="CH81" s="220">
        <v>9</v>
      </c>
      <c r="CI81" s="220">
        <v>6</v>
      </c>
      <c r="CJ81" s="220">
        <v>35</v>
      </c>
      <c r="CK81" s="220">
        <v>19</v>
      </c>
      <c r="CL81" s="220">
        <v>19</v>
      </c>
      <c r="CM81" s="220">
        <v>2</v>
      </c>
      <c r="CN81" s="220">
        <v>2</v>
      </c>
      <c r="CO81" s="220">
        <v>24</v>
      </c>
      <c r="CP81" s="220">
        <v>27</v>
      </c>
      <c r="CQ81" s="220">
        <v>23</v>
      </c>
      <c r="CR81" s="220">
        <v>20</v>
      </c>
      <c r="CS81" s="220">
        <v>15</v>
      </c>
      <c r="CT81" s="220">
        <v>34</v>
      </c>
      <c r="CU81" s="220">
        <v>23</v>
      </c>
      <c r="CV81" s="220">
        <v>10</v>
      </c>
      <c r="CW81" s="220">
        <v>23</v>
      </c>
      <c r="CX81" s="220">
        <v>4</v>
      </c>
      <c r="CY81" s="220">
        <v>4</v>
      </c>
      <c r="CZ81" s="220">
        <v>133</v>
      </c>
      <c r="DA81" s="220">
        <v>15</v>
      </c>
      <c r="DB81" s="220">
        <v>4</v>
      </c>
      <c r="DC81" s="220">
        <v>6</v>
      </c>
      <c r="DD81" s="220">
        <v>70</v>
      </c>
      <c r="DE81" s="220">
        <v>4</v>
      </c>
      <c r="DF81" s="220">
        <v>0</v>
      </c>
      <c r="DG81" s="220">
        <v>18</v>
      </c>
      <c r="DH81" s="220">
        <v>294</v>
      </c>
      <c r="DI81" s="220">
        <v>11</v>
      </c>
      <c r="DJ81" s="220">
        <v>0</v>
      </c>
      <c r="DK81" s="220">
        <v>4</v>
      </c>
      <c r="DL81" s="220">
        <v>4</v>
      </c>
      <c r="DM81" s="220">
        <v>22</v>
      </c>
      <c r="DN81" s="220">
        <v>205</v>
      </c>
      <c r="DO81" s="220">
        <v>121</v>
      </c>
      <c r="DP81" s="221">
        <v>1812</v>
      </c>
      <c r="DQ81" s="71">
        <f>TRP!AF203</f>
        <v>1812</v>
      </c>
      <c r="DR81" s="71">
        <f t="shared" si="4"/>
        <v>0</v>
      </c>
    </row>
    <row r="82" spans="2:122" x14ac:dyDescent="0.25">
      <c r="B82" s="218" t="s">
        <v>153</v>
      </c>
      <c r="C82" s="222" t="s">
        <v>261</v>
      </c>
      <c r="D82" s="220">
        <v>0</v>
      </c>
      <c r="E82" s="220">
        <v>0</v>
      </c>
      <c r="F82" s="220">
        <v>0</v>
      </c>
      <c r="G82" s="220">
        <v>15</v>
      </c>
      <c r="H82" s="220">
        <v>23</v>
      </c>
      <c r="I82" s="220">
        <v>11</v>
      </c>
      <c r="J82" s="220">
        <v>1</v>
      </c>
      <c r="K82" s="220">
        <v>41</v>
      </c>
      <c r="L82" s="220">
        <v>0</v>
      </c>
      <c r="M82" s="220">
        <v>7</v>
      </c>
      <c r="N82" s="220">
        <v>1</v>
      </c>
      <c r="O82" s="220">
        <v>21</v>
      </c>
      <c r="P82" s="220">
        <v>40</v>
      </c>
      <c r="Q82" s="220">
        <v>21</v>
      </c>
      <c r="R82" s="220">
        <v>11</v>
      </c>
      <c r="S82" s="220">
        <v>1</v>
      </c>
      <c r="T82" s="220">
        <v>2</v>
      </c>
      <c r="U82" s="220">
        <v>2</v>
      </c>
      <c r="V82" s="220">
        <v>1</v>
      </c>
      <c r="W82" s="220">
        <v>1</v>
      </c>
      <c r="X82" s="220">
        <v>16</v>
      </c>
      <c r="Y82" s="220">
        <v>8</v>
      </c>
      <c r="Z82" s="220">
        <v>2</v>
      </c>
      <c r="AA82" s="220">
        <v>0</v>
      </c>
      <c r="AB82" s="220">
        <v>5</v>
      </c>
      <c r="AC82" s="220">
        <v>0</v>
      </c>
      <c r="AD82" s="220">
        <v>1</v>
      </c>
      <c r="AE82" s="220">
        <v>3</v>
      </c>
      <c r="AF82" s="220">
        <v>5</v>
      </c>
      <c r="AG82" s="220">
        <v>3</v>
      </c>
      <c r="AH82" s="220">
        <v>1</v>
      </c>
      <c r="AI82" s="220">
        <v>1</v>
      </c>
      <c r="AJ82" s="220">
        <v>8</v>
      </c>
      <c r="AK82" s="220">
        <v>1</v>
      </c>
      <c r="AL82" s="220">
        <v>2</v>
      </c>
      <c r="AM82" s="220">
        <v>1</v>
      </c>
      <c r="AN82" s="220">
        <v>4</v>
      </c>
      <c r="AO82" s="220">
        <v>1</v>
      </c>
      <c r="AP82" s="220">
        <v>8</v>
      </c>
      <c r="AQ82" s="220">
        <v>0</v>
      </c>
      <c r="AR82" s="220">
        <v>1</v>
      </c>
      <c r="AS82" s="220">
        <v>2</v>
      </c>
      <c r="AT82" s="220">
        <v>8</v>
      </c>
      <c r="AU82" s="220">
        <v>1</v>
      </c>
      <c r="AV82" s="220">
        <v>1</v>
      </c>
      <c r="AW82" s="220">
        <v>1</v>
      </c>
      <c r="AX82" s="220">
        <v>2</v>
      </c>
      <c r="AY82" s="220">
        <v>2</v>
      </c>
      <c r="AZ82" s="220">
        <v>2</v>
      </c>
      <c r="BA82" s="220">
        <v>1</v>
      </c>
      <c r="BB82" s="220">
        <v>12</v>
      </c>
      <c r="BC82" s="220">
        <v>7</v>
      </c>
      <c r="BD82" s="220">
        <v>0</v>
      </c>
      <c r="BE82" s="220">
        <v>2</v>
      </c>
      <c r="BF82" s="220">
        <v>11</v>
      </c>
      <c r="BG82" s="220">
        <v>3</v>
      </c>
      <c r="BH82" s="220">
        <v>1</v>
      </c>
      <c r="BI82" s="220">
        <v>2</v>
      </c>
      <c r="BJ82" s="220">
        <v>5</v>
      </c>
      <c r="BK82" s="220">
        <v>2</v>
      </c>
      <c r="BL82" s="220">
        <v>15</v>
      </c>
      <c r="BM82" s="220">
        <v>2</v>
      </c>
      <c r="BN82" s="220">
        <v>1</v>
      </c>
      <c r="BO82" s="220">
        <v>0</v>
      </c>
      <c r="BP82" s="220">
        <v>0</v>
      </c>
      <c r="BQ82" s="220">
        <v>0</v>
      </c>
      <c r="BR82" s="220">
        <v>6</v>
      </c>
      <c r="BS82" s="220">
        <v>21</v>
      </c>
      <c r="BT82" s="220">
        <v>14</v>
      </c>
      <c r="BU82" s="220">
        <v>2</v>
      </c>
      <c r="BV82" s="220">
        <v>6</v>
      </c>
      <c r="BW82" s="220">
        <v>41</v>
      </c>
      <c r="BX82" s="220">
        <v>19</v>
      </c>
      <c r="BY82" s="220">
        <v>18</v>
      </c>
      <c r="BZ82" s="220">
        <v>491</v>
      </c>
      <c r="CA82" s="220">
        <v>201</v>
      </c>
      <c r="CB82" s="220">
        <v>2</v>
      </c>
      <c r="CC82" s="220">
        <v>397</v>
      </c>
      <c r="CD82" s="220">
        <v>14</v>
      </c>
      <c r="CE82" s="220">
        <v>16</v>
      </c>
      <c r="CF82" s="220">
        <v>25</v>
      </c>
      <c r="CG82" s="220">
        <v>12</v>
      </c>
      <c r="CH82" s="220">
        <v>16</v>
      </c>
      <c r="CI82" s="220">
        <v>19</v>
      </c>
      <c r="CJ82" s="220">
        <v>35</v>
      </c>
      <c r="CK82" s="220">
        <v>19</v>
      </c>
      <c r="CL82" s="220">
        <v>20</v>
      </c>
      <c r="CM82" s="220">
        <v>37</v>
      </c>
      <c r="CN82" s="220">
        <v>49</v>
      </c>
      <c r="CO82" s="220">
        <v>63</v>
      </c>
      <c r="CP82" s="220">
        <v>25</v>
      </c>
      <c r="CQ82" s="220">
        <v>24</v>
      </c>
      <c r="CR82" s="220">
        <v>22</v>
      </c>
      <c r="CS82" s="220">
        <v>9</v>
      </c>
      <c r="CT82" s="220">
        <v>22</v>
      </c>
      <c r="CU82" s="220">
        <v>5</v>
      </c>
      <c r="CV82" s="220">
        <v>5</v>
      </c>
      <c r="CW82" s="220">
        <v>70</v>
      </c>
      <c r="CX82" s="220">
        <v>0</v>
      </c>
      <c r="CY82" s="220">
        <v>15</v>
      </c>
      <c r="CZ82" s="220">
        <v>0</v>
      </c>
      <c r="DA82" s="220">
        <v>21</v>
      </c>
      <c r="DB82" s="220">
        <v>2</v>
      </c>
      <c r="DC82" s="220">
        <v>25</v>
      </c>
      <c r="DD82" s="220">
        <v>132</v>
      </c>
      <c r="DE82" s="220">
        <v>1</v>
      </c>
      <c r="DF82" s="220">
        <v>0</v>
      </c>
      <c r="DG82" s="220">
        <v>50</v>
      </c>
      <c r="DH82" s="220">
        <v>761</v>
      </c>
      <c r="DI82" s="220">
        <v>25</v>
      </c>
      <c r="DJ82" s="220">
        <v>16</v>
      </c>
      <c r="DK82" s="220">
        <v>0</v>
      </c>
      <c r="DL82" s="220">
        <v>6</v>
      </c>
      <c r="DM82" s="220">
        <v>209</v>
      </c>
      <c r="DN82" s="220">
        <v>759</v>
      </c>
      <c r="DO82" s="220">
        <v>115</v>
      </c>
      <c r="DP82" s="221">
        <v>4215</v>
      </c>
      <c r="DQ82" s="71">
        <f>TRP!AF204</f>
        <v>4215</v>
      </c>
      <c r="DR82" s="71">
        <f t="shared" si="4"/>
        <v>0</v>
      </c>
    </row>
    <row r="83" spans="2:122" x14ac:dyDescent="0.25">
      <c r="B83" s="218" t="s">
        <v>154</v>
      </c>
      <c r="C83" s="222" t="s">
        <v>262</v>
      </c>
      <c r="D83" s="220">
        <v>37</v>
      </c>
      <c r="E83" s="220">
        <v>0</v>
      </c>
      <c r="F83" s="220">
        <v>0</v>
      </c>
      <c r="G83" s="220">
        <v>2</v>
      </c>
      <c r="H83" s="220">
        <v>3</v>
      </c>
      <c r="I83" s="220">
        <v>2</v>
      </c>
      <c r="J83" s="220">
        <v>1</v>
      </c>
      <c r="K83" s="220">
        <v>5</v>
      </c>
      <c r="L83" s="220">
        <v>0</v>
      </c>
      <c r="M83" s="220">
        <v>7</v>
      </c>
      <c r="N83" s="220">
        <v>1</v>
      </c>
      <c r="O83" s="220">
        <v>17</v>
      </c>
      <c r="P83" s="220">
        <v>4</v>
      </c>
      <c r="Q83" s="220">
        <v>2</v>
      </c>
      <c r="R83" s="220">
        <v>1</v>
      </c>
      <c r="S83" s="220">
        <v>0</v>
      </c>
      <c r="T83" s="220">
        <v>1</v>
      </c>
      <c r="U83" s="220">
        <v>0</v>
      </c>
      <c r="V83" s="220">
        <v>1</v>
      </c>
      <c r="W83" s="220">
        <v>2</v>
      </c>
      <c r="X83" s="220">
        <v>5</v>
      </c>
      <c r="Y83" s="220">
        <v>3</v>
      </c>
      <c r="Z83" s="220">
        <v>1</v>
      </c>
      <c r="AA83" s="220">
        <v>0</v>
      </c>
      <c r="AB83" s="220">
        <v>1</v>
      </c>
      <c r="AC83" s="220">
        <v>0</v>
      </c>
      <c r="AD83" s="220">
        <v>1</v>
      </c>
      <c r="AE83" s="220">
        <v>1</v>
      </c>
      <c r="AF83" s="220">
        <v>2</v>
      </c>
      <c r="AG83" s="220">
        <v>2</v>
      </c>
      <c r="AH83" s="220">
        <v>1</v>
      </c>
      <c r="AI83" s="220">
        <v>0</v>
      </c>
      <c r="AJ83" s="220">
        <v>2</v>
      </c>
      <c r="AK83" s="220">
        <v>0</v>
      </c>
      <c r="AL83" s="220">
        <v>1</v>
      </c>
      <c r="AM83" s="220">
        <v>0</v>
      </c>
      <c r="AN83" s="220">
        <v>1</v>
      </c>
      <c r="AO83" s="220">
        <v>1</v>
      </c>
      <c r="AP83" s="220">
        <v>4</v>
      </c>
      <c r="AQ83" s="220">
        <v>0</v>
      </c>
      <c r="AR83" s="220">
        <v>1</v>
      </c>
      <c r="AS83" s="220">
        <v>2</v>
      </c>
      <c r="AT83" s="220">
        <v>2</v>
      </c>
      <c r="AU83" s="220">
        <v>1</v>
      </c>
      <c r="AV83" s="220">
        <v>1</v>
      </c>
      <c r="AW83" s="220">
        <v>1</v>
      </c>
      <c r="AX83" s="220">
        <v>1</v>
      </c>
      <c r="AY83" s="220">
        <v>1</v>
      </c>
      <c r="AZ83" s="220">
        <v>2</v>
      </c>
      <c r="BA83" s="220">
        <v>1</v>
      </c>
      <c r="BB83" s="220">
        <v>3</v>
      </c>
      <c r="BC83" s="220">
        <v>2</v>
      </c>
      <c r="BD83" s="220">
        <v>0</v>
      </c>
      <c r="BE83" s="220">
        <v>1</v>
      </c>
      <c r="BF83" s="220">
        <v>5</v>
      </c>
      <c r="BG83" s="220">
        <v>3</v>
      </c>
      <c r="BH83" s="220">
        <v>1</v>
      </c>
      <c r="BI83" s="220">
        <v>1</v>
      </c>
      <c r="BJ83" s="220">
        <v>3</v>
      </c>
      <c r="BK83" s="220">
        <v>2</v>
      </c>
      <c r="BL83" s="220">
        <v>1</v>
      </c>
      <c r="BM83" s="220">
        <v>1</v>
      </c>
      <c r="BN83" s="220">
        <v>0</v>
      </c>
      <c r="BO83" s="220">
        <v>0</v>
      </c>
      <c r="BP83" s="220">
        <v>0</v>
      </c>
      <c r="BQ83" s="220">
        <v>0</v>
      </c>
      <c r="BR83" s="220">
        <v>5</v>
      </c>
      <c r="BS83" s="220">
        <v>4</v>
      </c>
      <c r="BT83" s="220">
        <v>2</v>
      </c>
      <c r="BU83" s="220">
        <v>1</v>
      </c>
      <c r="BV83" s="220">
        <v>1</v>
      </c>
      <c r="BW83" s="220">
        <v>22</v>
      </c>
      <c r="BX83" s="220">
        <v>3</v>
      </c>
      <c r="BY83" s="220">
        <v>317</v>
      </c>
      <c r="BZ83" s="220">
        <v>3756</v>
      </c>
      <c r="CA83" s="220">
        <v>1242</v>
      </c>
      <c r="CB83" s="220">
        <v>2</v>
      </c>
      <c r="CC83" s="220">
        <v>28</v>
      </c>
      <c r="CD83" s="220">
        <v>4284</v>
      </c>
      <c r="CE83" s="220">
        <v>0</v>
      </c>
      <c r="CF83" s="220">
        <v>2</v>
      </c>
      <c r="CG83" s="220">
        <v>79</v>
      </c>
      <c r="CH83" s="220">
        <v>2</v>
      </c>
      <c r="CI83" s="220">
        <v>68</v>
      </c>
      <c r="CJ83" s="220">
        <v>8</v>
      </c>
      <c r="CK83" s="220">
        <v>4</v>
      </c>
      <c r="CL83" s="220">
        <v>1</v>
      </c>
      <c r="CM83" s="220">
        <v>1</v>
      </c>
      <c r="CN83" s="220">
        <v>3</v>
      </c>
      <c r="CO83" s="220">
        <v>6</v>
      </c>
      <c r="CP83" s="220">
        <v>3</v>
      </c>
      <c r="CQ83" s="220">
        <v>2</v>
      </c>
      <c r="CR83" s="220">
        <v>1</v>
      </c>
      <c r="CS83" s="220">
        <v>1</v>
      </c>
      <c r="CT83" s="220">
        <v>3</v>
      </c>
      <c r="CU83" s="220">
        <v>2</v>
      </c>
      <c r="CV83" s="220">
        <v>2</v>
      </c>
      <c r="CW83" s="220">
        <v>5</v>
      </c>
      <c r="CX83" s="220">
        <v>1</v>
      </c>
      <c r="CY83" s="220">
        <v>3</v>
      </c>
      <c r="CZ83" s="220">
        <v>0</v>
      </c>
      <c r="DA83" s="220">
        <v>2</v>
      </c>
      <c r="DB83" s="220">
        <v>3</v>
      </c>
      <c r="DC83" s="220">
        <v>2</v>
      </c>
      <c r="DD83" s="220">
        <v>17</v>
      </c>
      <c r="DE83" s="220">
        <v>1</v>
      </c>
      <c r="DF83" s="220">
        <v>0</v>
      </c>
      <c r="DG83" s="220">
        <v>1</v>
      </c>
      <c r="DH83" s="220">
        <v>15</v>
      </c>
      <c r="DI83" s="220">
        <v>12</v>
      </c>
      <c r="DJ83" s="220">
        <v>311</v>
      </c>
      <c r="DK83" s="220">
        <v>5</v>
      </c>
      <c r="DL83" s="220">
        <v>6</v>
      </c>
      <c r="DM83" s="220">
        <v>2</v>
      </c>
      <c r="DN83" s="220">
        <v>382</v>
      </c>
      <c r="DO83" s="220">
        <v>0</v>
      </c>
      <c r="DP83" s="221">
        <v>10771</v>
      </c>
      <c r="DQ83" s="71">
        <f>TRP!AF205</f>
        <v>10771</v>
      </c>
      <c r="DR83" s="71">
        <f t="shared" si="4"/>
        <v>0</v>
      </c>
    </row>
    <row r="84" spans="2:122" x14ac:dyDescent="0.25">
      <c r="B84" s="218" t="s">
        <v>155</v>
      </c>
      <c r="C84" s="222" t="s">
        <v>263</v>
      </c>
      <c r="D84" s="220">
        <v>0</v>
      </c>
      <c r="E84" s="220">
        <v>0</v>
      </c>
      <c r="F84" s="220">
        <v>0</v>
      </c>
      <c r="G84" s="220">
        <v>0</v>
      </c>
      <c r="H84" s="220">
        <v>0</v>
      </c>
      <c r="I84" s="220">
        <v>0</v>
      </c>
      <c r="J84" s="220">
        <v>0</v>
      </c>
      <c r="K84" s="220">
        <v>0</v>
      </c>
      <c r="L84" s="220">
        <v>0</v>
      </c>
      <c r="M84" s="220">
        <v>0</v>
      </c>
      <c r="N84" s="220">
        <v>0</v>
      </c>
      <c r="O84" s="220">
        <v>0</v>
      </c>
      <c r="P84" s="220">
        <v>0</v>
      </c>
      <c r="Q84" s="220">
        <v>0</v>
      </c>
      <c r="R84" s="220">
        <v>0</v>
      </c>
      <c r="S84" s="220">
        <v>0</v>
      </c>
      <c r="T84" s="220">
        <v>0</v>
      </c>
      <c r="U84" s="220">
        <v>0</v>
      </c>
      <c r="V84" s="220">
        <v>0</v>
      </c>
      <c r="W84" s="220">
        <v>0</v>
      </c>
      <c r="X84" s="220">
        <v>0</v>
      </c>
      <c r="Y84" s="220">
        <v>0</v>
      </c>
      <c r="Z84" s="220">
        <v>0</v>
      </c>
      <c r="AA84" s="220">
        <v>0</v>
      </c>
      <c r="AB84" s="220">
        <v>0</v>
      </c>
      <c r="AC84" s="220">
        <v>0</v>
      </c>
      <c r="AD84" s="220">
        <v>0</v>
      </c>
      <c r="AE84" s="220">
        <v>0</v>
      </c>
      <c r="AF84" s="220">
        <v>0</v>
      </c>
      <c r="AG84" s="220">
        <v>0</v>
      </c>
      <c r="AH84" s="220">
        <v>0</v>
      </c>
      <c r="AI84" s="220">
        <v>0</v>
      </c>
      <c r="AJ84" s="220">
        <v>0</v>
      </c>
      <c r="AK84" s="220">
        <v>0</v>
      </c>
      <c r="AL84" s="220">
        <v>0</v>
      </c>
      <c r="AM84" s="220">
        <v>0</v>
      </c>
      <c r="AN84" s="220">
        <v>0</v>
      </c>
      <c r="AO84" s="220">
        <v>0</v>
      </c>
      <c r="AP84" s="220">
        <v>0</v>
      </c>
      <c r="AQ84" s="220">
        <v>0</v>
      </c>
      <c r="AR84" s="220">
        <v>0</v>
      </c>
      <c r="AS84" s="220">
        <v>0</v>
      </c>
      <c r="AT84" s="220">
        <v>0</v>
      </c>
      <c r="AU84" s="220">
        <v>0</v>
      </c>
      <c r="AV84" s="220">
        <v>0</v>
      </c>
      <c r="AW84" s="220">
        <v>0</v>
      </c>
      <c r="AX84" s="220">
        <v>0</v>
      </c>
      <c r="AY84" s="220">
        <v>0</v>
      </c>
      <c r="AZ84" s="220">
        <v>0</v>
      </c>
      <c r="BA84" s="220">
        <v>0</v>
      </c>
      <c r="BB84" s="220">
        <v>0</v>
      </c>
      <c r="BC84" s="220">
        <v>0</v>
      </c>
      <c r="BD84" s="220">
        <v>0</v>
      </c>
      <c r="BE84" s="220">
        <v>0</v>
      </c>
      <c r="BF84" s="220">
        <v>0</v>
      </c>
      <c r="BG84" s="220">
        <v>0</v>
      </c>
      <c r="BH84" s="220">
        <v>0</v>
      </c>
      <c r="BI84" s="220">
        <v>0</v>
      </c>
      <c r="BJ84" s="220">
        <v>0</v>
      </c>
      <c r="BK84" s="220">
        <v>0</v>
      </c>
      <c r="BL84" s="220">
        <v>0</v>
      </c>
      <c r="BM84" s="220">
        <v>0</v>
      </c>
      <c r="BN84" s="220">
        <v>0</v>
      </c>
      <c r="BO84" s="220">
        <v>0</v>
      </c>
      <c r="BP84" s="220">
        <v>0</v>
      </c>
      <c r="BQ84" s="220">
        <v>0</v>
      </c>
      <c r="BR84" s="220">
        <v>0</v>
      </c>
      <c r="BS84" s="220">
        <v>0</v>
      </c>
      <c r="BT84" s="220">
        <v>0</v>
      </c>
      <c r="BU84" s="220">
        <v>0</v>
      </c>
      <c r="BV84" s="220">
        <v>0</v>
      </c>
      <c r="BW84" s="220">
        <v>0</v>
      </c>
      <c r="BX84" s="220">
        <v>0</v>
      </c>
      <c r="BY84" s="220">
        <v>0</v>
      </c>
      <c r="BZ84" s="220">
        <v>0</v>
      </c>
      <c r="CA84" s="220">
        <v>0</v>
      </c>
      <c r="CB84" s="220">
        <v>0</v>
      </c>
      <c r="CC84" s="220">
        <v>0</v>
      </c>
      <c r="CD84" s="220">
        <v>0</v>
      </c>
      <c r="CE84" s="220">
        <v>1571</v>
      </c>
      <c r="CF84" s="220">
        <v>0</v>
      </c>
      <c r="CG84" s="220">
        <v>100</v>
      </c>
      <c r="CH84" s="220">
        <v>0</v>
      </c>
      <c r="CI84" s="220">
        <v>106</v>
      </c>
      <c r="CJ84" s="220">
        <v>0</v>
      </c>
      <c r="CK84" s="220">
        <v>0</v>
      </c>
      <c r="CL84" s="220">
        <v>0</v>
      </c>
      <c r="CM84" s="220">
        <v>0</v>
      </c>
      <c r="CN84" s="220">
        <v>0</v>
      </c>
      <c r="CO84" s="220">
        <v>0</v>
      </c>
      <c r="CP84" s="220">
        <v>0</v>
      </c>
      <c r="CQ84" s="220">
        <v>0</v>
      </c>
      <c r="CR84" s="220">
        <v>0</v>
      </c>
      <c r="CS84" s="220">
        <v>0</v>
      </c>
      <c r="CT84" s="220">
        <v>0</v>
      </c>
      <c r="CU84" s="220">
        <v>0</v>
      </c>
      <c r="CV84" s="220">
        <v>0</v>
      </c>
      <c r="CW84" s="220">
        <v>0</v>
      </c>
      <c r="CX84" s="220">
        <v>0</v>
      </c>
      <c r="CY84" s="220">
        <v>0</v>
      </c>
      <c r="CZ84" s="220">
        <v>0</v>
      </c>
      <c r="DA84" s="220">
        <v>0</v>
      </c>
      <c r="DB84" s="220">
        <v>0</v>
      </c>
      <c r="DC84" s="220">
        <v>0</v>
      </c>
      <c r="DD84" s="220">
        <v>0</v>
      </c>
      <c r="DE84" s="220">
        <v>0</v>
      </c>
      <c r="DF84" s="220">
        <v>0</v>
      </c>
      <c r="DG84" s="220">
        <v>0</v>
      </c>
      <c r="DH84" s="220">
        <v>0</v>
      </c>
      <c r="DI84" s="220">
        <v>0</v>
      </c>
      <c r="DJ84" s="220">
        <v>0</v>
      </c>
      <c r="DK84" s="220">
        <v>0</v>
      </c>
      <c r="DL84" s="220">
        <v>0</v>
      </c>
      <c r="DM84" s="220">
        <v>0</v>
      </c>
      <c r="DN84" s="220">
        <v>2</v>
      </c>
      <c r="DO84" s="220">
        <v>0</v>
      </c>
      <c r="DP84" s="221">
        <v>1779</v>
      </c>
      <c r="DQ84" s="71">
        <f>TRP!AF206</f>
        <v>1779</v>
      </c>
      <c r="DR84" s="71">
        <f t="shared" si="4"/>
        <v>0</v>
      </c>
    </row>
    <row r="85" spans="2:122" x14ac:dyDescent="0.25">
      <c r="B85" s="218" t="s">
        <v>156</v>
      </c>
      <c r="C85" s="222" t="s">
        <v>264</v>
      </c>
      <c r="D85" s="220">
        <v>4</v>
      </c>
      <c r="E85" s="220">
        <v>0</v>
      </c>
      <c r="F85" s="220">
        <v>5</v>
      </c>
      <c r="G85" s="220">
        <v>19</v>
      </c>
      <c r="H85" s="220">
        <v>23</v>
      </c>
      <c r="I85" s="220">
        <v>40</v>
      </c>
      <c r="J85" s="220">
        <v>13</v>
      </c>
      <c r="K85" s="220">
        <v>46</v>
      </c>
      <c r="L85" s="220">
        <v>1</v>
      </c>
      <c r="M85" s="220">
        <v>21</v>
      </c>
      <c r="N85" s="220">
        <v>5</v>
      </c>
      <c r="O85" s="220">
        <v>40</v>
      </c>
      <c r="P85" s="220">
        <v>81</v>
      </c>
      <c r="Q85" s="220">
        <v>44</v>
      </c>
      <c r="R85" s="220">
        <v>4</v>
      </c>
      <c r="S85" s="220">
        <v>1</v>
      </c>
      <c r="T85" s="220">
        <v>1</v>
      </c>
      <c r="U85" s="220">
        <v>2</v>
      </c>
      <c r="V85" s="220">
        <v>2</v>
      </c>
      <c r="W85" s="220">
        <v>3</v>
      </c>
      <c r="X85" s="220">
        <v>16</v>
      </c>
      <c r="Y85" s="220">
        <v>26</v>
      </c>
      <c r="Z85" s="220">
        <v>2</v>
      </c>
      <c r="AA85" s="220">
        <v>10</v>
      </c>
      <c r="AB85" s="220">
        <v>38</v>
      </c>
      <c r="AC85" s="220">
        <v>1</v>
      </c>
      <c r="AD85" s="220">
        <v>3</v>
      </c>
      <c r="AE85" s="220">
        <v>1</v>
      </c>
      <c r="AF85" s="220">
        <v>8</v>
      </c>
      <c r="AG85" s="220">
        <v>5</v>
      </c>
      <c r="AH85" s="220">
        <v>3</v>
      </c>
      <c r="AI85" s="220">
        <v>3</v>
      </c>
      <c r="AJ85" s="220">
        <v>4</v>
      </c>
      <c r="AK85" s="220">
        <v>4</v>
      </c>
      <c r="AL85" s="220">
        <v>1</v>
      </c>
      <c r="AM85" s="220">
        <v>4</v>
      </c>
      <c r="AN85" s="220">
        <v>9</v>
      </c>
      <c r="AO85" s="220">
        <v>3</v>
      </c>
      <c r="AP85" s="220">
        <v>10</v>
      </c>
      <c r="AQ85" s="220">
        <v>0</v>
      </c>
      <c r="AR85" s="220">
        <v>8</v>
      </c>
      <c r="AS85" s="220">
        <v>12</v>
      </c>
      <c r="AT85" s="220">
        <v>39</v>
      </c>
      <c r="AU85" s="220">
        <v>12</v>
      </c>
      <c r="AV85" s="220">
        <v>9</v>
      </c>
      <c r="AW85" s="220">
        <v>3</v>
      </c>
      <c r="AX85" s="220">
        <v>5</v>
      </c>
      <c r="AY85" s="220">
        <v>9</v>
      </c>
      <c r="AZ85" s="220">
        <v>9</v>
      </c>
      <c r="BA85" s="220">
        <v>12</v>
      </c>
      <c r="BB85" s="220">
        <v>24</v>
      </c>
      <c r="BC85" s="220">
        <v>12</v>
      </c>
      <c r="BD85" s="220">
        <v>1</v>
      </c>
      <c r="BE85" s="220">
        <v>14</v>
      </c>
      <c r="BF85" s="220">
        <v>27</v>
      </c>
      <c r="BG85" s="220">
        <v>17</v>
      </c>
      <c r="BH85" s="220">
        <v>10</v>
      </c>
      <c r="BI85" s="220">
        <v>8</v>
      </c>
      <c r="BJ85" s="220">
        <v>13</v>
      </c>
      <c r="BK85" s="220">
        <v>19</v>
      </c>
      <c r="BL85" s="220">
        <v>11</v>
      </c>
      <c r="BM85" s="220">
        <v>26</v>
      </c>
      <c r="BN85" s="220">
        <v>6</v>
      </c>
      <c r="BO85" s="220">
        <v>0</v>
      </c>
      <c r="BP85" s="220">
        <v>0</v>
      </c>
      <c r="BQ85" s="220">
        <v>0</v>
      </c>
      <c r="BR85" s="220">
        <v>0</v>
      </c>
      <c r="BS85" s="220">
        <v>53</v>
      </c>
      <c r="BT85" s="220">
        <v>28</v>
      </c>
      <c r="BU85" s="220">
        <v>4</v>
      </c>
      <c r="BV85" s="220">
        <v>8</v>
      </c>
      <c r="BW85" s="220">
        <v>94</v>
      </c>
      <c r="BX85" s="220">
        <v>45</v>
      </c>
      <c r="BY85" s="220">
        <v>90</v>
      </c>
      <c r="BZ85" s="220">
        <v>468</v>
      </c>
      <c r="CA85" s="220">
        <v>452</v>
      </c>
      <c r="CB85" s="220">
        <v>3</v>
      </c>
      <c r="CC85" s="220">
        <v>15</v>
      </c>
      <c r="CD85" s="220">
        <v>38</v>
      </c>
      <c r="CE85" s="220">
        <v>32</v>
      </c>
      <c r="CF85" s="220">
        <v>2392</v>
      </c>
      <c r="CG85" s="220">
        <v>186</v>
      </c>
      <c r="CH85" s="220">
        <v>182</v>
      </c>
      <c r="CI85" s="220">
        <v>197</v>
      </c>
      <c r="CJ85" s="220">
        <v>355</v>
      </c>
      <c r="CK85" s="220">
        <v>126</v>
      </c>
      <c r="CL85" s="220">
        <v>186</v>
      </c>
      <c r="CM85" s="220">
        <v>33</v>
      </c>
      <c r="CN85" s="220">
        <v>77</v>
      </c>
      <c r="CO85" s="220">
        <v>60</v>
      </c>
      <c r="CP85" s="220">
        <v>175</v>
      </c>
      <c r="CQ85" s="220">
        <v>170</v>
      </c>
      <c r="CR85" s="220">
        <v>140</v>
      </c>
      <c r="CS85" s="220">
        <v>74</v>
      </c>
      <c r="CT85" s="220">
        <v>199</v>
      </c>
      <c r="CU85" s="220">
        <v>107</v>
      </c>
      <c r="CV85" s="220">
        <v>34</v>
      </c>
      <c r="CW85" s="220">
        <v>347</v>
      </c>
      <c r="CX85" s="220">
        <v>15</v>
      </c>
      <c r="CY85" s="220">
        <v>97</v>
      </c>
      <c r="CZ85" s="220">
        <v>100</v>
      </c>
      <c r="DA85" s="220">
        <v>127</v>
      </c>
      <c r="DB85" s="220">
        <v>160</v>
      </c>
      <c r="DC85" s="220">
        <v>98</v>
      </c>
      <c r="DD85" s="220">
        <v>29</v>
      </c>
      <c r="DE85" s="220">
        <v>34</v>
      </c>
      <c r="DF85" s="220">
        <v>0</v>
      </c>
      <c r="DG85" s="220">
        <v>97</v>
      </c>
      <c r="DH85" s="220">
        <v>0</v>
      </c>
      <c r="DI85" s="220">
        <v>125</v>
      </c>
      <c r="DJ85" s="220">
        <v>0</v>
      </c>
      <c r="DK85" s="220">
        <v>4</v>
      </c>
      <c r="DL85" s="220">
        <v>58</v>
      </c>
      <c r="DM85" s="220">
        <v>11</v>
      </c>
      <c r="DN85" s="220">
        <v>151</v>
      </c>
      <c r="DO85" s="220">
        <v>50</v>
      </c>
      <c r="DP85" s="221">
        <v>8338</v>
      </c>
      <c r="DQ85" s="71">
        <f>TRP!AF207</f>
        <v>8338</v>
      </c>
      <c r="DR85" s="71">
        <f t="shared" si="4"/>
        <v>0</v>
      </c>
    </row>
    <row r="86" spans="2:122" x14ac:dyDescent="0.25">
      <c r="B86" s="218" t="s">
        <v>157</v>
      </c>
      <c r="C86" s="222" t="s">
        <v>265</v>
      </c>
      <c r="D86" s="220">
        <v>0</v>
      </c>
      <c r="E86" s="220">
        <v>0</v>
      </c>
      <c r="F86" s="220">
        <v>7</v>
      </c>
      <c r="G86" s="220">
        <v>108</v>
      </c>
      <c r="H86" s="220">
        <v>72</v>
      </c>
      <c r="I86" s="220">
        <v>77</v>
      </c>
      <c r="J86" s="220">
        <v>129</v>
      </c>
      <c r="K86" s="220">
        <v>261</v>
      </c>
      <c r="L86" s="220">
        <v>1</v>
      </c>
      <c r="M86" s="220">
        <v>50</v>
      </c>
      <c r="N86" s="220">
        <v>10</v>
      </c>
      <c r="O86" s="220">
        <v>578</v>
      </c>
      <c r="P86" s="220">
        <v>227</v>
      </c>
      <c r="Q86" s="220">
        <v>24</v>
      </c>
      <c r="R86" s="220">
        <v>19</v>
      </c>
      <c r="S86" s="220">
        <v>2</v>
      </c>
      <c r="T86" s="220">
        <v>12</v>
      </c>
      <c r="U86" s="220">
        <v>10</v>
      </c>
      <c r="V86" s="220">
        <v>7</v>
      </c>
      <c r="W86" s="220">
        <v>4</v>
      </c>
      <c r="X86" s="220">
        <v>79</v>
      </c>
      <c r="Y86" s="220">
        <v>61</v>
      </c>
      <c r="Z86" s="220">
        <v>20</v>
      </c>
      <c r="AA86" s="220">
        <v>24</v>
      </c>
      <c r="AB86" s="220">
        <v>66</v>
      </c>
      <c r="AC86" s="220">
        <v>6</v>
      </c>
      <c r="AD86" s="220">
        <v>14</v>
      </c>
      <c r="AE86" s="220">
        <v>9</v>
      </c>
      <c r="AF86" s="220">
        <v>39</v>
      </c>
      <c r="AG86" s="220">
        <v>59</v>
      </c>
      <c r="AH86" s="220">
        <v>13</v>
      </c>
      <c r="AI86" s="220">
        <v>3</v>
      </c>
      <c r="AJ86" s="220">
        <v>48</v>
      </c>
      <c r="AK86" s="220">
        <v>9</v>
      </c>
      <c r="AL86" s="220">
        <v>5</v>
      </c>
      <c r="AM86" s="220">
        <v>53</v>
      </c>
      <c r="AN86" s="220">
        <v>56</v>
      </c>
      <c r="AO86" s="220">
        <v>19</v>
      </c>
      <c r="AP86" s="220">
        <v>68</v>
      </c>
      <c r="AQ86" s="220">
        <v>0</v>
      </c>
      <c r="AR86" s="220">
        <v>38</v>
      </c>
      <c r="AS86" s="220">
        <v>43</v>
      </c>
      <c r="AT86" s="220">
        <v>338</v>
      </c>
      <c r="AU86" s="220">
        <v>40</v>
      </c>
      <c r="AV86" s="220">
        <v>30</v>
      </c>
      <c r="AW86" s="220">
        <v>3</v>
      </c>
      <c r="AX86" s="220">
        <v>71</v>
      </c>
      <c r="AY86" s="220">
        <v>169</v>
      </c>
      <c r="AZ86" s="220">
        <v>136</v>
      </c>
      <c r="BA86" s="220">
        <v>26</v>
      </c>
      <c r="BB86" s="220">
        <v>112</v>
      </c>
      <c r="BC86" s="220">
        <v>129</v>
      </c>
      <c r="BD86" s="220">
        <v>1</v>
      </c>
      <c r="BE86" s="220">
        <v>70</v>
      </c>
      <c r="BF86" s="220">
        <v>92</v>
      </c>
      <c r="BG86" s="220">
        <v>200</v>
      </c>
      <c r="BH86" s="220">
        <v>68</v>
      </c>
      <c r="BI86" s="220">
        <v>112</v>
      </c>
      <c r="BJ86" s="220">
        <v>143</v>
      </c>
      <c r="BK86" s="220">
        <v>72</v>
      </c>
      <c r="BL86" s="220">
        <v>15</v>
      </c>
      <c r="BM86" s="220">
        <v>100</v>
      </c>
      <c r="BN86" s="220">
        <v>26</v>
      </c>
      <c r="BO86" s="220">
        <v>0</v>
      </c>
      <c r="BP86" s="220">
        <v>0</v>
      </c>
      <c r="BQ86" s="220">
        <v>0</v>
      </c>
      <c r="BR86" s="220">
        <v>7</v>
      </c>
      <c r="BS86" s="220">
        <v>377</v>
      </c>
      <c r="BT86" s="220">
        <v>249</v>
      </c>
      <c r="BU86" s="220">
        <v>18</v>
      </c>
      <c r="BV86" s="220">
        <v>68</v>
      </c>
      <c r="BW86" s="220">
        <v>545</v>
      </c>
      <c r="BX86" s="220">
        <v>88</v>
      </c>
      <c r="BY86" s="220">
        <v>278</v>
      </c>
      <c r="BZ86" s="220">
        <v>1983</v>
      </c>
      <c r="CA86" s="220">
        <v>1085</v>
      </c>
      <c r="CB86" s="220">
        <v>2019</v>
      </c>
      <c r="CC86" s="220">
        <v>377</v>
      </c>
      <c r="CD86" s="220">
        <v>2693</v>
      </c>
      <c r="CE86" s="220">
        <v>1080</v>
      </c>
      <c r="CF86" s="220">
        <v>524</v>
      </c>
      <c r="CG86" s="220">
        <v>6087</v>
      </c>
      <c r="CH86" s="220">
        <v>77</v>
      </c>
      <c r="CI86" s="220">
        <v>593</v>
      </c>
      <c r="CJ86" s="220">
        <v>28</v>
      </c>
      <c r="CK86" s="220">
        <v>11</v>
      </c>
      <c r="CL86" s="220">
        <v>0</v>
      </c>
      <c r="CM86" s="220">
        <v>117</v>
      </c>
      <c r="CN86" s="220">
        <v>446</v>
      </c>
      <c r="CO86" s="220">
        <v>81</v>
      </c>
      <c r="CP86" s="220">
        <v>336</v>
      </c>
      <c r="CQ86" s="220">
        <v>259</v>
      </c>
      <c r="CR86" s="220">
        <v>240</v>
      </c>
      <c r="CS86" s="220">
        <v>20</v>
      </c>
      <c r="CT86" s="220">
        <v>347</v>
      </c>
      <c r="CU86" s="220">
        <v>40</v>
      </c>
      <c r="CV86" s="220">
        <v>32</v>
      </c>
      <c r="CW86" s="220">
        <v>871</v>
      </c>
      <c r="CX86" s="220">
        <v>74</v>
      </c>
      <c r="CY86" s="220">
        <v>50</v>
      </c>
      <c r="CZ86" s="220">
        <v>0</v>
      </c>
      <c r="DA86" s="220">
        <v>330</v>
      </c>
      <c r="DB86" s="220">
        <v>350</v>
      </c>
      <c r="DC86" s="220">
        <v>129</v>
      </c>
      <c r="DD86" s="220">
        <v>0</v>
      </c>
      <c r="DE86" s="220">
        <v>62</v>
      </c>
      <c r="DF86" s="220">
        <v>0</v>
      </c>
      <c r="DG86" s="220">
        <v>76</v>
      </c>
      <c r="DH86" s="220">
        <v>0</v>
      </c>
      <c r="DI86" s="220">
        <v>43</v>
      </c>
      <c r="DJ86" s="220">
        <v>0</v>
      </c>
      <c r="DK86" s="220">
        <v>5</v>
      </c>
      <c r="DL86" s="220">
        <v>20</v>
      </c>
      <c r="DM86" s="220">
        <v>0</v>
      </c>
      <c r="DN86" s="220">
        <v>15</v>
      </c>
      <c r="DO86" s="220">
        <v>0</v>
      </c>
      <c r="DP86" s="221">
        <v>26413</v>
      </c>
      <c r="DQ86" s="71">
        <f>TRP!AF208</f>
        <v>26413</v>
      </c>
      <c r="DR86" s="71">
        <f t="shared" si="4"/>
        <v>0</v>
      </c>
    </row>
    <row r="87" spans="2:122" x14ac:dyDescent="0.25">
      <c r="B87" s="218" t="s">
        <v>158</v>
      </c>
      <c r="C87" s="222" t="s">
        <v>266</v>
      </c>
      <c r="D87" s="220">
        <v>0</v>
      </c>
      <c r="E87" s="220">
        <v>0</v>
      </c>
      <c r="F87" s="220">
        <v>2</v>
      </c>
      <c r="G87" s="220">
        <v>17</v>
      </c>
      <c r="H87" s="220">
        <v>16</v>
      </c>
      <c r="I87" s="220">
        <v>28</v>
      </c>
      <c r="J87" s="220">
        <v>13</v>
      </c>
      <c r="K87" s="220">
        <v>34</v>
      </c>
      <c r="L87" s="220">
        <v>0</v>
      </c>
      <c r="M87" s="220">
        <v>7</v>
      </c>
      <c r="N87" s="220">
        <v>6</v>
      </c>
      <c r="O87" s="220">
        <v>11</v>
      </c>
      <c r="P87" s="220">
        <v>23</v>
      </c>
      <c r="Q87" s="220">
        <v>19</v>
      </c>
      <c r="R87" s="220">
        <v>11</v>
      </c>
      <c r="S87" s="220">
        <v>1</v>
      </c>
      <c r="T87" s="220">
        <v>11</v>
      </c>
      <c r="U87" s="220">
        <v>4</v>
      </c>
      <c r="V87" s="220">
        <v>6</v>
      </c>
      <c r="W87" s="220">
        <v>6</v>
      </c>
      <c r="X87" s="220">
        <v>42</v>
      </c>
      <c r="Y87" s="220">
        <v>27</v>
      </c>
      <c r="Z87" s="220">
        <v>10</v>
      </c>
      <c r="AA87" s="220">
        <v>4</v>
      </c>
      <c r="AB87" s="220">
        <v>36</v>
      </c>
      <c r="AC87" s="220">
        <v>0</v>
      </c>
      <c r="AD87" s="220">
        <v>3</v>
      </c>
      <c r="AE87" s="220">
        <v>5</v>
      </c>
      <c r="AF87" s="220">
        <v>6</v>
      </c>
      <c r="AG87" s="220">
        <v>21</v>
      </c>
      <c r="AH87" s="220">
        <v>1</v>
      </c>
      <c r="AI87" s="220">
        <v>6</v>
      </c>
      <c r="AJ87" s="220">
        <v>18</v>
      </c>
      <c r="AK87" s="220">
        <v>1</v>
      </c>
      <c r="AL87" s="220">
        <v>4</v>
      </c>
      <c r="AM87" s="220">
        <v>12</v>
      </c>
      <c r="AN87" s="220">
        <v>22</v>
      </c>
      <c r="AO87" s="220">
        <v>2</v>
      </c>
      <c r="AP87" s="220">
        <v>22</v>
      </c>
      <c r="AQ87" s="220">
        <v>0</v>
      </c>
      <c r="AR87" s="220">
        <v>5</v>
      </c>
      <c r="AS87" s="220">
        <v>7</v>
      </c>
      <c r="AT87" s="220">
        <v>197</v>
      </c>
      <c r="AU87" s="220">
        <v>9</v>
      </c>
      <c r="AV87" s="220">
        <v>3</v>
      </c>
      <c r="AW87" s="220">
        <v>1</v>
      </c>
      <c r="AX87" s="220">
        <v>7</v>
      </c>
      <c r="AY87" s="220">
        <v>18</v>
      </c>
      <c r="AZ87" s="220">
        <v>3</v>
      </c>
      <c r="BA87" s="220">
        <v>4</v>
      </c>
      <c r="BB87" s="220">
        <v>38</v>
      </c>
      <c r="BC87" s="220">
        <v>5</v>
      </c>
      <c r="BD87" s="220">
        <v>0</v>
      </c>
      <c r="BE87" s="220">
        <v>5</v>
      </c>
      <c r="BF87" s="220">
        <v>20</v>
      </c>
      <c r="BG87" s="220">
        <v>105</v>
      </c>
      <c r="BH87" s="220">
        <v>49</v>
      </c>
      <c r="BI87" s="220">
        <v>35</v>
      </c>
      <c r="BJ87" s="220">
        <v>24</v>
      </c>
      <c r="BK87" s="220">
        <v>18</v>
      </c>
      <c r="BL87" s="220">
        <v>0</v>
      </c>
      <c r="BM87" s="220">
        <v>28</v>
      </c>
      <c r="BN87" s="220">
        <v>9</v>
      </c>
      <c r="BO87" s="220">
        <v>0</v>
      </c>
      <c r="BP87" s="220">
        <v>0</v>
      </c>
      <c r="BQ87" s="220">
        <v>0</v>
      </c>
      <c r="BR87" s="220">
        <v>15</v>
      </c>
      <c r="BS87" s="220">
        <v>41</v>
      </c>
      <c r="BT87" s="220">
        <v>11</v>
      </c>
      <c r="BU87" s="220">
        <v>4</v>
      </c>
      <c r="BV87" s="220">
        <v>16</v>
      </c>
      <c r="BW87" s="220">
        <v>58</v>
      </c>
      <c r="BX87" s="220">
        <v>36</v>
      </c>
      <c r="BY87" s="220">
        <v>96</v>
      </c>
      <c r="BZ87" s="220">
        <v>701</v>
      </c>
      <c r="CA87" s="220">
        <v>466</v>
      </c>
      <c r="CB87" s="220">
        <v>2</v>
      </c>
      <c r="CC87" s="220">
        <v>80</v>
      </c>
      <c r="CD87" s="220">
        <v>116</v>
      </c>
      <c r="CE87" s="220">
        <v>69</v>
      </c>
      <c r="CF87" s="220">
        <v>104</v>
      </c>
      <c r="CG87" s="220">
        <v>83</v>
      </c>
      <c r="CH87" s="220">
        <v>2398</v>
      </c>
      <c r="CI87" s="220">
        <v>99</v>
      </c>
      <c r="CJ87" s="220">
        <v>8</v>
      </c>
      <c r="CK87" s="220">
        <v>0</v>
      </c>
      <c r="CL87" s="220">
        <v>8</v>
      </c>
      <c r="CM87" s="220">
        <v>0</v>
      </c>
      <c r="CN87" s="220">
        <v>13</v>
      </c>
      <c r="CO87" s="220">
        <v>15</v>
      </c>
      <c r="CP87" s="220">
        <v>89</v>
      </c>
      <c r="CQ87" s="220">
        <v>85</v>
      </c>
      <c r="CR87" s="220">
        <v>34</v>
      </c>
      <c r="CS87" s="220">
        <v>17</v>
      </c>
      <c r="CT87" s="220">
        <v>52</v>
      </c>
      <c r="CU87" s="220">
        <v>18</v>
      </c>
      <c r="CV87" s="220">
        <v>31</v>
      </c>
      <c r="CW87" s="220">
        <v>245</v>
      </c>
      <c r="CX87" s="220">
        <v>11</v>
      </c>
      <c r="CY87" s="220">
        <v>18</v>
      </c>
      <c r="CZ87" s="220">
        <v>0</v>
      </c>
      <c r="DA87" s="220">
        <v>390</v>
      </c>
      <c r="DB87" s="220">
        <v>38</v>
      </c>
      <c r="DC87" s="220">
        <v>66</v>
      </c>
      <c r="DD87" s="220">
        <v>0</v>
      </c>
      <c r="DE87" s="220">
        <v>5</v>
      </c>
      <c r="DF87" s="220">
        <v>0</v>
      </c>
      <c r="DG87" s="220">
        <v>18</v>
      </c>
      <c r="DH87" s="220">
        <v>5</v>
      </c>
      <c r="DI87" s="220">
        <v>13</v>
      </c>
      <c r="DJ87" s="220">
        <v>0</v>
      </c>
      <c r="DK87" s="220">
        <v>2</v>
      </c>
      <c r="DL87" s="220">
        <v>12</v>
      </c>
      <c r="DM87" s="220">
        <v>0</v>
      </c>
      <c r="DN87" s="220">
        <v>13</v>
      </c>
      <c r="DO87" s="220">
        <v>0</v>
      </c>
      <c r="DP87" s="221">
        <v>6648</v>
      </c>
      <c r="DQ87" s="71">
        <f>TRP!AF209</f>
        <v>6648</v>
      </c>
      <c r="DR87" s="71">
        <f t="shared" si="4"/>
        <v>0</v>
      </c>
    </row>
    <row r="88" spans="2:122" x14ac:dyDescent="0.25">
      <c r="B88" s="223" t="s">
        <v>302</v>
      </c>
      <c r="C88" s="222" t="s">
        <v>267</v>
      </c>
      <c r="D88" s="220">
        <v>0</v>
      </c>
      <c r="E88" s="220">
        <v>0</v>
      </c>
      <c r="F88" s="220">
        <v>0</v>
      </c>
      <c r="G88" s="220">
        <v>62</v>
      </c>
      <c r="H88" s="220">
        <v>67</v>
      </c>
      <c r="I88" s="220">
        <v>86</v>
      </c>
      <c r="J88" s="220">
        <v>26</v>
      </c>
      <c r="K88" s="220">
        <v>163</v>
      </c>
      <c r="L88" s="220">
        <v>0</v>
      </c>
      <c r="M88" s="220">
        <v>9</v>
      </c>
      <c r="N88" s="220">
        <v>6</v>
      </c>
      <c r="O88" s="220">
        <v>118</v>
      </c>
      <c r="P88" s="220">
        <v>30</v>
      </c>
      <c r="Q88" s="220">
        <v>23</v>
      </c>
      <c r="R88" s="220">
        <v>16</v>
      </c>
      <c r="S88" s="220">
        <v>5</v>
      </c>
      <c r="T88" s="220">
        <v>8</v>
      </c>
      <c r="U88" s="220">
        <v>2</v>
      </c>
      <c r="V88" s="220">
        <v>7</v>
      </c>
      <c r="W88" s="220">
        <v>3</v>
      </c>
      <c r="X88" s="220">
        <v>74</v>
      </c>
      <c r="Y88" s="220">
        <v>95</v>
      </c>
      <c r="Z88" s="220">
        <v>16</v>
      </c>
      <c r="AA88" s="220">
        <v>13</v>
      </c>
      <c r="AB88" s="220">
        <v>74</v>
      </c>
      <c r="AC88" s="220">
        <v>0</v>
      </c>
      <c r="AD88" s="220">
        <v>18</v>
      </c>
      <c r="AE88" s="220">
        <v>25</v>
      </c>
      <c r="AF88" s="220">
        <v>22</v>
      </c>
      <c r="AG88" s="220">
        <v>52</v>
      </c>
      <c r="AH88" s="220">
        <v>11</v>
      </c>
      <c r="AI88" s="220">
        <v>5</v>
      </c>
      <c r="AJ88" s="220">
        <v>52</v>
      </c>
      <c r="AK88" s="220">
        <v>9</v>
      </c>
      <c r="AL88" s="220">
        <v>3</v>
      </c>
      <c r="AM88" s="220">
        <v>13</v>
      </c>
      <c r="AN88" s="220">
        <v>56</v>
      </c>
      <c r="AO88" s="220">
        <v>22</v>
      </c>
      <c r="AP88" s="220">
        <v>21</v>
      </c>
      <c r="AQ88" s="220">
        <v>0</v>
      </c>
      <c r="AR88" s="220">
        <v>49</v>
      </c>
      <c r="AS88" s="220">
        <v>42</v>
      </c>
      <c r="AT88" s="220">
        <v>98</v>
      </c>
      <c r="AU88" s="220">
        <v>13</v>
      </c>
      <c r="AV88" s="220">
        <v>31</v>
      </c>
      <c r="AW88" s="220">
        <v>4</v>
      </c>
      <c r="AX88" s="220">
        <v>60</v>
      </c>
      <c r="AY88" s="220">
        <v>49</v>
      </c>
      <c r="AZ88" s="220">
        <v>23</v>
      </c>
      <c r="BA88" s="220">
        <v>11</v>
      </c>
      <c r="BB88" s="220">
        <v>41</v>
      </c>
      <c r="BC88" s="220">
        <v>59</v>
      </c>
      <c r="BD88" s="220">
        <v>0</v>
      </c>
      <c r="BE88" s="220">
        <v>30</v>
      </c>
      <c r="BF88" s="220">
        <v>53</v>
      </c>
      <c r="BG88" s="220">
        <v>181</v>
      </c>
      <c r="BH88" s="220">
        <v>37</v>
      </c>
      <c r="BI88" s="220">
        <v>36</v>
      </c>
      <c r="BJ88" s="220">
        <v>80</v>
      </c>
      <c r="BK88" s="220">
        <v>16</v>
      </c>
      <c r="BL88" s="220">
        <v>23</v>
      </c>
      <c r="BM88" s="220">
        <v>28</v>
      </c>
      <c r="BN88" s="220">
        <v>6</v>
      </c>
      <c r="BO88" s="220">
        <v>0</v>
      </c>
      <c r="BP88" s="220">
        <v>0</v>
      </c>
      <c r="BQ88" s="220">
        <v>0</v>
      </c>
      <c r="BR88" s="220">
        <v>21</v>
      </c>
      <c r="BS88" s="220">
        <v>292</v>
      </c>
      <c r="BT88" s="220">
        <v>289</v>
      </c>
      <c r="BU88" s="220">
        <v>17</v>
      </c>
      <c r="BV88" s="220">
        <v>162</v>
      </c>
      <c r="BW88" s="220">
        <v>323</v>
      </c>
      <c r="BX88" s="220">
        <v>120</v>
      </c>
      <c r="BY88" s="220">
        <v>285</v>
      </c>
      <c r="BZ88" s="220">
        <v>3272</v>
      </c>
      <c r="CA88" s="220">
        <v>1181</v>
      </c>
      <c r="CB88" s="220">
        <v>2</v>
      </c>
      <c r="CC88" s="220">
        <v>31</v>
      </c>
      <c r="CD88" s="220">
        <v>123</v>
      </c>
      <c r="CE88" s="220">
        <v>166</v>
      </c>
      <c r="CF88" s="220">
        <v>231</v>
      </c>
      <c r="CG88" s="220">
        <v>862</v>
      </c>
      <c r="CH88" s="220">
        <v>37</v>
      </c>
      <c r="CI88" s="220">
        <v>1558</v>
      </c>
      <c r="CJ88" s="220">
        <v>43</v>
      </c>
      <c r="CK88" s="220">
        <v>53</v>
      </c>
      <c r="CL88" s="220">
        <v>0</v>
      </c>
      <c r="CM88" s="220">
        <v>59</v>
      </c>
      <c r="CN88" s="220">
        <v>155</v>
      </c>
      <c r="CO88" s="220">
        <v>95</v>
      </c>
      <c r="CP88" s="220">
        <v>82</v>
      </c>
      <c r="CQ88" s="220">
        <v>66</v>
      </c>
      <c r="CR88" s="220">
        <v>27</v>
      </c>
      <c r="CS88" s="220">
        <v>32</v>
      </c>
      <c r="CT88" s="220">
        <v>93</v>
      </c>
      <c r="CU88" s="220">
        <v>59</v>
      </c>
      <c r="CV88" s="220">
        <v>47</v>
      </c>
      <c r="CW88" s="220">
        <v>88</v>
      </c>
      <c r="CX88" s="220">
        <v>28</v>
      </c>
      <c r="CY88" s="220">
        <v>84</v>
      </c>
      <c r="CZ88" s="220">
        <v>0</v>
      </c>
      <c r="DA88" s="220">
        <v>155</v>
      </c>
      <c r="DB88" s="220">
        <v>150</v>
      </c>
      <c r="DC88" s="220">
        <v>179</v>
      </c>
      <c r="DD88" s="220">
        <v>0</v>
      </c>
      <c r="DE88" s="220">
        <v>36</v>
      </c>
      <c r="DF88" s="220">
        <v>0</v>
      </c>
      <c r="DG88" s="220">
        <v>40</v>
      </c>
      <c r="DH88" s="220">
        <v>0</v>
      </c>
      <c r="DI88" s="220">
        <v>82</v>
      </c>
      <c r="DJ88" s="220">
        <v>0</v>
      </c>
      <c r="DK88" s="220">
        <v>5</v>
      </c>
      <c r="DL88" s="220">
        <v>24</v>
      </c>
      <c r="DM88" s="220">
        <v>0</v>
      </c>
      <c r="DN88" s="220">
        <v>83</v>
      </c>
      <c r="DO88" s="220">
        <v>0</v>
      </c>
      <c r="DP88" s="221">
        <v>12919</v>
      </c>
      <c r="DQ88" s="71">
        <f>TRP!AF210</f>
        <v>12919</v>
      </c>
      <c r="DR88" s="71">
        <f t="shared" si="4"/>
        <v>0</v>
      </c>
    </row>
    <row r="89" spans="2:122" x14ac:dyDescent="0.25">
      <c r="B89" s="223" t="s">
        <v>74</v>
      </c>
      <c r="C89" s="222" t="s">
        <v>268</v>
      </c>
      <c r="D89" s="220">
        <v>1068</v>
      </c>
      <c r="E89" s="220">
        <v>25</v>
      </c>
      <c r="F89" s="220">
        <v>39</v>
      </c>
      <c r="G89" s="220">
        <v>309</v>
      </c>
      <c r="H89" s="220">
        <v>277</v>
      </c>
      <c r="I89" s="220">
        <v>265</v>
      </c>
      <c r="J89" s="220">
        <v>229</v>
      </c>
      <c r="K89" s="220">
        <v>623</v>
      </c>
      <c r="L89" s="220">
        <v>20</v>
      </c>
      <c r="M89" s="220">
        <v>103</v>
      </c>
      <c r="N89" s="220">
        <v>43</v>
      </c>
      <c r="O89" s="220">
        <v>544</v>
      </c>
      <c r="P89" s="220">
        <v>273</v>
      </c>
      <c r="Q89" s="220">
        <v>192</v>
      </c>
      <c r="R89" s="220">
        <v>77</v>
      </c>
      <c r="S89" s="220">
        <v>9</v>
      </c>
      <c r="T89" s="220">
        <v>31</v>
      </c>
      <c r="U89" s="220">
        <v>19</v>
      </c>
      <c r="V89" s="220">
        <v>10</v>
      </c>
      <c r="W89" s="220">
        <v>21</v>
      </c>
      <c r="X89" s="220">
        <v>263</v>
      </c>
      <c r="Y89" s="220">
        <v>103</v>
      </c>
      <c r="Z89" s="220">
        <v>15</v>
      </c>
      <c r="AA89" s="220">
        <v>7</v>
      </c>
      <c r="AB89" s="220">
        <v>333</v>
      </c>
      <c r="AC89" s="220">
        <v>6</v>
      </c>
      <c r="AD89" s="220">
        <v>27</v>
      </c>
      <c r="AE89" s="220">
        <v>49</v>
      </c>
      <c r="AF89" s="220">
        <v>128</v>
      </c>
      <c r="AG89" s="220">
        <v>192</v>
      </c>
      <c r="AH89" s="220">
        <v>31</v>
      </c>
      <c r="AI89" s="220">
        <v>18</v>
      </c>
      <c r="AJ89" s="220">
        <v>122</v>
      </c>
      <c r="AK89" s="220">
        <v>13</v>
      </c>
      <c r="AL89" s="220">
        <v>28</v>
      </c>
      <c r="AM89" s="220">
        <v>42</v>
      </c>
      <c r="AN89" s="220">
        <v>91</v>
      </c>
      <c r="AO89" s="220">
        <v>18</v>
      </c>
      <c r="AP89" s="220">
        <v>75</v>
      </c>
      <c r="AQ89" s="220">
        <v>0</v>
      </c>
      <c r="AR89" s="220">
        <v>52</v>
      </c>
      <c r="AS89" s="220">
        <v>34</v>
      </c>
      <c r="AT89" s="220">
        <v>82</v>
      </c>
      <c r="AU89" s="220">
        <v>84</v>
      </c>
      <c r="AV89" s="220">
        <v>104</v>
      </c>
      <c r="AW89" s="220">
        <v>20</v>
      </c>
      <c r="AX89" s="220">
        <v>82</v>
      </c>
      <c r="AY89" s="220">
        <v>171</v>
      </c>
      <c r="AZ89" s="220">
        <v>175</v>
      </c>
      <c r="BA89" s="220">
        <v>51</v>
      </c>
      <c r="BB89" s="220">
        <v>85</v>
      </c>
      <c r="BC89" s="220">
        <v>64</v>
      </c>
      <c r="BD89" s="220">
        <v>5</v>
      </c>
      <c r="BE89" s="220">
        <v>13</v>
      </c>
      <c r="BF89" s="220">
        <v>100</v>
      </c>
      <c r="BG89" s="220">
        <v>185</v>
      </c>
      <c r="BH89" s="220">
        <v>138</v>
      </c>
      <c r="BI89" s="220">
        <v>118</v>
      </c>
      <c r="BJ89" s="220">
        <v>177</v>
      </c>
      <c r="BK89" s="220">
        <v>95</v>
      </c>
      <c r="BL89" s="220">
        <v>28</v>
      </c>
      <c r="BM89" s="220">
        <v>79</v>
      </c>
      <c r="BN89" s="220">
        <v>27</v>
      </c>
      <c r="BO89" s="220">
        <v>8</v>
      </c>
      <c r="BP89" s="220">
        <v>28</v>
      </c>
      <c r="BQ89" s="220">
        <v>0</v>
      </c>
      <c r="BR89" s="220">
        <v>42</v>
      </c>
      <c r="BS89" s="220">
        <v>213</v>
      </c>
      <c r="BT89" s="220">
        <v>602</v>
      </c>
      <c r="BU89" s="220">
        <v>39</v>
      </c>
      <c r="BV89" s="220">
        <v>368</v>
      </c>
      <c r="BW89" s="220">
        <v>4061</v>
      </c>
      <c r="BX89" s="220">
        <v>764</v>
      </c>
      <c r="BY89" s="220">
        <v>628</v>
      </c>
      <c r="BZ89" s="220">
        <v>8568</v>
      </c>
      <c r="CA89" s="220">
        <v>4458</v>
      </c>
      <c r="CB89" s="220">
        <v>379</v>
      </c>
      <c r="CC89" s="220">
        <v>100</v>
      </c>
      <c r="CD89" s="220">
        <v>306</v>
      </c>
      <c r="CE89" s="220">
        <v>82</v>
      </c>
      <c r="CF89" s="220">
        <v>181</v>
      </c>
      <c r="CG89" s="220">
        <v>1138</v>
      </c>
      <c r="CH89" s="220">
        <v>153</v>
      </c>
      <c r="CI89" s="220">
        <v>226</v>
      </c>
      <c r="CJ89" s="220">
        <v>18674</v>
      </c>
      <c r="CK89" s="220">
        <v>1328</v>
      </c>
      <c r="CL89" s="220">
        <v>1782</v>
      </c>
      <c r="CM89" s="220">
        <v>926</v>
      </c>
      <c r="CN89" s="220">
        <v>7001</v>
      </c>
      <c r="CO89" s="220">
        <v>900</v>
      </c>
      <c r="CP89" s="220">
        <v>360</v>
      </c>
      <c r="CQ89" s="220">
        <v>876</v>
      </c>
      <c r="CR89" s="220">
        <v>2850</v>
      </c>
      <c r="CS89" s="220">
        <v>295</v>
      </c>
      <c r="CT89" s="220">
        <v>645</v>
      </c>
      <c r="CU89" s="220">
        <v>774</v>
      </c>
      <c r="CV89" s="220">
        <v>101</v>
      </c>
      <c r="CW89" s="220">
        <v>1404</v>
      </c>
      <c r="CX89" s="220">
        <v>98</v>
      </c>
      <c r="CY89" s="220">
        <v>513</v>
      </c>
      <c r="CZ89" s="220">
        <v>105</v>
      </c>
      <c r="DA89" s="220">
        <v>1000</v>
      </c>
      <c r="DB89" s="220">
        <v>127</v>
      </c>
      <c r="DC89" s="220">
        <v>998</v>
      </c>
      <c r="DD89" s="220">
        <v>235</v>
      </c>
      <c r="DE89" s="220">
        <v>190</v>
      </c>
      <c r="DF89" s="220">
        <v>0</v>
      </c>
      <c r="DG89" s="220">
        <v>69</v>
      </c>
      <c r="DH89" s="220">
        <v>329</v>
      </c>
      <c r="DI89" s="220">
        <v>446</v>
      </c>
      <c r="DJ89" s="220">
        <v>329</v>
      </c>
      <c r="DK89" s="220">
        <v>9</v>
      </c>
      <c r="DL89" s="220">
        <v>60</v>
      </c>
      <c r="DM89" s="220">
        <v>360</v>
      </c>
      <c r="DN89" s="220">
        <v>1991</v>
      </c>
      <c r="DO89" s="220">
        <v>179</v>
      </c>
      <c r="DP89" s="221">
        <v>75005</v>
      </c>
      <c r="DQ89" s="71">
        <f>TRP!AF211</f>
        <v>75005</v>
      </c>
      <c r="DR89" s="71">
        <f t="shared" si="4"/>
        <v>0</v>
      </c>
    </row>
    <row r="90" spans="2:122" x14ac:dyDescent="0.25">
      <c r="B90" s="223" t="s">
        <v>159</v>
      </c>
      <c r="C90" s="222" t="s">
        <v>269</v>
      </c>
      <c r="D90" s="220">
        <v>1220</v>
      </c>
      <c r="E90" s="220">
        <v>26</v>
      </c>
      <c r="F90" s="220">
        <v>2</v>
      </c>
      <c r="G90" s="220">
        <v>113</v>
      </c>
      <c r="H90" s="220">
        <v>106</v>
      </c>
      <c r="I90" s="220">
        <v>112</v>
      </c>
      <c r="J90" s="220">
        <v>119</v>
      </c>
      <c r="K90" s="220">
        <v>324</v>
      </c>
      <c r="L90" s="220">
        <v>0</v>
      </c>
      <c r="M90" s="220">
        <v>71</v>
      </c>
      <c r="N90" s="220">
        <v>25</v>
      </c>
      <c r="O90" s="220">
        <v>178</v>
      </c>
      <c r="P90" s="220">
        <v>196</v>
      </c>
      <c r="Q90" s="220">
        <v>134</v>
      </c>
      <c r="R90" s="220">
        <v>83</v>
      </c>
      <c r="S90" s="220">
        <v>10</v>
      </c>
      <c r="T90" s="220">
        <v>28</v>
      </c>
      <c r="U90" s="220">
        <v>16</v>
      </c>
      <c r="V90" s="220">
        <v>7</v>
      </c>
      <c r="W90" s="220">
        <v>17</v>
      </c>
      <c r="X90" s="220">
        <v>83</v>
      </c>
      <c r="Y90" s="220">
        <v>64</v>
      </c>
      <c r="Z90" s="220">
        <v>22</v>
      </c>
      <c r="AA90" s="220">
        <v>31</v>
      </c>
      <c r="AB90" s="220">
        <v>116</v>
      </c>
      <c r="AC90" s="220">
        <v>15</v>
      </c>
      <c r="AD90" s="220">
        <v>42</v>
      </c>
      <c r="AE90" s="220">
        <v>31</v>
      </c>
      <c r="AF90" s="220">
        <v>55</v>
      </c>
      <c r="AG90" s="220">
        <v>99</v>
      </c>
      <c r="AH90" s="220">
        <v>30</v>
      </c>
      <c r="AI90" s="220">
        <v>9</v>
      </c>
      <c r="AJ90" s="220">
        <v>50</v>
      </c>
      <c r="AK90" s="220">
        <v>18</v>
      </c>
      <c r="AL90" s="220">
        <v>4</v>
      </c>
      <c r="AM90" s="220">
        <v>28</v>
      </c>
      <c r="AN90" s="220">
        <v>61</v>
      </c>
      <c r="AO90" s="220">
        <v>32</v>
      </c>
      <c r="AP90" s="220">
        <v>63</v>
      </c>
      <c r="AQ90" s="220">
        <v>0</v>
      </c>
      <c r="AR90" s="220">
        <v>28</v>
      </c>
      <c r="AS90" s="220">
        <v>39</v>
      </c>
      <c r="AT90" s="220">
        <v>121</v>
      </c>
      <c r="AU90" s="220">
        <v>38</v>
      </c>
      <c r="AV90" s="220">
        <v>33</v>
      </c>
      <c r="AW90" s="220">
        <v>23</v>
      </c>
      <c r="AX90" s="220">
        <v>47</v>
      </c>
      <c r="AY90" s="220">
        <v>31</v>
      </c>
      <c r="AZ90" s="220">
        <v>41</v>
      </c>
      <c r="BA90" s="220">
        <v>36</v>
      </c>
      <c r="BB90" s="220">
        <v>71</v>
      </c>
      <c r="BC90" s="220">
        <v>69</v>
      </c>
      <c r="BD90" s="220">
        <v>1</v>
      </c>
      <c r="BE90" s="220">
        <v>36</v>
      </c>
      <c r="BF90" s="220">
        <v>66</v>
      </c>
      <c r="BG90" s="220">
        <v>76</v>
      </c>
      <c r="BH90" s="220">
        <v>26</v>
      </c>
      <c r="BI90" s="220">
        <v>27</v>
      </c>
      <c r="BJ90" s="220">
        <v>62</v>
      </c>
      <c r="BK90" s="220">
        <v>46</v>
      </c>
      <c r="BL90" s="220">
        <v>55</v>
      </c>
      <c r="BM90" s="220">
        <v>114</v>
      </c>
      <c r="BN90" s="220">
        <v>52</v>
      </c>
      <c r="BO90" s="220">
        <v>0</v>
      </c>
      <c r="BP90" s="220">
        <v>10</v>
      </c>
      <c r="BQ90" s="220">
        <v>0</v>
      </c>
      <c r="BR90" s="220">
        <v>29</v>
      </c>
      <c r="BS90" s="220">
        <v>87</v>
      </c>
      <c r="BT90" s="220">
        <v>102</v>
      </c>
      <c r="BU90" s="220">
        <v>12</v>
      </c>
      <c r="BV90" s="220">
        <v>44</v>
      </c>
      <c r="BW90" s="220">
        <v>643</v>
      </c>
      <c r="BX90" s="220">
        <v>181</v>
      </c>
      <c r="BY90" s="220">
        <v>282</v>
      </c>
      <c r="BZ90" s="220">
        <v>1623</v>
      </c>
      <c r="CA90" s="220">
        <v>888</v>
      </c>
      <c r="CB90" s="220">
        <v>6</v>
      </c>
      <c r="CC90" s="220">
        <v>244</v>
      </c>
      <c r="CD90" s="220">
        <v>820</v>
      </c>
      <c r="CE90" s="220">
        <v>307</v>
      </c>
      <c r="CF90" s="220">
        <v>206</v>
      </c>
      <c r="CG90" s="220">
        <v>84</v>
      </c>
      <c r="CH90" s="220">
        <v>83</v>
      </c>
      <c r="CI90" s="220">
        <v>137</v>
      </c>
      <c r="CJ90" s="220">
        <v>336</v>
      </c>
      <c r="CK90" s="220">
        <v>267</v>
      </c>
      <c r="CL90" s="220">
        <v>811</v>
      </c>
      <c r="CM90" s="220">
        <v>304</v>
      </c>
      <c r="CN90" s="220">
        <v>553</v>
      </c>
      <c r="CO90" s="220">
        <v>1283</v>
      </c>
      <c r="CP90" s="220">
        <v>248</v>
      </c>
      <c r="CQ90" s="220">
        <v>425</v>
      </c>
      <c r="CR90" s="220">
        <v>430</v>
      </c>
      <c r="CS90" s="220">
        <v>57</v>
      </c>
      <c r="CT90" s="220">
        <v>356</v>
      </c>
      <c r="CU90" s="220">
        <v>183</v>
      </c>
      <c r="CV90" s="220">
        <v>79</v>
      </c>
      <c r="CW90" s="220">
        <v>920</v>
      </c>
      <c r="CX90" s="220">
        <v>21</v>
      </c>
      <c r="CY90" s="220">
        <v>202</v>
      </c>
      <c r="CZ90" s="220">
        <v>0</v>
      </c>
      <c r="DA90" s="220">
        <v>381</v>
      </c>
      <c r="DB90" s="220">
        <v>174</v>
      </c>
      <c r="DC90" s="220">
        <v>226</v>
      </c>
      <c r="DD90" s="220">
        <v>9</v>
      </c>
      <c r="DE90" s="220">
        <v>88</v>
      </c>
      <c r="DF90" s="220">
        <v>0</v>
      </c>
      <c r="DG90" s="220">
        <v>56</v>
      </c>
      <c r="DH90" s="220">
        <v>0</v>
      </c>
      <c r="DI90" s="220">
        <v>129</v>
      </c>
      <c r="DJ90" s="220">
        <v>141</v>
      </c>
      <c r="DK90" s="220">
        <v>8</v>
      </c>
      <c r="DL90" s="220">
        <v>208</v>
      </c>
      <c r="DM90" s="220">
        <v>56</v>
      </c>
      <c r="DN90" s="220">
        <v>400</v>
      </c>
      <c r="DO90" s="220">
        <v>35</v>
      </c>
      <c r="DP90" s="221">
        <v>18952</v>
      </c>
      <c r="DQ90" s="71">
        <f>TRP!AF212</f>
        <v>18952</v>
      </c>
      <c r="DR90" s="71">
        <f t="shared" si="4"/>
        <v>0</v>
      </c>
    </row>
    <row r="91" spans="2:122" x14ac:dyDescent="0.25">
      <c r="B91" s="223" t="s">
        <v>160</v>
      </c>
      <c r="C91" s="222" t="s">
        <v>270</v>
      </c>
      <c r="D91" s="220">
        <v>8</v>
      </c>
      <c r="E91" s="220">
        <v>31</v>
      </c>
      <c r="F91" s="220">
        <v>3</v>
      </c>
      <c r="G91" s="220">
        <v>63</v>
      </c>
      <c r="H91" s="220">
        <v>46</v>
      </c>
      <c r="I91" s="220">
        <v>120</v>
      </c>
      <c r="J91" s="220">
        <v>96</v>
      </c>
      <c r="K91" s="220">
        <v>159</v>
      </c>
      <c r="L91" s="220">
        <v>2</v>
      </c>
      <c r="M91" s="220">
        <v>60</v>
      </c>
      <c r="N91" s="220">
        <v>15</v>
      </c>
      <c r="O91" s="220">
        <v>206</v>
      </c>
      <c r="P91" s="220">
        <v>86</v>
      </c>
      <c r="Q91" s="220">
        <v>80</v>
      </c>
      <c r="R91" s="220">
        <v>83</v>
      </c>
      <c r="S91" s="220">
        <v>8</v>
      </c>
      <c r="T91" s="220">
        <v>32</v>
      </c>
      <c r="U91" s="220">
        <v>23</v>
      </c>
      <c r="V91" s="220">
        <v>7</v>
      </c>
      <c r="W91" s="220">
        <v>28</v>
      </c>
      <c r="X91" s="220">
        <v>59</v>
      </c>
      <c r="Y91" s="220">
        <v>22</v>
      </c>
      <c r="Z91" s="220">
        <v>20</v>
      </c>
      <c r="AA91" s="220">
        <v>32</v>
      </c>
      <c r="AB91" s="220">
        <v>128</v>
      </c>
      <c r="AC91" s="220">
        <v>8</v>
      </c>
      <c r="AD91" s="220">
        <v>25</v>
      </c>
      <c r="AE91" s="220">
        <v>15</v>
      </c>
      <c r="AF91" s="220">
        <v>149</v>
      </c>
      <c r="AG91" s="220">
        <v>188</v>
      </c>
      <c r="AH91" s="220">
        <v>54</v>
      </c>
      <c r="AI91" s="220">
        <v>30</v>
      </c>
      <c r="AJ91" s="220">
        <v>173</v>
      </c>
      <c r="AK91" s="220">
        <v>25</v>
      </c>
      <c r="AL91" s="220">
        <v>3</v>
      </c>
      <c r="AM91" s="220">
        <v>31</v>
      </c>
      <c r="AN91" s="220">
        <v>87</v>
      </c>
      <c r="AO91" s="220">
        <v>32</v>
      </c>
      <c r="AP91" s="220">
        <v>71</v>
      </c>
      <c r="AQ91" s="220">
        <v>0</v>
      </c>
      <c r="AR91" s="220">
        <v>1</v>
      </c>
      <c r="AS91" s="220">
        <v>48</v>
      </c>
      <c r="AT91" s="220">
        <v>94</v>
      </c>
      <c r="AU91" s="220">
        <v>35</v>
      </c>
      <c r="AV91" s="220">
        <v>31</v>
      </c>
      <c r="AW91" s="220">
        <v>18</v>
      </c>
      <c r="AX91" s="220">
        <v>25</v>
      </c>
      <c r="AY91" s="220">
        <v>31</v>
      </c>
      <c r="AZ91" s="220">
        <v>38</v>
      </c>
      <c r="BA91" s="220">
        <v>35</v>
      </c>
      <c r="BB91" s="220">
        <v>127</v>
      </c>
      <c r="BC91" s="220">
        <v>194</v>
      </c>
      <c r="BD91" s="220">
        <v>1</v>
      </c>
      <c r="BE91" s="220">
        <v>3</v>
      </c>
      <c r="BF91" s="220">
        <v>15</v>
      </c>
      <c r="BG91" s="220">
        <v>11</v>
      </c>
      <c r="BH91" s="220">
        <v>11</v>
      </c>
      <c r="BI91" s="220">
        <v>9</v>
      </c>
      <c r="BJ91" s="220">
        <v>37</v>
      </c>
      <c r="BK91" s="220">
        <v>32</v>
      </c>
      <c r="BL91" s="220">
        <v>0</v>
      </c>
      <c r="BM91" s="220">
        <v>75</v>
      </c>
      <c r="BN91" s="220">
        <v>46</v>
      </c>
      <c r="BO91" s="220">
        <v>0</v>
      </c>
      <c r="BP91" s="220">
        <v>11</v>
      </c>
      <c r="BQ91" s="220">
        <v>0</v>
      </c>
      <c r="BR91" s="220">
        <v>35</v>
      </c>
      <c r="BS91" s="220">
        <v>176</v>
      </c>
      <c r="BT91" s="220">
        <v>152</v>
      </c>
      <c r="BU91" s="220">
        <v>16</v>
      </c>
      <c r="BV91" s="220">
        <v>124</v>
      </c>
      <c r="BW91" s="220">
        <v>933</v>
      </c>
      <c r="BX91" s="220">
        <v>228</v>
      </c>
      <c r="BY91" s="220">
        <v>102</v>
      </c>
      <c r="BZ91" s="220">
        <v>334</v>
      </c>
      <c r="CA91" s="220">
        <v>352</v>
      </c>
      <c r="CB91" s="220">
        <v>8</v>
      </c>
      <c r="CC91" s="220">
        <v>281</v>
      </c>
      <c r="CD91" s="220">
        <v>461</v>
      </c>
      <c r="CE91" s="220">
        <v>161</v>
      </c>
      <c r="CF91" s="220">
        <v>138</v>
      </c>
      <c r="CG91" s="220">
        <v>55</v>
      </c>
      <c r="CH91" s="220">
        <v>75</v>
      </c>
      <c r="CI91" s="220">
        <v>105</v>
      </c>
      <c r="CJ91" s="220">
        <v>1077</v>
      </c>
      <c r="CK91" s="220">
        <v>13350</v>
      </c>
      <c r="CL91" s="220">
        <v>5532</v>
      </c>
      <c r="CM91" s="220">
        <v>108</v>
      </c>
      <c r="CN91" s="220">
        <v>159</v>
      </c>
      <c r="CO91" s="220">
        <v>1288</v>
      </c>
      <c r="CP91" s="220">
        <v>230</v>
      </c>
      <c r="CQ91" s="220">
        <v>503</v>
      </c>
      <c r="CR91" s="220">
        <v>226</v>
      </c>
      <c r="CS91" s="220">
        <v>33</v>
      </c>
      <c r="CT91" s="220">
        <v>366</v>
      </c>
      <c r="CU91" s="220">
        <v>146</v>
      </c>
      <c r="CV91" s="220">
        <v>62</v>
      </c>
      <c r="CW91" s="220">
        <v>917</v>
      </c>
      <c r="CX91" s="220">
        <v>44</v>
      </c>
      <c r="CY91" s="220">
        <v>172</v>
      </c>
      <c r="CZ91" s="220">
        <v>0</v>
      </c>
      <c r="DA91" s="220">
        <v>318</v>
      </c>
      <c r="DB91" s="220">
        <v>184</v>
      </c>
      <c r="DC91" s="220">
        <v>143</v>
      </c>
      <c r="DD91" s="220">
        <v>0</v>
      </c>
      <c r="DE91" s="220">
        <v>65</v>
      </c>
      <c r="DF91" s="220">
        <v>0</v>
      </c>
      <c r="DG91" s="220">
        <v>54</v>
      </c>
      <c r="DH91" s="220">
        <v>0</v>
      </c>
      <c r="DI91" s="220">
        <v>64</v>
      </c>
      <c r="DJ91" s="220">
        <v>0</v>
      </c>
      <c r="DK91" s="220">
        <v>12</v>
      </c>
      <c r="DL91" s="220">
        <v>133</v>
      </c>
      <c r="DM91" s="220">
        <v>0</v>
      </c>
      <c r="DN91" s="220">
        <v>0</v>
      </c>
      <c r="DO91" s="220">
        <v>0</v>
      </c>
      <c r="DP91" s="221">
        <v>32158</v>
      </c>
      <c r="DQ91" s="71">
        <f>TRP!AF213</f>
        <v>32158</v>
      </c>
      <c r="DR91" s="71">
        <f t="shared" si="4"/>
        <v>0</v>
      </c>
    </row>
    <row r="92" spans="2:122" x14ac:dyDescent="0.25">
      <c r="B92" s="223" t="s">
        <v>75</v>
      </c>
      <c r="C92" s="222" t="s">
        <v>271</v>
      </c>
      <c r="D92" s="220">
        <v>0</v>
      </c>
      <c r="E92" s="220">
        <v>0</v>
      </c>
      <c r="F92" s="220">
        <v>0</v>
      </c>
      <c r="G92" s="220">
        <v>0</v>
      </c>
      <c r="H92" s="220">
        <v>0</v>
      </c>
      <c r="I92" s="220">
        <v>0</v>
      </c>
      <c r="J92" s="220">
        <v>0</v>
      </c>
      <c r="K92" s="220">
        <v>0</v>
      </c>
      <c r="L92" s="220">
        <v>0</v>
      </c>
      <c r="M92" s="220">
        <v>0</v>
      </c>
      <c r="N92" s="220">
        <v>0</v>
      </c>
      <c r="O92" s="220">
        <v>0</v>
      </c>
      <c r="P92" s="220">
        <v>0</v>
      </c>
      <c r="Q92" s="220">
        <v>0</v>
      </c>
      <c r="R92" s="220">
        <v>0</v>
      </c>
      <c r="S92" s="220">
        <v>0</v>
      </c>
      <c r="T92" s="220">
        <v>0</v>
      </c>
      <c r="U92" s="220">
        <v>0</v>
      </c>
      <c r="V92" s="220">
        <v>0</v>
      </c>
      <c r="W92" s="220">
        <v>0</v>
      </c>
      <c r="X92" s="220">
        <v>0</v>
      </c>
      <c r="Y92" s="220">
        <v>0</v>
      </c>
      <c r="Z92" s="220">
        <v>0</v>
      </c>
      <c r="AA92" s="220">
        <v>0</v>
      </c>
      <c r="AB92" s="220">
        <v>0</v>
      </c>
      <c r="AC92" s="220">
        <v>0</v>
      </c>
      <c r="AD92" s="220">
        <v>0</v>
      </c>
      <c r="AE92" s="220">
        <v>0</v>
      </c>
      <c r="AF92" s="220">
        <v>0</v>
      </c>
      <c r="AG92" s="220">
        <v>0</v>
      </c>
      <c r="AH92" s="220">
        <v>0</v>
      </c>
      <c r="AI92" s="220">
        <v>0</v>
      </c>
      <c r="AJ92" s="220">
        <v>0</v>
      </c>
      <c r="AK92" s="220">
        <v>0</v>
      </c>
      <c r="AL92" s="220">
        <v>0</v>
      </c>
      <c r="AM92" s="220">
        <v>0</v>
      </c>
      <c r="AN92" s="220">
        <v>0</v>
      </c>
      <c r="AO92" s="220">
        <v>0</v>
      </c>
      <c r="AP92" s="220">
        <v>0</v>
      </c>
      <c r="AQ92" s="220">
        <v>0</v>
      </c>
      <c r="AR92" s="220">
        <v>0</v>
      </c>
      <c r="AS92" s="220">
        <v>0</v>
      </c>
      <c r="AT92" s="220">
        <v>0</v>
      </c>
      <c r="AU92" s="220">
        <v>0</v>
      </c>
      <c r="AV92" s="220">
        <v>0</v>
      </c>
      <c r="AW92" s="220">
        <v>0</v>
      </c>
      <c r="AX92" s="220">
        <v>0</v>
      </c>
      <c r="AY92" s="220">
        <v>0</v>
      </c>
      <c r="AZ92" s="220">
        <v>0</v>
      </c>
      <c r="BA92" s="220">
        <v>0</v>
      </c>
      <c r="BB92" s="220">
        <v>0</v>
      </c>
      <c r="BC92" s="220">
        <v>0</v>
      </c>
      <c r="BD92" s="220">
        <v>0</v>
      </c>
      <c r="BE92" s="220">
        <v>0</v>
      </c>
      <c r="BF92" s="220">
        <v>0</v>
      </c>
      <c r="BG92" s="220">
        <v>0</v>
      </c>
      <c r="BH92" s="220">
        <v>0</v>
      </c>
      <c r="BI92" s="220">
        <v>0</v>
      </c>
      <c r="BJ92" s="220">
        <v>0</v>
      </c>
      <c r="BK92" s="220">
        <v>0</v>
      </c>
      <c r="BL92" s="220">
        <v>0</v>
      </c>
      <c r="BM92" s="220">
        <v>0</v>
      </c>
      <c r="BN92" s="220">
        <v>0</v>
      </c>
      <c r="BO92" s="220">
        <v>0</v>
      </c>
      <c r="BP92" s="220">
        <v>0</v>
      </c>
      <c r="BQ92" s="220">
        <v>0</v>
      </c>
      <c r="BR92" s="220">
        <v>0</v>
      </c>
      <c r="BS92" s="220">
        <v>0</v>
      </c>
      <c r="BT92" s="220">
        <v>0</v>
      </c>
      <c r="BU92" s="220">
        <v>0</v>
      </c>
      <c r="BV92" s="220">
        <v>0</v>
      </c>
      <c r="BW92" s="220">
        <v>0</v>
      </c>
      <c r="BX92" s="220">
        <v>0</v>
      </c>
      <c r="BY92" s="220">
        <v>0</v>
      </c>
      <c r="BZ92" s="220">
        <v>0</v>
      </c>
      <c r="CA92" s="220">
        <v>497</v>
      </c>
      <c r="CB92" s="220">
        <v>0</v>
      </c>
      <c r="CC92" s="220">
        <v>0</v>
      </c>
      <c r="CD92" s="220">
        <v>0</v>
      </c>
      <c r="CE92" s="220">
        <v>0</v>
      </c>
      <c r="CF92" s="220">
        <v>0</v>
      </c>
      <c r="CG92" s="220">
        <v>0</v>
      </c>
      <c r="CH92" s="220">
        <v>0</v>
      </c>
      <c r="CI92" s="220">
        <v>0</v>
      </c>
      <c r="CJ92" s="220">
        <v>0</v>
      </c>
      <c r="CK92" s="220">
        <v>0</v>
      </c>
      <c r="CL92" s="220">
        <v>0</v>
      </c>
      <c r="CM92" s="220">
        <v>4382</v>
      </c>
      <c r="CN92" s="220">
        <v>7891</v>
      </c>
      <c r="CO92" s="220">
        <v>0</v>
      </c>
      <c r="CP92" s="220">
        <v>0</v>
      </c>
      <c r="CQ92" s="220">
        <v>0</v>
      </c>
      <c r="CR92" s="220">
        <v>0</v>
      </c>
      <c r="CS92" s="220">
        <v>0</v>
      </c>
      <c r="CT92" s="220">
        <v>0</v>
      </c>
      <c r="CU92" s="220">
        <v>0</v>
      </c>
      <c r="CV92" s="220">
        <v>0</v>
      </c>
      <c r="CW92" s="220">
        <v>0</v>
      </c>
      <c r="CX92" s="220">
        <v>0</v>
      </c>
      <c r="CY92" s="220">
        <v>0</v>
      </c>
      <c r="CZ92" s="220">
        <v>0</v>
      </c>
      <c r="DA92" s="220">
        <v>0</v>
      </c>
      <c r="DB92" s="220">
        <v>0</v>
      </c>
      <c r="DC92" s="220">
        <v>0</v>
      </c>
      <c r="DD92" s="220">
        <v>12</v>
      </c>
      <c r="DE92" s="220">
        <v>0</v>
      </c>
      <c r="DF92" s="220">
        <v>0</v>
      </c>
      <c r="DG92" s="220">
        <v>0</v>
      </c>
      <c r="DH92" s="220">
        <v>1</v>
      </c>
      <c r="DI92" s="220">
        <v>0</v>
      </c>
      <c r="DJ92" s="220">
        <v>1</v>
      </c>
      <c r="DK92" s="220">
        <v>0</v>
      </c>
      <c r="DL92" s="220">
        <v>0</v>
      </c>
      <c r="DM92" s="220">
        <v>4</v>
      </c>
      <c r="DN92" s="220">
        <v>73</v>
      </c>
      <c r="DO92" s="220">
        <v>0</v>
      </c>
      <c r="DP92" s="221">
        <v>12861</v>
      </c>
      <c r="DQ92" s="71">
        <f>TRP!AF214</f>
        <v>12861</v>
      </c>
      <c r="DR92" s="71">
        <f t="shared" si="4"/>
        <v>0</v>
      </c>
    </row>
    <row r="93" spans="2:122" x14ac:dyDescent="0.25">
      <c r="B93" s="223" t="s">
        <v>76</v>
      </c>
      <c r="C93" s="222" t="s">
        <v>272</v>
      </c>
      <c r="D93" s="220">
        <v>19</v>
      </c>
      <c r="E93" s="220">
        <v>0</v>
      </c>
      <c r="F93" s="220">
        <v>0</v>
      </c>
      <c r="G93" s="220">
        <v>103</v>
      </c>
      <c r="H93" s="220">
        <v>94</v>
      </c>
      <c r="I93" s="220">
        <v>130</v>
      </c>
      <c r="J93" s="220">
        <v>49</v>
      </c>
      <c r="K93" s="220">
        <v>219</v>
      </c>
      <c r="L93" s="220">
        <v>1</v>
      </c>
      <c r="M93" s="220">
        <v>122</v>
      </c>
      <c r="N93" s="220">
        <v>13</v>
      </c>
      <c r="O93" s="220">
        <v>352</v>
      </c>
      <c r="P93" s="220">
        <v>450</v>
      </c>
      <c r="Q93" s="220">
        <v>165</v>
      </c>
      <c r="R93" s="220">
        <v>112</v>
      </c>
      <c r="S93" s="220">
        <v>1</v>
      </c>
      <c r="T93" s="220">
        <v>24</v>
      </c>
      <c r="U93" s="220">
        <v>17</v>
      </c>
      <c r="V93" s="220">
        <v>22</v>
      </c>
      <c r="W93" s="220">
        <v>14</v>
      </c>
      <c r="X93" s="220">
        <v>147</v>
      </c>
      <c r="Y93" s="220">
        <v>100</v>
      </c>
      <c r="Z93" s="220">
        <v>30</v>
      </c>
      <c r="AA93" s="220">
        <v>45</v>
      </c>
      <c r="AB93" s="220">
        <v>246</v>
      </c>
      <c r="AC93" s="220">
        <v>6</v>
      </c>
      <c r="AD93" s="220">
        <v>24</v>
      </c>
      <c r="AE93" s="220">
        <v>33</v>
      </c>
      <c r="AF93" s="220">
        <v>86</v>
      </c>
      <c r="AG93" s="220">
        <v>98</v>
      </c>
      <c r="AH93" s="220">
        <v>53</v>
      </c>
      <c r="AI93" s="220">
        <v>2</v>
      </c>
      <c r="AJ93" s="220">
        <v>57</v>
      </c>
      <c r="AK93" s="220">
        <v>5</v>
      </c>
      <c r="AL93" s="220">
        <v>7</v>
      </c>
      <c r="AM93" s="220">
        <v>57</v>
      </c>
      <c r="AN93" s="220">
        <v>97</v>
      </c>
      <c r="AO93" s="220">
        <v>7</v>
      </c>
      <c r="AP93" s="220">
        <v>65</v>
      </c>
      <c r="AQ93" s="220">
        <v>0</v>
      </c>
      <c r="AR93" s="220">
        <v>16</v>
      </c>
      <c r="AS93" s="220">
        <v>46</v>
      </c>
      <c r="AT93" s="220">
        <v>130</v>
      </c>
      <c r="AU93" s="220">
        <v>33</v>
      </c>
      <c r="AV93" s="220">
        <v>28</v>
      </c>
      <c r="AW93" s="220">
        <v>5</v>
      </c>
      <c r="AX93" s="220">
        <v>105</v>
      </c>
      <c r="AY93" s="220">
        <v>82</v>
      </c>
      <c r="AZ93" s="220">
        <v>120</v>
      </c>
      <c r="BA93" s="220">
        <v>36</v>
      </c>
      <c r="BB93" s="220">
        <v>138</v>
      </c>
      <c r="BC93" s="220">
        <v>79</v>
      </c>
      <c r="BD93" s="220">
        <v>10</v>
      </c>
      <c r="BE93" s="220">
        <v>1</v>
      </c>
      <c r="BF93" s="220">
        <v>121</v>
      </c>
      <c r="BG93" s="220">
        <v>272</v>
      </c>
      <c r="BH93" s="220">
        <v>83</v>
      </c>
      <c r="BI93" s="220">
        <v>77</v>
      </c>
      <c r="BJ93" s="220">
        <v>108</v>
      </c>
      <c r="BK93" s="220">
        <v>92</v>
      </c>
      <c r="BL93" s="220">
        <v>18</v>
      </c>
      <c r="BM93" s="220">
        <v>162</v>
      </c>
      <c r="BN93" s="220">
        <v>76</v>
      </c>
      <c r="BO93" s="220">
        <v>0</v>
      </c>
      <c r="BP93" s="220">
        <v>0</v>
      </c>
      <c r="BQ93" s="220">
        <v>0</v>
      </c>
      <c r="BR93" s="220">
        <v>10</v>
      </c>
      <c r="BS93" s="220">
        <v>99</v>
      </c>
      <c r="BT93" s="220">
        <v>141</v>
      </c>
      <c r="BU93" s="220">
        <v>41</v>
      </c>
      <c r="BV93" s="220">
        <v>52</v>
      </c>
      <c r="BW93" s="220">
        <v>165</v>
      </c>
      <c r="BX93" s="220">
        <v>84</v>
      </c>
      <c r="BY93" s="220">
        <v>762</v>
      </c>
      <c r="BZ93" s="220">
        <v>9438</v>
      </c>
      <c r="CA93" s="220">
        <v>4979</v>
      </c>
      <c r="CB93" s="220">
        <v>6</v>
      </c>
      <c r="CC93" s="220">
        <v>184</v>
      </c>
      <c r="CD93" s="220">
        <v>634</v>
      </c>
      <c r="CE93" s="220">
        <v>128</v>
      </c>
      <c r="CF93" s="220">
        <v>163</v>
      </c>
      <c r="CG93" s="220">
        <v>164</v>
      </c>
      <c r="CH93" s="220">
        <v>123</v>
      </c>
      <c r="CI93" s="220">
        <v>218</v>
      </c>
      <c r="CJ93" s="220">
        <v>2633</v>
      </c>
      <c r="CK93" s="220">
        <v>1040</v>
      </c>
      <c r="CL93" s="220">
        <v>719</v>
      </c>
      <c r="CM93" s="220">
        <v>1082</v>
      </c>
      <c r="CN93" s="220">
        <v>2815</v>
      </c>
      <c r="CO93" s="220">
        <v>1038</v>
      </c>
      <c r="CP93" s="220">
        <v>1624</v>
      </c>
      <c r="CQ93" s="220">
        <v>1545</v>
      </c>
      <c r="CR93" s="220">
        <v>1249</v>
      </c>
      <c r="CS93" s="220">
        <v>85</v>
      </c>
      <c r="CT93" s="220">
        <v>1482</v>
      </c>
      <c r="CU93" s="220">
        <v>319</v>
      </c>
      <c r="CV93" s="220">
        <v>32</v>
      </c>
      <c r="CW93" s="220">
        <v>3465</v>
      </c>
      <c r="CX93" s="220">
        <v>108</v>
      </c>
      <c r="CY93" s="220">
        <v>798</v>
      </c>
      <c r="CZ93" s="220">
        <v>54</v>
      </c>
      <c r="DA93" s="220">
        <v>2196</v>
      </c>
      <c r="DB93" s="220">
        <v>1065</v>
      </c>
      <c r="DC93" s="220">
        <v>276</v>
      </c>
      <c r="DD93" s="220">
        <v>162</v>
      </c>
      <c r="DE93" s="220">
        <v>214</v>
      </c>
      <c r="DF93" s="220">
        <v>0</v>
      </c>
      <c r="DG93" s="220">
        <v>187</v>
      </c>
      <c r="DH93" s="220">
        <v>224</v>
      </c>
      <c r="DI93" s="220">
        <v>836</v>
      </c>
      <c r="DJ93" s="220">
        <v>139</v>
      </c>
      <c r="DK93" s="220">
        <v>15</v>
      </c>
      <c r="DL93" s="220">
        <v>385</v>
      </c>
      <c r="DM93" s="220">
        <v>647</v>
      </c>
      <c r="DN93" s="220">
        <v>2501</v>
      </c>
      <c r="DO93" s="220">
        <v>418</v>
      </c>
      <c r="DP93" s="221">
        <v>51654</v>
      </c>
      <c r="DQ93" s="71">
        <f>TRP!AF215</f>
        <v>51654</v>
      </c>
      <c r="DR93" s="71">
        <f t="shared" si="4"/>
        <v>0</v>
      </c>
    </row>
    <row r="94" spans="2:122" x14ac:dyDescent="0.25">
      <c r="B94" s="223" t="s">
        <v>303</v>
      </c>
      <c r="C94" s="222" t="s">
        <v>273</v>
      </c>
      <c r="D94" s="220">
        <v>19</v>
      </c>
      <c r="E94" s="220">
        <v>13</v>
      </c>
      <c r="F94" s="220">
        <v>2</v>
      </c>
      <c r="G94" s="220">
        <v>33</v>
      </c>
      <c r="H94" s="220">
        <v>46</v>
      </c>
      <c r="I94" s="220">
        <v>74</v>
      </c>
      <c r="J94" s="220">
        <v>25</v>
      </c>
      <c r="K94" s="220">
        <v>118</v>
      </c>
      <c r="L94" s="220">
        <v>2</v>
      </c>
      <c r="M94" s="220">
        <v>42</v>
      </c>
      <c r="N94" s="220">
        <v>9</v>
      </c>
      <c r="O94" s="220">
        <v>377</v>
      </c>
      <c r="P94" s="220">
        <v>141</v>
      </c>
      <c r="Q94" s="220">
        <v>87</v>
      </c>
      <c r="R94" s="220">
        <v>47</v>
      </c>
      <c r="S94" s="220">
        <v>11</v>
      </c>
      <c r="T94" s="220">
        <v>16</v>
      </c>
      <c r="U94" s="220">
        <v>9</v>
      </c>
      <c r="V94" s="220">
        <v>8</v>
      </c>
      <c r="W94" s="220">
        <v>12</v>
      </c>
      <c r="X94" s="220">
        <v>141</v>
      </c>
      <c r="Y94" s="220">
        <v>44</v>
      </c>
      <c r="Z94" s="220">
        <v>10</v>
      </c>
      <c r="AA94" s="220">
        <v>15</v>
      </c>
      <c r="AB94" s="220">
        <v>127</v>
      </c>
      <c r="AC94" s="220">
        <v>7</v>
      </c>
      <c r="AD94" s="220">
        <v>31</v>
      </c>
      <c r="AE94" s="220">
        <v>31</v>
      </c>
      <c r="AF94" s="220">
        <v>70</v>
      </c>
      <c r="AG94" s="220">
        <v>96</v>
      </c>
      <c r="AH94" s="220">
        <v>12</v>
      </c>
      <c r="AI94" s="220">
        <v>9</v>
      </c>
      <c r="AJ94" s="220">
        <v>35</v>
      </c>
      <c r="AK94" s="220">
        <v>7</v>
      </c>
      <c r="AL94" s="220">
        <v>4</v>
      </c>
      <c r="AM94" s="220">
        <v>28</v>
      </c>
      <c r="AN94" s="220">
        <v>25</v>
      </c>
      <c r="AO94" s="220">
        <v>20</v>
      </c>
      <c r="AP94" s="220">
        <v>50</v>
      </c>
      <c r="AQ94" s="220">
        <v>0</v>
      </c>
      <c r="AR94" s="220">
        <v>14</v>
      </c>
      <c r="AS94" s="220">
        <v>20</v>
      </c>
      <c r="AT94" s="220">
        <v>65</v>
      </c>
      <c r="AU94" s="220">
        <v>37</v>
      </c>
      <c r="AV94" s="220">
        <v>11</v>
      </c>
      <c r="AW94" s="220">
        <v>8</v>
      </c>
      <c r="AX94" s="220">
        <v>20</v>
      </c>
      <c r="AY94" s="220">
        <v>22</v>
      </c>
      <c r="AZ94" s="220">
        <v>36</v>
      </c>
      <c r="BA94" s="220">
        <v>26</v>
      </c>
      <c r="BB94" s="220">
        <v>35</v>
      </c>
      <c r="BC94" s="220">
        <v>48</v>
      </c>
      <c r="BD94" s="220">
        <v>2</v>
      </c>
      <c r="BE94" s="220">
        <v>23</v>
      </c>
      <c r="BF94" s="220">
        <v>49</v>
      </c>
      <c r="BG94" s="220">
        <v>34</v>
      </c>
      <c r="BH94" s="220">
        <v>25</v>
      </c>
      <c r="BI94" s="220">
        <v>13</v>
      </c>
      <c r="BJ94" s="220">
        <v>43</v>
      </c>
      <c r="BK94" s="220">
        <v>42</v>
      </c>
      <c r="BL94" s="220">
        <v>32</v>
      </c>
      <c r="BM94" s="220">
        <v>93</v>
      </c>
      <c r="BN94" s="220">
        <v>26</v>
      </c>
      <c r="BO94" s="220">
        <v>0</v>
      </c>
      <c r="BP94" s="220">
        <v>9</v>
      </c>
      <c r="BQ94" s="220">
        <v>0</v>
      </c>
      <c r="BR94" s="220">
        <v>8</v>
      </c>
      <c r="BS94" s="220">
        <v>27</v>
      </c>
      <c r="BT94" s="220">
        <v>238</v>
      </c>
      <c r="BU94" s="220">
        <v>47</v>
      </c>
      <c r="BV94" s="220">
        <v>47</v>
      </c>
      <c r="BW94" s="220">
        <v>499</v>
      </c>
      <c r="BX94" s="220">
        <v>136</v>
      </c>
      <c r="BY94" s="220">
        <v>597</v>
      </c>
      <c r="BZ94" s="220">
        <v>3530</v>
      </c>
      <c r="CA94" s="220">
        <v>2157</v>
      </c>
      <c r="CB94" s="220">
        <v>6</v>
      </c>
      <c r="CC94" s="220">
        <v>42</v>
      </c>
      <c r="CD94" s="220">
        <v>91</v>
      </c>
      <c r="CE94" s="220">
        <v>64</v>
      </c>
      <c r="CF94" s="220">
        <v>93</v>
      </c>
      <c r="CG94" s="220">
        <v>46</v>
      </c>
      <c r="CH94" s="220">
        <v>62</v>
      </c>
      <c r="CI94" s="220">
        <v>56</v>
      </c>
      <c r="CJ94" s="220">
        <v>4772</v>
      </c>
      <c r="CK94" s="220">
        <v>605</v>
      </c>
      <c r="CL94" s="220">
        <v>454</v>
      </c>
      <c r="CM94" s="220">
        <v>319</v>
      </c>
      <c r="CN94" s="220">
        <v>525</v>
      </c>
      <c r="CO94" s="220">
        <v>10667</v>
      </c>
      <c r="CP94" s="220">
        <v>1807</v>
      </c>
      <c r="CQ94" s="220">
        <v>1299</v>
      </c>
      <c r="CR94" s="220">
        <v>979</v>
      </c>
      <c r="CS94" s="220">
        <v>180</v>
      </c>
      <c r="CT94" s="220">
        <v>1152</v>
      </c>
      <c r="CU94" s="220">
        <v>636</v>
      </c>
      <c r="CV94" s="220">
        <v>144</v>
      </c>
      <c r="CW94" s="220">
        <v>2781</v>
      </c>
      <c r="CX94" s="220">
        <v>62</v>
      </c>
      <c r="CY94" s="220">
        <v>428</v>
      </c>
      <c r="CZ94" s="220">
        <v>44</v>
      </c>
      <c r="DA94" s="220">
        <v>603</v>
      </c>
      <c r="DB94" s="220">
        <v>645</v>
      </c>
      <c r="DC94" s="220">
        <v>344</v>
      </c>
      <c r="DD94" s="220">
        <v>267</v>
      </c>
      <c r="DE94" s="220">
        <v>130</v>
      </c>
      <c r="DF94" s="220">
        <v>0</v>
      </c>
      <c r="DG94" s="220">
        <v>224</v>
      </c>
      <c r="DH94" s="220">
        <v>349</v>
      </c>
      <c r="DI94" s="220">
        <v>435</v>
      </c>
      <c r="DJ94" s="220">
        <v>218</v>
      </c>
      <c r="DK94" s="220">
        <v>18</v>
      </c>
      <c r="DL94" s="220">
        <v>312</v>
      </c>
      <c r="DM94" s="220">
        <v>79</v>
      </c>
      <c r="DN94" s="220">
        <v>2437</v>
      </c>
      <c r="DO94" s="220">
        <v>174</v>
      </c>
      <c r="DP94" s="221">
        <v>43421</v>
      </c>
      <c r="DQ94" s="71">
        <f>TRP!AF216</f>
        <v>43421</v>
      </c>
      <c r="DR94" s="71">
        <f t="shared" si="4"/>
        <v>0</v>
      </c>
    </row>
    <row r="95" spans="2:122" x14ac:dyDescent="0.25">
      <c r="B95" s="218" t="s">
        <v>161</v>
      </c>
      <c r="C95" s="222" t="s">
        <v>274</v>
      </c>
      <c r="D95" s="220">
        <v>0</v>
      </c>
      <c r="E95" s="220">
        <v>3</v>
      </c>
      <c r="F95" s="220">
        <v>4</v>
      </c>
      <c r="G95" s="220">
        <v>127</v>
      </c>
      <c r="H95" s="220">
        <v>125</v>
      </c>
      <c r="I95" s="220">
        <v>79</v>
      </c>
      <c r="J95" s="220">
        <v>80</v>
      </c>
      <c r="K95" s="220">
        <v>670</v>
      </c>
      <c r="L95" s="220">
        <v>11</v>
      </c>
      <c r="M95" s="220">
        <v>125</v>
      </c>
      <c r="N95" s="220">
        <v>29</v>
      </c>
      <c r="O95" s="220">
        <v>648</v>
      </c>
      <c r="P95" s="220">
        <v>306</v>
      </c>
      <c r="Q95" s="220">
        <v>278</v>
      </c>
      <c r="R95" s="220">
        <v>73</v>
      </c>
      <c r="S95" s="220">
        <v>13</v>
      </c>
      <c r="T95" s="220">
        <v>57</v>
      </c>
      <c r="U95" s="220">
        <v>23</v>
      </c>
      <c r="V95" s="220">
        <v>68</v>
      </c>
      <c r="W95" s="220">
        <v>37</v>
      </c>
      <c r="X95" s="220">
        <v>114</v>
      </c>
      <c r="Y95" s="220">
        <v>108</v>
      </c>
      <c r="Z95" s="220">
        <v>151</v>
      </c>
      <c r="AA95" s="220">
        <v>68</v>
      </c>
      <c r="AB95" s="220">
        <v>392</v>
      </c>
      <c r="AC95" s="220">
        <v>12</v>
      </c>
      <c r="AD95" s="220">
        <v>29</v>
      </c>
      <c r="AE95" s="220">
        <v>22</v>
      </c>
      <c r="AF95" s="220">
        <v>120</v>
      </c>
      <c r="AG95" s="220">
        <v>98</v>
      </c>
      <c r="AH95" s="220">
        <v>8</v>
      </c>
      <c r="AI95" s="220">
        <v>11</v>
      </c>
      <c r="AJ95" s="220">
        <v>73</v>
      </c>
      <c r="AK95" s="220">
        <v>11</v>
      </c>
      <c r="AL95" s="220">
        <v>36</v>
      </c>
      <c r="AM95" s="220">
        <v>40</v>
      </c>
      <c r="AN95" s="220">
        <v>236</v>
      </c>
      <c r="AO95" s="220">
        <v>11</v>
      </c>
      <c r="AP95" s="220">
        <v>182</v>
      </c>
      <c r="AQ95" s="220">
        <v>0</v>
      </c>
      <c r="AR95" s="220">
        <v>3</v>
      </c>
      <c r="AS95" s="220">
        <v>39</v>
      </c>
      <c r="AT95" s="220">
        <v>44</v>
      </c>
      <c r="AU95" s="220">
        <v>36</v>
      </c>
      <c r="AV95" s="220">
        <v>29</v>
      </c>
      <c r="AW95" s="220">
        <v>24</v>
      </c>
      <c r="AX95" s="220">
        <v>72</v>
      </c>
      <c r="AY95" s="220">
        <v>42</v>
      </c>
      <c r="AZ95" s="220">
        <v>71</v>
      </c>
      <c r="BA95" s="220">
        <v>46</v>
      </c>
      <c r="BB95" s="220">
        <v>128</v>
      </c>
      <c r="BC95" s="220">
        <v>189</v>
      </c>
      <c r="BD95" s="220">
        <v>2</v>
      </c>
      <c r="BE95" s="220">
        <v>17</v>
      </c>
      <c r="BF95" s="220">
        <v>239</v>
      </c>
      <c r="BG95" s="220">
        <v>65</v>
      </c>
      <c r="BH95" s="220">
        <v>30</v>
      </c>
      <c r="BI95" s="220">
        <v>42</v>
      </c>
      <c r="BJ95" s="220">
        <v>119</v>
      </c>
      <c r="BK95" s="220">
        <v>80</v>
      </c>
      <c r="BL95" s="220">
        <v>12</v>
      </c>
      <c r="BM95" s="220">
        <v>94</v>
      </c>
      <c r="BN95" s="220">
        <v>55</v>
      </c>
      <c r="BO95" s="220">
        <v>3</v>
      </c>
      <c r="BP95" s="220">
        <v>4</v>
      </c>
      <c r="BQ95" s="220">
        <v>0</v>
      </c>
      <c r="BR95" s="220">
        <v>10</v>
      </c>
      <c r="BS95" s="220">
        <v>396</v>
      </c>
      <c r="BT95" s="220">
        <v>343</v>
      </c>
      <c r="BU95" s="220">
        <v>228</v>
      </c>
      <c r="BV95" s="220">
        <v>276</v>
      </c>
      <c r="BW95" s="220">
        <v>743</v>
      </c>
      <c r="BX95" s="220">
        <v>400</v>
      </c>
      <c r="BY95" s="220">
        <v>439</v>
      </c>
      <c r="BZ95" s="220">
        <v>2170</v>
      </c>
      <c r="CA95" s="220">
        <v>1241</v>
      </c>
      <c r="CB95" s="220">
        <v>48</v>
      </c>
      <c r="CC95" s="220">
        <v>91</v>
      </c>
      <c r="CD95" s="220">
        <v>105</v>
      </c>
      <c r="CE95" s="220">
        <v>114</v>
      </c>
      <c r="CF95" s="220">
        <v>213</v>
      </c>
      <c r="CG95" s="220">
        <v>117</v>
      </c>
      <c r="CH95" s="220">
        <v>80</v>
      </c>
      <c r="CI95" s="220">
        <v>86</v>
      </c>
      <c r="CJ95" s="220">
        <v>5888</v>
      </c>
      <c r="CK95" s="220">
        <v>785</v>
      </c>
      <c r="CL95" s="220">
        <v>828</v>
      </c>
      <c r="CM95" s="220">
        <v>568</v>
      </c>
      <c r="CN95" s="220">
        <v>1040</v>
      </c>
      <c r="CO95" s="220">
        <v>1434</v>
      </c>
      <c r="CP95" s="220">
        <v>5584</v>
      </c>
      <c r="CQ95" s="220">
        <v>495</v>
      </c>
      <c r="CR95" s="220">
        <v>855</v>
      </c>
      <c r="CS95" s="220">
        <v>87</v>
      </c>
      <c r="CT95" s="220">
        <v>887</v>
      </c>
      <c r="CU95" s="220">
        <v>128</v>
      </c>
      <c r="CV95" s="220">
        <v>50</v>
      </c>
      <c r="CW95" s="220">
        <v>1628</v>
      </c>
      <c r="CX95" s="220">
        <v>120</v>
      </c>
      <c r="CY95" s="220">
        <v>471</v>
      </c>
      <c r="CZ95" s="220">
        <v>44</v>
      </c>
      <c r="DA95" s="220">
        <v>314</v>
      </c>
      <c r="DB95" s="220">
        <v>76</v>
      </c>
      <c r="DC95" s="220">
        <v>55</v>
      </c>
      <c r="DD95" s="220">
        <v>68</v>
      </c>
      <c r="DE95" s="220">
        <v>51</v>
      </c>
      <c r="DF95" s="220">
        <v>0</v>
      </c>
      <c r="DG95" s="220">
        <v>42</v>
      </c>
      <c r="DH95" s="220">
        <v>99</v>
      </c>
      <c r="DI95" s="220">
        <v>75</v>
      </c>
      <c r="DJ95" s="220">
        <v>76</v>
      </c>
      <c r="DK95" s="220">
        <v>10</v>
      </c>
      <c r="DL95" s="220">
        <v>74</v>
      </c>
      <c r="DM95" s="220">
        <v>26</v>
      </c>
      <c r="DN95" s="220">
        <v>1309</v>
      </c>
      <c r="DO95" s="220">
        <v>178</v>
      </c>
      <c r="DP95" s="221">
        <v>36408</v>
      </c>
      <c r="DQ95" s="71">
        <f>TRP!AF217</f>
        <v>36408</v>
      </c>
      <c r="DR95" s="71">
        <f t="shared" si="4"/>
        <v>0</v>
      </c>
    </row>
    <row r="96" spans="2:122" x14ac:dyDescent="0.25">
      <c r="B96" s="218" t="s">
        <v>162</v>
      </c>
      <c r="C96" s="222" t="s">
        <v>275</v>
      </c>
      <c r="D96" s="220">
        <v>1361</v>
      </c>
      <c r="E96" s="220">
        <v>12</v>
      </c>
      <c r="F96" s="220">
        <v>8</v>
      </c>
      <c r="G96" s="220">
        <v>141</v>
      </c>
      <c r="H96" s="220">
        <v>133</v>
      </c>
      <c r="I96" s="220">
        <v>86</v>
      </c>
      <c r="J96" s="220">
        <v>122</v>
      </c>
      <c r="K96" s="220">
        <v>418</v>
      </c>
      <c r="L96" s="220">
        <v>1</v>
      </c>
      <c r="M96" s="220">
        <v>188</v>
      </c>
      <c r="N96" s="220">
        <v>32</v>
      </c>
      <c r="O96" s="220">
        <v>858</v>
      </c>
      <c r="P96" s="220">
        <v>489</v>
      </c>
      <c r="Q96" s="220">
        <v>306</v>
      </c>
      <c r="R96" s="220">
        <v>116</v>
      </c>
      <c r="S96" s="220">
        <v>40</v>
      </c>
      <c r="T96" s="220">
        <v>86</v>
      </c>
      <c r="U96" s="220">
        <v>36</v>
      </c>
      <c r="V96" s="220">
        <v>12</v>
      </c>
      <c r="W96" s="220">
        <v>24</v>
      </c>
      <c r="X96" s="220">
        <v>354</v>
      </c>
      <c r="Y96" s="220">
        <v>117</v>
      </c>
      <c r="Z96" s="220">
        <v>38</v>
      </c>
      <c r="AA96" s="220">
        <v>121</v>
      </c>
      <c r="AB96" s="220">
        <v>409</v>
      </c>
      <c r="AC96" s="220">
        <v>32</v>
      </c>
      <c r="AD96" s="220">
        <v>54</v>
      </c>
      <c r="AE96" s="220">
        <v>89</v>
      </c>
      <c r="AF96" s="220">
        <v>253</v>
      </c>
      <c r="AG96" s="220">
        <v>511</v>
      </c>
      <c r="AH96" s="220">
        <v>91</v>
      </c>
      <c r="AI96" s="220">
        <v>18</v>
      </c>
      <c r="AJ96" s="220">
        <v>266</v>
      </c>
      <c r="AK96" s="220">
        <v>16</v>
      </c>
      <c r="AL96" s="220">
        <v>12</v>
      </c>
      <c r="AM96" s="220">
        <v>47</v>
      </c>
      <c r="AN96" s="220">
        <v>112</v>
      </c>
      <c r="AO96" s="220">
        <v>97</v>
      </c>
      <c r="AP96" s="220">
        <v>145</v>
      </c>
      <c r="AQ96" s="220">
        <v>0</v>
      </c>
      <c r="AR96" s="220">
        <v>37</v>
      </c>
      <c r="AS96" s="220">
        <v>72</v>
      </c>
      <c r="AT96" s="220">
        <v>275</v>
      </c>
      <c r="AU96" s="220">
        <v>83</v>
      </c>
      <c r="AV96" s="220">
        <v>100</v>
      </c>
      <c r="AW96" s="220">
        <v>27</v>
      </c>
      <c r="AX96" s="220">
        <v>144</v>
      </c>
      <c r="AY96" s="220">
        <v>158</v>
      </c>
      <c r="AZ96" s="220">
        <v>169</v>
      </c>
      <c r="BA96" s="220">
        <v>37</v>
      </c>
      <c r="BB96" s="220">
        <v>163</v>
      </c>
      <c r="BC96" s="220">
        <v>138</v>
      </c>
      <c r="BD96" s="220">
        <v>5</v>
      </c>
      <c r="BE96" s="220">
        <v>95</v>
      </c>
      <c r="BF96" s="220">
        <v>415</v>
      </c>
      <c r="BG96" s="220">
        <v>325</v>
      </c>
      <c r="BH96" s="220">
        <v>146</v>
      </c>
      <c r="BI96" s="220">
        <v>87</v>
      </c>
      <c r="BJ96" s="220">
        <v>316</v>
      </c>
      <c r="BK96" s="220">
        <v>154</v>
      </c>
      <c r="BL96" s="220">
        <v>42</v>
      </c>
      <c r="BM96" s="220">
        <v>112</v>
      </c>
      <c r="BN96" s="220">
        <v>65</v>
      </c>
      <c r="BO96" s="220">
        <v>0</v>
      </c>
      <c r="BP96" s="220">
        <v>9</v>
      </c>
      <c r="BQ96" s="220">
        <v>0</v>
      </c>
      <c r="BR96" s="220">
        <v>12</v>
      </c>
      <c r="BS96" s="220">
        <v>377</v>
      </c>
      <c r="BT96" s="220">
        <v>383</v>
      </c>
      <c r="BU96" s="220">
        <v>109</v>
      </c>
      <c r="BV96" s="220">
        <v>215</v>
      </c>
      <c r="BW96" s="220">
        <v>1799</v>
      </c>
      <c r="BX96" s="220">
        <v>452</v>
      </c>
      <c r="BY96" s="220">
        <v>493</v>
      </c>
      <c r="BZ96" s="220">
        <v>2976</v>
      </c>
      <c r="CA96" s="220">
        <v>1647</v>
      </c>
      <c r="CB96" s="220">
        <v>5</v>
      </c>
      <c r="CC96" s="220">
        <v>116</v>
      </c>
      <c r="CD96" s="220">
        <v>333</v>
      </c>
      <c r="CE96" s="220">
        <v>130</v>
      </c>
      <c r="CF96" s="220">
        <v>188</v>
      </c>
      <c r="CG96" s="220">
        <v>205</v>
      </c>
      <c r="CH96" s="220">
        <v>154</v>
      </c>
      <c r="CI96" s="220">
        <v>254</v>
      </c>
      <c r="CJ96" s="220">
        <v>2268</v>
      </c>
      <c r="CK96" s="220">
        <v>1690</v>
      </c>
      <c r="CL96" s="220">
        <v>1438</v>
      </c>
      <c r="CM96" s="220">
        <v>594</v>
      </c>
      <c r="CN96" s="220">
        <v>1848</v>
      </c>
      <c r="CO96" s="220">
        <v>768</v>
      </c>
      <c r="CP96" s="220">
        <v>826</v>
      </c>
      <c r="CQ96" s="220">
        <v>5746</v>
      </c>
      <c r="CR96" s="220">
        <v>1117</v>
      </c>
      <c r="CS96" s="220">
        <v>96</v>
      </c>
      <c r="CT96" s="220">
        <v>1111</v>
      </c>
      <c r="CU96" s="220">
        <v>339</v>
      </c>
      <c r="CV96" s="220">
        <v>104</v>
      </c>
      <c r="CW96" s="220">
        <v>2243</v>
      </c>
      <c r="CX96" s="220">
        <v>103</v>
      </c>
      <c r="CY96" s="220">
        <v>397</v>
      </c>
      <c r="CZ96" s="220">
        <v>88</v>
      </c>
      <c r="DA96" s="220">
        <v>1299</v>
      </c>
      <c r="DB96" s="220">
        <v>361</v>
      </c>
      <c r="DC96" s="220">
        <v>474</v>
      </c>
      <c r="DD96" s="220">
        <v>282</v>
      </c>
      <c r="DE96" s="220">
        <v>129</v>
      </c>
      <c r="DF96" s="220">
        <v>0</v>
      </c>
      <c r="DG96" s="220">
        <v>175</v>
      </c>
      <c r="DH96" s="220">
        <v>501</v>
      </c>
      <c r="DI96" s="220">
        <v>279</v>
      </c>
      <c r="DJ96" s="220">
        <v>131</v>
      </c>
      <c r="DK96" s="220">
        <v>9</v>
      </c>
      <c r="DL96" s="220">
        <v>872</v>
      </c>
      <c r="DM96" s="220">
        <v>784</v>
      </c>
      <c r="DN96" s="220">
        <v>3515</v>
      </c>
      <c r="DO96" s="220">
        <v>475</v>
      </c>
      <c r="DP96" s="221">
        <v>50335</v>
      </c>
      <c r="DQ96" s="71">
        <f>TRP!AF218</f>
        <v>50335</v>
      </c>
      <c r="DR96" s="71">
        <f t="shared" si="4"/>
        <v>0</v>
      </c>
    </row>
    <row r="97" spans="2:122" x14ac:dyDescent="0.25">
      <c r="B97" s="218" t="s">
        <v>163</v>
      </c>
      <c r="C97" s="222" t="s">
        <v>276</v>
      </c>
      <c r="D97" s="220">
        <v>0</v>
      </c>
      <c r="E97" s="220">
        <v>15</v>
      </c>
      <c r="F97" s="220">
        <v>1</v>
      </c>
      <c r="G97" s="220">
        <v>95</v>
      </c>
      <c r="H97" s="220">
        <v>100</v>
      </c>
      <c r="I97" s="220">
        <v>135</v>
      </c>
      <c r="J97" s="220">
        <v>106</v>
      </c>
      <c r="K97" s="220">
        <v>168</v>
      </c>
      <c r="L97" s="220">
        <v>1</v>
      </c>
      <c r="M97" s="220">
        <v>95</v>
      </c>
      <c r="N97" s="220">
        <v>26</v>
      </c>
      <c r="O97" s="220">
        <v>648</v>
      </c>
      <c r="P97" s="220">
        <v>567</v>
      </c>
      <c r="Q97" s="220">
        <v>326</v>
      </c>
      <c r="R97" s="220">
        <v>150</v>
      </c>
      <c r="S97" s="220">
        <v>23</v>
      </c>
      <c r="T97" s="220">
        <v>50</v>
      </c>
      <c r="U97" s="220">
        <v>33</v>
      </c>
      <c r="V97" s="220">
        <v>10</v>
      </c>
      <c r="W97" s="220">
        <v>16</v>
      </c>
      <c r="X97" s="220">
        <v>244</v>
      </c>
      <c r="Y97" s="220">
        <v>130</v>
      </c>
      <c r="Z97" s="220">
        <v>25</v>
      </c>
      <c r="AA97" s="220">
        <v>79</v>
      </c>
      <c r="AB97" s="220">
        <v>331</v>
      </c>
      <c r="AC97" s="220">
        <v>9</v>
      </c>
      <c r="AD97" s="220">
        <v>53</v>
      </c>
      <c r="AE97" s="220">
        <v>58</v>
      </c>
      <c r="AF97" s="220">
        <v>189</v>
      </c>
      <c r="AG97" s="220">
        <v>269</v>
      </c>
      <c r="AH97" s="220">
        <v>55</v>
      </c>
      <c r="AI97" s="220">
        <v>12</v>
      </c>
      <c r="AJ97" s="220">
        <v>168</v>
      </c>
      <c r="AK97" s="220">
        <v>17</v>
      </c>
      <c r="AL97" s="220">
        <v>19</v>
      </c>
      <c r="AM97" s="220">
        <v>38</v>
      </c>
      <c r="AN97" s="220">
        <v>120</v>
      </c>
      <c r="AO97" s="220">
        <v>87</v>
      </c>
      <c r="AP97" s="220">
        <v>121</v>
      </c>
      <c r="AQ97" s="220">
        <v>0</v>
      </c>
      <c r="AR97" s="220">
        <v>6</v>
      </c>
      <c r="AS97" s="220">
        <v>75</v>
      </c>
      <c r="AT97" s="220">
        <v>189</v>
      </c>
      <c r="AU97" s="220">
        <v>74</v>
      </c>
      <c r="AV97" s="220">
        <v>90</v>
      </c>
      <c r="AW97" s="220">
        <v>23</v>
      </c>
      <c r="AX97" s="220">
        <v>89</v>
      </c>
      <c r="AY97" s="220">
        <v>130</v>
      </c>
      <c r="AZ97" s="220">
        <v>139</v>
      </c>
      <c r="BA97" s="220">
        <v>38</v>
      </c>
      <c r="BB97" s="220">
        <v>121</v>
      </c>
      <c r="BC97" s="220">
        <v>81</v>
      </c>
      <c r="BD97" s="220">
        <v>1</v>
      </c>
      <c r="BE97" s="220">
        <v>87</v>
      </c>
      <c r="BF97" s="220">
        <v>478</v>
      </c>
      <c r="BG97" s="220">
        <v>290</v>
      </c>
      <c r="BH97" s="220">
        <v>142</v>
      </c>
      <c r="BI97" s="220">
        <v>151</v>
      </c>
      <c r="BJ97" s="220">
        <v>255</v>
      </c>
      <c r="BK97" s="220">
        <v>144</v>
      </c>
      <c r="BL97" s="220">
        <v>52</v>
      </c>
      <c r="BM97" s="220">
        <v>96</v>
      </c>
      <c r="BN97" s="220">
        <v>63</v>
      </c>
      <c r="BO97" s="220">
        <v>0</v>
      </c>
      <c r="BP97" s="220">
        <v>9</v>
      </c>
      <c r="BQ97" s="220">
        <v>0</v>
      </c>
      <c r="BR97" s="220">
        <v>36</v>
      </c>
      <c r="BS97" s="220">
        <v>501</v>
      </c>
      <c r="BT97" s="220">
        <v>348</v>
      </c>
      <c r="BU97" s="220">
        <v>48</v>
      </c>
      <c r="BV97" s="220">
        <v>245</v>
      </c>
      <c r="BW97" s="220">
        <v>1951</v>
      </c>
      <c r="BX97" s="220">
        <v>571</v>
      </c>
      <c r="BY97" s="220">
        <v>526</v>
      </c>
      <c r="BZ97" s="220">
        <v>5873</v>
      </c>
      <c r="CA97" s="220">
        <v>1643</v>
      </c>
      <c r="CB97" s="220">
        <v>11</v>
      </c>
      <c r="CC97" s="220">
        <v>141</v>
      </c>
      <c r="CD97" s="220">
        <v>358</v>
      </c>
      <c r="CE97" s="220">
        <v>252</v>
      </c>
      <c r="CF97" s="220">
        <v>217</v>
      </c>
      <c r="CG97" s="220">
        <v>198</v>
      </c>
      <c r="CH97" s="220">
        <v>145</v>
      </c>
      <c r="CI97" s="220">
        <v>189</v>
      </c>
      <c r="CJ97" s="220">
        <v>0</v>
      </c>
      <c r="CK97" s="220">
        <v>0</v>
      </c>
      <c r="CL97" s="220">
        <v>0</v>
      </c>
      <c r="CM97" s="220">
        <v>0</v>
      </c>
      <c r="CN97" s="220">
        <v>1328</v>
      </c>
      <c r="CO97" s="220">
        <v>772</v>
      </c>
      <c r="CP97" s="220">
        <v>1183</v>
      </c>
      <c r="CQ97" s="220">
        <v>1092</v>
      </c>
      <c r="CR97" s="220">
        <v>9396</v>
      </c>
      <c r="CS97" s="220">
        <v>90</v>
      </c>
      <c r="CT97" s="220">
        <v>976</v>
      </c>
      <c r="CU97" s="220">
        <v>280</v>
      </c>
      <c r="CV97" s="220">
        <v>118</v>
      </c>
      <c r="CW97" s="220">
        <v>1879</v>
      </c>
      <c r="CX97" s="220">
        <v>152</v>
      </c>
      <c r="CY97" s="220">
        <v>235</v>
      </c>
      <c r="CZ97" s="220">
        <v>0</v>
      </c>
      <c r="DA97" s="220">
        <v>837</v>
      </c>
      <c r="DB97" s="220">
        <v>294</v>
      </c>
      <c r="DC97" s="220">
        <v>130</v>
      </c>
      <c r="DD97" s="220">
        <v>0</v>
      </c>
      <c r="DE97" s="220">
        <v>253</v>
      </c>
      <c r="DF97" s="220">
        <v>0</v>
      </c>
      <c r="DG97" s="220">
        <v>245</v>
      </c>
      <c r="DH97" s="220">
        <v>0</v>
      </c>
      <c r="DI97" s="220">
        <v>239</v>
      </c>
      <c r="DJ97" s="220">
        <v>0</v>
      </c>
      <c r="DK97" s="220">
        <v>11</v>
      </c>
      <c r="DL97" s="220">
        <v>326</v>
      </c>
      <c r="DM97" s="220">
        <v>0</v>
      </c>
      <c r="DN97" s="220">
        <v>0</v>
      </c>
      <c r="DO97" s="220">
        <v>0</v>
      </c>
      <c r="DP97" s="221">
        <v>40501</v>
      </c>
      <c r="DQ97" s="71">
        <f>TRP!AF219</f>
        <v>40501</v>
      </c>
      <c r="DR97" s="71">
        <f t="shared" si="4"/>
        <v>0</v>
      </c>
    </row>
    <row r="98" spans="2:122" x14ac:dyDescent="0.25">
      <c r="B98" s="218" t="s">
        <v>164</v>
      </c>
      <c r="C98" s="222" t="s">
        <v>277</v>
      </c>
      <c r="D98" s="220">
        <v>0</v>
      </c>
      <c r="E98" s="220">
        <v>0</v>
      </c>
      <c r="F98" s="220">
        <v>0</v>
      </c>
      <c r="G98" s="220">
        <v>177</v>
      </c>
      <c r="H98" s="220">
        <v>537</v>
      </c>
      <c r="I98" s="220">
        <v>884</v>
      </c>
      <c r="J98" s="220">
        <v>203</v>
      </c>
      <c r="K98" s="220">
        <v>1572</v>
      </c>
      <c r="L98" s="220">
        <v>1</v>
      </c>
      <c r="M98" s="220">
        <v>487</v>
      </c>
      <c r="N98" s="220">
        <v>69</v>
      </c>
      <c r="O98" s="220">
        <v>923</v>
      </c>
      <c r="P98" s="220">
        <v>1163</v>
      </c>
      <c r="Q98" s="220">
        <v>1513</v>
      </c>
      <c r="R98" s="220">
        <v>207</v>
      </c>
      <c r="S98" s="220">
        <v>84</v>
      </c>
      <c r="T98" s="220">
        <v>251</v>
      </c>
      <c r="U98" s="220">
        <v>68</v>
      </c>
      <c r="V98" s="220">
        <v>59</v>
      </c>
      <c r="W98" s="220">
        <v>119</v>
      </c>
      <c r="X98" s="220">
        <v>1752</v>
      </c>
      <c r="Y98" s="220">
        <v>101</v>
      </c>
      <c r="Z98" s="220">
        <v>10</v>
      </c>
      <c r="AA98" s="220">
        <v>9</v>
      </c>
      <c r="AB98" s="220">
        <v>7</v>
      </c>
      <c r="AC98" s="220">
        <v>6</v>
      </c>
      <c r="AD98" s="220">
        <v>36</v>
      </c>
      <c r="AE98" s="220">
        <v>20</v>
      </c>
      <c r="AF98" s="220">
        <v>9</v>
      </c>
      <c r="AG98" s="220">
        <v>41</v>
      </c>
      <c r="AH98" s="220">
        <v>7</v>
      </c>
      <c r="AI98" s="220">
        <v>20</v>
      </c>
      <c r="AJ98" s="220">
        <v>16</v>
      </c>
      <c r="AK98" s="220">
        <v>44</v>
      </c>
      <c r="AL98" s="220">
        <v>23</v>
      </c>
      <c r="AM98" s="220">
        <v>96</v>
      </c>
      <c r="AN98" s="220">
        <v>22</v>
      </c>
      <c r="AO98" s="220">
        <v>55</v>
      </c>
      <c r="AP98" s="220">
        <v>64</v>
      </c>
      <c r="AQ98" s="220">
        <v>0</v>
      </c>
      <c r="AR98" s="220">
        <v>0</v>
      </c>
      <c r="AS98" s="220">
        <v>2</v>
      </c>
      <c r="AT98" s="220">
        <v>37</v>
      </c>
      <c r="AU98" s="220">
        <v>3</v>
      </c>
      <c r="AV98" s="220">
        <v>2</v>
      </c>
      <c r="AW98" s="220">
        <v>2</v>
      </c>
      <c r="AX98" s="220">
        <v>18</v>
      </c>
      <c r="AY98" s="220">
        <v>15</v>
      </c>
      <c r="AZ98" s="220">
        <v>33</v>
      </c>
      <c r="BA98" s="220">
        <v>2</v>
      </c>
      <c r="BB98" s="220">
        <v>2</v>
      </c>
      <c r="BC98" s="220">
        <v>140</v>
      </c>
      <c r="BD98" s="220">
        <v>2</v>
      </c>
      <c r="BE98" s="220">
        <v>39</v>
      </c>
      <c r="BF98" s="220">
        <v>56</v>
      </c>
      <c r="BG98" s="220">
        <v>29</v>
      </c>
      <c r="BH98" s="220">
        <v>6</v>
      </c>
      <c r="BI98" s="220">
        <v>2</v>
      </c>
      <c r="BJ98" s="220">
        <v>18</v>
      </c>
      <c r="BK98" s="220">
        <v>15</v>
      </c>
      <c r="BL98" s="220">
        <v>85</v>
      </c>
      <c r="BM98" s="220">
        <v>27</v>
      </c>
      <c r="BN98" s="220">
        <v>1</v>
      </c>
      <c r="BO98" s="220">
        <v>16</v>
      </c>
      <c r="BP98" s="220">
        <v>0</v>
      </c>
      <c r="BQ98" s="220">
        <v>0</v>
      </c>
      <c r="BR98" s="220">
        <v>4</v>
      </c>
      <c r="BS98" s="220">
        <v>138</v>
      </c>
      <c r="BT98" s="220">
        <v>89</v>
      </c>
      <c r="BU98" s="220">
        <v>26</v>
      </c>
      <c r="BV98" s="220">
        <v>0</v>
      </c>
      <c r="BW98" s="220">
        <v>272</v>
      </c>
      <c r="BX98" s="220">
        <v>50</v>
      </c>
      <c r="BY98" s="220">
        <v>88</v>
      </c>
      <c r="BZ98" s="220">
        <v>151</v>
      </c>
      <c r="CA98" s="220">
        <v>3456</v>
      </c>
      <c r="CB98" s="220">
        <v>121</v>
      </c>
      <c r="CC98" s="220">
        <v>16</v>
      </c>
      <c r="CD98" s="220">
        <v>50</v>
      </c>
      <c r="CE98" s="220">
        <v>6</v>
      </c>
      <c r="CF98" s="220">
        <v>118</v>
      </c>
      <c r="CG98" s="220">
        <v>26</v>
      </c>
      <c r="CH98" s="220">
        <v>359</v>
      </c>
      <c r="CI98" s="220">
        <v>27</v>
      </c>
      <c r="CJ98" s="220">
        <v>829</v>
      </c>
      <c r="CK98" s="220">
        <v>426</v>
      </c>
      <c r="CL98" s="220">
        <v>33</v>
      </c>
      <c r="CM98" s="220">
        <v>103</v>
      </c>
      <c r="CN98" s="220">
        <v>72</v>
      </c>
      <c r="CO98" s="220">
        <v>826</v>
      </c>
      <c r="CP98" s="220">
        <v>295</v>
      </c>
      <c r="CQ98" s="220">
        <v>210</v>
      </c>
      <c r="CR98" s="220">
        <v>27</v>
      </c>
      <c r="CS98" s="220">
        <v>6726</v>
      </c>
      <c r="CT98" s="220">
        <v>102</v>
      </c>
      <c r="CU98" s="220">
        <v>128</v>
      </c>
      <c r="CV98" s="220">
        <v>111</v>
      </c>
      <c r="CW98" s="220">
        <v>205</v>
      </c>
      <c r="CX98" s="220">
        <v>5</v>
      </c>
      <c r="CY98" s="220">
        <v>41</v>
      </c>
      <c r="CZ98" s="220">
        <v>24</v>
      </c>
      <c r="DA98" s="220">
        <v>222</v>
      </c>
      <c r="DB98" s="220">
        <v>1068</v>
      </c>
      <c r="DC98" s="220">
        <v>761</v>
      </c>
      <c r="DD98" s="220">
        <v>142</v>
      </c>
      <c r="DE98" s="220">
        <v>0</v>
      </c>
      <c r="DF98" s="220">
        <v>0</v>
      </c>
      <c r="DG98" s="220">
        <v>56</v>
      </c>
      <c r="DH98" s="220">
        <v>46</v>
      </c>
      <c r="DI98" s="220">
        <v>55</v>
      </c>
      <c r="DJ98" s="220">
        <v>75</v>
      </c>
      <c r="DK98" s="220">
        <v>24</v>
      </c>
      <c r="DL98" s="220">
        <v>32</v>
      </c>
      <c r="DM98" s="220">
        <v>9</v>
      </c>
      <c r="DN98" s="220">
        <v>459</v>
      </c>
      <c r="DO98" s="220">
        <v>36</v>
      </c>
      <c r="DP98" s="221">
        <v>29352</v>
      </c>
      <c r="DQ98" s="71">
        <f>TRP!AF220</f>
        <v>29352</v>
      </c>
      <c r="DR98" s="71">
        <f t="shared" si="4"/>
        <v>0</v>
      </c>
    </row>
    <row r="99" spans="2:122" x14ac:dyDescent="0.25">
      <c r="B99" s="218" t="s">
        <v>165</v>
      </c>
      <c r="C99" s="222" t="s">
        <v>278</v>
      </c>
      <c r="D99" s="220">
        <v>0</v>
      </c>
      <c r="E99" s="220">
        <v>21</v>
      </c>
      <c r="F99" s="220">
        <v>5</v>
      </c>
      <c r="G99" s="220">
        <v>85</v>
      </c>
      <c r="H99" s="220">
        <v>93</v>
      </c>
      <c r="I99" s="220">
        <v>58</v>
      </c>
      <c r="J99" s="220">
        <v>69</v>
      </c>
      <c r="K99" s="220">
        <v>219</v>
      </c>
      <c r="L99" s="220">
        <v>1</v>
      </c>
      <c r="M99" s="220">
        <v>68</v>
      </c>
      <c r="N99" s="220">
        <v>14</v>
      </c>
      <c r="O99" s="220">
        <v>115</v>
      </c>
      <c r="P99" s="220">
        <v>191</v>
      </c>
      <c r="Q99" s="220">
        <v>109</v>
      </c>
      <c r="R99" s="220">
        <v>33</v>
      </c>
      <c r="S99" s="220">
        <v>6</v>
      </c>
      <c r="T99" s="220">
        <v>26</v>
      </c>
      <c r="U99" s="220">
        <v>12</v>
      </c>
      <c r="V99" s="220">
        <v>18</v>
      </c>
      <c r="W99" s="220">
        <v>11</v>
      </c>
      <c r="X99" s="220">
        <v>247</v>
      </c>
      <c r="Y99" s="220">
        <v>200</v>
      </c>
      <c r="Z99" s="220">
        <v>71</v>
      </c>
      <c r="AA99" s="220">
        <v>112</v>
      </c>
      <c r="AB99" s="220">
        <v>416</v>
      </c>
      <c r="AC99" s="220">
        <v>36</v>
      </c>
      <c r="AD99" s="220">
        <v>31</v>
      </c>
      <c r="AE99" s="220">
        <v>33</v>
      </c>
      <c r="AF99" s="220">
        <v>89</v>
      </c>
      <c r="AG99" s="220">
        <v>99</v>
      </c>
      <c r="AH99" s="220">
        <v>30</v>
      </c>
      <c r="AI99" s="220">
        <v>23</v>
      </c>
      <c r="AJ99" s="220">
        <v>72</v>
      </c>
      <c r="AK99" s="220">
        <v>22</v>
      </c>
      <c r="AL99" s="220">
        <v>7</v>
      </c>
      <c r="AM99" s="220">
        <v>50</v>
      </c>
      <c r="AN99" s="220">
        <v>89</v>
      </c>
      <c r="AO99" s="220">
        <v>68</v>
      </c>
      <c r="AP99" s="220">
        <v>126</v>
      </c>
      <c r="AQ99" s="220">
        <v>4</v>
      </c>
      <c r="AR99" s="220">
        <v>10</v>
      </c>
      <c r="AS99" s="220">
        <v>46</v>
      </c>
      <c r="AT99" s="220">
        <v>117</v>
      </c>
      <c r="AU99" s="220">
        <v>27</v>
      </c>
      <c r="AV99" s="220">
        <v>23</v>
      </c>
      <c r="AW99" s="220">
        <v>17</v>
      </c>
      <c r="AX99" s="220">
        <v>56</v>
      </c>
      <c r="AY99" s="220">
        <v>27</v>
      </c>
      <c r="AZ99" s="220">
        <v>28</v>
      </c>
      <c r="BA99" s="220">
        <v>19</v>
      </c>
      <c r="BB99" s="220">
        <v>43</v>
      </c>
      <c r="BC99" s="220">
        <v>45</v>
      </c>
      <c r="BD99" s="220">
        <v>7</v>
      </c>
      <c r="BE99" s="220">
        <v>23</v>
      </c>
      <c r="BF99" s="220">
        <v>60</v>
      </c>
      <c r="BG99" s="220">
        <v>112</v>
      </c>
      <c r="BH99" s="220">
        <v>40</v>
      </c>
      <c r="BI99" s="220">
        <v>34</v>
      </c>
      <c r="BJ99" s="220">
        <v>92</v>
      </c>
      <c r="BK99" s="220">
        <v>28</v>
      </c>
      <c r="BL99" s="220">
        <v>34</v>
      </c>
      <c r="BM99" s="220">
        <v>72</v>
      </c>
      <c r="BN99" s="220">
        <v>31</v>
      </c>
      <c r="BO99" s="220">
        <v>0</v>
      </c>
      <c r="BP99" s="220">
        <v>18</v>
      </c>
      <c r="BQ99" s="220">
        <v>0</v>
      </c>
      <c r="BR99" s="220">
        <v>7</v>
      </c>
      <c r="BS99" s="220">
        <v>85</v>
      </c>
      <c r="BT99" s="220">
        <v>197</v>
      </c>
      <c r="BU99" s="220">
        <v>41</v>
      </c>
      <c r="BV99" s="220">
        <v>99</v>
      </c>
      <c r="BW99" s="220">
        <v>3535</v>
      </c>
      <c r="BX99" s="220">
        <v>812</v>
      </c>
      <c r="BY99" s="220">
        <v>159</v>
      </c>
      <c r="BZ99" s="220">
        <v>616</v>
      </c>
      <c r="CA99" s="220">
        <v>168</v>
      </c>
      <c r="CB99" s="220">
        <v>6</v>
      </c>
      <c r="CC99" s="220">
        <v>49</v>
      </c>
      <c r="CD99" s="220">
        <v>77</v>
      </c>
      <c r="CE99" s="220">
        <v>65</v>
      </c>
      <c r="CF99" s="220">
        <v>66</v>
      </c>
      <c r="CG99" s="220">
        <v>93</v>
      </c>
      <c r="CH99" s="220">
        <v>19</v>
      </c>
      <c r="CI99" s="220">
        <v>83</v>
      </c>
      <c r="CJ99" s="220">
        <v>549</v>
      </c>
      <c r="CK99" s="220">
        <v>421</v>
      </c>
      <c r="CL99" s="220">
        <v>404</v>
      </c>
      <c r="CM99" s="220">
        <v>2494</v>
      </c>
      <c r="CN99" s="220">
        <v>414</v>
      </c>
      <c r="CO99" s="220">
        <v>171</v>
      </c>
      <c r="CP99" s="220">
        <v>526</v>
      </c>
      <c r="CQ99" s="220">
        <v>356</v>
      </c>
      <c r="CR99" s="220">
        <v>173</v>
      </c>
      <c r="CS99" s="220">
        <v>89</v>
      </c>
      <c r="CT99" s="220">
        <v>10592</v>
      </c>
      <c r="CU99" s="220">
        <v>673</v>
      </c>
      <c r="CV99" s="220">
        <v>145</v>
      </c>
      <c r="CW99" s="220">
        <v>988</v>
      </c>
      <c r="CX99" s="220">
        <v>47</v>
      </c>
      <c r="CY99" s="220">
        <v>448</v>
      </c>
      <c r="CZ99" s="220">
        <v>4</v>
      </c>
      <c r="DA99" s="220">
        <v>287</v>
      </c>
      <c r="DB99" s="220">
        <v>263</v>
      </c>
      <c r="DC99" s="220">
        <v>274</v>
      </c>
      <c r="DD99" s="220">
        <v>101</v>
      </c>
      <c r="DE99" s="220">
        <v>69</v>
      </c>
      <c r="DF99" s="220">
        <v>0</v>
      </c>
      <c r="DG99" s="220">
        <v>40</v>
      </c>
      <c r="DH99" s="220">
        <v>108</v>
      </c>
      <c r="DI99" s="220">
        <v>39</v>
      </c>
      <c r="DJ99" s="220">
        <v>3</v>
      </c>
      <c r="DK99" s="220">
        <v>2</v>
      </c>
      <c r="DL99" s="220">
        <v>86</v>
      </c>
      <c r="DM99" s="220">
        <v>31</v>
      </c>
      <c r="DN99" s="220">
        <v>1664</v>
      </c>
      <c r="DO99" s="220">
        <v>3</v>
      </c>
      <c r="DP99" s="221">
        <v>31629</v>
      </c>
      <c r="DQ99" s="71">
        <f>TRP!AF221</f>
        <v>31629</v>
      </c>
      <c r="DR99" s="71">
        <f t="shared" si="4"/>
        <v>0</v>
      </c>
    </row>
    <row r="100" spans="2:122" x14ac:dyDescent="0.25">
      <c r="B100" s="218" t="s">
        <v>166</v>
      </c>
      <c r="C100" s="222" t="s">
        <v>279</v>
      </c>
      <c r="D100" s="220">
        <v>795</v>
      </c>
      <c r="E100" s="220">
        <v>0</v>
      </c>
      <c r="F100" s="220">
        <v>0</v>
      </c>
      <c r="G100" s="220">
        <v>146</v>
      </c>
      <c r="H100" s="220">
        <v>205</v>
      </c>
      <c r="I100" s="220">
        <v>230</v>
      </c>
      <c r="J100" s="220">
        <v>66</v>
      </c>
      <c r="K100" s="220">
        <v>366</v>
      </c>
      <c r="L100" s="220">
        <v>1</v>
      </c>
      <c r="M100" s="220">
        <v>22</v>
      </c>
      <c r="N100" s="220">
        <v>5</v>
      </c>
      <c r="O100" s="220">
        <v>122</v>
      </c>
      <c r="P100" s="220">
        <v>166</v>
      </c>
      <c r="Q100" s="220">
        <v>122</v>
      </c>
      <c r="R100" s="220">
        <v>25</v>
      </c>
      <c r="S100" s="220">
        <v>5</v>
      </c>
      <c r="T100" s="220">
        <v>12</v>
      </c>
      <c r="U100" s="220">
        <v>17</v>
      </c>
      <c r="V100" s="220">
        <v>7</v>
      </c>
      <c r="W100" s="220">
        <v>8</v>
      </c>
      <c r="X100" s="220">
        <v>236</v>
      </c>
      <c r="Y100" s="220">
        <v>124</v>
      </c>
      <c r="Z100" s="220">
        <v>14</v>
      </c>
      <c r="AA100" s="220">
        <v>24</v>
      </c>
      <c r="AB100" s="220">
        <v>168</v>
      </c>
      <c r="AC100" s="220">
        <v>2</v>
      </c>
      <c r="AD100" s="220">
        <v>33</v>
      </c>
      <c r="AE100" s="220">
        <v>40</v>
      </c>
      <c r="AF100" s="220">
        <v>80</v>
      </c>
      <c r="AG100" s="220">
        <v>125</v>
      </c>
      <c r="AH100" s="220">
        <v>57</v>
      </c>
      <c r="AI100" s="220">
        <v>6</v>
      </c>
      <c r="AJ100" s="220">
        <v>95</v>
      </c>
      <c r="AK100" s="220">
        <v>5</v>
      </c>
      <c r="AL100" s="220">
        <v>4</v>
      </c>
      <c r="AM100" s="220">
        <v>19</v>
      </c>
      <c r="AN100" s="220">
        <v>27</v>
      </c>
      <c r="AO100" s="220">
        <v>36</v>
      </c>
      <c r="AP100" s="220">
        <v>36</v>
      </c>
      <c r="AQ100" s="220">
        <v>0</v>
      </c>
      <c r="AR100" s="220">
        <v>44</v>
      </c>
      <c r="AS100" s="220">
        <v>70</v>
      </c>
      <c r="AT100" s="220">
        <v>106</v>
      </c>
      <c r="AU100" s="220">
        <v>23</v>
      </c>
      <c r="AV100" s="220">
        <v>23</v>
      </c>
      <c r="AW100" s="220">
        <v>21</v>
      </c>
      <c r="AX100" s="220">
        <v>7</v>
      </c>
      <c r="AY100" s="220">
        <v>45</v>
      </c>
      <c r="AZ100" s="220">
        <v>67</v>
      </c>
      <c r="BA100" s="220">
        <v>41</v>
      </c>
      <c r="BB100" s="220">
        <v>66</v>
      </c>
      <c r="BC100" s="220">
        <v>84</v>
      </c>
      <c r="BD100" s="220">
        <v>1</v>
      </c>
      <c r="BE100" s="220">
        <v>49</v>
      </c>
      <c r="BF100" s="220">
        <v>283</v>
      </c>
      <c r="BG100" s="220">
        <v>185</v>
      </c>
      <c r="BH100" s="220">
        <v>49</v>
      </c>
      <c r="BI100" s="220">
        <v>47</v>
      </c>
      <c r="BJ100" s="220">
        <v>114</v>
      </c>
      <c r="BK100" s="220">
        <v>71</v>
      </c>
      <c r="BL100" s="220">
        <v>1</v>
      </c>
      <c r="BM100" s="220">
        <v>41</v>
      </c>
      <c r="BN100" s="220">
        <v>19</v>
      </c>
      <c r="BO100" s="220">
        <v>0</v>
      </c>
      <c r="BP100" s="220">
        <v>9</v>
      </c>
      <c r="BQ100" s="220">
        <v>0</v>
      </c>
      <c r="BR100" s="220">
        <v>5</v>
      </c>
      <c r="BS100" s="220">
        <v>192</v>
      </c>
      <c r="BT100" s="220">
        <v>1006</v>
      </c>
      <c r="BU100" s="220">
        <v>174</v>
      </c>
      <c r="BV100" s="220">
        <v>378</v>
      </c>
      <c r="BW100" s="220">
        <v>2033</v>
      </c>
      <c r="BX100" s="220">
        <v>636</v>
      </c>
      <c r="BY100" s="220">
        <v>337</v>
      </c>
      <c r="BZ100" s="220">
        <v>1097</v>
      </c>
      <c r="CA100" s="220">
        <v>922</v>
      </c>
      <c r="CB100" s="220">
        <v>6</v>
      </c>
      <c r="CC100" s="220">
        <v>242</v>
      </c>
      <c r="CD100" s="220">
        <v>856</v>
      </c>
      <c r="CE100" s="220">
        <v>100</v>
      </c>
      <c r="CF100" s="220">
        <v>246</v>
      </c>
      <c r="CG100" s="220">
        <v>282</v>
      </c>
      <c r="CH100" s="220">
        <v>55</v>
      </c>
      <c r="CI100" s="220">
        <v>250</v>
      </c>
      <c r="CJ100" s="220">
        <v>72</v>
      </c>
      <c r="CK100" s="220">
        <v>73</v>
      </c>
      <c r="CL100" s="220">
        <v>0</v>
      </c>
      <c r="CM100" s="220">
        <v>64</v>
      </c>
      <c r="CN100" s="220">
        <v>192</v>
      </c>
      <c r="CO100" s="220">
        <v>561</v>
      </c>
      <c r="CP100" s="220">
        <v>598</v>
      </c>
      <c r="CQ100" s="220">
        <v>447</v>
      </c>
      <c r="CR100" s="220">
        <v>145</v>
      </c>
      <c r="CS100" s="220">
        <v>291</v>
      </c>
      <c r="CT100" s="220">
        <v>474</v>
      </c>
      <c r="CU100" s="220">
        <v>4410</v>
      </c>
      <c r="CV100" s="220">
        <v>46</v>
      </c>
      <c r="CW100" s="220">
        <v>880</v>
      </c>
      <c r="CX100" s="220">
        <v>36</v>
      </c>
      <c r="CY100" s="220">
        <v>166</v>
      </c>
      <c r="CZ100" s="220">
        <v>44</v>
      </c>
      <c r="DA100" s="220">
        <v>131</v>
      </c>
      <c r="DB100" s="220">
        <v>142</v>
      </c>
      <c r="DC100" s="220">
        <v>72</v>
      </c>
      <c r="DD100" s="220">
        <v>249</v>
      </c>
      <c r="DE100" s="220">
        <v>44</v>
      </c>
      <c r="DF100" s="220">
        <v>0</v>
      </c>
      <c r="DG100" s="220">
        <v>83</v>
      </c>
      <c r="DH100" s="220">
        <v>95</v>
      </c>
      <c r="DI100" s="220">
        <v>27</v>
      </c>
      <c r="DJ100" s="220">
        <v>32</v>
      </c>
      <c r="DK100" s="220">
        <v>4</v>
      </c>
      <c r="DL100" s="220">
        <v>32</v>
      </c>
      <c r="DM100" s="220">
        <v>44</v>
      </c>
      <c r="DN100" s="220">
        <v>737</v>
      </c>
      <c r="DO100" s="220">
        <v>37</v>
      </c>
      <c r="DP100" s="221">
        <v>23962</v>
      </c>
      <c r="DQ100" s="71">
        <f>TRP!AF222</f>
        <v>23962</v>
      </c>
      <c r="DR100" s="71">
        <f t="shared" si="4"/>
        <v>0</v>
      </c>
    </row>
    <row r="101" spans="2:122" x14ac:dyDescent="0.25">
      <c r="B101" s="218" t="s">
        <v>167</v>
      </c>
      <c r="C101" s="222" t="s">
        <v>280</v>
      </c>
      <c r="D101" s="220">
        <v>0</v>
      </c>
      <c r="E101" s="220">
        <v>103</v>
      </c>
      <c r="F101" s="220">
        <v>75</v>
      </c>
      <c r="G101" s="220">
        <v>463</v>
      </c>
      <c r="H101" s="220">
        <v>345</v>
      </c>
      <c r="I101" s="220">
        <v>235</v>
      </c>
      <c r="J101" s="220">
        <v>196</v>
      </c>
      <c r="K101" s="220">
        <v>612</v>
      </c>
      <c r="L101" s="220">
        <v>49</v>
      </c>
      <c r="M101" s="220">
        <v>59</v>
      </c>
      <c r="N101" s="220">
        <v>18</v>
      </c>
      <c r="O101" s="220">
        <v>238</v>
      </c>
      <c r="P101" s="220">
        <v>387</v>
      </c>
      <c r="Q101" s="220">
        <v>156</v>
      </c>
      <c r="R101" s="220">
        <v>277</v>
      </c>
      <c r="S101" s="220">
        <v>34</v>
      </c>
      <c r="T101" s="220">
        <v>88</v>
      </c>
      <c r="U101" s="220">
        <v>67</v>
      </c>
      <c r="V101" s="220">
        <v>49</v>
      </c>
      <c r="W101" s="220">
        <v>45</v>
      </c>
      <c r="X101" s="220">
        <v>841</v>
      </c>
      <c r="Y101" s="220">
        <v>335</v>
      </c>
      <c r="Z101" s="220">
        <v>49</v>
      </c>
      <c r="AA101" s="220">
        <v>26</v>
      </c>
      <c r="AB101" s="220">
        <v>372</v>
      </c>
      <c r="AC101" s="220">
        <v>11</v>
      </c>
      <c r="AD101" s="220">
        <v>189</v>
      </c>
      <c r="AE101" s="220">
        <v>210</v>
      </c>
      <c r="AF101" s="220">
        <v>285</v>
      </c>
      <c r="AG101" s="220">
        <v>424</v>
      </c>
      <c r="AH101" s="220">
        <v>104</v>
      </c>
      <c r="AI101" s="220">
        <v>51</v>
      </c>
      <c r="AJ101" s="220">
        <v>247</v>
      </c>
      <c r="AK101" s="220">
        <v>65</v>
      </c>
      <c r="AL101" s="220">
        <v>45</v>
      </c>
      <c r="AM101" s="220">
        <v>91</v>
      </c>
      <c r="AN101" s="220">
        <v>172</v>
      </c>
      <c r="AO101" s="220">
        <v>88</v>
      </c>
      <c r="AP101" s="220">
        <v>206</v>
      </c>
      <c r="AQ101" s="220">
        <v>0</v>
      </c>
      <c r="AR101" s="220">
        <v>0</v>
      </c>
      <c r="AS101" s="220">
        <v>149</v>
      </c>
      <c r="AT101" s="220">
        <v>417</v>
      </c>
      <c r="AU101" s="220">
        <v>68</v>
      </c>
      <c r="AV101" s="220">
        <v>72</v>
      </c>
      <c r="AW101" s="220">
        <v>23</v>
      </c>
      <c r="AX101" s="220">
        <v>226</v>
      </c>
      <c r="AY101" s="220">
        <v>152</v>
      </c>
      <c r="AZ101" s="220">
        <v>206</v>
      </c>
      <c r="BA101" s="220">
        <v>116</v>
      </c>
      <c r="BB101" s="220">
        <v>382</v>
      </c>
      <c r="BC101" s="220">
        <v>223</v>
      </c>
      <c r="BD101" s="220">
        <v>7</v>
      </c>
      <c r="BE101" s="220">
        <v>167</v>
      </c>
      <c r="BF101" s="220">
        <v>448</v>
      </c>
      <c r="BG101" s="220">
        <v>411</v>
      </c>
      <c r="BH101" s="220">
        <v>182</v>
      </c>
      <c r="BI101" s="220">
        <v>84</v>
      </c>
      <c r="BJ101" s="220">
        <v>506</v>
      </c>
      <c r="BK101" s="220">
        <v>301</v>
      </c>
      <c r="BL101" s="220">
        <v>122</v>
      </c>
      <c r="BM101" s="220">
        <v>502</v>
      </c>
      <c r="BN101" s="220">
        <v>226</v>
      </c>
      <c r="BO101" s="220">
        <v>0</v>
      </c>
      <c r="BP101" s="220">
        <v>0</v>
      </c>
      <c r="BQ101" s="220">
        <v>0</v>
      </c>
      <c r="BR101" s="220">
        <v>3</v>
      </c>
      <c r="BS101" s="220">
        <v>38</v>
      </c>
      <c r="BT101" s="220">
        <v>151</v>
      </c>
      <c r="BU101" s="220">
        <v>79</v>
      </c>
      <c r="BV101" s="220">
        <v>29</v>
      </c>
      <c r="BW101" s="220">
        <v>4379</v>
      </c>
      <c r="BX101" s="220">
        <v>1337</v>
      </c>
      <c r="BY101" s="220">
        <v>204</v>
      </c>
      <c r="BZ101" s="220">
        <v>1443</v>
      </c>
      <c r="CA101" s="220">
        <v>842</v>
      </c>
      <c r="CB101" s="220">
        <v>116</v>
      </c>
      <c r="CC101" s="220">
        <v>189</v>
      </c>
      <c r="CD101" s="220">
        <v>547</v>
      </c>
      <c r="CE101" s="220">
        <v>119</v>
      </c>
      <c r="CF101" s="220">
        <v>231</v>
      </c>
      <c r="CG101" s="220">
        <v>372</v>
      </c>
      <c r="CH101" s="220">
        <v>184</v>
      </c>
      <c r="CI101" s="220">
        <v>418</v>
      </c>
      <c r="CJ101" s="220">
        <v>244</v>
      </c>
      <c r="CK101" s="220">
        <v>128</v>
      </c>
      <c r="CL101" s="220">
        <v>114</v>
      </c>
      <c r="CM101" s="220">
        <v>60</v>
      </c>
      <c r="CN101" s="220">
        <v>76</v>
      </c>
      <c r="CO101" s="220">
        <v>257</v>
      </c>
      <c r="CP101" s="220">
        <v>287</v>
      </c>
      <c r="CQ101" s="220">
        <v>306</v>
      </c>
      <c r="CR101" s="220">
        <v>223</v>
      </c>
      <c r="CS101" s="220">
        <v>158</v>
      </c>
      <c r="CT101" s="220">
        <v>275</v>
      </c>
      <c r="CU101" s="220">
        <v>232</v>
      </c>
      <c r="CV101" s="220">
        <v>251</v>
      </c>
      <c r="CW101" s="220">
        <v>719</v>
      </c>
      <c r="CX101" s="220">
        <v>124</v>
      </c>
      <c r="CY101" s="220">
        <v>72</v>
      </c>
      <c r="CZ101" s="220">
        <v>76</v>
      </c>
      <c r="DA101" s="220">
        <v>341</v>
      </c>
      <c r="DB101" s="220">
        <v>42</v>
      </c>
      <c r="DC101" s="220">
        <v>43</v>
      </c>
      <c r="DD101" s="220">
        <v>144</v>
      </c>
      <c r="DE101" s="220">
        <v>45</v>
      </c>
      <c r="DF101" s="220">
        <v>0</v>
      </c>
      <c r="DG101" s="220">
        <v>0</v>
      </c>
      <c r="DH101" s="220">
        <v>278</v>
      </c>
      <c r="DI101" s="220">
        <v>0</v>
      </c>
      <c r="DJ101" s="220">
        <v>224</v>
      </c>
      <c r="DK101" s="220">
        <v>0</v>
      </c>
      <c r="DL101" s="220">
        <v>0</v>
      </c>
      <c r="DM101" s="220">
        <v>191</v>
      </c>
      <c r="DN101" s="220">
        <v>996</v>
      </c>
      <c r="DO101" s="220">
        <v>10</v>
      </c>
      <c r="DP101" s="221">
        <v>28894</v>
      </c>
      <c r="DQ101" s="71">
        <f>TRP!AF223</f>
        <v>28894</v>
      </c>
      <c r="DR101" s="71">
        <f t="shared" si="4"/>
        <v>0</v>
      </c>
    </row>
    <row r="102" spans="2:122" x14ac:dyDescent="0.25">
      <c r="B102" s="218" t="s">
        <v>168</v>
      </c>
      <c r="C102" s="222" t="s">
        <v>281</v>
      </c>
      <c r="D102" s="220">
        <v>7</v>
      </c>
      <c r="E102" s="220">
        <v>47</v>
      </c>
      <c r="F102" s="220">
        <v>3</v>
      </c>
      <c r="G102" s="220">
        <v>338</v>
      </c>
      <c r="H102" s="220">
        <v>677</v>
      </c>
      <c r="I102" s="220">
        <v>643</v>
      </c>
      <c r="J102" s="220">
        <v>238</v>
      </c>
      <c r="K102" s="220">
        <v>760</v>
      </c>
      <c r="L102" s="220">
        <v>1</v>
      </c>
      <c r="M102" s="220">
        <v>163</v>
      </c>
      <c r="N102" s="220">
        <v>25</v>
      </c>
      <c r="O102" s="220">
        <v>903</v>
      </c>
      <c r="P102" s="220">
        <v>437</v>
      </c>
      <c r="Q102" s="220">
        <v>406</v>
      </c>
      <c r="R102" s="220">
        <v>163</v>
      </c>
      <c r="S102" s="220">
        <v>51</v>
      </c>
      <c r="T102" s="220">
        <v>73</v>
      </c>
      <c r="U102" s="220">
        <v>46</v>
      </c>
      <c r="V102" s="220">
        <v>24</v>
      </c>
      <c r="W102" s="220">
        <v>12</v>
      </c>
      <c r="X102" s="220">
        <v>485</v>
      </c>
      <c r="Y102" s="220">
        <v>191</v>
      </c>
      <c r="Z102" s="220">
        <v>58</v>
      </c>
      <c r="AA102" s="220">
        <v>171</v>
      </c>
      <c r="AB102" s="220">
        <v>541</v>
      </c>
      <c r="AC102" s="220">
        <v>64</v>
      </c>
      <c r="AD102" s="220">
        <v>146</v>
      </c>
      <c r="AE102" s="220">
        <v>160</v>
      </c>
      <c r="AF102" s="220">
        <v>236</v>
      </c>
      <c r="AG102" s="220">
        <v>632</v>
      </c>
      <c r="AH102" s="220">
        <v>72</v>
      </c>
      <c r="AI102" s="220">
        <v>44</v>
      </c>
      <c r="AJ102" s="220">
        <v>306</v>
      </c>
      <c r="AK102" s="220">
        <v>146</v>
      </c>
      <c r="AL102" s="220">
        <v>12</v>
      </c>
      <c r="AM102" s="220">
        <v>122</v>
      </c>
      <c r="AN102" s="220">
        <v>163</v>
      </c>
      <c r="AO102" s="220">
        <v>144</v>
      </c>
      <c r="AP102" s="220">
        <v>168</v>
      </c>
      <c r="AQ102" s="220">
        <v>0</v>
      </c>
      <c r="AR102" s="220">
        <v>54</v>
      </c>
      <c r="AS102" s="220">
        <v>207</v>
      </c>
      <c r="AT102" s="220">
        <v>436</v>
      </c>
      <c r="AU102" s="220">
        <v>123</v>
      </c>
      <c r="AV102" s="220">
        <v>109</v>
      </c>
      <c r="AW102" s="220">
        <v>47</v>
      </c>
      <c r="AX102" s="220">
        <v>126</v>
      </c>
      <c r="AY102" s="220">
        <v>259</v>
      </c>
      <c r="AZ102" s="220">
        <v>271</v>
      </c>
      <c r="BA102" s="220">
        <v>66</v>
      </c>
      <c r="BB102" s="220">
        <v>271</v>
      </c>
      <c r="BC102" s="220">
        <v>200</v>
      </c>
      <c r="BD102" s="220">
        <v>11</v>
      </c>
      <c r="BE102" s="220">
        <v>157</v>
      </c>
      <c r="BF102" s="220">
        <v>407</v>
      </c>
      <c r="BG102" s="220">
        <v>567</v>
      </c>
      <c r="BH102" s="220">
        <v>393</v>
      </c>
      <c r="BI102" s="220">
        <v>144</v>
      </c>
      <c r="BJ102" s="220">
        <v>762</v>
      </c>
      <c r="BK102" s="220">
        <v>337</v>
      </c>
      <c r="BL102" s="220">
        <v>71</v>
      </c>
      <c r="BM102" s="220">
        <v>218</v>
      </c>
      <c r="BN102" s="220">
        <v>96</v>
      </c>
      <c r="BO102" s="220">
        <v>0</v>
      </c>
      <c r="BP102" s="220">
        <v>0</v>
      </c>
      <c r="BQ102" s="220">
        <v>0</v>
      </c>
      <c r="BR102" s="220">
        <v>95</v>
      </c>
      <c r="BS102" s="220">
        <v>407</v>
      </c>
      <c r="BT102" s="220">
        <v>1317</v>
      </c>
      <c r="BU102" s="220">
        <v>95</v>
      </c>
      <c r="BV102" s="220">
        <v>277</v>
      </c>
      <c r="BW102" s="220">
        <v>3208</v>
      </c>
      <c r="BX102" s="220">
        <v>627</v>
      </c>
      <c r="BY102" s="220">
        <v>1731</v>
      </c>
      <c r="BZ102" s="220">
        <v>12462</v>
      </c>
      <c r="CA102" s="220">
        <v>3585</v>
      </c>
      <c r="CB102" s="220">
        <v>14</v>
      </c>
      <c r="CC102" s="220">
        <v>398</v>
      </c>
      <c r="CD102" s="220">
        <v>941</v>
      </c>
      <c r="CE102" s="220">
        <v>734</v>
      </c>
      <c r="CF102" s="220">
        <v>531</v>
      </c>
      <c r="CG102" s="220">
        <v>801</v>
      </c>
      <c r="CH102" s="220">
        <v>422</v>
      </c>
      <c r="CI102" s="220">
        <v>714</v>
      </c>
      <c r="CJ102" s="220">
        <v>5119</v>
      </c>
      <c r="CK102" s="220">
        <v>3473</v>
      </c>
      <c r="CL102" s="220">
        <v>3093</v>
      </c>
      <c r="CM102" s="220">
        <v>1147</v>
      </c>
      <c r="CN102" s="220">
        <v>2215</v>
      </c>
      <c r="CO102" s="220">
        <v>2112</v>
      </c>
      <c r="CP102" s="220">
        <v>1722</v>
      </c>
      <c r="CQ102" s="220">
        <v>1409</v>
      </c>
      <c r="CR102" s="220">
        <v>5019</v>
      </c>
      <c r="CS102" s="220">
        <v>1258</v>
      </c>
      <c r="CT102" s="220">
        <v>2029</v>
      </c>
      <c r="CU102" s="220">
        <v>1448</v>
      </c>
      <c r="CV102" s="220">
        <v>103</v>
      </c>
      <c r="CW102" s="220">
        <v>12255</v>
      </c>
      <c r="CX102" s="220">
        <v>131</v>
      </c>
      <c r="CY102" s="220">
        <v>2887</v>
      </c>
      <c r="CZ102" s="220">
        <v>127</v>
      </c>
      <c r="DA102" s="220">
        <v>1629</v>
      </c>
      <c r="DB102" s="220">
        <v>438</v>
      </c>
      <c r="DC102" s="220">
        <v>849</v>
      </c>
      <c r="DD102" s="220">
        <v>615</v>
      </c>
      <c r="DE102" s="220">
        <v>338</v>
      </c>
      <c r="DF102" s="220">
        <v>0</v>
      </c>
      <c r="DG102" s="220">
        <v>442</v>
      </c>
      <c r="DH102" s="220">
        <v>2150</v>
      </c>
      <c r="DI102" s="220">
        <v>1473</v>
      </c>
      <c r="DJ102" s="220">
        <v>1824</v>
      </c>
      <c r="DK102" s="220">
        <v>27</v>
      </c>
      <c r="DL102" s="220">
        <v>415</v>
      </c>
      <c r="DM102" s="220">
        <v>569</v>
      </c>
      <c r="DN102" s="220">
        <v>5351</v>
      </c>
      <c r="DO102" s="220">
        <v>707</v>
      </c>
      <c r="DP102" s="221">
        <v>104943</v>
      </c>
      <c r="DQ102" s="71">
        <f>TRP!AF224</f>
        <v>104943</v>
      </c>
      <c r="DR102" s="71">
        <f t="shared" si="4"/>
        <v>0</v>
      </c>
    </row>
    <row r="103" spans="2:122" x14ac:dyDescent="0.25">
      <c r="B103" s="218" t="s">
        <v>169</v>
      </c>
      <c r="C103" s="222" t="s">
        <v>282</v>
      </c>
      <c r="D103" s="220">
        <v>53</v>
      </c>
      <c r="E103" s="220">
        <v>0</v>
      </c>
      <c r="F103" s="220">
        <v>0</v>
      </c>
      <c r="G103" s="220">
        <v>74</v>
      </c>
      <c r="H103" s="220">
        <v>58</v>
      </c>
      <c r="I103" s="220">
        <v>73</v>
      </c>
      <c r="J103" s="220">
        <v>35</v>
      </c>
      <c r="K103" s="220">
        <v>91</v>
      </c>
      <c r="L103" s="220">
        <v>1</v>
      </c>
      <c r="M103" s="220">
        <v>18</v>
      </c>
      <c r="N103" s="220">
        <v>13</v>
      </c>
      <c r="O103" s="220">
        <v>100</v>
      </c>
      <c r="P103" s="220">
        <v>177</v>
      </c>
      <c r="Q103" s="220">
        <v>124</v>
      </c>
      <c r="R103" s="220">
        <v>41</v>
      </c>
      <c r="S103" s="220">
        <v>1</v>
      </c>
      <c r="T103" s="220">
        <v>16</v>
      </c>
      <c r="U103" s="220">
        <v>6</v>
      </c>
      <c r="V103" s="220">
        <v>5</v>
      </c>
      <c r="W103" s="220">
        <v>9</v>
      </c>
      <c r="X103" s="220">
        <v>62</v>
      </c>
      <c r="Y103" s="220">
        <v>46</v>
      </c>
      <c r="Z103" s="220">
        <v>9</v>
      </c>
      <c r="AA103" s="220">
        <v>12</v>
      </c>
      <c r="AB103" s="220">
        <v>29</v>
      </c>
      <c r="AC103" s="220">
        <v>6</v>
      </c>
      <c r="AD103" s="220">
        <v>10</v>
      </c>
      <c r="AE103" s="220">
        <v>9</v>
      </c>
      <c r="AF103" s="220">
        <v>25</v>
      </c>
      <c r="AG103" s="220">
        <v>22</v>
      </c>
      <c r="AH103" s="220">
        <v>16</v>
      </c>
      <c r="AI103" s="220">
        <v>6</v>
      </c>
      <c r="AJ103" s="220">
        <v>19</v>
      </c>
      <c r="AK103" s="220">
        <v>5</v>
      </c>
      <c r="AL103" s="220">
        <v>4</v>
      </c>
      <c r="AM103" s="220">
        <v>13</v>
      </c>
      <c r="AN103" s="220">
        <v>35</v>
      </c>
      <c r="AO103" s="220">
        <v>14</v>
      </c>
      <c r="AP103" s="220">
        <v>22</v>
      </c>
      <c r="AQ103" s="220">
        <v>0</v>
      </c>
      <c r="AR103" s="220">
        <v>27</v>
      </c>
      <c r="AS103" s="220">
        <v>42</v>
      </c>
      <c r="AT103" s="220">
        <v>128</v>
      </c>
      <c r="AU103" s="220">
        <v>23</v>
      </c>
      <c r="AV103" s="220">
        <v>34</v>
      </c>
      <c r="AW103" s="220">
        <v>12</v>
      </c>
      <c r="AX103" s="220">
        <v>100</v>
      </c>
      <c r="AY103" s="220">
        <v>65</v>
      </c>
      <c r="AZ103" s="220">
        <v>102</v>
      </c>
      <c r="BA103" s="220">
        <v>38</v>
      </c>
      <c r="BB103" s="220">
        <v>98</v>
      </c>
      <c r="BC103" s="220">
        <v>79</v>
      </c>
      <c r="BD103" s="220">
        <v>3</v>
      </c>
      <c r="BE103" s="220">
        <v>34</v>
      </c>
      <c r="BF103" s="220">
        <v>87</v>
      </c>
      <c r="BG103" s="220">
        <v>135</v>
      </c>
      <c r="BH103" s="220">
        <v>67</v>
      </c>
      <c r="BI103" s="220">
        <v>53</v>
      </c>
      <c r="BJ103" s="220">
        <v>85</v>
      </c>
      <c r="BK103" s="220">
        <v>63</v>
      </c>
      <c r="BL103" s="220">
        <v>80</v>
      </c>
      <c r="BM103" s="220">
        <v>29</v>
      </c>
      <c r="BN103" s="220">
        <v>42</v>
      </c>
      <c r="BO103" s="220">
        <v>0</v>
      </c>
      <c r="BP103" s="220">
        <v>9</v>
      </c>
      <c r="BQ103" s="220">
        <v>0</v>
      </c>
      <c r="BR103" s="220">
        <v>7</v>
      </c>
      <c r="BS103" s="220">
        <v>76</v>
      </c>
      <c r="BT103" s="220">
        <v>145</v>
      </c>
      <c r="BU103" s="220">
        <v>73</v>
      </c>
      <c r="BV103" s="220">
        <v>692</v>
      </c>
      <c r="BW103" s="220">
        <v>443</v>
      </c>
      <c r="BX103" s="220">
        <v>193</v>
      </c>
      <c r="BY103" s="220">
        <v>226</v>
      </c>
      <c r="BZ103" s="220">
        <v>655</v>
      </c>
      <c r="CA103" s="220">
        <v>671</v>
      </c>
      <c r="CB103" s="220">
        <v>3</v>
      </c>
      <c r="CC103" s="220">
        <v>15</v>
      </c>
      <c r="CD103" s="220">
        <v>62</v>
      </c>
      <c r="CE103" s="220">
        <v>23</v>
      </c>
      <c r="CF103" s="220">
        <v>51</v>
      </c>
      <c r="CG103" s="220">
        <v>48</v>
      </c>
      <c r="CH103" s="220">
        <v>28</v>
      </c>
      <c r="CI103" s="220">
        <v>75</v>
      </c>
      <c r="CJ103" s="220">
        <v>28</v>
      </c>
      <c r="CK103" s="220">
        <v>36</v>
      </c>
      <c r="CL103" s="220">
        <v>23</v>
      </c>
      <c r="CM103" s="220">
        <v>170</v>
      </c>
      <c r="CN103" s="220">
        <v>1332</v>
      </c>
      <c r="CO103" s="220">
        <v>221</v>
      </c>
      <c r="CP103" s="220">
        <v>270</v>
      </c>
      <c r="CQ103" s="220">
        <v>228</v>
      </c>
      <c r="CR103" s="220">
        <v>246</v>
      </c>
      <c r="CS103" s="220">
        <v>113</v>
      </c>
      <c r="CT103" s="220">
        <v>219</v>
      </c>
      <c r="CU103" s="220">
        <v>143</v>
      </c>
      <c r="CV103" s="220">
        <v>19</v>
      </c>
      <c r="CW103" s="220">
        <v>715</v>
      </c>
      <c r="CX103" s="220">
        <v>4245</v>
      </c>
      <c r="CY103" s="220">
        <v>143</v>
      </c>
      <c r="CZ103" s="220">
        <v>0</v>
      </c>
      <c r="DA103" s="220">
        <v>254</v>
      </c>
      <c r="DB103" s="220">
        <v>91</v>
      </c>
      <c r="DC103" s="220">
        <v>60</v>
      </c>
      <c r="DD103" s="220">
        <v>6</v>
      </c>
      <c r="DE103" s="220">
        <v>50</v>
      </c>
      <c r="DF103" s="220">
        <v>0</v>
      </c>
      <c r="DG103" s="220">
        <v>33</v>
      </c>
      <c r="DH103" s="220">
        <v>1</v>
      </c>
      <c r="DI103" s="220">
        <v>93</v>
      </c>
      <c r="DJ103" s="220">
        <v>1</v>
      </c>
      <c r="DK103" s="220">
        <v>2</v>
      </c>
      <c r="DL103" s="220">
        <v>56</v>
      </c>
      <c r="DM103" s="220">
        <v>10</v>
      </c>
      <c r="DN103" s="220">
        <v>2876</v>
      </c>
      <c r="DO103" s="220">
        <v>0</v>
      </c>
      <c r="DP103" s="221">
        <v>17864</v>
      </c>
      <c r="DQ103" s="71">
        <f>TRP!AF225</f>
        <v>17864</v>
      </c>
      <c r="DR103" s="71">
        <f t="shared" si="4"/>
        <v>0</v>
      </c>
    </row>
    <row r="104" spans="2:122" x14ac:dyDescent="0.25">
      <c r="B104" s="218" t="s">
        <v>170</v>
      </c>
      <c r="C104" s="222" t="s">
        <v>283</v>
      </c>
      <c r="D104" s="220">
        <v>237</v>
      </c>
      <c r="E104" s="220">
        <v>6</v>
      </c>
      <c r="F104" s="220">
        <v>1</v>
      </c>
      <c r="G104" s="220">
        <v>26</v>
      </c>
      <c r="H104" s="220">
        <v>101</v>
      </c>
      <c r="I104" s="220">
        <v>64</v>
      </c>
      <c r="J104" s="220">
        <v>76</v>
      </c>
      <c r="K104" s="220">
        <v>172</v>
      </c>
      <c r="L104" s="220">
        <v>11</v>
      </c>
      <c r="M104" s="220">
        <v>20</v>
      </c>
      <c r="N104" s="220">
        <v>3</v>
      </c>
      <c r="O104" s="220">
        <v>7</v>
      </c>
      <c r="P104" s="220">
        <v>2964</v>
      </c>
      <c r="Q104" s="220">
        <v>466</v>
      </c>
      <c r="R104" s="220">
        <v>130</v>
      </c>
      <c r="S104" s="220">
        <v>2</v>
      </c>
      <c r="T104" s="220">
        <v>58</v>
      </c>
      <c r="U104" s="220">
        <v>60</v>
      </c>
      <c r="V104" s="220">
        <v>118</v>
      </c>
      <c r="W104" s="220">
        <v>62</v>
      </c>
      <c r="X104" s="220">
        <v>2827</v>
      </c>
      <c r="Y104" s="220">
        <v>715</v>
      </c>
      <c r="Z104" s="220">
        <v>54</v>
      </c>
      <c r="AA104" s="220">
        <v>94</v>
      </c>
      <c r="AB104" s="220">
        <v>1672</v>
      </c>
      <c r="AC104" s="220">
        <v>23</v>
      </c>
      <c r="AD104" s="220">
        <v>7</v>
      </c>
      <c r="AE104" s="220">
        <v>90</v>
      </c>
      <c r="AF104" s="220">
        <v>248</v>
      </c>
      <c r="AG104" s="220">
        <v>245</v>
      </c>
      <c r="AH104" s="220">
        <v>76</v>
      </c>
      <c r="AI104" s="220">
        <v>38</v>
      </c>
      <c r="AJ104" s="220">
        <v>183</v>
      </c>
      <c r="AK104" s="220">
        <v>0</v>
      </c>
      <c r="AL104" s="220">
        <v>149</v>
      </c>
      <c r="AM104" s="220">
        <v>98</v>
      </c>
      <c r="AN104" s="220">
        <v>1187</v>
      </c>
      <c r="AO104" s="220">
        <v>186</v>
      </c>
      <c r="AP104" s="220">
        <v>756</v>
      </c>
      <c r="AQ104" s="220">
        <v>1</v>
      </c>
      <c r="AR104" s="220">
        <v>37</v>
      </c>
      <c r="AS104" s="220">
        <v>153</v>
      </c>
      <c r="AT104" s="220">
        <v>124</v>
      </c>
      <c r="AU104" s="220">
        <v>21</v>
      </c>
      <c r="AV104" s="220">
        <v>58</v>
      </c>
      <c r="AW104" s="220">
        <v>12</v>
      </c>
      <c r="AX104" s="220">
        <v>12</v>
      </c>
      <c r="AY104" s="220">
        <v>27</v>
      </c>
      <c r="AZ104" s="220">
        <v>18</v>
      </c>
      <c r="BA104" s="220">
        <v>192</v>
      </c>
      <c r="BB104" s="220">
        <v>279</v>
      </c>
      <c r="BC104" s="220">
        <v>291</v>
      </c>
      <c r="BD104" s="220">
        <v>3</v>
      </c>
      <c r="BE104" s="220">
        <v>569</v>
      </c>
      <c r="BF104" s="220">
        <v>254</v>
      </c>
      <c r="BG104" s="220">
        <v>187</v>
      </c>
      <c r="BH104" s="220">
        <v>83</v>
      </c>
      <c r="BI104" s="220">
        <v>49</v>
      </c>
      <c r="BJ104" s="220">
        <v>29</v>
      </c>
      <c r="BK104" s="220">
        <v>93</v>
      </c>
      <c r="BL104" s="220">
        <v>3</v>
      </c>
      <c r="BM104" s="220">
        <v>810</v>
      </c>
      <c r="BN104" s="220">
        <v>1584</v>
      </c>
      <c r="BO104" s="220">
        <v>0</v>
      </c>
      <c r="BP104" s="220">
        <v>56</v>
      </c>
      <c r="BQ104" s="220">
        <v>0</v>
      </c>
      <c r="BR104" s="220">
        <v>29</v>
      </c>
      <c r="BS104" s="220">
        <v>123</v>
      </c>
      <c r="BT104" s="220">
        <v>374</v>
      </c>
      <c r="BU104" s="220">
        <v>32</v>
      </c>
      <c r="BV104" s="220">
        <v>1</v>
      </c>
      <c r="BW104" s="220">
        <v>48</v>
      </c>
      <c r="BX104" s="220">
        <v>65</v>
      </c>
      <c r="BY104" s="220">
        <v>0</v>
      </c>
      <c r="BZ104" s="220">
        <v>0</v>
      </c>
      <c r="CA104" s="220">
        <v>0</v>
      </c>
      <c r="CB104" s="220">
        <v>13</v>
      </c>
      <c r="CC104" s="220">
        <v>2</v>
      </c>
      <c r="CD104" s="220">
        <v>1</v>
      </c>
      <c r="CE104" s="220">
        <v>4</v>
      </c>
      <c r="CF104" s="220">
        <v>0</v>
      </c>
      <c r="CG104" s="220">
        <v>0</v>
      </c>
      <c r="CH104" s="220">
        <v>0</v>
      </c>
      <c r="CI104" s="220">
        <v>0</v>
      </c>
      <c r="CJ104" s="220">
        <v>0</v>
      </c>
      <c r="CK104" s="220">
        <v>0</v>
      </c>
      <c r="CL104" s="220">
        <v>0</v>
      </c>
      <c r="CM104" s="220">
        <v>0</v>
      </c>
      <c r="CN104" s="220">
        <v>0</v>
      </c>
      <c r="CO104" s="220">
        <v>772</v>
      </c>
      <c r="CP104" s="220">
        <v>1238</v>
      </c>
      <c r="CQ104" s="220">
        <v>0</v>
      </c>
      <c r="CR104" s="220">
        <v>0</v>
      </c>
      <c r="CS104" s="220">
        <v>0</v>
      </c>
      <c r="CT104" s="220">
        <v>244</v>
      </c>
      <c r="CU104" s="220">
        <v>0</v>
      </c>
      <c r="CV104" s="220">
        <v>0</v>
      </c>
      <c r="CW104" s="220">
        <v>0</v>
      </c>
      <c r="CX104" s="220">
        <v>0</v>
      </c>
      <c r="CY104" s="220">
        <v>1662</v>
      </c>
      <c r="CZ104" s="220">
        <v>839</v>
      </c>
      <c r="DA104" s="220">
        <v>0</v>
      </c>
      <c r="DB104" s="220">
        <v>0</v>
      </c>
      <c r="DC104" s="220">
        <v>0</v>
      </c>
      <c r="DD104" s="220">
        <v>13</v>
      </c>
      <c r="DE104" s="220">
        <v>0</v>
      </c>
      <c r="DF104" s="220">
        <v>0</v>
      </c>
      <c r="DG104" s="220">
        <v>0</v>
      </c>
      <c r="DH104" s="220">
        <v>29</v>
      </c>
      <c r="DI104" s="220">
        <v>45</v>
      </c>
      <c r="DJ104" s="220">
        <v>95</v>
      </c>
      <c r="DK104" s="220">
        <v>0</v>
      </c>
      <c r="DL104" s="220">
        <v>0</v>
      </c>
      <c r="DM104" s="220">
        <v>0</v>
      </c>
      <c r="DN104" s="220">
        <v>1214</v>
      </c>
      <c r="DO104" s="220">
        <v>0</v>
      </c>
      <c r="DP104" s="221">
        <v>25020</v>
      </c>
      <c r="DQ104" s="71">
        <f>TRP!AF226</f>
        <v>25020</v>
      </c>
      <c r="DR104" s="71">
        <f t="shared" si="4"/>
        <v>0</v>
      </c>
    </row>
    <row r="105" spans="2:122" x14ac:dyDescent="0.25">
      <c r="B105" s="218" t="s">
        <v>171</v>
      </c>
      <c r="C105" s="222" t="s">
        <v>284</v>
      </c>
      <c r="D105" s="220">
        <v>0</v>
      </c>
      <c r="E105" s="220">
        <v>0</v>
      </c>
      <c r="F105" s="220">
        <v>0</v>
      </c>
      <c r="G105" s="220">
        <v>0</v>
      </c>
      <c r="H105" s="220">
        <v>0</v>
      </c>
      <c r="I105" s="220">
        <v>0</v>
      </c>
      <c r="J105" s="220">
        <v>0</v>
      </c>
      <c r="K105" s="220">
        <v>0</v>
      </c>
      <c r="L105" s="220">
        <v>0</v>
      </c>
      <c r="M105" s="220">
        <v>0</v>
      </c>
      <c r="N105" s="220">
        <v>0</v>
      </c>
      <c r="O105" s="220">
        <v>0</v>
      </c>
      <c r="P105" s="220">
        <v>0</v>
      </c>
      <c r="Q105" s="220">
        <v>0</v>
      </c>
      <c r="R105" s="220">
        <v>0</v>
      </c>
      <c r="S105" s="220">
        <v>0</v>
      </c>
      <c r="T105" s="220">
        <v>0</v>
      </c>
      <c r="U105" s="220">
        <v>0</v>
      </c>
      <c r="V105" s="220">
        <v>0</v>
      </c>
      <c r="W105" s="220">
        <v>0</v>
      </c>
      <c r="X105" s="220">
        <v>0</v>
      </c>
      <c r="Y105" s="220">
        <v>0</v>
      </c>
      <c r="Z105" s="220">
        <v>0</v>
      </c>
      <c r="AA105" s="220">
        <v>0</v>
      </c>
      <c r="AB105" s="220">
        <v>0</v>
      </c>
      <c r="AC105" s="220">
        <v>0</v>
      </c>
      <c r="AD105" s="220">
        <v>0</v>
      </c>
      <c r="AE105" s="220">
        <v>0</v>
      </c>
      <c r="AF105" s="220">
        <v>0</v>
      </c>
      <c r="AG105" s="220">
        <v>0</v>
      </c>
      <c r="AH105" s="220">
        <v>0</v>
      </c>
      <c r="AI105" s="220">
        <v>0</v>
      </c>
      <c r="AJ105" s="220">
        <v>0</v>
      </c>
      <c r="AK105" s="220">
        <v>0</v>
      </c>
      <c r="AL105" s="220">
        <v>0</v>
      </c>
      <c r="AM105" s="220">
        <v>0</v>
      </c>
      <c r="AN105" s="220">
        <v>0</v>
      </c>
      <c r="AO105" s="220">
        <v>0</v>
      </c>
      <c r="AP105" s="220">
        <v>0</v>
      </c>
      <c r="AQ105" s="220">
        <v>0</v>
      </c>
      <c r="AR105" s="220">
        <v>0</v>
      </c>
      <c r="AS105" s="220">
        <v>0</v>
      </c>
      <c r="AT105" s="220">
        <v>0</v>
      </c>
      <c r="AU105" s="220">
        <v>0</v>
      </c>
      <c r="AV105" s="220">
        <v>0</v>
      </c>
      <c r="AW105" s="220">
        <v>0</v>
      </c>
      <c r="AX105" s="220">
        <v>0</v>
      </c>
      <c r="AY105" s="220">
        <v>0</v>
      </c>
      <c r="AZ105" s="220">
        <v>0</v>
      </c>
      <c r="BA105" s="220">
        <v>0</v>
      </c>
      <c r="BB105" s="220">
        <v>0</v>
      </c>
      <c r="BC105" s="220">
        <v>0</v>
      </c>
      <c r="BD105" s="220">
        <v>0</v>
      </c>
      <c r="BE105" s="220">
        <v>0</v>
      </c>
      <c r="BF105" s="220">
        <v>0</v>
      </c>
      <c r="BG105" s="220">
        <v>0</v>
      </c>
      <c r="BH105" s="220">
        <v>0</v>
      </c>
      <c r="BI105" s="220">
        <v>0</v>
      </c>
      <c r="BJ105" s="220">
        <v>0</v>
      </c>
      <c r="BK105" s="220">
        <v>0</v>
      </c>
      <c r="BL105" s="220">
        <v>0</v>
      </c>
      <c r="BM105" s="220">
        <v>0</v>
      </c>
      <c r="BN105" s="220">
        <v>0</v>
      </c>
      <c r="BO105" s="220">
        <v>0</v>
      </c>
      <c r="BP105" s="220">
        <v>0</v>
      </c>
      <c r="BQ105" s="220">
        <v>0</v>
      </c>
      <c r="BR105" s="220">
        <v>0</v>
      </c>
      <c r="BS105" s="220">
        <v>0</v>
      </c>
      <c r="BT105" s="220">
        <v>0</v>
      </c>
      <c r="BU105" s="220">
        <v>0</v>
      </c>
      <c r="BV105" s="220">
        <v>0</v>
      </c>
      <c r="BW105" s="220">
        <v>0</v>
      </c>
      <c r="BX105" s="220">
        <v>0</v>
      </c>
      <c r="BY105" s="220">
        <v>0</v>
      </c>
      <c r="BZ105" s="220">
        <v>0</v>
      </c>
      <c r="CA105" s="220">
        <v>0</v>
      </c>
      <c r="CB105" s="220">
        <v>0</v>
      </c>
      <c r="CC105" s="220">
        <v>0</v>
      </c>
      <c r="CD105" s="220">
        <v>0</v>
      </c>
      <c r="CE105" s="220">
        <v>0</v>
      </c>
      <c r="CF105" s="220">
        <v>0</v>
      </c>
      <c r="CG105" s="220">
        <v>0</v>
      </c>
      <c r="CH105" s="220">
        <v>0</v>
      </c>
      <c r="CI105" s="220">
        <v>0</v>
      </c>
      <c r="CJ105" s="220">
        <v>0</v>
      </c>
      <c r="CK105" s="220">
        <v>0</v>
      </c>
      <c r="CL105" s="220">
        <v>0</v>
      </c>
      <c r="CM105" s="220">
        <v>0</v>
      </c>
      <c r="CN105" s="220">
        <v>0</v>
      </c>
      <c r="CO105" s="220">
        <v>0</v>
      </c>
      <c r="CP105" s="220">
        <v>0</v>
      </c>
      <c r="CQ105" s="220">
        <v>0</v>
      </c>
      <c r="CR105" s="220">
        <v>0</v>
      </c>
      <c r="CS105" s="220">
        <v>0</v>
      </c>
      <c r="CT105" s="220">
        <v>0</v>
      </c>
      <c r="CU105" s="220">
        <v>0</v>
      </c>
      <c r="CV105" s="220">
        <v>0</v>
      </c>
      <c r="CW105" s="220">
        <v>0</v>
      </c>
      <c r="CX105" s="220">
        <v>0</v>
      </c>
      <c r="CY105" s="220">
        <v>0</v>
      </c>
      <c r="CZ105" s="220">
        <v>0</v>
      </c>
      <c r="DA105" s="220">
        <v>0</v>
      </c>
      <c r="DB105" s="220">
        <v>0</v>
      </c>
      <c r="DC105" s="220">
        <v>0</v>
      </c>
      <c r="DD105" s="220">
        <v>0</v>
      </c>
      <c r="DE105" s="220">
        <v>0</v>
      </c>
      <c r="DF105" s="220">
        <v>0</v>
      </c>
      <c r="DG105" s="220">
        <v>0</v>
      </c>
      <c r="DH105" s="220">
        <v>0</v>
      </c>
      <c r="DI105" s="220">
        <v>0</v>
      </c>
      <c r="DJ105" s="220">
        <v>0</v>
      </c>
      <c r="DK105" s="220">
        <v>0</v>
      </c>
      <c r="DL105" s="220">
        <v>0</v>
      </c>
      <c r="DM105" s="220">
        <v>0</v>
      </c>
      <c r="DN105" s="220">
        <v>0</v>
      </c>
      <c r="DO105" s="220">
        <v>0</v>
      </c>
      <c r="DP105" s="221">
        <v>0</v>
      </c>
      <c r="DQ105" s="71">
        <f>TRP!AF227</f>
        <v>0</v>
      </c>
      <c r="DR105" s="71">
        <f t="shared" si="4"/>
        <v>0</v>
      </c>
    </row>
    <row r="106" spans="2:122" x14ac:dyDescent="0.25">
      <c r="B106" s="218" t="s">
        <v>77</v>
      </c>
      <c r="C106" s="222" t="s">
        <v>285</v>
      </c>
      <c r="D106" s="220">
        <v>26</v>
      </c>
      <c r="E106" s="220">
        <v>3</v>
      </c>
      <c r="F106" s="220">
        <v>1</v>
      </c>
      <c r="G106" s="220">
        <v>40</v>
      </c>
      <c r="H106" s="220">
        <v>84</v>
      </c>
      <c r="I106" s="220">
        <v>49</v>
      </c>
      <c r="J106" s="220">
        <v>54</v>
      </c>
      <c r="K106" s="220">
        <v>150</v>
      </c>
      <c r="L106" s="220">
        <v>1</v>
      </c>
      <c r="M106" s="220">
        <v>26</v>
      </c>
      <c r="N106" s="220">
        <v>8</v>
      </c>
      <c r="O106" s="220">
        <v>109</v>
      </c>
      <c r="P106" s="220">
        <v>162</v>
      </c>
      <c r="Q106" s="220">
        <v>107</v>
      </c>
      <c r="R106" s="220">
        <v>52</v>
      </c>
      <c r="S106" s="220">
        <v>7</v>
      </c>
      <c r="T106" s="220">
        <v>21</v>
      </c>
      <c r="U106" s="220">
        <v>7</v>
      </c>
      <c r="V106" s="220">
        <v>12</v>
      </c>
      <c r="W106" s="220">
        <v>7</v>
      </c>
      <c r="X106" s="220">
        <v>148</v>
      </c>
      <c r="Y106" s="220">
        <v>62</v>
      </c>
      <c r="Z106" s="220">
        <v>22</v>
      </c>
      <c r="AA106" s="220">
        <v>26</v>
      </c>
      <c r="AB106" s="220">
        <v>135</v>
      </c>
      <c r="AC106" s="220">
        <v>14</v>
      </c>
      <c r="AD106" s="220">
        <v>31</v>
      </c>
      <c r="AE106" s="220">
        <v>39</v>
      </c>
      <c r="AF106" s="220">
        <v>48</v>
      </c>
      <c r="AG106" s="220">
        <v>82</v>
      </c>
      <c r="AH106" s="220">
        <v>17</v>
      </c>
      <c r="AI106" s="220">
        <v>8</v>
      </c>
      <c r="AJ106" s="220">
        <v>57</v>
      </c>
      <c r="AK106" s="220">
        <v>7</v>
      </c>
      <c r="AL106" s="220">
        <v>8</v>
      </c>
      <c r="AM106" s="220">
        <v>27</v>
      </c>
      <c r="AN106" s="220">
        <v>54</v>
      </c>
      <c r="AO106" s="220">
        <v>30</v>
      </c>
      <c r="AP106" s="220">
        <v>52</v>
      </c>
      <c r="AQ106" s="220">
        <v>0</v>
      </c>
      <c r="AR106" s="220">
        <v>0</v>
      </c>
      <c r="AS106" s="220">
        <v>39</v>
      </c>
      <c r="AT106" s="220">
        <v>78</v>
      </c>
      <c r="AU106" s="220">
        <v>21</v>
      </c>
      <c r="AV106" s="220">
        <v>19</v>
      </c>
      <c r="AW106" s="220">
        <v>9</v>
      </c>
      <c r="AX106" s="220">
        <v>47</v>
      </c>
      <c r="AY106" s="220">
        <v>16</v>
      </c>
      <c r="AZ106" s="220">
        <v>25</v>
      </c>
      <c r="BA106" s="220">
        <v>31</v>
      </c>
      <c r="BB106" s="220">
        <v>75</v>
      </c>
      <c r="BC106" s="220">
        <v>39</v>
      </c>
      <c r="BD106" s="220">
        <v>1</v>
      </c>
      <c r="BE106" s="220">
        <v>24</v>
      </c>
      <c r="BF106" s="220">
        <v>106</v>
      </c>
      <c r="BG106" s="220">
        <v>121</v>
      </c>
      <c r="BH106" s="220">
        <v>33</v>
      </c>
      <c r="BI106" s="220">
        <v>22</v>
      </c>
      <c r="BJ106" s="220">
        <v>83</v>
      </c>
      <c r="BK106" s="220">
        <v>51</v>
      </c>
      <c r="BL106" s="220">
        <v>48</v>
      </c>
      <c r="BM106" s="220">
        <v>52</v>
      </c>
      <c r="BN106" s="220">
        <v>13</v>
      </c>
      <c r="BO106" s="220">
        <v>0</v>
      </c>
      <c r="BP106" s="220">
        <v>0</v>
      </c>
      <c r="BQ106" s="220">
        <v>0</v>
      </c>
      <c r="BR106" s="220">
        <v>0</v>
      </c>
      <c r="BS106" s="220">
        <v>81</v>
      </c>
      <c r="BT106" s="220">
        <v>108</v>
      </c>
      <c r="BU106" s="220">
        <v>14</v>
      </c>
      <c r="BV106" s="220">
        <v>50</v>
      </c>
      <c r="BW106" s="220">
        <v>133</v>
      </c>
      <c r="BX106" s="220">
        <v>104</v>
      </c>
      <c r="BY106" s="220">
        <v>213</v>
      </c>
      <c r="BZ106" s="220">
        <v>3038</v>
      </c>
      <c r="CA106" s="220">
        <v>2048</v>
      </c>
      <c r="CB106" s="220">
        <v>9</v>
      </c>
      <c r="CC106" s="220">
        <v>134</v>
      </c>
      <c r="CD106" s="220">
        <v>488</v>
      </c>
      <c r="CE106" s="220">
        <v>166</v>
      </c>
      <c r="CF106" s="220">
        <v>107</v>
      </c>
      <c r="CG106" s="220">
        <v>115</v>
      </c>
      <c r="CH106" s="220">
        <v>118</v>
      </c>
      <c r="CI106" s="220">
        <v>100</v>
      </c>
      <c r="CJ106" s="220">
        <v>474</v>
      </c>
      <c r="CK106" s="220">
        <v>98</v>
      </c>
      <c r="CL106" s="220">
        <v>61</v>
      </c>
      <c r="CM106" s="220">
        <v>352</v>
      </c>
      <c r="CN106" s="220">
        <v>487</v>
      </c>
      <c r="CO106" s="220">
        <v>293</v>
      </c>
      <c r="CP106" s="220">
        <v>661</v>
      </c>
      <c r="CQ106" s="220">
        <v>608</v>
      </c>
      <c r="CR106" s="220">
        <v>435</v>
      </c>
      <c r="CS106" s="220">
        <v>73</v>
      </c>
      <c r="CT106" s="220">
        <v>541</v>
      </c>
      <c r="CU106" s="220">
        <v>244</v>
      </c>
      <c r="CV106" s="220">
        <v>78</v>
      </c>
      <c r="CW106" s="220">
        <v>1517</v>
      </c>
      <c r="CX106" s="220">
        <v>53</v>
      </c>
      <c r="CY106" s="220">
        <v>220</v>
      </c>
      <c r="CZ106" s="220">
        <v>34</v>
      </c>
      <c r="DA106" s="220">
        <v>1993</v>
      </c>
      <c r="DB106" s="220">
        <v>264</v>
      </c>
      <c r="DC106" s="220">
        <v>364</v>
      </c>
      <c r="DD106" s="220">
        <v>306</v>
      </c>
      <c r="DE106" s="220">
        <v>49</v>
      </c>
      <c r="DF106" s="220">
        <v>0</v>
      </c>
      <c r="DG106" s="220">
        <v>56</v>
      </c>
      <c r="DH106" s="220">
        <v>581</v>
      </c>
      <c r="DI106" s="220">
        <v>233</v>
      </c>
      <c r="DJ106" s="220">
        <v>99</v>
      </c>
      <c r="DK106" s="220">
        <v>7</v>
      </c>
      <c r="DL106" s="220">
        <v>358</v>
      </c>
      <c r="DM106" s="220">
        <v>1181</v>
      </c>
      <c r="DN106" s="220">
        <v>291</v>
      </c>
      <c r="DO106" s="220">
        <v>86</v>
      </c>
      <c r="DP106" s="221">
        <v>21869</v>
      </c>
      <c r="DQ106" s="71">
        <f>TRP!AF228</f>
        <v>21869</v>
      </c>
      <c r="DR106" s="71">
        <f t="shared" si="4"/>
        <v>0</v>
      </c>
    </row>
    <row r="107" spans="2:122" x14ac:dyDescent="0.25">
      <c r="B107" s="218" t="s">
        <v>172</v>
      </c>
      <c r="C107" s="222" t="s">
        <v>286</v>
      </c>
      <c r="D107" s="220">
        <v>0</v>
      </c>
      <c r="E107" s="220">
        <v>0</v>
      </c>
      <c r="F107" s="220">
        <v>0</v>
      </c>
      <c r="G107" s="220">
        <v>2</v>
      </c>
      <c r="H107" s="220">
        <v>2</v>
      </c>
      <c r="I107" s="220">
        <v>0</v>
      </c>
      <c r="J107" s="220">
        <v>0</v>
      </c>
      <c r="K107" s="220">
        <v>0</v>
      </c>
      <c r="L107" s="220">
        <v>0</v>
      </c>
      <c r="M107" s="220">
        <v>9</v>
      </c>
      <c r="N107" s="220">
        <v>2</v>
      </c>
      <c r="O107" s="220">
        <v>165</v>
      </c>
      <c r="P107" s="220">
        <v>49</v>
      </c>
      <c r="Q107" s="220">
        <v>13</v>
      </c>
      <c r="R107" s="220">
        <v>11</v>
      </c>
      <c r="S107" s="220">
        <v>0</v>
      </c>
      <c r="T107" s="220">
        <v>25</v>
      </c>
      <c r="U107" s="220">
        <v>10</v>
      </c>
      <c r="V107" s="220">
        <v>7</v>
      </c>
      <c r="W107" s="220">
        <v>8</v>
      </c>
      <c r="X107" s="220">
        <v>0</v>
      </c>
      <c r="Y107" s="220">
        <v>0</v>
      </c>
      <c r="Z107" s="220">
        <v>2</v>
      </c>
      <c r="AA107" s="220">
        <v>1</v>
      </c>
      <c r="AB107" s="220">
        <v>4</v>
      </c>
      <c r="AC107" s="220">
        <v>1</v>
      </c>
      <c r="AD107" s="220">
        <v>7</v>
      </c>
      <c r="AE107" s="220">
        <v>9</v>
      </c>
      <c r="AF107" s="220">
        <v>11</v>
      </c>
      <c r="AG107" s="220">
        <v>12</v>
      </c>
      <c r="AH107" s="220">
        <v>3</v>
      </c>
      <c r="AI107" s="220">
        <v>1</v>
      </c>
      <c r="AJ107" s="220">
        <v>8</v>
      </c>
      <c r="AK107" s="220">
        <v>15</v>
      </c>
      <c r="AL107" s="220">
        <v>2</v>
      </c>
      <c r="AM107" s="220">
        <v>5</v>
      </c>
      <c r="AN107" s="220">
        <v>4</v>
      </c>
      <c r="AO107" s="220">
        <v>7</v>
      </c>
      <c r="AP107" s="220">
        <v>10</v>
      </c>
      <c r="AQ107" s="220">
        <v>0</v>
      </c>
      <c r="AR107" s="220">
        <v>10</v>
      </c>
      <c r="AS107" s="220">
        <v>22</v>
      </c>
      <c r="AT107" s="220">
        <v>59</v>
      </c>
      <c r="AU107" s="220">
        <v>9</v>
      </c>
      <c r="AV107" s="220">
        <v>7</v>
      </c>
      <c r="AW107" s="220">
        <v>7</v>
      </c>
      <c r="AX107" s="220">
        <v>3</v>
      </c>
      <c r="AY107" s="220">
        <v>12</v>
      </c>
      <c r="AZ107" s="220">
        <v>13</v>
      </c>
      <c r="BA107" s="220">
        <v>4</v>
      </c>
      <c r="BB107" s="220">
        <v>21</v>
      </c>
      <c r="BC107" s="220">
        <v>20</v>
      </c>
      <c r="BD107" s="220">
        <v>1</v>
      </c>
      <c r="BE107" s="220">
        <v>10</v>
      </c>
      <c r="BF107" s="220">
        <v>13</v>
      </c>
      <c r="BG107" s="220">
        <v>49</v>
      </c>
      <c r="BH107" s="220">
        <v>22</v>
      </c>
      <c r="BI107" s="220">
        <v>25</v>
      </c>
      <c r="BJ107" s="220">
        <v>34</v>
      </c>
      <c r="BK107" s="220">
        <v>15</v>
      </c>
      <c r="BL107" s="220">
        <v>15</v>
      </c>
      <c r="BM107" s="220">
        <v>25</v>
      </c>
      <c r="BN107" s="220">
        <v>6</v>
      </c>
      <c r="BO107" s="220">
        <v>0</v>
      </c>
      <c r="BP107" s="220">
        <v>0</v>
      </c>
      <c r="BQ107" s="220">
        <v>0</v>
      </c>
      <c r="BR107" s="220">
        <v>3</v>
      </c>
      <c r="BS107" s="220">
        <v>34</v>
      </c>
      <c r="BT107" s="220">
        <v>67</v>
      </c>
      <c r="BU107" s="220">
        <v>11</v>
      </c>
      <c r="BV107" s="220">
        <v>33</v>
      </c>
      <c r="BW107" s="220">
        <v>70</v>
      </c>
      <c r="BX107" s="220">
        <v>20</v>
      </c>
      <c r="BY107" s="220">
        <v>69</v>
      </c>
      <c r="BZ107" s="220">
        <v>48</v>
      </c>
      <c r="CA107" s="220">
        <v>192</v>
      </c>
      <c r="CB107" s="220">
        <v>3</v>
      </c>
      <c r="CC107" s="220">
        <v>6</v>
      </c>
      <c r="CD107" s="220">
        <v>8</v>
      </c>
      <c r="CE107" s="220">
        <v>0</v>
      </c>
      <c r="CF107" s="220">
        <v>15</v>
      </c>
      <c r="CG107" s="220">
        <v>0</v>
      </c>
      <c r="CH107" s="220">
        <v>23</v>
      </c>
      <c r="CI107" s="220">
        <v>2</v>
      </c>
      <c r="CJ107" s="220">
        <v>0</v>
      </c>
      <c r="CK107" s="220">
        <v>0</v>
      </c>
      <c r="CL107" s="220">
        <v>0</v>
      </c>
      <c r="CM107" s="220">
        <v>122</v>
      </c>
      <c r="CN107" s="220">
        <v>1009</v>
      </c>
      <c r="CO107" s="220">
        <v>0</v>
      </c>
      <c r="CP107" s="220">
        <v>245</v>
      </c>
      <c r="CQ107" s="220">
        <v>243</v>
      </c>
      <c r="CR107" s="220">
        <v>51</v>
      </c>
      <c r="CS107" s="220">
        <v>31</v>
      </c>
      <c r="CT107" s="220">
        <v>209</v>
      </c>
      <c r="CU107" s="220">
        <v>115</v>
      </c>
      <c r="CV107" s="220">
        <v>16</v>
      </c>
      <c r="CW107" s="220">
        <v>1246</v>
      </c>
      <c r="CX107" s="220">
        <v>26</v>
      </c>
      <c r="CY107" s="220">
        <v>184</v>
      </c>
      <c r="CZ107" s="220">
        <v>0</v>
      </c>
      <c r="DA107" s="220">
        <v>333</v>
      </c>
      <c r="DB107" s="220">
        <v>4306</v>
      </c>
      <c r="DC107" s="220">
        <v>375</v>
      </c>
      <c r="DD107" s="220">
        <v>0</v>
      </c>
      <c r="DE107" s="220">
        <v>28</v>
      </c>
      <c r="DF107" s="220">
        <v>0</v>
      </c>
      <c r="DG107" s="220">
        <v>2</v>
      </c>
      <c r="DH107" s="220">
        <v>0</v>
      </c>
      <c r="DI107" s="220">
        <v>16</v>
      </c>
      <c r="DJ107" s="220">
        <v>0</v>
      </c>
      <c r="DK107" s="220">
        <v>0</v>
      </c>
      <c r="DL107" s="220">
        <v>52</v>
      </c>
      <c r="DM107" s="220">
        <v>0</v>
      </c>
      <c r="DN107" s="220">
        <v>1</v>
      </c>
      <c r="DO107" s="220">
        <v>0</v>
      </c>
      <c r="DP107" s="221">
        <v>10021</v>
      </c>
      <c r="DQ107" s="71">
        <f>TRP!AF229</f>
        <v>10021</v>
      </c>
      <c r="DR107" s="71">
        <f t="shared" si="4"/>
        <v>0</v>
      </c>
    </row>
    <row r="108" spans="2:122" x14ac:dyDescent="0.25">
      <c r="B108" s="218" t="s">
        <v>173</v>
      </c>
      <c r="C108" s="222" t="s">
        <v>287</v>
      </c>
      <c r="D108" s="220">
        <v>0</v>
      </c>
      <c r="E108" s="220">
        <v>0</v>
      </c>
      <c r="F108" s="220">
        <v>0</v>
      </c>
      <c r="G108" s="220">
        <v>1</v>
      </c>
      <c r="H108" s="220">
        <v>9</v>
      </c>
      <c r="I108" s="220">
        <v>7</v>
      </c>
      <c r="J108" s="220">
        <v>5</v>
      </c>
      <c r="K108" s="220">
        <v>11</v>
      </c>
      <c r="L108" s="220">
        <v>1</v>
      </c>
      <c r="M108" s="220">
        <v>1</v>
      </c>
      <c r="N108" s="220">
        <v>0</v>
      </c>
      <c r="O108" s="220">
        <v>181</v>
      </c>
      <c r="P108" s="220">
        <v>5</v>
      </c>
      <c r="Q108" s="220">
        <v>5</v>
      </c>
      <c r="R108" s="220">
        <v>7</v>
      </c>
      <c r="S108" s="220">
        <v>0</v>
      </c>
      <c r="T108" s="220">
        <v>1</v>
      </c>
      <c r="U108" s="220">
        <v>1</v>
      </c>
      <c r="V108" s="220">
        <v>1</v>
      </c>
      <c r="W108" s="220">
        <v>1</v>
      </c>
      <c r="X108" s="220">
        <v>4</v>
      </c>
      <c r="Y108" s="220">
        <v>3</v>
      </c>
      <c r="Z108" s="220">
        <v>1</v>
      </c>
      <c r="AA108" s="220">
        <v>0</v>
      </c>
      <c r="AB108" s="220">
        <v>3</v>
      </c>
      <c r="AC108" s="220">
        <v>0</v>
      </c>
      <c r="AD108" s="220">
        <v>1</v>
      </c>
      <c r="AE108" s="220">
        <v>1</v>
      </c>
      <c r="AF108" s="220">
        <v>1</v>
      </c>
      <c r="AG108" s="220">
        <v>3</v>
      </c>
      <c r="AH108" s="220">
        <v>0</v>
      </c>
      <c r="AI108" s="220">
        <v>0</v>
      </c>
      <c r="AJ108" s="220">
        <v>1</v>
      </c>
      <c r="AK108" s="220">
        <v>0</v>
      </c>
      <c r="AL108" s="220">
        <v>1</v>
      </c>
      <c r="AM108" s="220">
        <v>2</v>
      </c>
      <c r="AN108" s="220">
        <v>2</v>
      </c>
      <c r="AO108" s="220">
        <v>3</v>
      </c>
      <c r="AP108" s="220">
        <v>2</v>
      </c>
      <c r="AQ108" s="220">
        <v>0</v>
      </c>
      <c r="AR108" s="220">
        <v>1</v>
      </c>
      <c r="AS108" s="220">
        <v>1</v>
      </c>
      <c r="AT108" s="220">
        <v>2</v>
      </c>
      <c r="AU108" s="220">
        <v>1</v>
      </c>
      <c r="AV108" s="220">
        <v>1</v>
      </c>
      <c r="AW108" s="220">
        <v>1</v>
      </c>
      <c r="AX108" s="220">
        <v>1</v>
      </c>
      <c r="AY108" s="220">
        <v>1</v>
      </c>
      <c r="AZ108" s="220">
        <v>1</v>
      </c>
      <c r="BA108" s="220">
        <v>1</v>
      </c>
      <c r="BB108" s="220">
        <v>6</v>
      </c>
      <c r="BC108" s="220">
        <v>1</v>
      </c>
      <c r="BD108" s="220">
        <v>0</v>
      </c>
      <c r="BE108" s="220">
        <v>0</v>
      </c>
      <c r="BF108" s="220">
        <v>0</v>
      </c>
      <c r="BG108" s="220">
        <v>3</v>
      </c>
      <c r="BH108" s="220">
        <v>2</v>
      </c>
      <c r="BI108" s="220">
        <v>1</v>
      </c>
      <c r="BJ108" s="220">
        <v>3</v>
      </c>
      <c r="BK108" s="220">
        <v>2</v>
      </c>
      <c r="BL108" s="220">
        <v>0</v>
      </c>
      <c r="BM108" s="220">
        <v>3</v>
      </c>
      <c r="BN108" s="220">
        <v>2</v>
      </c>
      <c r="BO108" s="220">
        <v>0</v>
      </c>
      <c r="BP108" s="220">
        <v>0</v>
      </c>
      <c r="BQ108" s="220">
        <v>0</v>
      </c>
      <c r="BR108" s="220">
        <v>0</v>
      </c>
      <c r="BS108" s="220">
        <v>3</v>
      </c>
      <c r="BT108" s="220">
        <v>6</v>
      </c>
      <c r="BU108" s="220">
        <v>1</v>
      </c>
      <c r="BV108" s="220">
        <v>1</v>
      </c>
      <c r="BW108" s="220">
        <v>26</v>
      </c>
      <c r="BX108" s="220">
        <v>3</v>
      </c>
      <c r="BY108" s="220">
        <v>5</v>
      </c>
      <c r="BZ108" s="220">
        <v>46</v>
      </c>
      <c r="CA108" s="220">
        <v>22</v>
      </c>
      <c r="CB108" s="220">
        <v>0</v>
      </c>
      <c r="CC108" s="220">
        <v>2</v>
      </c>
      <c r="CD108" s="220">
        <v>7</v>
      </c>
      <c r="CE108" s="220">
        <v>2</v>
      </c>
      <c r="CF108" s="220">
        <v>2</v>
      </c>
      <c r="CG108" s="220">
        <v>6</v>
      </c>
      <c r="CH108" s="220">
        <v>3</v>
      </c>
      <c r="CI108" s="220">
        <v>6</v>
      </c>
      <c r="CJ108" s="220">
        <v>0</v>
      </c>
      <c r="CK108" s="220">
        <v>0</v>
      </c>
      <c r="CL108" s="220">
        <v>0</v>
      </c>
      <c r="CM108" s="220">
        <v>12</v>
      </c>
      <c r="CN108" s="220">
        <v>17</v>
      </c>
      <c r="CO108" s="220">
        <v>10</v>
      </c>
      <c r="CP108" s="220">
        <v>8</v>
      </c>
      <c r="CQ108" s="220">
        <v>7</v>
      </c>
      <c r="CR108" s="220">
        <v>49</v>
      </c>
      <c r="CS108" s="220">
        <v>5</v>
      </c>
      <c r="CT108" s="220">
        <v>19</v>
      </c>
      <c r="CU108" s="220">
        <v>6</v>
      </c>
      <c r="CV108" s="220">
        <v>0</v>
      </c>
      <c r="CW108" s="220">
        <v>69</v>
      </c>
      <c r="CX108" s="220">
        <v>1</v>
      </c>
      <c r="CY108" s="220">
        <v>12</v>
      </c>
      <c r="CZ108" s="220">
        <v>0</v>
      </c>
      <c r="DA108" s="220">
        <v>86</v>
      </c>
      <c r="DB108" s="220">
        <v>574</v>
      </c>
      <c r="DC108" s="220">
        <v>1538</v>
      </c>
      <c r="DD108" s="220">
        <v>898</v>
      </c>
      <c r="DE108" s="220">
        <v>11</v>
      </c>
      <c r="DF108" s="220">
        <v>0</v>
      </c>
      <c r="DG108" s="220">
        <v>7</v>
      </c>
      <c r="DH108" s="220">
        <v>138</v>
      </c>
      <c r="DI108" s="220">
        <v>6</v>
      </c>
      <c r="DJ108" s="220">
        <v>0</v>
      </c>
      <c r="DK108" s="220">
        <v>0</v>
      </c>
      <c r="DL108" s="220">
        <v>19</v>
      </c>
      <c r="DM108" s="220">
        <v>111</v>
      </c>
      <c r="DN108" s="220">
        <v>277</v>
      </c>
      <c r="DO108" s="220">
        <v>241</v>
      </c>
      <c r="DP108" s="221">
        <v>4561</v>
      </c>
      <c r="DQ108" s="71">
        <f>TRP!AF230</f>
        <v>4561</v>
      </c>
      <c r="DR108" s="71">
        <f t="shared" si="4"/>
        <v>0</v>
      </c>
    </row>
    <row r="109" spans="2:122" x14ac:dyDescent="0.25">
      <c r="B109" s="218" t="s">
        <v>173</v>
      </c>
      <c r="C109" s="222" t="s">
        <v>288</v>
      </c>
      <c r="D109" s="220">
        <v>0</v>
      </c>
      <c r="E109" s="220">
        <v>0</v>
      </c>
      <c r="F109" s="220">
        <v>0</v>
      </c>
      <c r="G109" s="220">
        <v>0</v>
      </c>
      <c r="H109" s="220">
        <v>0</v>
      </c>
      <c r="I109" s="220">
        <v>0</v>
      </c>
      <c r="J109" s="220">
        <v>0</v>
      </c>
      <c r="K109" s="220">
        <v>0</v>
      </c>
      <c r="L109" s="220">
        <v>0</v>
      </c>
      <c r="M109" s="220">
        <v>0</v>
      </c>
      <c r="N109" s="220">
        <v>0</v>
      </c>
      <c r="O109" s="220">
        <v>0</v>
      </c>
      <c r="P109" s="220">
        <v>0</v>
      </c>
      <c r="Q109" s="220">
        <v>0</v>
      </c>
      <c r="R109" s="220">
        <v>0</v>
      </c>
      <c r="S109" s="220">
        <v>0</v>
      </c>
      <c r="T109" s="220">
        <v>0</v>
      </c>
      <c r="U109" s="220">
        <v>0</v>
      </c>
      <c r="V109" s="220">
        <v>0</v>
      </c>
      <c r="W109" s="220">
        <v>0</v>
      </c>
      <c r="X109" s="220">
        <v>0</v>
      </c>
      <c r="Y109" s="220">
        <v>0</v>
      </c>
      <c r="Z109" s="220">
        <v>0</v>
      </c>
      <c r="AA109" s="220">
        <v>0</v>
      </c>
      <c r="AB109" s="220">
        <v>0</v>
      </c>
      <c r="AC109" s="220">
        <v>0</v>
      </c>
      <c r="AD109" s="220">
        <v>0</v>
      </c>
      <c r="AE109" s="220">
        <v>0</v>
      </c>
      <c r="AF109" s="220">
        <v>0</v>
      </c>
      <c r="AG109" s="220">
        <v>0</v>
      </c>
      <c r="AH109" s="220">
        <v>0</v>
      </c>
      <c r="AI109" s="220">
        <v>0</v>
      </c>
      <c r="AJ109" s="220">
        <v>0</v>
      </c>
      <c r="AK109" s="220">
        <v>0</v>
      </c>
      <c r="AL109" s="220">
        <v>0</v>
      </c>
      <c r="AM109" s="220">
        <v>0</v>
      </c>
      <c r="AN109" s="220">
        <v>0</v>
      </c>
      <c r="AO109" s="220">
        <v>0</v>
      </c>
      <c r="AP109" s="220">
        <v>0</v>
      </c>
      <c r="AQ109" s="220">
        <v>0</v>
      </c>
      <c r="AR109" s="220">
        <v>0</v>
      </c>
      <c r="AS109" s="220">
        <v>0</v>
      </c>
      <c r="AT109" s="220">
        <v>0</v>
      </c>
      <c r="AU109" s="220">
        <v>0</v>
      </c>
      <c r="AV109" s="220">
        <v>0</v>
      </c>
      <c r="AW109" s="220">
        <v>0</v>
      </c>
      <c r="AX109" s="220">
        <v>0</v>
      </c>
      <c r="AY109" s="220">
        <v>0</v>
      </c>
      <c r="AZ109" s="220">
        <v>0</v>
      </c>
      <c r="BA109" s="220">
        <v>0</v>
      </c>
      <c r="BB109" s="220">
        <v>0</v>
      </c>
      <c r="BC109" s="220">
        <v>0</v>
      </c>
      <c r="BD109" s="220">
        <v>0</v>
      </c>
      <c r="BE109" s="220">
        <v>0</v>
      </c>
      <c r="BF109" s="220">
        <v>0</v>
      </c>
      <c r="BG109" s="220">
        <v>0</v>
      </c>
      <c r="BH109" s="220">
        <v>0</v>
      </c>
      <c r="BI109" s="220">
        <v>0</v>
      </c>
      <c r="BJ109" s="220">
        <v>0</v>
      </c>
      <c r="BK109" s="220">
        <v>0</v>
      </c>
      <c r="BL109" s="220">
        <v>0</v>
      </c>
      <c r="BM109" s="220">
        <v>0</v>
      </c>
      <c r="BN109" s="220">
        <v>0</v>
      </c>
      <c r="BO109" s="220">
        <v>0</v>
      </c>
      <c r="BP109" s="220">
        <v>0</v>
      </c>
      <c r="BQ109" s="220">
        <v>0</v>
      </c>
      <c r="BR109" s="220">
        <v>0</v>
      </c>
      <c r="BS109" s="220">
        <v>0</v>
      </c>
      <c r="BT109" s="220">
        <v>0</v>
      </c>
      <c r="BU109" s="220">
        <v>0</v>
      </c>
      <c r="BV109" s="220">
        <v>0</v>
      </c>
      <c r="BW109" s="220">
        <v>0</v>
      </c>
      <c r="BX109" s="220">
        <v>0</v>
      </c>
      <c r="BY109" s="220">
        <v>0</v>
      </c>
      <c r="BZ109" s="220">
        <v>0</v>
      </c>
      <c r="CA109" s="220">
        <v>0</v>
      </c>
      <c r="CB109" s="220">
        <v>0</v>
      </c>
      <c r="CC109" s="220">
        <v>0</v>
      </c>
      <c r="CD109" s="220">
        <v>0</v>
      </c>
      <c r="CE109" s="220">
        <v>0</v>
      </c>
      <c r="CF109" s="220">
        <v>0</v>
      </c>
      <c r="CG109" s="220">
        <v>0</v>
      </c>
      <c r="CH109" s="220">
        <v>0</v>
      </c>
      <c r="CI109" s="220">
        <v>0</v>
      </c>
      <c r="CJ109" s="220">
        <v>0</v>
      </c>
      <c r="CK109" s="220">
        <v>0</v>
      </c>
      <c r="CL109" s="220">
        <v>0</v>
      </c>
      <c r="CM109" s="220">
        <v>0</v>
      </c>
      <c r="CN109" s="220">
        <v>0</v>
      </c>
      <c r="CO109" s="220">
        <v>0</v>
      </c>
      <c r="CP109" s="220">
        <v>0</v>
      </c>
      <c r="CQ109" s="220">
        <v>0</v>
      </c>
      <c r="CR109" s="220">
        <v>0</v>
      </c>
      <c r="CS109" s="220">
        <v>0</v>
      </c>
      <c r="CT109" s="220">
        <v>0</v>
      </c>
      <c r="CU109" s="220">
        <v>0</v>
      </c>
      <c r="CV109" s="220">
        <v>0</v>
      </c>
      <c r="CW109" s="220">
        <v>0</v>
      </c>
      <c r="CX109" s="220">
        <v>0</v>
      </c>
      <c r="CY109" s="220">
        <v>0</v>
      </c>
      <c r="CZ109" s="220">
        <v>0</v>
      </c>
      <c r="DA109" s="220">
        <v>0</v>
      </c>
      <c r="DB109" s="220">
        <v>0</v>
      </c>
      <c r="DC109" s="220">
        <v>0</v>
      </c>
      <c r="DD109" s="220">
        <v>0</v>
      </c>
      <c r="DE109" s="220">
        <v>0</v>
      </c>
      <c r="DF109" s="220">
        <v>0</v>
      </c>
      <c r="DG109" s="220">
        <v>0</v>
      </c>
      <c r="DH109" s="220">
        <v>0</v>
      </c>
      <c r="DI109" s="220">
        <v>0</v>
      </c>
      <c r="DJ109" s="220">
        <v>0</v>
      </c>
      <c r="DK109" s="220">
        <v>0</v>
      </c>
      <c r="DL109" s="220">
        <v>0</v>
      </c>
      <c r="DM109" s="220">
        <v>0</v>
      </c>
      <c r="DN109" s="220">
        <v>0</v>
      </c>
      <c r="DO109" s="220">
        <v>0</v>
      </c>
      <c r="DP109" s="221">
        <v>0</v>
      </c>
      <c r="DQ109" s="71">
        <f>TRP!AF231</f>
        <v>0</v>
      </c>
      <c r="DR109" s="71">
        <f t="shared" si="4"/>
        <v>0</v>
      </c>
    </row>
    <row r="110" spans="2:122" x14ac:dyDescent="0.25">
      <c r="B110" s="218" t="s">
        <v>174</v>
      </c>
      <c r="C110" s="222" t="s">
        <v>289</v>
      </c>
      <c r="D110" s="220">
        <v>0</v>
      </c>
      <c r="E110" s="220">
        <v>0</v>
      </c>
      <c r="F110" s="220">
        <v>0</v>
      </c>
      <c r="G110" s="220">
        <v>14</v>
      </c>
      <c r="H110" s="220">
        <v>19</v>
      </c>
      <c r="I110" s="220">
        <v>22</v>
      </c>
      <c r="J110" s="220">
        <v>13</v>
      </c>
      <c r="K110" s="220">
        <v>30</v>
      </c>
      <c r="L110" s="220">
        <v>3</v>
      </c>
      <c r="M110" s="220">
        <v>13</v>
      </c>
      <c r="N110" s="220">
        <v>5</v>
      </c>
      <c r="O110" s="220">
        <v>19</v>
      </c>
      <c r="P110" s="220">
        <v>26</v>
      </c>
      <c r="Q110" s="220">
        <v>13</v>
      </c>
      <c r="R110" s="220">
        <v>3</v>
      </c>
      <c r="S110" s="220">
        <v>0</v>
      </c>
      <c r="T110" s="220">
        <v>2</v>
      </c>
      <c r="U110" s="220">
        <v>1</v>
      </c>
      <c r="V110" s="220">
        <v>1</v>
      </c>
      <c r="W110" s="220">
        <v>2</v>
      </c>
      <c r="X110" s="220">
        <v>4</v>
      </c>
      <c r="Y110" s="220">
        <v>5</v>
      </c>
      <c r="Z110" s="220">
        <v>2</v>
      </c>
      <c r="AA110" s="220">
        <v>1</v>
      </c>
      <c r="AB110" s="220">
        <v>4</v>
      </c>
      <c r="AC110" s="220">
        <v>1</v>
      </c>
      <c r="AD110" s="220">
        <v>0</v>
      </c>
      <c r="AE110" s="220">
        <v>0</v>
      </c>
      <c r="AF110" s="220">
        <v>0</v>
      </c>
      <c r="AG110" s="220">
        <v>0</v>
      </c>
      <c r="AH110" s="220">
        <v>0</v>
      </c>
      <c r="AI110" s="220">
        <v>0</v>
      </c>
      <c r="AJ110" s="220">
        <v>0</v>
      </c>
      <c r="AK110" s="220">
        <v>0</v>
      </c>
      <c r="AL110" s="220">
        <v>1</v>
      </c>
      <c r="AM110" s="220">
        <v>3</v>
      </c>
      <c r="AN110" s="220">
        <v>3</v>
      </c>
      <c r="AO110" s="220">
        <v>2</v>
      </c>
      <c r="AP110" s="220">
        <v>1</v>
      </c>
      <c r="AQ110" s="220">
        <v>0</v>
      </c>
      <c r="AR110" s="220">
        <v>0</v>
      </c>
      <c r="AS110" s="220">
        <v>0</v>
      </c>
      <c r="AT110" s="220">
        <v>1</v>
      </c>
      <c r="AU110" s="220">
        <v>5</v>
      </c>
      <c r="AV110" s="220">
        <v>3</v>
      </c>
      <c r="AW110" s="220">
        <v>1</v>
      </c>
      <c r="AX110" s="220">
        <v>2</v>
      </c>
      <c r="AY110" s="220">
        <v>3</v>
      </c>
      <c r="AZ110" s="220">
        <v>4</v>
      </c>
      <c r="BA110" s="220">
        <v>3</v>
      </c>
      <c r="BB110" s="220">
        <v>28</v>
      </c>
      <c r="BC110" s="220">
        <v>18</v>
      </c>
      <c r="BD110" s="220">
        <v>0</v>
      </c>
      <c r="BE110" s="220">
        <v>1</v>
      </c>
      <c r="BF110" s="220">
        <v>12</v>
      </c>
      <c r="BG110" s="220">
        <v>2</v>
      </c>
      <c r="BH110" s="220">
        <v>2</v>
      </c>
      <c r="BI110" s="220">
        <v>1</v>
      </c>
      <c r="BJ110" s="220">
        <v>6</v>
      </c>
      <c r="BK110" s="220">
        <v>1</v>
      </c>
      <c r="BL110" s="220">
        <v>0</v>
      </c>
      <c r="BM110" s="220">
        <v>4</v>
      </c>
      <c r="BN110" s="220">
        <v>3</v>
      </c>
      <c r="BO110" s="220">
        <v>0</v>
      </c>
      <c r="BP110" s="220">
        <v>0</v>
      </c>
      <c r="BQ110" s="220">
        <v>0</v>
      </c>
      <c r="BR110" s="220">
        <v>3</v>
      </c>
      <c r="BS110" s="220">
        <v>9</v>
      </c>
      <c r="BT110" s="220">
        <v>7</v>
      </c>
      <c r="BU110" s="220">
        <v>2</v>
      </c>
      <c r="BV110" s="220">
        <v>6</v>
      </c>
      <c r="BW110" s="220">
        <v>30</v>
      </c>
      <c r="BX110" s="220">
        <v>1</v>
      </c>
      <c r="BY110" s="220">
        <v>1</v>
      </c>
      <c r="BZ110" s="220">
        <v>53</v>
      </c>
      <c r="CA110" s="220">
        <v>65</v>
      </c>
      <c r="CB110" s="220">
        <v>2</v>
      </c>
      <c r="CC110" s="220">
        <v>6</v>
      </c>
      <c r="CD110" s="220">
        <v>43</v>
      </c>
      <c r="CE110" s="220">
        <v>14</v>
      </c>
      <c r="CF110" s="220">
        <v>9</v>
      </c>
      <c r="CG110" s="220">
        <v>22</v>
      </c>
      <c r="CH110" s="220">
        <v>17</v>
      </c>
      <c r="CI110" s="220">
        <v>26</v>
      </c>
      <c r="CJ110" s="220">
        <v>0</v>
      </c>
      <c r="CK110" s="220">
        <v>0</v>
      </c>
      <c r="CL110" s="220">
        <v>0</v>
      </c>
      <c r="CM110" s="220">
        <v>104</v>
      </c>
      <c r="CN110" s="220">
        <v>97</v>
      </c>
      <c r="CO110" s="220">
        <v>18</v>
      </c>
      <c r="CP110" s="220">
        <v>11</v>
      </c>
      <c r="CQ110" s="220">
        <v>10</v>
      </c>
      <c r="CR110" s="220">
        <v>46</v>
      </c>
      <c r="CS110" s="220">
        <v>1</v>
      </c>
      <c r="CT110" s="220">
        <v>48</v>
      </c>
      <c r="CU110" s="220">
        <v>21</v>
      </c>
      <c r="CV110" s="220">
        <v>5</v>
      </c>
      <c r="CW110" s="220">
        <v>93</v>
      </c>
      <c r="CX110" s="220">
        <v>10</v>
      </c>
      <c r="CY110" s="220">
        <v>45</v>
      </c>
      <c r="CZ110" s="220">
        <v>0</v>
      </c>
      <c r="DA110" s="220">
        <v>208</v>
      </c>
      <c r="DB110" s="220">
        <v>111</v>
      </c>
      <c r="DC110" s="220">
        <v>175</v>
      </c>
      <c r="DD110" s="220">
        <v>22</v>
      </c>
      <c r="DE110" s="220">
        <v>756</v>
      </c>
      <c r="DF110" s="220">
        <v>0</v>
      </c>
      <c r="DG110" s="220">
        <v>26</v>
      </c>
      <c r="DH110" s="220">
        <v>0</v>
      </c>
      <c r="DI110" s="220">
        <v>12</v>
      </c>
      <c r="DJ110" s="220">
        <v>0</v>
      </c>
      <c r="DK110" s="220">
        <v>0</v>
      </c>
      <c r="DL110" s="220">
        <v>5</v>
      </c>
      <c r="DM110" s="220">
        <v>22</v>
      </c>
      <c r="DN110" s="220">
        <v>0</v>
      </c>
      <c r="DO110" s="220">
        <v>155</v>
      </c>
      <c r="DP110" s="221">
        <v>2630</v>
      </c>
      <c r="DQ110" s="71">
        <f>TRP!AF232</f>
        <v>2630</v>
      </c>
      <c r="DR110" s="71">
        <f t="shared" si="4"/>
        <v>0</v>
      </c>
    </row>
    <row r="111" spans="2:122" x14ac:dyDescent="0.25">
      <c r="B111" s="218" t="s">
        <v>175</v>
      </c>
      <c r="C111" s="222" t="s">
        <v>290</v>
      </c>
      <c r="D111" s="220">
        <v>0</v>
      </c>
      <c r="E111" s="220">
        <v>0</v>
      </c>
      <c r="F111" s="220">
        <v>0</v>
      </c>
      <c r="G111" s="220">
        <v>0</v>
      </c>
      <c r="H111" s="220">
        <v>0</v>
      </c>
      <c r="I111" s="220">
        <v>0</v>
      </c>
      <c r="J111" s="220">
        <v>0</v>
      </c>
      <c r="K111" s="220">
        <v>0</v>
      </c>
      <c r="L111" s="220">
        <v>0</v>
      </c>
      <c r="M111" s="220">
        <v>0</v>
      </c>
      <c r="N111" s="220">
        <v>0</v>
      </c>
      <c r="O111" s="220">
        <v>0</v>
      </c>
      <c r="P111" s="220">
        <v>0</v>
      </c>
      <c r="Q111" s="220">
        <v>0</v>
      </c>
      <c r="R111" s="220">
        <v>0</v>
      </c>
      <c r="S111" s="220">
        <v>0</v>
      </c>
      <c r="T111" s="220">
        <v>0</v>
      </c>
      <c r="U111" s="220">
        <v>0</v>
      </c>
      <c r="V111" s="220">
        <v>0</v>
      </c>
      <c r="W111" s="220">
        <v>0</v>
      </c>
      <c r="X111" s="220">
        <v>0</v>
      </c>
      <c r="Y111" s="220">
        <v>0</v>
      </c>
      <c r="Z111" s="220">
        <v>0</v>
      </c>
      <c r="AA111" s="220">
        <v>0</v>
      </c>
      <c r="AB111" s="220">
        <v>0</v>
      </c>
      <c r="AC111" s="220">
        <v>0</v>
      </c>
      <c r="AD111" s="220">
        <v>0</v>
      </c>
      <c r="AE111" s="220">
        <v>0</v>
      </c>
      <c r="AF111" s="220">
        <v>0</v>
      </c>
      <c r="AG111" s="220">
        <v>0</v>
      </c>
      <c r="AH111" s="220">
        <v>0</v>
      </c>
      <c r="AI111" s="220">
        <v>0</v>
      </c>
      <c r="AJ111" s="220">
        <v>0</v>
      </c>
      <c r="AK111" s="220">
        <v>0</v>
      </c>
      <c r="AL111" s="220">
        <v>0</v>
      </c>
      <c r="AM111" s="220">
        <v>0</v>
      </c>
      <c r="AN111" s="220">
        <v>0</v>
      </c>
      <c r="AO111" s="220">
        <v>0</v>
      </c>
      <c r="AP111" s="220">
        <v>0</v>
      </c>
      <c r="AQ111" s="220">
        <v>0</v>
      </c>
      <c r="AR111" s="220">
        <v>0</v>
      </c>
      <c r="AS111" s="220">
        <v>0</v>
      </c>
      <c r="AT111" s="220">
        <v>0</v>
      </c>
      <c r="AU111" s="220">
        <v>0</v>
      </c>
      <c r="AV111" s="220">
        <v>0</v>
      </c>
      <c r="AW111" s="220">
        <v>0</v>
      </c>
      <c r="AX111" s="220">
        <v>0</v>
      </c>
      <c r="AY111" s="220">
        <v>0</v>
      </c>
      <c r="AZ111" s="220">
        <v>0</v>
      </c>
      <c r="BA111" s="220">
        <v>0</v>
      </c>
      <c r="BB111" s="220">
        <v>0</v>
      </c>
      <c r="BC111" s="220">
        <v>0</v>
      </c>
      <c r="BD111" s="220">
        <v>0</v>
      </c>
      <c r="BE111" s="220">
        <v>0</v>
      </c>
      <c r="BF111" s="220">
        <v>0</v>
      </c>
      <c r="BG111" s="220">
        <v>0</v>
      </c>
      <c r="BH111" s="220">
        <v>0</v>
      </c>
      <c r="BI111" s="220">
        <v>0</v>
      </c>
      <c r="BJ111" s="220">
        <v>0</v>
      </c>
      <c r="BK111" s="220">
        <v>0</v>
      </c>
      <c r="BL111" s="220">
        <v>0</v>
      </c>
      <c r="BM111" s="220">
        <v>0</v>
      </c>
      <c r="BN111" s="220">
        <v>0</v>
      </c>
      <c r="BO111" s="220">
        <v>0</v>
      </c>
      <c r="BP111" s="220">
        <v>0</v>
      </c>
      <c r="BQ111" s="220">
        <v>0</v>
      </c>
      <c r="BR111" s="220">
        <v>0</v>
      </c>
      <c r="BS111" s="220">
        <v>0</v>
      </c>
      <c r="BT111" s="220">
        <v>0</v>
      </c>
      <c r="BU111" s="220">
        <v>0</v>
      </c>
      <c r="BV111" s="220">
        <v>0</v>
      </c>
      <c r="BW111" s="220">
        <v>0</v>
      </c>
      <c r="BX111" s="220">
        <v>0</v>
      </c>
      <c r="BY111" s="220">
        <v>0</v>
      </c>
      <c r="BZ111" s="220">
        <v>0</v>
      </c>
      <c r="CA111" s="220">
        <v>0</v>
      </c>
      <c r="CB111" s="220">
        <v>0</v>
      </c>
      <c r="CC111" s="220">
        <v>0</v>
      </c>
      <c r="CD111" s="220">
        <v>0</v>
      </c>
      <c r="CE111" s="220">
        <v>0</v>
      </c>
      <c r="CF111" s="220">
        <v>0</v>
      </c>
      <c r="CG111" s="220">
        <v>0</v>
      </c>
      <c r="CH111" s="220">
        <v>0</v>
      </c>
      <c r="CI111" s="220">
        <v>0</v>
      </c>
      <c r="CJ111" s="220">
        <v>0</v>
      </c>
      <c r="CK111" s="220">
        <v>0</v>
      </c>
      <c r="CL111" s="220">
        <v>0</v>
      </c>
      <c r="CM111" s="220">
        <v>0</v>
      </c>
      <c r="CN111" s="220">
        <v>789</v>
      </c>
      <c r="CO111" s="220">
        <v>0</v>
      </c>
      <c r="CP111" s="220">
        <v>0</v>
      </c>
      <c r="CQ111" s="220">
        <v>0</v>
      </c>
      <c r="CR111" s="220">
        <v>0</v>
      </c>
      <c r="CS111" s="220">
        <v>0</v>
      </c>
      <c r="CT111" s="220">
        <v>0</v>
      </c>
      <c r="CU111" s="220">
        <v>0</v>
      </c>
      <c r="CV111" s="220">
        <v>0</v>
      </c>
      <c r="CW111" s="220">
        <v>0</v>
      </c>
      <c r="CX111" s="220">
        <v>0</v>
      </c>
      <c r="CY111" s="220">
        <v>0</v>
      </c>
      <c r="CZ111" s="220">
        <v>0</v>
      </c>
      <c r="DA111" s="220">
        <v>0</v>
      </c>
      <c r="DB111" s="220">
        <v>0</v>
      </c>
      <c r="DC111" s="220">
        <v>0</v>
      </c>
      <c r="DD111" s="220">
        <v>0</v>
      </c>
      <c r="DE111" s="220">
        <v>0</v>
      </c>
      <c r="DF111" s="220">
        <v>0</v>
      </c>
      <c r="DG111" s="220">
        <v>0</v>
      </c>
      <c r="DH111" s="220">
        <v>0</v>
      </c>
      <c r="DI111" s="220">
        <v>0</v>
      </c>
      <c r="DJ111" s="220">
        <v>0</v>
      </c>
      <c r="DK111" s="220">
        <v>0</v>
      </c>
      <c r="DL111" s="220">
        <v>0</v>
      </c>
      <c r="DM111" s="220">
        <v>0</v>
      </c>
      <c r="DN111" s="220">
        <v>0</v>
      </c>
      <c r="DO111" s="220">
        <v>0</v>
      </c>
      <c r="DP111" s="221">
        <v>789</v>
      </c>
      <c r="DQ111" s="71">
        <f>TRP!AF233</f>
        <v>789</v>
      </c>
      <c r="DR111" s="71">
        <f t="shared" si="4"/>
        <v>0</v>
      </c>
    </row>
    <row r="112" spans="2:122" x14ac:dyDescent="0.25">
      <c r="B112" s="218" t="s">
        <v>176</v>
      </c>
      <c r="C112" s="222" t="s">
        <v>291</v>
      </c>
      <c r="D112" s="220">
        <v>130</v>
      </c>
      <c r="E112" s="220">
        <v>22</v>
      </c>
      <c r="F112" s="220">
        <v>2</v>
      </c>
      <c r="G112" s="220">
        <v>59</v>
      </c>
      <c r="H112" s="220">
        <v>44</v>
      </c>
      <c r="I112" s="220">
        <v>33</v>
      </c>
      <c r="J112" s="220">
        <v>27</v>
      </c>
      <c r="K112" s="220">
        <v>85</v>
      </c>
      <c r="L112" s="220">
        <v>7</v>
      </c>
      <c r="M112" s="220">
        <v>24</v>
      </c>
      <c r="N112" s="220">
        <v>11</v>
      </c>
      <c r="O112" s="220">
        <v>0</v>
      </c>
      <c r="P112" s="220">
        <v>151</v>
      </c>
      <c r="Q112" s="220">
        <v>61</v>
      </c>
      <c r="R112" s="220">
        <v>34</v>
      </c>
      <c r="S112" s="220">
        <v>4</v>
      </c>
      <c r="T112" s="220">
        <v>11</v>
      </c>
      <c r="U112" s="220">
        <v>12</v>
      </c>
      <c r="V112" s="220">
        <v>10</v>
      </c>
      <c r="W112" s="220">
        <v>8</v>
      </c>
      <c r="X112" s="220">
        <v>369</v>
      </c>
      <c r="Y112" s="220">
        <v>147</v>
      </c>
      <c r="Z112" s="220">
        <v>21</v>
      </c>
      <c r="AA112" s="220">
        <v>11</v>
      </c>
      <c r="AB112" s="220">
        <v>161</v>
      </c>
      <c r="AC112" s="220">
        <v>5</v>
      </c>
      <c r="AD112" s="220">
        <v>28</v>
      </c>
      <c r="AE112" s="220">
        <v>31</v>
      </c>
      <c r="AF112" s="220">
        <v>49</v>
      </c>
      <c r="AG112" s="220">
        <v>73</v>
      </c>
      <c r="AH112" s="220">
        <v>18</v>
      </c>
      <c r="AI112" s="220">
        <v>9</v>
      </c>
      <c r="AJ112" s="220">
        <v>43</v>
      </c>
      <c r="AK112" s="220">
        <v>11</v>
      </c>
      <c r="AL112" s="220">
        <v>64</v>
      </c>
      <c r="AM112" s="220">
        <v>25</v>
      </c>
      <c r="AN112" s="220">
        <v>47</v>
      </c>
      <c r="AO112" s="220">
        <v>21</v>
      </c>
      <c r="AP112" s="220">
        <v>50</v>
      </c>
      <c r="AQ112" s="220">
        <v>0</v>
      </c>
      <c r="AR112" s="220">
        <v>16</v>
      </c>
      <c r="AS112" s="220">
        <v>25</v>
      </c>
      <c r="AT112" s="220">
        <v>71</v>
      </c>
      <c r="AU112" s="220">
        <v>15</v>
      </c>
      <c r="AV112" s="220">
        <v>16</v>
      </c>
      <c r="AW112" s="220">
        <v>5</v>
      </c>
      <c r="AX112" s="220">
        <v>23</v>
      </c>
      <c r="AY112" s="220">
        <v>23</v>
      </c>
      <c r="AZ112" s="220">
        <v>31</v>
      </c>
      <c r="BA112" s="220">
        <v>27</v>
      </c>
      <c r="BB112" s="220">
        <v>88</v>
      </c>
      <c r="BC112" s="220">
        <v>52</v>
      </c>
      <c r="BD112" s="220">
        <v>2</v>
      </c>
      <c r="BE112" s="220">
        <v>45</v>
      </c>
      <c r="BF112" s="220">
        <v>121</v>
      </c>
      <c r="BG112" s="220">
        <v>49</v>
      </c>
      <c r="BH112" s="220">
        <v>21</v>
      </c>
      <c r="BI112" s="220">
        <v>10</v>
      </c>
      <c r="BJ112" s="220">
        <v>75</v>
      </c>
      <c r="BK112" s="220">
        <v>45</v>
      </c>
      <c r="BL112" s="220">
        <v>9</v>
      </c>
      <c r="BM112" s="220">
        <v>95</v>
      </c>
      <c r="BN112" s="220">
        <v>42</v>
      </c>
      <c r="BO112" s="220">
        <v>0</v>
      </c>
      <c r="BP112" s="220">
        <v>3</v>
      </c>
      <c r="BQ112" s="220">
        <v>0</v>
      </c>
      <c r="BR112" s="220">
        <v>6</v>
      </c>
      <c r="BS112" s="220">
        <v>78</v>
      </c>
      <c r="BT112" s="220">
        <v>183</v>
      </c>
      <c r="BU112" s="220">
        <v>95</v>
      </c>
      <c r="BV112" s="220">
        <v>16</v>
      </c>
      <c r="BW112" s="220">
        <v>264</v>
      </c>
      <c r="BX112" s="220">
        <v>85</v>
      </c>
      <c r="BY112" s="220">
        <v>181</v>
      </c>
      <c r="BZ112" s="220">
        <v>760</v>
      </c>
      <c r="CA112" s="220">
        <v>419</v>
      </c>
      <c r="CB112" s="220">
        <v>79</v>
      </c>
      <c r="CC112" s="220">
        <v>129</v>
      </c>
      <c r="CD112" s="220">
        <v>373</v>
      </c>
      <c r="CE112" s="220">
        <v>13</v>
      </c>
      <c r="CF112" s="220">
        <v>281</v>
      </c>
      <c r="CG112" s="220">
        <v>69</v>
      </c>
      <c r="CH112" s="220">
        <v>34</v>
      </c>
      <c r="CI112" s="220">
        <v>90</v>
      </c>
      <c r="CJ112" s="220">
        <v>688</v>
      </c>
      <c r="CK112" s="220">
        <v>122</v>
      </c>
      <c r="CL112" s="220">
        <v>15</v>
      </c>
      <c r="CM112" s="220">
        <v>75</v>
      </c>
      <c r="CN112" s="220">
        <v>65</v>
      </c>
      <c r="CO112" s="220">
        <v>390</v>
      </c>
      <c r="CP112" s="220">
        <v>324</v>
      </c>
      <c r="CQ112" s="220">
        <v>177</v>
      </c>
      <c r="CR112" s="220">
        <v>129</v>
      </c>
      <c r="CS112" s="220">
        <v>91</v>
      </c>
      <c r="CT112" s="220">
        <v>159</v>
      </c>
      <c r="CU112" s="220">
        <v>45</v>
      </c>
      <c r="CV112" s="220">
        <v>87</v>
      </c>
      <c r="CW112" s="220">
        <v>250</v>
      </c>
      <c r="CX112" s="220">
        <v>44</v>
      </c>
      <c r="CY112" s="220">
        <v>119</v>
      </c>
      <c r="CZ112" s="220">
        <v>38</v>
      </c>
      <c r="DA112" s="220">
        <v>128</v>
      </c>
      <c r="DB112" s="220">
        <v>66</v>
      </c>
      <c r="DC112" s="220">
        <v>64</v>
      </c>
      <c r="DD112" s="220">
        <v>39</v>
      </c>
      <c r="DE112" s="220">
        <v>13</v>
      </c>
      <c r="DF112" s="220">
        <v>0</v>
      </c>
      <c r="DG112" s="220">
        <v>96</v>
      </c>
      <c r="DH112" s="220">
        <v>168</v>
      </c>
      <c r="DI112" s="220">
        <v>452</v>
      </c>
      <c r="DJ112" s="220">
        <v>387</v>
      </c>
      <c r="DK112" s="220">
        <v>16</v>
      </c>
      <c r="DL112" s="220">
        <v>119</v>
      </c>
      <c r="DM112" s="220">
        <v>62</v>
      </c>
      <c r="DN112" s="220">
        <v>466</v>
      </c>
      <c r="DO112" s="220">
        <v>8</v>
      </c>
      <c r="DP112" s="221">
        <v>10884</v>
      </c>
      <c r="DQ112" s="71">
        <f>TRP!AF234</f>
        <v>10884</v>
      </c>
      <c r="DR112" s="71">
        <f t="shared" si="4"/>
        <v>0</v>
      </c>
    </row>
    <row r="113" spans="2:189" x14ac:dyDescent="0.25">
      <c r="B113" s="218" t="s">
        <v>177</v>
      </c>
      <c r="C113" s="222" t="s">
        <v>292</v>
      </c>
      <c r="D113" s="220">
        <v>0</v>
      </c>
      <c r="E113" s="220">
        <v>0</v>
      </c>
      <c r="F113" s="220">
        <v>0</v>
      </c>
      <c r="G113" s="220">
        <v>0</v>
      </c>
      <c r="H113" s="220">
        <v>0</v>
      </c>
      <c r="I113" s="220">
        <v>0</v>
      </c>
      <c r="J113" s="220">
        <v>0</v>
      </c>
      <c r="K113" s="220">
        <v>0</v>
      </c>
      <c r="L113" s="220">
        <v>0</v>
      </c>
      <c r="M113" s="220">
        <v>0</v>
      </c>
      <c r="N113" s="220">
        <v>0</v>
      </c>
      <c r="O113" s="220">
        <v>0</v>
      </c>
      <c r="P113" s="220">
        <v>0</v>
      </c>
      <c r="Q113" s="220">
        <v>0</v>
      </c>
      <c r="R113" s="220">
        <v>0</v>
      </c>
      <c r="S113" s="220">
        <v>0</v>
      </c>
      <c r="T113" s="220">
        <v>0</v>
      </c>
      <c r="U113" s="220">
        <v>0</v>
      </c>
      <c r="V113" s="220">
        <v>0</v>
      </c>
      <c r="W113" s="220">
        <v>0</v>
      </c>
      <c r="X113" s="220">
        <v>0</v>
      </c>
      <c r="Y113" s="220">
        <v>0</v>
      </c>
      <c r="Z113" s="220">
        <v>0</v>
      </c>
      <c r="AA113" s="220">
        <v>0</v>
      </c>
      <c r="AB113" s="220">
        <v>0</v>
      </c>
      <c r="AC113" s="220">
        <v>0</v>
      </c>
      <c r="AD113" s="220">
        <v>0</v>
      </c>
      <c r="AE113" s="220">
        <v>0</v>
      </c>
      <c r="AF113" s="220">
        <v>0</v>
      </c>
      <c r="AG113" s="220">
        <v>0</v>
      </c>
      <c r="AH113" s="220">
        <v>0</v>
      </c>
      <c r="AI113" s="220">
        <v>0</v>
      </c>
      <c r="AJ113" s="220">
        <v>0</v>
      </c>
      <c r="AK113" s="220">
        <v>0</v>
      </c>
      <c r="AL113" s="220">
        <v>0</v>
      </c>
      <c r="AM113" s="220">
        <v>0</v>
      </c>
      <c r="AN113" s="220">
        <v>0</v>
      </c>
      <c r="AO113" s="220">
        <v>0</v>
      </c>
      <c r="AP113" s="220">
        <v>0</v>
      </c>
      <c r="AQ113" s="220">
        <v>0</v>
      </c>
      <c r="AR113" s="220">
        <v>0</v>
      </c>
      <c r="AS113" s="220">
        <v>0</v>
      </c>
      <c r="AT113" s="220">
        <v>0</v>
      </c>
      <c r="AU113" s="220">
        <v>0</v>
      </c>
      <c r="AV113" s="220">
        <v>0</v>
      </c>
      <c r="AW113" s="220">
        <v>0</v>
      </c>
      <c r="AX113" s="220">
        <v>0</v>
      </c>
      <c r="AY113" s="220">
        <v>0</v>
      </c>
      <c r="AZ113" s="220">
        <v>0</v>
      </c>
      <c r="BA113" s="220">
        <v>0</v>
      </c>
      <c r="BB113" s="220">
        <v>0</v>
      </c>
      <c r="BC113" s="220">
        <v>0</v>
      </c>
      <c r="BD113" s="220">
        <v>0</v>
      </c>
      <c r="BE113" s="220">
        <v>0</v>
      </c>
      <c r="BF113" s="220">
        <v>0</v>
      </c>
      <c r="BG113" s="220">
        <v>0</v>
      </c>
      <c r="BH113" s="220">
        <v>0</v>
      </c>
      <c r="BI113" s="220">
        <v>0</v>
      </c>
      <c r="BJ113" s="220">
        <v>0</v>
      </c>
      <c r="BK113" s="220">
        <v>0</v>
      </c>
      <c r="BL113" s="220">
        <v>0</v>
      </c>
      <c r="BM113" s="220">
        <v>0</v>
      </c>
      <c r="BN113" s="220">
        <v>0</v>
      </c>
      <c r="BO113" s="220">
        <v>0</v>
      </c>
      <c r="BP113" s="220">
        <v>0</v>
      </c>
      <c r="BQ113" s="220">
        <v>0</v>
      </c>
      <c r="BR113" s="220">
        <v>0</v>
      </c>
      <c r="BS113" s="220">
        <v>0</v>
      </c>
      <c r="BT113" s="220">
        <v>0</v>
      </c>
      <c r="BU113" s="220">
        <v>0</v>
      </c>
      <c r="BV113" s="220">
        <v>0</v>
      </c>
      <c r="BW113" s="220">
        <v>0</v>
      </c>
      <c r="BX113" s="220">
        <v>0</v>
      </c>
      <c r="BY113" s="220">
        <v>0</v>
      </c>
      <c r="BZ113" s="220">
        <v>0</v>
      </c>
      <c r="CA113" s="220">
        <v>0</v>
      </c>
      <c r="CB113" s="220">
        <v>0</v>
      </c>
      <c r="CC113" s="220">
        <v>0</v>
      </c>
      <c r="CD113" s="220">
        <v>0</v>
      </c>
      <c r="CE113" s="220">
        <v>0</v>
      </c>
      <c r="CF113" s="220">
        <v>0</v>
      </c>
      <c r="CG113" s="220">
        <v>0</v>
      </c>
      <c r="CH113" s="220">
        <v>0</v>
      </c>
      <c r="CI113" s="220">
        <v>0</v>
      </c>
      <c r="CJ113" s="220">
        <v>0</v>
      </c>
      <c r="CK113" s="220">
        <v>0</v>
      </c>
      <c r="CL113" s="220">
        <v>0</v>
      </c>
      <c r="CM113" s="220">
        <v>0</v>
      </c>
      <c r="CN113" s="220">
        <v>0</v>
      </c>
      <c r="CO113" s="220">
        <v>0</v>
      </c>
      <c r="CP113" s="220">
        <v>0</v>
      </c>
      <c r="CQ113" s="220">
        <v>0</v>
      </c>
      <c r="CR113" s="220">
        <v>0</v>
      </c>
      <c r="CS113" s="220">
        <v>0</v>
      </c>
      <c r="CT113" s="220">
        <v>0</v>
      </c>
      <c r="CU113" s="220">
        <v>0</v>
      </c>
      <c r="CV113" s="220">
        <v>0</v>
      </c>
      <c r="CW113" s="220">
        <v>0</v>
      </c>
      <c r="CX113" s="220">
        <v>0</v>
      </c>
      <c r="CY113" s="220">
        <v>0</v>
      </c>
      <c r="CZ113" s="220">
        <v>0</v>
      </c>
      <c r="DA113" s="220">
        <v>0</v>
      </c>
      <c r="DB113" s="220">
        <v>0</v>
      </c>
      <c r="DC113" s="220">
        <v>0</v>
      </c>
      <c r="DD113" s="220">
        <v>0</v>
      </c>
      <c r="DE113" s="220">
        <v>0</v>
      </c>
      <c r="DF113" s="220">
        <v>0</v>
      </c>
      <c r="DG113" s="220">
        <v>0</v>
      </c>
      <c r="DH113" s="220">
        <v>0</v>
      </c>
      <c r="DI113" s="220">
        <v>0</v>
      </c>
      <c r="DJ113" s="220">
        <v>0</v>
      </c>
      <c r="DK113" s="220">
        <v>0</v>
      </c>
      <c r="DL113" s="220">
        <v>0</v>
      </c>
      <c r="DM113" s="220">
        <v>0</v>
      </c>
      <c r="DN113" s="220">
        <v>0</v>
      </c>
      <c r="DO113" s="220">
        <v>0</v>
      </c>
      <c r="DP113" s="221">
        <v>0</v>
      </c>
      <c r="DQ113" s="71">
        <f>TRP!AF235</f>
        <v>0</v>
      </c>
      <c r="DR113" s="71">
        <f t="shared" si="4"/>
        <v>0</v>
      </c>
    </row>
    <row r="114" spans="2:189" x14ac:dyDescent="0.25">
      <c r="B114" s="218" t="s">
        <v>178</v>
      </c>
      <c r="C114" s="222" t="s">
        <v>293</v>
      </c>
      <c r="D114" s="220">
        <v>0</v>
      </c>
      <c r="E114" s="220">
        <v>0</v>
      </c>
      <c r="F114" s="220">
        <v>0</v>
      </c>
      <c r="G114" s="220">
        <v>13</v>
      </c>
      <c r="H114" s="220">
        <v>16</v>
      </c>
      <c r="I114" s="220">
        <v>12</v>
      </c>
      <c r="J114" s="220">
        <v>14</v>
      </c>
      <c r="K114" s="220">
        <v>47</v>
      </c>
      <c r="L114" s="220">
        <v>1</v>
      </c>
      <c r="M114" s="220">
        <v>8</v>
      </c>
      <c r="N114" s="220">
        <v>4</v>
      </c>
      <c r="O114" s="220">
        <v>29</v>
      </c>
      <c r="P114" s="220">
        <v>9</v>
      </c>
      <c r="Q114" s="220">
        <v>8</v>
      </c>
      <c r="R114" s="220">
        <v>10</v>
      </c>
      <c r="S114" s="220">
        <v>0</v>
      </c>
      <c r="T114" s="220">
        <v>6</v>
      </c>
      <c r="U114" s="220">
        <v>2</v>
      </c>
      <c r="V114" s="220">
        <v>1</v>
      </c>
      <c r="W114" s="220">
        <v>1</v>
      </c>
      <c r="X114" s="220">
        <v>29</v>
      </c>
      <c r="Y114" s="220">
        <v>16</v>
      </c>
      <c r="Z114" s="220">
        <v>2</v>
      </c>
      <c r="AA114" s="220">
        <v>1</v>
      </c>
      <c r="AB114" s="220">
        <v>17</v>
      </c>
      <c r="AC114" s="220">
        <v>1</v>
      </c>
      <c r="AD114" s="220">
        <v>4</v>
      </c>
      <c r="AE114" s="220">
        <v>4</v>
      </c>
      <c r="AF114" s="220">
        <v>7</v>
      </c>
      <c r="AG114" s="220">
        <v>14</v>
      </c>
      <c r="AH114" s="220">
        <v>2</v>
      </c>
      <c r="AI114" s="220">
        <v>2</v>
      </c>
      <c r="AJ114" s="220">
        <v>6</v>
      </c>
      <c r="AK114" s="220">
        <v>0</v>
      </c>
      <c r="AL114" s="220">
        <v>1</v>
      </c>
      <c r="AM114" s="220">
        <v>3</v>
      </c>
      <c r="AN114" s="220">
        <v>6</v>
      </c>
      <c r="AO114" s="220">
        <v>3</v>
      </c>
      <c r="AP114" s="220">
        <v>7</v>
      </c>
      <c r="AQ114" s="220">
        <v>0</v>
      </c>
      <c r="AR114" s="220">
        <v>3</v>
      </c>
      <c r="AS114" s="220">
        <v>4</v>
      </c>
      <c r="AT114" s="220">
        <v>6</v>
      </c>
      <c r="AU114" s="220">
        <v>4</v>
      </c>
      <c r="AV114" s="220">
        <v>4</v>
      </c>
      <c r="AW114" s="220">
        <v>2</v>
      </c>
      <c r="AX114" s="220">
        <v>2</v>
      </c>
      <c r="AY114" s="220">
        <v>3</v>
      </c>
      <c r="AZ114" s="220">
        <v>4</v>
      </c>
      <c r="BA114" s="220">
        <v>2</v>
      </c>
      <c r="BB114" s="220">
        <v>8</v>
      </c>
      <c r="BC114" s="220">
        <v>8</v>
      </c>
      <c r="BD114" s="220">
        <v>1</v>
      </c>
      <c r="BE114" s="220">
        <v>4</v>
      </c>
      <c r="BF114" s="220">
        <v>12</v>
      </c>
      <c r="BG114" s="220">
        <v>15</v>
      </c>
      <c r="BH114" s="220">
        <v>7</v>
      </c>
      <c r="BI114" s="220">
        <v>6</v>
      </c>
      <c r="BJ114" s="220">
        <v>13</v>
      </c>
      <c r="BK114" s="220">
        <v>9</v>
      </c>
      <c r="BL114" s="220">
        <v>1</v>
      </c>
      <c r="BM114" s="220">
        <v>9</v>
      </c>
      <c r="BN114" s="220">
        <v>4</v>
      </c>
      <c r="BO114" s="220">
        <v>0</v>
      </c>
      <c r="BP114" s="220">
        <v>0</v>
      </c>
      <c r="BQ114" s="220">
        <v>0</v>
      </c>
      <c r="BR114" s="220">
        <v>6</v>
      </c>
      <c r="BS114" s="220">
        <v>22</v>
      </c>
      <c r="BT114" s="220">
        <v>26</v>
      </c>
      <c r="BU114" s="220">
        <v>2</v>
      </c>
      <c r="BV114" s="220">
        <v>9</v>
      </c>
      <c r="BW114" s="220">
        <v>111</v>
      </c>
      <c r="BX114" s="220">
        <v>36</v>
      </c>
      <c r="BY114" s="220">
        <v>23</v>
      </c>
      <c r="BZ114" s="220">
        <v>99</v>
      </c>
      <c r="CA114" s="220">
        <v>37</v>
      </c>
      <c r="CB114" s="220">
        <v>1</v>
      </c>
      <c r="CC114" s="220">
        <v>8</v>
      </c>
      <c r="CD114" s="220">
        <v>29</v>
      </c>
      <c r="CE114" s="220">
        <v>8</v>
      </c>
      <c r="CF114" s="220">
        <v>10</v>
      </c>
      <c r="CG114" s="220">
        <v>31</v>
      </c>
      <c r="CH114" s="220">
        <v>4</v>
      </c>
      <c r="CI114" s="220">
        <v>16</v>
      </c>
      <c r="CJ114" s="220">
        <v>15</v>
      </c>
      <c r="CK114" s="220">
        <v>103</v>
      </c>
      <c r="CL114" s="220">
        <v>58</v>
      </c>
      <c r="CM114" s="220">
        <v>22</v>
      </c>
      <c r="CN114" s="220">
        <v>22</v>
      </c>
      <c r="CO114" s="220">
        <v>43</v>
      </c>
      <c r="CP114" s="220">
        <v>53</v>
      </c>
      <c r="CQ114" s="220">
        <v>28</v>
      </c>
      <c r="CR114" s="220">
        <v>15</v>
      </c>
      <c r="CS114" s="220">
        <v>14</v>
      </c>
      <c r="CT114" s="220">
        <v>7</v>
      </c>
      <c r="CU114" s="220">
        <v>14</v>
      </c>
      <c r="CV114" s="220">
        <v>0</v>
      </c>
      <c r="CW114" s="220">
        <v>204</v>
      </c>
      <c r="CX114" s="220">
        <v>10</v>
      </c>
      <c r="CY114" s="220">
        <v>64</v>
      </c>
      <c r="CZ114" s="220">
        <v>0</v>
      </c>
      <c r="DA114" s="220">
        <v>156</v>
      </c>
      <c r="DB114" s="220">
        <v>36</v>
      </c>
      <c r="DC114" s="220">
        <v>11</v>
      </c>
      <c r="DD114" s="220">
        <v>3</v>
      </c>
      <c r="DE114" s="220">
        <v>53</v>
      </c>
      <c r="DF114" s="220">
        <v>0</v>
      </c>
      <c r="DG114" s="220">
        <v>6</v>
      </c>
      <c r="DH114" s="220">
        <v>5</v>
      </c>
      <c r="DI114" s="220">
        <v>4027</v>
      </c>
      <c r="DJ114" s="220">
        <v>4</v>
      </c>
      <c r="DK114" s="220">
        <v>3</v>
      </c>
      <c r="DL114" s="220">
        <v>196</v>
      </c>
      <c r="DM114" s="220">
        <v>32</v>
      </c>
      <c r="DN114" s="220">
        <v>223</v>
      </c>
      <c r="DO114" s="220">
        <v>0</v>
      </c>
      <c r="DP114" s="221">
        <v>6342</v>
      </c>
      <c r="DQ114" s="71">
        <f>TRP!AF236</f>
        <v>6342</v>
      </c>
      <c r="DR114" s="71">
        <f t="shared" si="4"/>
        <v>0</v>
      </c>
    </row>
    <row r="115" spans="2:189" x14ac:dyDescent="0.25">
      <c r="B115" s="218" t="s">
        <v>179</v>
      </c>
      <c r="C115" s="222" t="s">
        <v>294</v>
      </c>
      <c r="D115" s="220">
        <v>0</v>
      </c>
      <c r="E115" s="220">
        <v>0</v>
      </c>
      <c r="F115" s="220">
        <v>0</v>
      </c>
      <c r="G115" s="220">
        <v>0</v>
      </c>
      <c r="H115" s="220">
        <v>0</v>
      </c>
      <c r="I115" s="220">
        <v>0</v>
      </c>
      <c r="J115" s="220">
        <v>0</v>
      </c>
      <c r="K115" s="220">
        <v>0</v>
      </c>
      <c r="L115" s="220">
        <v>0</v>
      </c>
      <c r="M115" s="220">
        <v>0</v>
      </c>
      <c r="N115" s="220">
        <v>0</v>
      </c>
      <c r="O115" s="220">
        <v>0</v>
      </c>
      <c r="P115" s="220">
        <v>0</v>
      </c>
      <c r="Q115" s="220">
        <v>0</v>
      </c>
      <c r="R115" s="220">
        <v>0</v>
      </c>
      <c r="S115" s="220">
        <v>0</v>
      </c>
      <c r="T115" s="220">
        <v>0</v>
      </c>
      <c r="U115" s="220">
        <v>0</v>
      </c>
      <c r="V115" s="220">
        <v>0</v>
      </c>
      <c r="W115" s="220">
        <v>0</v>
      </c>
      <c r="X115" s="220">
        <v>0</v>
      </c>
      <c r="Y115" s="220">
        <v>0</v>
      </c>
      <c r="Z115" s="220">
        <v>0</v>
      </c>
      <c r="AA115" s="220">
        <v>0</v>
      </c>
      <c r="AB115" s="220">
        <v>0</v>
      </c>
      <c r="AC115" s="220">
        <v>0</v>
      </c>
      <c r="AD115" s="220">
        <v>0</v>
      </c>
      <c r="AE115" s="220">
        <v>0</v>
      </c>
      <c r="AF115" s="220">
        <v>0</v>
      </c>
      <c r="AG115" s="220">
        <v>0</v>
      </c>
      <c r="AH115" s="220">
        <v>0</v>
      </c>
      <c r="AI115" s="220">
        <v>0</v>
      </c>
      <c r="AJ115" s="220">
        <v>0</v>
      </c>
      <c r="AK115" s="220">
        <v>0</v>
      </c>
      <c r="AL115" s="220">
        <v>0</v>
      </c>
      <c r="AM115" s="220">
        <v>0</v>
      </c>
      <c r="AN115" s="220">
        <v>0</v>
      </c>
      <c r="AO115" s="220">
        <v>0</v>
      </c>
      <c r="AP115" s="220">
        <v>0</v>
      </c>
      <c r="AQ115" s="220">
        <v>0</v>
      </c>
      <c r="AR115" s="220">
        <v>0</v>
      </c>
      <c r="AS115" s="220">
        <v>0</v>
      </c>
      <c r="AT115" s="220">
        <v>0</v>
      </c>
      <c r="AU115" s="220">
        <v>0</v>
      </c>
      <c r="AV115" s="220">
        <v>0</v>
      </c>
      <c r="AW115" s="220">
        <v>0</v>
      </c>
      <c r="AX115" s="220">
        <v>0</v>
      </c>
      <c r="AY115" s="220">
        <v>0</v>
      </c>
      <c r="AZ115" s="220">
        <v>0</v>
      </c>
      <c r="BA115" s="220">
        <v>0</v>
      </c>
      <c r="BB115" s="220">
        <v>0</v>
      </c>
      <c r="BC115" s="220">
        <v>0</v>
      </c>
      <c r="BD115" s="220">
        <v>0</v>
      </c>
      <c r="BE115" s="220">
        <v>0</v>
      </c>
      <c r="BF115" s="220">
        <v>0</v>
      </c>
      <c r="BG115" s="220">
        <v>0</v>
      </c>
      <c r="BH115" s="220">
        <v>0</v>
      </c>
      <c r="BI115" s="220">
        <v>0</v>
      </c>
      <c r="BJ115" s="220">
        <v>0</v>
      </c>
      <c r="BK115" s="220">
        <v>0</v>
      </c>
      <c r="BL115" s="220">
        <v>0</v>
      </c>
      <c r="BM115" s="220">
        <v>0</v>
      </c>
      <c r="BN115" s="220">
        <v>0</v>
      </c>
      <c r="BO115" s="220">
        <v>0</v>
      </c>
      <c r="BP115" s="220">
        <v>0</v>
      </c>
      <c r="BQ115" s="220">
        <v>0</v>
      </c>
      <c r="BR115" s="220">
        <v>0</v>
      </c>
      <c r="BS115" s="220">
        <v>0</v>
      </c>
      <c r="BT115" s="220">
        <v>0</v>
      </c>
      <c r="BU115" s="220">
        <v>0</v>
      </c>
      <c r="BV115" s="220">
        <v>0</v>
      </c>
      <c r="BW115" s="220">
        <v>0</v>
      </c>
      <c r="BX115" s="220">
        <v>0</v>
      </c>
      <c r="BY115" s="220">
        <v>0</v>
      </c>
      <c r="BZ115" s="220">
        <v>0</v>
      </c>
      <c r="CA115" s="220">
        <v>0</v>
      </c>
      <c r="CB115" s="220">
        <v>0</v>
      </c>
      <c r="CC115" s="220">
        <v>0</v>
      </c>
      <c r="CD115" s="220">
        <v>0</v>
      </c>
      <c r="CE115" s="220">
        <v>0</v>
      </c>
      <c r="CF115" s="220">
        <v>0</v>
      </c>
      <c r="CG115" s="220">
        <v>0</v>
      </c>
      <c r="CH115" s="220">
        <v>0</v>
      </c>
      <c r="CI115" s="220">
        <v>0</v>
      </c>
      <c r="CJ115" s="220">
        <v>0</v>
      </c>
      <c r="CK115" s="220">
        <v>0</v>
      </c>
      <c r="CL115" s="220">
        <v>0</v>
      </c>
      <c r="CM115" s="220">
        <v>0</v>
      </c>
      <c r="CN115" s="220">
        <v>0</v>
      </c>
      <c r="CO115" s="220">
        <v>0</v>
      </c>
      <c r="CP115" s="220">
        <v>0</v>
      </c>
      <c r="CQ115" s="220">
        <v>0</v>
      </c>
      <c r="CR115" s="220">
        <v>0</v>
      </c>
      <c r="CS115" s="220">
        <v>0</v>
      </c>
      <c r="CT115" s="220">
        <v>0</v>
      </c>
      <c r="CU115" s="220">
        <v>0</v>
      </c>
      <c r="CV115" s="220">
        <v>0</v>
      </c>
      <c r="CW115" s="220">
        <v>0</v>
      </c>
      <c r="CX115" s="220">
        <v>0</v>
      </c>
      <c r="CY115" s="220">
        <v>0</v>
      </c>
      <c r="CZ115" s="220">
        <v>0</v>
      </c>
      <c r="DA115" s="220">
        <v>0</v>
      </c>
      <c r="DB115" s="220">
        <v>0</v>
      </c>
      <c r="DC115" s="220">
        <v>0</v>
      </c>
      <c r="DD115" s="220">
        <v>0</v>
      </c>
      <c r="DE115" s="220">
        <v>0</v>
      </c>
      <c r="DF115" s="220">
        <v>0</v>
      </c>
      <c r="DG115" s="220">
        <v>0</v>
      </c>
      <c r="DH115" s="220">
        <v>0</v>
      </c>
      <c r="DI115" s="220">
        <v>0</v>
      </c>
      <c r="DJ115" s="220">
        <v>0</v>
      </c>
      <c r="DK115" s="220">
        <v>0</v>
      </c>
      <c r="DL115" s="220">
        <v>0</v>
      </c>
      <c r="DM115" s="220">
        <v>0</v>
      </c>
      <c r="DN115" s="220">
        <v>0</v>
      </c>
      <c r="DO115" s="220">
        <v>0</v>
      </c>
      <c r="DP115" s="221">
        <v>0</v>
      </c>
      <c r="DQ115" s="71">
        <f>TRP!AF237</f>
        <v>0</v>
      </c>
      <c r="DR115" s="71">
        <f t="shared" si="4"/>
        <v>0</v>
      </c>
    </row>
    <row r="116" spans="2:189" x14ac:dyDescent="0.25">
      <c r="B116" s="218" t="s">
        <v>180</v>
      </c>
      <c r="C116" s="222" t="s">
        <v>295</v>
      </c>
      <c r="D116" s="220">
        <v>241</v>
      </c>
      <c r="E116" s="220">
        <v>0</v>
      </c>
      <c r="F116" s="220">
        <v>0</v>
      </c>
      <c r="G116" s="220">
        <v>44</v>
      </c>
      <c r="H116" s="220">
        <v>0</v>
      </c>
      <c r="I116" s="220">
        <v>0</v>
      </c>
      <c r="J116" s="220">
        <v>9</v>
      </c>
      <c r="K116" s="220">
        <v>0</v>
      </c>
      <c r="L116" s="220">
        <v>0</v>
      </c>
      <c r="M116" s="220">
        <v>0</v>
      </c>
      <c r="N116" s="220">
        <v>0</v>
      </c>
      <c r="O116" s="220">
        <v>0</v>
      </c>
      <c r="P116" s="220">
        <v>0</v>
      </c>
      <c r="Q116" s="220">
        <v>0</v>
      </c>
      <c r="R116" s="220">
        <v>0</v>
      </c>
      <c r="S116" s="220">
        <v>0</v>
      </c>
      <c r="T116" s="220">
        <v>0</v>
      </c>
      <c r="U116" s="220">
        <v>0</v>
      </c>
      <c r="V116" s="220">
        <v>0</v>
      </c>
      <c r="W116" s="220">
        <v>0</v>
      </c>
      <c r="X116" s="220">
        <v>0</v>
      </c>
      <c r="Y116" s="220">
        <v>0</v>
      </c>
      <c r="Z116" s="220">
        <v>0</v>
      </c>
      <c r="AA116" s="220">
        <v>0</v>
      </c>
      <c r="AB116" s="220">
        <v>0</v>
      </c>
      <c r="AC116" s="220">
        <v>0</v>
      </c>
      <c r="AD116" s="220">
        <v>0</v>
      </c>
      <c r="AE116" s="220">
        <v>0</v>
      </c>
      <c r="AF116" s="220">
        <v>0</v>
      </c>
      <c r="AG116" s="220">
        <v>0</v>
      </c>
      <c r="AH116" s="220">
        <v>0</v>
      </c>
      <c r="AI116" s="220">
        <v>0</v>
      </c>
      <c r="AJ116" s="220">
        <v>0</v>
      </c>
      <c r="AK116" s="220">
        <v>0</v>
      </c>
      <c r="AL116" s="220">
        <v>0</v>
      </c>
      <c r="AM116" s="220">
        <v>0</v>
      </c>
      <c r="AN116" s="220">
        <v>0</v>
      </c>
      <c r="AO116" s="220">
        <v>0</v>
      </c>
      <c r="AP116" s="220">
        <v>0</v>
      </c>
      <c r="AQ116" s="220">
        <v>0</v>
      </c>
      <c r="AR116" s="220">
        <v>0</v>
      </c>
      <c r="AS116" s="220">
        <v>0</v>
      </c>
      <c r="AT116" s="220">
        <v>0</v>
      </c>
      <c r="AU116" s="220">
        <v>0</v>
      </c>
      <c r="AV116" s="220">
        <v>0</v>
      </c>
      <c r="AW116" s="220">
        <v>0</v>
      </c>
      <c r="AX116" s="220">
        <v>0</v>
      </c>
      <c r="AY116" s="220">
        <v>0</v>
      </c>
      <c r="AZ116" s="220">
        <v>0</v>
      </c>
      <c r="BA116" s="220">
        <v>0</v>
      </c>
      <c r="BB116" s="220">
        <v>0</v>
      </c>
      <c r="BC116" s="220">
        <v>0</v>
      </c>
      <c r="BD116" s="220">
        <v>0</v>
      </c>
      <c r="BE116" s="220">
        <v>0</v>
      </c>
      <c r="BF116" s="220">
        <v>0</v>
      </c>
      <c r="BG116" s="220">
        <v>0</v>
      </c>
      <c r="BH116" s="220">
        <v>0</v>
      </c>
      <c r="BI116" s="220">
        <v>0</v>
      </c>
      <c r="BJ116" s="220">
        <v>0</v>
      </c>
      <c r="BK116" s="220">
        <v>0</v>
      </c>
      <c r="BL116" s="220">
        <v>0</v>
      </c>
      <c r="BM116" s="220">
        <v>0</v>
      </c>
      <c r="BN116" s="220">
        <v>0</v>
      </c>
      <c r="BO116" s="220">
        <v>0</v>
      </c>
      <c r="BP116" s="220">
        <v>0</v>
      </c>
      <c r="BQ116" s="220">
        <v>0</v>
      </c>
      <c r="BR116" s="220">
        <v>0</v>
      </c>
      <c r="BS116" s="220">
        <v>0</v>
      </c>
      <c r="BT116" s="220">
        <v>0</v>
      </c>
      <c r="BU116" s="220">
        <v>0</v>
      </c>
      <c r="BV116" s="220">
        <v>0</v>
      </c>
      <c r="BW116" s="220">
        <v>0</v>
      </c>
      <c r="BX116" s="220">
        <v>0</v>
      </c>
      <c r="BY116" s="220">
        <v>0</v>
      </c>
      <c r="BZ116" s="220">
        <v>0</v>
      </c>
      <c r="CA116" s="220">
        <v>0</v>
      </c>
      <c r="CB116" s="220">
        <v>0</v>
      </c>
      <c r="CC116" s="220">
        <v>0</v>
      </c>
      <c r="CD116" s="220">
        <v>0</v>
      </c>
      <c r="CE116" s="220">
        <v>0</v>
      </c>
      <c r="CF116" s="220">
        <v>0</v>
      </c>
      <c r="CG116" s="220">
        <v>0</v>
      </c>
      <c r="CH116" s="220">
        <v>0</v>
      </c>
      <c r="CI116" s="220">
        <v>0</v>
      </c>
      <c r="CJ116" s="220">
        <v>0</v>
      </c>
      <c r="CK116" s="220">
        <v>0</v>
      </c>
      <c r="CL116" s="220">
        <v>0</v>
      </c>
      <c r="CM116" s="220">
        <v>0</v>
      </c>
      <c r="CN116" s="220">
        <v>0</v>
      </c>
      <c r="CO116" s="220">
        <v>0</v>
      </c>
      <c r="CP116" s="220">
        <v>0</v>
      </c>
      <c r="CQ116" s="220">
        <v>0</v>
      </c>
      <c r="CR116" s="220">
        <v>0</v>
      </c>
      <c r="CS116" s="220">
        <v>0</v>
      </c>
      <c r="CT116" s="220">
        <v>0</v>
      </c>
      <c r="CU116" s="220">
        <v>0</v>
      </c>
      <c r="CV116" s="220">
        <v>0</v>
      </c>
      <c r="CW116" s="220">
        <v>0</v>
      </c>
      <c r="CX116" s="220">
        <v>0</v>
      </c>
      <c r="CY116" s="220">
        <v>0</v>
      </c>
      <c r="CZ116" s="220">
        <v>0</v>
      </c>
      <c r="DA116" s="220">
        <v>0</v>
      </c>
      <c r="DB116" s="220">
        <v>0</v>
      </c>
      <c r="DC116" s="220">
        <v>364</v>
      </c>
      <c r="DD116" s="220">
        <v>0</v>
      </c>
      <c r="DE116" s="220">
        <v>0</v>
      </c>
      <c r="DF116" s="220">
        <v>0</v>
      </c>
      <c r="DG116" s="220">
        <v>0</v>
      </c>
      <c r="DH116" s="220">
        <v>0</v>
      </c>
      <c r="DI116" s="220">
        <v>0</v>
      </c>
      <c r="DJ116" s="220">
        <v>0</v>
      </c>
      <c r="DK116" s="220">
        <v>0</v>
      </c>
      <c r="DL116" s="220">
        <v>0</v>
      </c>
      <c r="DM116" s="220">
        <v>0</v>
      </c>
      <c r="DN116" s="220">
        <v>0</v>
      </c>
      <c r="DO116" s="220">
        <v>0</v>
      </c>
      <c r="DP116" s="221">
        <v>658</v>
      </c>
      <c r="DQ116" s="71">
        <f>TRP!AF238</f>
        <v>658</v>
      </c>
      <c r="DR116" s="71">
        <f t="shared" si="4"/>
        <v>0</v>
      </c>
    </row>
    <row r="117" spans="2:189" x14ac:dyDescent="0.25">
      <c r="B117" s="218" t="s">
        <v>181</v>
      </c>
      <c r="C117" s="222" t="s">
        <v>296</v>
      </c>
      <c r="D117" s="220">
        <v>0</v>
      </c>
      <c r="E117" s="220">
        <v>0</v>
      </c>
      <c r="F117" s="220">
        <v>0</v>
      </c>
      <c r="G117" s="220">
        <v>0</v>
      </c>
      <c r="H117" s="220">
        <v>0</v>
      </c>
      <c r="I117" s="220">
        <v>0</v>
      </c>
      <c r="J117" s="220">
        <v>0</v>
      </c>
      <c r="K117" s="220">
        <v>0</v>
      </c>
      <c r="L117" s="220">
        <v>0</v>
      </c>
      <c r="M117" s="220">
        <v>0</v>
      </c>
      <c r="N117" s="220">
        <v>0</v>
      </c>
      <c r="O117" s="220">
        <v>0</v>
      </c>
      <c r="P117" s="220">
        <v>0</v>
      </c>
      <c r="Q117" s="220">
        <v>0</v>
      </c>
      <c r="R117" s="220">
        <v>0</v>
      </c>
      <c r="S117" s="220">
        <v>0</v>
      </c>
      <c r="T117" s="220">
        <v>0</v>
      </c>
      <c r="U117" s="220">
        <v>0</v>
      </c>
      <c r="V117" s="220">
        <v>0</v>
      </c>
      <c r="W117" s="220">
        <v>0</v>
      </c>
      <c r="X117" s="220">
        <v>0</v>
      </c>
      <c r="Y117" s="220">
        <v>0</v>
      </c>
      <c r="Z117" s="220">
        <v>0</v>
      </c>
      <c r="AA117" s="220">
        <v>0</v>
      </c>
      <c r="AB117" s="220">
        <v>0</v>
      </c>
      <c r="AC117" s="220">
        <v>0</v>
      </c>
      <c r="AD117" s="220">
        <v>0</v>
      </c>
      <c r="AE117" s="220">
        <v>0</v>
      </c>
      <c r="AF117" s="220">
        <v>0</v>
      </c>
      <c r="AG117" s="220">
        <v>0</v>
      </c>
      <c r="AH117" s="220">
        <v>0</v>
      </c>
      <c r="AI117" s="220">
        <v>0</v>
      </c>
      <c r="AJ117" s="220">
        <v>0</v>
      </c>
      <c r="AK117" s="220">
        <v>0</v>
      </c>
      <c r="AL117" s="220">
        <v>0</v>
      </c>
      <c r="AM117" s="220">
        <v>0</v>
      </c>
      <c r="AN117" s="220">
        <v>0</v>
      </c>
      <c r="AO117" s="220">
        <v>0</v>
      </c>
      <c r="AP117" s="220">
        <v>0</v>
      </c>
      <c r="AQ117" s="220">
        <v>0</v>
      </c>
      <c r="AR117" s="220">
        <v>0</v>
      </c>
      <c r="AS117" s="220">
        <v>0</v>
      </c>
      <c r="AT117" s="220">
        <v>0</v>
      </c>
      <c r="AU117" s="220">
        <v>0</v>
      </c>
      <c r="AV117" s="220">
        <v>0</v>
      </c>
      <c r="AW117" s="220">
        <v>0</v>
      </c>
      <c r="AX117" s="220">
        <v>0</v>
      </c>
      <c r="AY117" s="220">
        <v>0</v>
      </c>
      <c r="AZ117" s="220">
        <v>0</v>
      </c>
      <c r="BA117" s="220">
        <v>0</v>
      </c>
      <c r="BB117" s="220">
        <v>0</v>
      </c>
      <c r="BC117" s="220">
        <v>0</v>
      </c>
      <c r="BD117" s="220">
        <v>0</v>
      </c>
      <c r="BE117" s="220">
        <v>0</v>
      </c>
      <c r="BF117" s="220">
        <v>0</v>
      </c>
      <c r="BG117" s="220">
        <v>0</v>
      </c>
      <c r="BH117" s="220">
        <v>0</v>
      </c>
      <c r="BI117" s="220">
        <v>0</v>
      </c>
      <c r="BJ117" s="220">
        <v>0</v>
      </c>
      <c r="BK117" s="220">
        <v>0</v>
      </c>
      <c r="BL117" s="220">
        <v>0</v>
      </c>
      <c r="BM117" s="220">
        <v>0</v>
      </c>
      <c r="BN117" s="220">
        <v>0</v>
      </c>
      <c r="BO117" s="220">
        <v>0</v>
      </c>
      <c r="BP117" s="220">
        <v>0</v>
      </c>
      <c r="BQ117" s="220">
        <v>0</v>
      </c>
      <c r="BR117" s="220">
        <v>0</v>
      </c>
      <c r="BS117" s="220">
        <v>0</v>
      </c>
      <c r="BT117" s="220">
        <v>0</v>
      </c>
      <c r="BU117" s="220">
        <v>0</v>
      </c>
      <c r="BV117" s="220">
        <v>0</v>
      </c>
      <c r="BW117" s="220">
        <v>0</v>
      </c>
      <c r="BX117" s="220">
        <v>0</v>
      </c>
      <c r="BY117" s="220">
        <v>0</v>
      </c>
      <c r="BZ117" s="220">
        <v>0</v>
      </c>
      <c r="CA117" s="220">
        <v>0</v>
      </c>
      <c r="CB117" s="220">
        <v>0</v>
      </c>
      <c r="CC117" s="220">
        <v>0</v>
      </c>
      <c r="CD117" s="220">
        <v>0</v>
      </c>
      <c r="CE117" s="220">
        <v>0</v>
      </c>
      <c r="CF117" s="220">
        <v>0</v>
      </c>
      <c r="CG117" s="220">
        <v>0</v>
      </c>
      <c r="CH117" s="220">
        <v>0</v>
      </c>
      <c r="CI117" s="220">
        <v>0</v>
      </c>
      <c r="CJ117" s="220">
        <v>0</v>
      </c>
      <c r="CK117" s="220">
        <v>0</v>
      </c>
      <c r="CL117" s="220">
        <v>0</v>
      </c>
      <c r="CM117" s="220">
        <v>0</v>
      </c>
      <c r="CN117" s="220">
        <v>0</v>
      </c>
      <c r="CO117" s="220">
        <v>0</v>
      </c>
      <c r="CP117" s="220">
        <v>0</v>
      </c>
      <c r="CQ117" s="220">
        <v>0</v>
      </c>
      <c r="CR117" s="220">
        <v>0</v>
      </c>
      <c r="CS117" s="220">
        <v>0</v>
      </c>
      <c r="CT117" s="220">
        <v>0</v>
      </c>
      <c r="CU117" s="220">
        <v>0</v>
      </c>
      <c r="CV117" s="220">
        <v>0</v>
      </c>
      <c r="CW117" s="220">
        <v>0</v>
      </c>
      <c r="CX117" s="220">
        <v>0</v>
      </c>
      <c r="CY117" s="220">
        <v>0</v>
      </c>
      <c r="CZ117" s="220">
        <v>0</v>
      </c>
      <c r="DA117" s="220">
        <v>0</v>
      </c>
      <c r="DB117" s="220">
        <v>0</v>
      </c>
      <c r="DC117" s="220">
        <v>0</v>
      </c>
      <c r="DD117" s="220">
        <v>0</v>
      </c>
      <c r="DE117" s="220">
        <v>0</v>
      </c>
      <c r="DF117" s="220">
        <v>0</v>
      </c>
      <c r="DG117" s="220">
        <v>0</v>
      </c>
      <c r="DH117" s="220">
        <v>0</v>
      </c>
      <c r="DI117" s="220">
        <v>0</v>
      </c>
      <c r="DJ117" s="220">
        <v>0</v>
      </c>
      <c r="DK117" s="220">
        <v>0</v>
      </c>
      <c r="DL117" s="220">
        <v>0</v>
      </c>
      <c r="DM117" s="220">
        <v>0</v>
      </c>
      <c r="DN117" s="220">
        <v>0</v>
      </c>
      <c r="DO117" s="220">
        <v>0</v>
      </c>
      <c r="DP117" s="221">
        <v>0</v>
      </c>
      <c r="DQ117" s="71">
        <f>TRP!AF239</f>
        <v>0</v>
      </c>
      <c r="DR117" s="71">
        <f t="shared" si="4"/>
        <v>0</v>
      </c>
    </row>
    <row r="118" spans="2:189" x14ac:dyDescent="0.25">
      <c r="B118" s="218" t="s">
        <v>182</v>
      </c>
      <c r="C118" s="222" t="s">
        <v>297</v>
      </c>
      <c r="D118" s="220">
        <v>0</v>
      </c>
      <c r="E118" s="220">
        <v>0</v>
      </c>
      <c r="F118" s="220">
        <v>0</v>
      </c>
      <c r="G118" s="220">
        <v>0</v>
      </c>
      <c r="H118" s="220">
        <v>0</v>
      </c>
      <c r="I118" s="220">
        <v>0</v>
      </c>
      <c r="J118" s="220">
        <v>0</v>
      </c>
      <c r="K118" s="220">
        <v>0</v>
      </c>
      <c r="L118" s="220">
        <v>0</v>
      </c>
      <c r="M118" s="220">
        <v>0</v>
      </c>
      <c r="N118" s="220">
        <v>0</v>
      </c>
      <c r="O118" s="220">
        <v>0</v>
      </c>
      <c r="P118" s="220">
        <v>0</v>
      </c>
      <c r="Q118" s="220">
        <v>0</v>
      </c>
      <c r="R118" s="220">
        <v>0</v>
      </c>
      <c r="S118" s="220">
        <v>0</v>
      </c>
      <c r="T118" s="220">
        <v>0</v>
      </c>
      <c r="U118" s="220">
        <v>0</v>
      </c>
      <c r="V118" s="220">
        <v>0</v>
      </c>
      <c r="W118" s="220">
        <v>0</v>
      </c>
      <c r="X118" s="220">
        <v>0</v>
      </c>
      <c r="Y118" s="220">
        <v>0</v>
      </c>
      <c r="Z118" s="220">
        <v>0</v>
      </c>
      <c r="AA118" s="220">
        <v>0</v>
      </c>
      <c r="AB118" s="220">
        <v>0</v>
      </c>
      <c r="AC118" s="220">
        <v>0</v>
      </c>
      <c r="AD118" s="220">
        <v>0</v>
      </c>
      <c r="AE118" s="220">
        <v>0</v>
      </c>
      <c r="AF118" s="220">
        <v>0</v>
      </c>
      <c r="AG118" s="220">
        <v>0</v>
      </c>
      <c r="AH118" s="220">
        <v>0</v>
      </c>
      <c r="AI118" s="220">
        <v>0</v>
      </c>
      <c r="AJ118" s="220">
        <v>0</v>
      </c>
      <c r="AK118" s="220">
        <v>0</v>
      </c>
      <c r="AL118" s="220">
        <v>0</v>
      </c>
      <c r="AM118" s="220">
        <v>0</v>
      </c>
      <c r="AN118" s="220">
        <v>0</v>
      </c>
      <c r="AO118" s="220">
        <v>0</v>
      </c>
      <c r="AP118" s="220">
        <v>0</v>
      </c>
      <c r="AQ118" s="220">
        <v>0</v>
      </c>
      <c r="AR118" s="220">
        <v>0</v>
      </c>
      <c r="AS118" s="220">
        <v>0</v>
      </c>
      <c r="AT118" s="220">
        <v>0</v>
      </c>
      <c r="AU118" s="220">
        <v>0</v>
      </c>
      <c r="AV118" s="220">
        <v>0</v>
      </c>
      <c r="AW118" s="220">
        <v>0</v>
      </c>
      <c r="AX118" s="220">
        <v>0</v>
      </c>
      <c r="AY118" s="220">
        <v>0</v>
      </c>
      <c r="AZ118" s="220">
        <v>0</v>
      </c>
      <c r="BA118" s="220">
        <v>0</v>
      </c>
      <c r="BB118" s="220">
        <v>0</v>
      </c>
      <c r="BC118" s="220">
        <v>0</v>
      </c>
      <c r="BD118" s="220">
        <v>0</v>
      </c>
      <c r="BE118" s="220">
        <v>0</v>
      </c>
      <c r="BF118" s="220">
        <v>0</v>
      </c>
      <c r="BG118" s="220">
        <v>0</v>
      </c>
      <c r="BH118" s="220">
        <v>0</v>
      </c>
      <c r="BI118" s="220">
        <v>0</v>
      </c>
      <c r="BJ118" s="220">
        <v>0</v>
      </c>
      <c r="BK118" s="220">
        <v>0</v>
      </c>
      <c r="BL118" s="220">
        <v>0</v>
      </c>
      <c r="BM118" s="220">
        <v>0</v>
      </c>
      <c r="BN118" s="220">
        <v>0</v>
      </c>
      <c r="BO118" s="220">
        <v>0</v>
      </c>
      <c r="BP118" s="220">
        <v>0</v>
      </c>
      <c r="BQ118" s="220">
        <v>0</v>
      </c>
      <c r="BR118" s="220">
        <v>0</v>
      </c>
      <c r="BS118" s="220">
        <v>0</v>
      </c>
      <c r="BT118" s="220">
        <v>0</v>
      </c>
      <c r="BU118" s="220">
        <v>0</v>
      </c>
      <c r="BV118" s="220">
        <v>0</v>
      </c>
      <c r="BW118" s="220">
        <v>0</v>
      </c>
      <c r="BX118" s="220">
        <v>0</v>
      </c>
      <c r="BY118" s="220">
        <v>0</v>
      </c>
      <c r="BZ118" s="220">
        <v>0</v>
      </c>
      <c r="CA118" s="220">
        <v>0</v>
      </c>
      <c r="CB118" s="220">
        <v>0</v>
      </c>
      <c r="CC118" s="220">
        <v>0</v>
      </c>
      <c r="CD118" s="220">
        <v>0</v>
      </c>
      <c r="CE118" s="220">
        <v>0</v>
      </c>
      <c r="CF118" s="220">
        <v>0</v>
      </c>
      <c r="CG118" s="220">
        <v>0</v>
      </c>
      <c r="CH118" s="220">
        <v>0</v>
      </c>
      <c r="CI118" s="220">
        <v>0</v>
      </c>
      <c r="CJ118" s="220">
        <v>0</v>
      </c>
      <c r="CK118" s="220">
        <v>0</v>
      </c>
      <c r="CL118" s="220">
        <v>0</v>
      </c>
      <c r="CM118" s="220">
        <v>0</v>
      </c>
      <c r="CN118" s="220">
        <v>0</v>
      </c>
      <c r="CO118" s="220">
        <v>0</v>
      </c>
      <c r="CP118" s="220">
        <v>0</v>
      </c>
      <c r="CQ118" s="220">
        <v>0</v>
      </c>
      <c r="CR118" s="220">
        <v>0</v>
      </c>
      <c r="CS118" s="220">
        <v>0</v>
      </c>
      <c r="CT118" s="220">
        <v>0</v>
      </c>
      <c r="CU118" s="220">
        <v>0</v>
      </c>
      <c r="CV118" s="220">
        <v>0</v>
      </c>
      <c r="CW118" s="220">
        <v>0</v>
      </c>
      <c r="CX118" s="220">
        <v>0</v>
      </c>
      <c r="CY118" s="220">
        <v>0</v>
      </c>
      <c r="CZ118" s="220">
        <v>0</v>
      </c>
      <c r="DA118" s="220">
        <v>0</v>
      </c>
      <c r="DB118" s="220">
        <v>0</v>
      </c>
      <c r="DC118" s="220">
        <v>0</v>
      </c>
      <c r="DD118" s="220">
        <v>0</v>
      </c>
      <c r="DE118" s="220">
        <v>0</v>
      </c>
      <c r="DF118" s="220">
        <v>0</v>
      </c>
      <c r="DG118" s="220">
        <v>0</v>
      </c>
      <c r="DH118" s="220">
        <v>0</v>
      </c>
      <c r="DI118" s="220">
        <v>0</v>
      </c>
      <c r="DJ118" s="220">
        <v>0</v>
      </c>
      <c r="DK118" s="220">
        <v>0</v>
      </c>
      <c r="DL118" s="220">
        <v>0</v>
      </c>
      <c r="DM118" s="220">
        <v>0</v>
      </c>
      <c r="DN118" s="220">
        <v>0</v>
      </c>
      <c r="DO118" s="220">
        <v>0</v>
      </c>
      <c r="DP118" s="221">
        <v>0</v>
      </c>
      <c r="DQ118" s="71">
        <f>TRP!AF240</f>
        <v>0</v>
      </c>
      <c r="DR118" s="71">
        <f t="shared" si="4"/>
        <v>0</v>
      </c>
    </row>
    <row r="119" spans="2:189" x14ac:dyDescent="0.25">
      <c r="B119" s="218" t="s">
        <v>78</v>
      </c>
      <c r="C119" s="222" t="s">
        <v>298</v>
      </c>
      <c r="D119" s="220">
        <v>0</v>
      </c>
      <c r="E119" s="220">
        <v>0</v>
      </c>
      <c r="F119" s="220">
        <v>0</v>
      </c>
      <c r="G119" s="220">
        <v>0</v>
      </c>
      <c r="H119" s="220">
        <v>0</v>
      </c>
      <c r="I119" s="220">
        <v>0</v>
      </c>
      <c r="J119" s="220">
        <v>0</v>
      </c>
      <c r="K119" s="220">
        <v>0</v>
      </c>
      <c r="L119" s="220">
        <v>0</v>
      </c>
      <c r="M119" s="220">
        <v>0</v>
      </c>
      <c r="N119" s="220">
        <v>0</v>
      </c>
      <c r="O119" s="220">
        <v>0</v>
      </c>
      <c r="P119" s="220">
        <v>0</v>
      </c>
      <c r="Q119" s="220">
        <v>0</v>
      </c>
      <c r="R119" s="220">
        <v>0</v>
      </c>
      <c r="S119" s="220">
        <v>0</v>
      </c>
      <c r="T119" s="220">
        <v>0</v>
      </c>
      <c r="U119" s="220">
        <v>0</v>
      </c>
      <c r="V119" s="220">
        <v>0</v>
      </c>
      <c r="W119" s="220">
        <v>0</v>
      </c>
      <c r="X119" s="220">
        <v>0</v>
      </c>
      <c r="Y119" s="220">
        <v>0</v>
      </c>
      <c r="Z119" s="220">
        <v>0</v>
      </c>
      <c r="AA119" s="220">
        <v>0</v>
      </c>
      <c r="AB119" s="220">
        <v>0</v>
      </c>
      <c r="AC119" s="220">
        <v>0</v>
      </c>
      <c r="AD119" s="220">
        <v>0</v>
      </c>
      <c r="AE119" s="220">
        <v>0</v>
      </c>
      <c r="AF119" s="220">
        <v>0</v>
      </c>
      <c r="AG119" s="220">
        <v>0</v>
      </c>
      <c r="AH119" s="220">
        <v>0</v>
      </c>
      <c r="AI119" s="220">
        <v>0</v>
      </c>
      <c r="AJ119" s="220">
        <v>0</v>
      </c>
      <c r="AK119" s="220">
        <v>0</v>
      </c>
      <c r="AL119" s="220">
        <v>0</v>
      </c>
      <c r="AM119" s="220">
        <v>0</v>
      </c>
      <c r="AN119" s="220">
        <v>0</v>
      </c>
      <c r="AO119" s="220">
        <v>0</v>
      </c>
      <c r="AP119" s="220">
        <v>0</v>
      </c>
      <c r="AQ119" s="220">
        <v>0</v>
      </c>
      <c r="AR119" s="220">
        <v>0</v>
      </c>
      <c r="AS119" s="220">
        <v>0</v>
      </c>
      <c r="AT119" s="220">
        <v>0</v>
      </c>
      <c r="AU119" s="220">
        <v>0</v>
      </c>
      <c r="AV119" s="220">
        <v>0</v>
      </c>
      <c r="AW119" s="220">
        <v>0</v>
      </c>
      <c r="AX119" s="220">
        <v>0</v>
      </c>
      <c r="AY119" s="220">
        <v>0</v>
      </c>
      <c r="AZ119" s="220">
        <v>0</v>
      </c>
      <c r="BA119" s="220">
        <v>0</v>
      </c>
      <c r="BB119" s="220">
        <v>0</v>
      </c>
      <c r="BC119" s="220">
        <v>0</v>
      </c>
      <c r="BD119" s="220">
        <v>0</v>
      </c>
      <c r="BE119" s="220">
        <v>0</v>
      </c>
      <c r="BF119" s="220">
        <v>0</v>
      </c>
      <c r="BG119" s="220">
        <v>0</v>
      </c>
      <c r="BH119" s="220">
        <v>0</v>
      </c>
      <c r="BI119" s="220">
        <v>0</v>
      </c>
      <c r="BJ119" s="220">
        <v>0</v>
      </c>
      <c r="BK119" s="220">
        <v>0</v>
      </c>
      <c r="BL119" s="220">
        <v>0</v>
      </c>
      <c r="BM119" s="220">
        <v>0</v>
      </c>
      <c r="BN119" s="220">
        <v>0</v>
      </c>
      <c r="BO119" s="220">
        <v>0</v>
      </c>
      <c r="BP119" s="220">
        <v>0</v>
      </c>
      <c r="BQ119" s="220">
        <v>0</v>
      </c>
      <c r="BR119" s="220">
        <v>0</v>
      </c>
      <c r="BS119" s="220">
        <v>0</v>
      </c>
      <c r="BT119" s="220">
        <v>0</v>
      </c>
      <c r="BU119" s="220">
        <v>0</v>
      </c>
      <c r="BV119" s="220">
        <v>0</v>
      </c>
      <c r="BW119" s="220">
        <v>0</v>
      </c>
      <c r="BX119" s="220">
        <v>0</v>
      </c>
      <c r="BY119" s="220">
        <v>0</v>
      </c>
      <c r="BZ119" s="220">
        <v>0</v>
      </c>
      <c r="CA119" s="220">
        <v>0</v>
      </c>
      <c r="CB119" s="220">
        <v>0</v>
      </c>
      <c r="CC119" s="220">
        <v>0</v>
      </c>
      <c r="CD119" s="220">
        <v>0</v>
      </c>
      <c r="CE119" s="220">
        <v>0</v>
      </c>
      <c r="CF119" s="220">
        <v>0</v>
      </c>
      <c r="CG119" s="220">
        <v>0</v>
      </c>
      <c r="CH119" s="220">
        <v>0</v>
      </c>
      <c r="CI119" s="220">
        <v>0</v>
      </c>
      <c r="CJ119" s="220">
        <v>0</v>
      </c>
      <c r="CK119" s="220">
        <v>0</v>
      </c>
      <c r="CL119" s="220">
        <v>0</v>
      </c>
      <c r="CM119" s="220">
        <v>0</v>
      </c>
      <c r="CN119" s="220">
        <v>0</v>
      </c>
      <c r="CO119" s="220">
        <v>0</v>
      </c>
      <c r="CP119" s="220">
        <v>0</v>
      </c>
      <c r="CQ119" s="220">
        <v>0</v>
      </c>
      <c r="CR119" s="220">
        <v>0</v>
      </c>
      <c r="CS119" s="220">
        <v>0</v>
      </c>
      <c r="CT119" s="220">
        <v>0</v>
      </c>
      <c r="CU119" s="220">
        <v>0</v>
      </c>
      <c r="CV119" s="220">
        <v>0</v>
      </c>
      <c r="CW119" s="220">
        <v>0</v>
      </c>
      <c r="CX119" s="220">
        <v>0</v>
      </c>
      <c r="CY119" s="220">
        <v>0</v>
      </c>
      <c r="CZ119" s="220">
        <v>0</v>
      </c>
      <c r="DA119" s="220">
        <v>0</v>
      </c>
      <c r="DB119" s="220">
        <v>0</v>
      </c>
      <c r="DC119" s="220">
        <v>0</v>
      </c>
      <c r="DD119" s="220">
        <v>0</v>
      </c>
      <c r="DE119" s="220">
        <v>0</v>
      </c>
      <c r="DF119" s="220">
        <v>0</v>
      </c>
      <c r="DG119" s="220">
        <v>0</v>
      </c>
      <c r="DH119" s="220">
        <v>0</v>
      </c>
      <c r="DI119" s="220">
        <v>0</v>
      </c>
      <c r="DJ119" s="220">
        <v>0</v>
      </c>
      <c r="DK119" s="220">
        <v>0</v>
      </c>
      <c r="DL119" s="220">
        <v>0</v>
      </c>
      <c r="DM119" s="220">
        <v>0</v>
      </c>
      <c r="DN119" s="220">
        <v>0</v>
      </c>
      <c r="DO119" s="220">
        <v>0</v>
      </c>
      <c r="DP119" s="221">
        <v>0</v>
      </c>
      <c r="DQ119" s="71">
        <f>TRP!AF241</f>
        <v>0</v>
      </c>
      <c r="DR119" s="71">
        <f t="shared" si="4"/>
        <v>0</v>
      </c>
    </row>
    <row r="120" spans="2:189" x14ac:dyDescent="0.25">
      <c r="B120" s="218" t="s">
        <v>79</v>
      </c>
      <c r="C120" s="222" t="s">
        <v>299</v>
      </c>
      <c r="D120" s="220">
        <v>0</v>
      </c>
      <c r="E120" s="220">
        <v>0</v>
      </c>
      <c r="F120" s="220">
        <v>14</v>
      </c>
      <c r="G120" s="220">
        <v>19</v>
      </c>
      <c r="H120" s="220">
        <v>5</v>
      </c>
      <c r="I120" s="220">
        <v>14</v>
      </c>
      <c r="J120" s="220">
        <v>20</v>
      </c>
      <c r="K120" s="220">
        <v>1</v>
      </c>
      <c r="L120" s="220">
        <v>2</v>
      </c>
      <c r="M120" s="220">
        <v>3</v>
      </c>
      <c r="N120" s="220">
        <v>41</v>
      </c>
      <c r="O120" s="220">
        <v>61</v>
      </c>
      <c r="P120" s="220">
        <v>29</v>
      </c>
      <c r="Q120" s="220">
        <v>7</v>
      </c>
      <c r="R120" s="220">
        <v>1</v>
      </c>
      <c r="S120" s="220">
        <v>2</v>
      </c>
      <c r="T120" s="220">
        <v>3</v>
      </c>
      <c r="U120" s="220">
        <v>2</v>
      </c>
      <c r="V120" s="220">
        <v>1</v>
      </c>
      <c r="W120" s="220">
        <v>24</v>
      </c>
      <c r="X120" s="220">
        <v>10</v>
      </c>
      <c r="Y120" s="220">
        <v>7</v>
      </c>
      <c r="Z120" s="220">
        <v>0</v>
      </c>
      <c r="AA120" s="220">
        <v>42</v>
      </c>
      <c r="AB120" s="220">
        <v>0</v>
      </c>
      <c r="AC120" s="220">
        <v>3</v>
      </c>
      <c r="AD120" s="220">
        <v>5</v>
      </c>
      <c r="AE120" s="220">
        <v>6</v>
      </c>
      <c r="AF120" s="220">
        <v>19</v>
      </c>
      <c r="AG120" s="220">
        <v>1</v>
      </c>
      <c r="AH120" s="220">
        <v>1</v>
      </c>
      <c r="AI120" s="220">
        <v>8</v>
      </c>
      <c r="AJ120" s="220">
        <v>0</v>
      </c>
      <c r="AK120" s="220">
        <v>5</v>
      </c>
      <c r="AL120" s="220">
        <v>1</v>
      </c>
      <c r="AM120" s="220">
        <v>18</v>
      </c>
      <c r="AN120" s="220">
        <v>1</v>
      </c>
      <c r="AO120" s="220">
        <v>8</v>
      </c>
      <c r="AP120" s="220">
        <v>0</v>
      </c>
      <c r="AQ120" s="220">
        <v>4</v>
      </c>
      <c r="AR120" s="220">
        <v>2</v>
      </c>
      <c r="AS120" s="220">
        <v>23</v>
      </c>
      <c r="AT120" s="220">
        <v>5</v>
      </c>
      <c r="AU120" s="220">
        <v>5</v>
      </c>
      <c r="AV120" s="220">
        <v>2</v>
      </c>
      <c r="AW120" s="220">
        <v>13</v>
      </c>
      <c r="AX120" s="220">
        <v>5</v>
      </c>
      <c r="AY120" s="220">
        <v>5</v>
      </c>
      <c r="AZ120" s="220">
        <v>2</v>
      </c>
      <c r="BA120" s="220">
        <v>18</v>
      </c>
      <c r="BB120" s="220">
        <v>12</v>
      </c>
      <c r="BC120" s="220">
        <v>0</v>
      </c>
      <c r="BD120" s="220">
        <v>4</v>
      </c>
      <c r="BE120" s="220">
        <v>10</v>
      </c>
      <c r="BF120" s="220">
        <v>15</v>
      </c>
      <c r="BG120" s="220">
        <v>10</v>
      </c>
      <c r="BH120" s="220">
        <v>12</v>
      </c>
      <c r="BI120" s="220">
        <v>15</v>
      </c>
      <c r="BJ120" s="220">
        <v>10</v>
      </c>
      <c r="BK120" s="220">
        <v>2</v>
      </c>
      <c r="BL120" s="220">
        <v>12</v>
      </c>
      <c r="BM120" s="220">
        <v>3</v>
      </c>
      <c r="BN120" s="220">
        <v>0</v>
      </c>
      <c r="BO120" s="220">
        <v>0</v>
      </c>
      <c r="BP120" s="220">
        <v>0</v>
      </c>
      <c r="BQ120" s="220">
        <v>0</v>
      </c>
      <c r="BR120" s="220">
        <v>88</v>
      </c>
      <c r="BS120" s="220">
        <v>40</v>
      </c>
      <c r="BT120" s="220">
        <v>3</v>
      </c>
      <c r="BU120" s="220">
        <v>10</v>
      </c>
      <c r="BV120" s="220">
        <v>100</v>
      </c>
      <c r="BW120" s="220">
        <v>52</v>
      </c>
      <c r="BX120" s="220">
        <v>26</v>
      </c>
      <c r="BY120" s="220">
        <v>302</v>
      </c>
      <c r="BZ120" s="220">
        <v>171</v>
      </c>
      <c r="CA120" s="220">
        <v>4</v>
      </c>
      <c r="CB120" s="220">
        <v>2</v>
      </c>
      <c r="CC120" s="220">
        <v>22</v>
      </c>
      <c r="CD120" s="220">
        <v>2</v>
      </c>
      <c r="CE120" s="220">
        <v>15</v>
      </c>
      <c r="CF120" s="220">
        <v>1</v>
      </c>
      <c r="CG120" s="220">
        <v>8</v>
      </c>
      <c r="CH120" s="220">
        <v>31</v>
      </c>
      <c r="CI120" s="220">
        <v>112</v>
      </c>
      <c r="CJ120" s="220">
        <v>123</v>
      </c>
      <c r="CK120" s="220">
        <v>43</v>
      </c>
      <c r="CL120" s="220">
        <v>58</v>
      </c>
      <c r="CM120" s="220">
        <v>162</v>
      </c>
      <c r="CN120" s="220">
        <v>12</v>
      </c>
      <c r="CO120" s="220">
        <v>110</v>
      </c>
      <c r="CP120" s="220">
        <v>39</v>
      </c>
      <c r="CQ120" s="220">
        <v>32</v>
      </c>
      <c r="CR120" s="220">
        <v>36</v>
      </c>
      <c r="CS120" s="220">
        <v>65</v>
      </c>
      <c r="CT120" s="220">
        <v>12</v>
      </c>
      <c r="CU120" s="220">
        <v>1</v>
      </c>
      <c r="CV120" s="220">
        <v>259</v>
      </c>
      <c r="CW120" s="220">
        <v>8</v>
      </c>
      <c r="CX120" s="220">
        <v>33</v>
      </c>
      <c r="CY120" s="220">
        <v>39</v>
      </c>
      <c r="CZ120" s="220">
        <v>0</v>
      </c>
      <c r="DA120" s="220">
        <v>64</v>
      </c>
      <c r="DB120" s="220">
        <v>24</v>
      </c>
      <c r="DC120" s="220">
        <v>0</v>
      </c>
      <c r="DD120" s="220">
        <v>0</v>
      </c>
      <c r="DE120" s="220">
        <v>0</v>
      </c>
      <c r="DF120" s="220">
        <v>0</v>
      </c>
      <c r="DG120" s="220">
        <v>0</v>
      </c>
      <c r="DH120" s="220">
        <v>0</v>
      </c>
      <c r="DI120" s="220">
        <v>0</v>
      </c>
      <c r="DJ120" s="220">
        <v>0</v>
      </c>
      <c r="DK120" s="220">
        <v>4</v>
      </c>
      <c r="DL120" s="220">
        <v>0</v>
      </c>
      <c r="DM120" s="220">
        <v>0</v>
      </c>
      <c r="DN120" s="220">
        <v>0</v>
      </c>
      <c r="DO120" s="220">
        <v>0</v>
      </c>
      <c r="DP120" s="221">
        <v>2686</v>
      </c>
      <c r="DQ120" s="71">
        <f>TRP!AF242</f>
        <v>2686</v>
      </c>
      <c r="DR120" s="71">
        <f t="shared" si="4"/>
        <v>0</v>
      </c>
    </row>
    <row r="121" spans="2:189" x14ac:dyDescent="0.25">
      <c r="B121" s="218" t="s">
        <v>80</v>
      </c>
      <c r="C121" s="222" t="s">
        <v>67</v>
      </c>
      <c r="D121" s="220">
        <v>0</v>
      </c>
      <c r="E121" s="220">
        <v>0</v>
      </c>
      <c r="F121" s="220">
        <v>0</v>
      </c>
      <c r="G121" s="220">
        <v>0</v>
      </c>
      <c r="H121" s="220">
        <v>0</v>
      </c>
      <c r="I121" s="220">
        <v>0</v>
      </c>
      <c r="J121" s="220">
        <v>0</v>
      </c>
      <c r="K121" s="220">
        <v>0</v>
      </c>
      <c r="L121" s="220">
        <v>0</v>
      </c>
      <c r="M121" s="220">
        <v>0</v>
      </c>
      <c r="N121" s="220">
        <v>0</v>
      </c>
      <c r="O121" s="220">
        <v>0</v>
      </c>
      <c r="P121" s="220">
        <v>0</v>
      </c>
      <c r="Q121" s="220">
        <v>0</v>
      </c>
      <c r="R121" s="220">
        <v>0</v>
      </c>
      <c r="S121" s="220">
        <v>0</v>
      </c>
      <c r="T121" s="220">
        <v>0</v>
      </c>
      <c r="U121" s="220">
        <v>0</v>
      </c>
      <c r="V121" s="220">
        <v>0</v>
      </c>
      <c r="W121" s="220">
        <v>0</v>
      </c>
      <c r="X121" s="220">
        <v>0</v>
      </c>
      <c r="Y121" s="220">
        <v>0</v>
      </c>
      <c r="Z121" s="220">
        <v>0</v>
      </c>
      <c r="AA121" s="220">
        <v>0</v>
      </c>
      <c r="AB121" s="220">
        <v>0</v>
      </c>
      <c r="AC121" s="220">
        <v>0</v>
      </c>
      <c r="AD121" s="220">
        <v>0</v>
      </c>
      <c r="AE121" s="220">
        <v>0</v>
      </c>
      <c r="AF121" s="220">
        <v>0</v>
      </c>
      <c r="AG121" s="220">
        <v>0</v>
      </c>
      <c r="AH121" s="220">
        <v>0</v>
      </c>
      <c r="AI121" s="220">
        <v>0</v>
      </c>
      <c r="AJ121" s="220">
        <v>0</v>
      </c>
      <c r="AK121" s="220">
        <v>0</v>
      </c>
      <c r="AL121" s="220">
        <v>0</v>
      </c>
      <c r="AM121" s="220">
        <v>0</v>
      </c>
      <c r="AN121" s="220">
        <v>0</v>
      </c>
      <c r="AO121" s="220">
        <v>0</v>
      </c>
      <c r="AP121" s="220">
        <v>0</v>
      </c>
      <c r="AQ121" s="220">
        <v>0</v>
      </c>
      <c r="AR121" s="220">
        <v>0</v>
      </c>
      <c r="AS121" s="220">
        <v>0</v>
      </c>
      <c r="AT121" s="220">
        <v>0</v>
      </c>
      <c r="AU121" s="220">
        <v>0</v>
      </c>
      <c r="AV121" s="220">
        <v>0</v>
      </c>
      <c r="AW121" s="220">
        <v>0</v>
      </c>
      <c r="AX121" s="220">
        <v>0</v>
      </c>
      <c r="AY121" s="220">
        <v>0</v>
      </c>
      <c r="AZ121" s="220">
        <v>0</v>
      </c>
      <c r="BA121" s="220">
        <v>0</v>
      </c>
      <c r="BB121" s="220">
        <v>0</v>
      </c>
      <c r="BC121" s="220">
        <v>0</v>
      </c>
      <c r="BD121" s="220">
        <v>0</v>
      </c>
      <c r="BE121" s="220">
        <v>0</v>
      </c>
      <c r="BF121" s="220">
        <v>0</v>
      </c>
      <c r="BG121" s="220">
        <v>0</v>
      </c>
      <c r="BH121" s="220">
        <v>0</v>
      </c>
      <c r="BI121" s="220">
        <v>0</v>
      </c>
      <c r="BJ121" s="220">
        <v>0</v>
      </c>
      <c r="BK121" s="220">
        <v>0</v>
      </c>
      <c r="BL121" s="220">
        <v>0</v>
      </c>
      <c r="BM121" s="220">
        <v>0</v>
      </c>
      <c r="BN121" s="220">
        <v>0</v>
      </c>
      <c r="BO121" s="220">
        <v>0</v>
      </c>
      <c r="BP121" s="220">
        <v>0</v>
      </c>
      <c r="BQ121" s="220">
        <v>0</v>
      </c>
      <c r="BR121" s="220">
        <v>0</v>
      </c>
      <c r="BS121" s="220">
        <v>0</v>
      </c>
      <c r="BT121" s="220">
        <v>0</v>
      </c>
      <c r="BU121" s="220">
        <v>0</v>
      </c>
      <c r="BV121" s="220">
        <v>0</v>
      </c>
      <c r="BW121" s="220">
        <v>0</v>
      </c>
      <c r="BX121" s="220">
        <v>0</v>
      </c>
      <c r="BY121" s="220">
        <v>0</v>
      </c>
      <c r="BZ121" s="220">
        <v>0</v>
      </c>
      <c r="CA121" s="220">
        <v>0</v>
      </c>
      <c r="CB121" s="220">
        <v>0</v>
      </c>
      <c r="CC121" s="220">
        <v>0</v>
      </c>
      <c r="CD121" s="220">
        <v>0</v>
      </c>
      <c r="CE121" s="220">
        <v>0</v>
      </c>
      <c r="CF121" s="220">
        <v>0</v>
      </c>
      <c r="CG121" s="220">
        <v>0</v>
      </c>
      <c r="CH121" s="220">
        <v>0</v>
      </c>
      <c r="CI121" s="220">
        <v>0</v>
      </c>
      <c r="CJ121" s="220">
        <v>0</v>
      </c>
      <c r="CK121" s="220">
        <v>0</v>
      </c>
      <c r="CL121" s="220">
        <v>0</v>
      </c>
      <c r="CM121" s="220">
        <v>0</v>
      </c>
      <c r="CN121" s="220">
        <v>0</v>
      </c>
      <c r="CO121" s="220">
        <v>0</v>
      </c>
      <c r="CP121" s="220">
        <v>0</v>
      </c>
      <c r="CQ121" s="220">
        <v>0</v>
      </c>
      <c r="CR121" s="220">
        <v>0</v>
      </c>
      <c r="CS121" s="220">
        <v>0</v>
      </c>
      <c r="CT121" s="220">
        <v>0</v>
      </c>
      <c r="CU121" s="220">
        <v>0</v>
      </c>
      <c r="CV121" s="220">
        <v>0</v>
      </c>
      <c r="CW121" s="220">
        <v>0</v>
      </c>
      <c r="CX121" s="220">
        <v>0</v>
      </c>
      <c r="CY121" s="220">
        <v>0</v>
      </c>
      <c r="CZ121" s="220">
        <v>0</v>
      </c>
      <c r="DA121" s="220">
        <v>0</v>
      </c>
      <c r="DB121" s="220">
        <v>0</v>
      </c>
      <c r="DC121" s="220">
        <v>0</v>
      </c>
      <c r="DD121" s="220">
        <v>0</v>
      </c>
      <c r="DE121" s="220">
        <v>0</v>
      </c>
      <c r="DF121" s="220">
        <v>0</v>
      </c>
      <c r="DG121" s="220">
        <v>0</v>
      </c>
      <c r="DH121" s="220">
        <v>0</v>
      </c>
      <c r="DI121" s="220">
        <v>0</v>
      </c>
      <c r="DJ121" s="220">
        <v>0</v>
      </c>
      <c r="DK121" s="220">
        <v>0</v>
      </c>
      <c r="DL121" s="220">
        <v>0</v>
      </c>
      <c r="DM121" s="220">
        <v>0</v>
      </c>
      <c r="DN121" s="220">
        <v>0</v>
      </c>
      <c r="DO121" s="220">
        <v>0</v>
      </c>
      <c r="DP121" s="221">
        <v>0</v>
      </c>
      <c r="DQ121" s="71">
        <f>TRP!AF243</f>
        <v>0</v>
      </c>
      <c r="DR121" s="71">
        <f t="shared" si="4"/>
        <v>0</v>
      </c>
    </row>
    <row r="122" spans="2:189" x14ac:dyDescent="0.25">
      <c r="B122" s="218" t="s">
        <v>183</v>
      </c>
      <c r="C122" s="224" t="s">
        <v>66</v>
      </c>
      <c r="D122" s="220">
        <v>0</v>
      </c>
      <c r="E122" s="220">
        <v>0</v>
      </c>
      <c r="F122" s="220">
        <v>0</v>
      </c>
      <c r="G122" s="220">
        <v>0</v>
      </c>
      <c r="H122" s="220">
        <v>0</v>
      </c>
      <c r="I122" s="220">
        <v>0</v>
      </c>
      <c r="J122" s="220">
        <v>0</v>
      </c>
      <c r="K122" s="220">
        <v>0</v>
      </c>
      <c r="L122" s="220">
        <v>0</v>
      </c>
      <c r="M122" s="220">
        <v>0</v>
      </c>
      <c r="N122" s="220">
        <v>0</v>
      </c>
      <c r="O122" s="220">
        <v>0</v>
      </c>
      <c r="P122" s="220">
        <v>0</v>
      </c>
      <c r="Q122" s="220">
        <v>0</v>
      </c>
      <c r="R122" s="220">
        <v>0</v>
      </c>
      <c r="S122" s="220">
        <v>0</v>
      </c>
      <c r="T122" s="220">
        <v>0</v>
      </c>
      <c r="U122" s="220">
        <v>0</v>
      </c>
      <c r="V122" s="220">
        <v>0</v>
      </c>
      <c r="W122" s="220">
        <v>0</v>
      </c>
      <c r="X122" s="220">
        <v>0</v>
      </c>
      <c r="Y122" s="220">
        <v>0</v>
      </c>
      <c r="Z122" s="220">
        <v>0</v>
      </c>
      <c r="AA122" s="220">
        <v>0</v>
      </c>
      <c r="AB122" s="220">
        <v>0</v>
      </c>
      <c r="AC122" s="220">
        <v>0</v>
      </c>
      <c r="AD122" s="220">
        <v>0</v>
      </c>
      <c r="AE122" s="220">
        <v>0</v>
      </c>
      <c r="AF122" s="220">
        <v>0</v>
      </c>
      <c r="AG122" s="220">
        <v>0</v>
      </c>
      <c r="AH122" s="220">
        <v>0</v>
      </c>
      <c r="AI122" s="220">
        <v>0</v>
      </c>
      <c r="AJ122" s="220">
        <v>0</v>
      </c>
      <c r="AK122" s="220">
        <v>0</v>
      </c>
      <c r="AL122" s="220">
        <v>0</v>
      </c>
      <c r="AM122" s="220">
        <v>0</v>
      </c>
      <c r="AN122" s="220">
        <v>0</v>
      </c>
      <c r="AO122" s="220">
        <v>0</v>
      </c>
      <c r="AP122" s="220">
        <v>0</v>
      </c>
      <c r="AQ122" s="220">
        <v>0</v>
      </c>
      <c r="AR122" s="220">
        <v>0</v>
      </c>
      <c r="AS122" s="220">
        <v>0</v>
      </c>
      <c r="AT122" s="220">
        <v>0</v>
      </c>
      <c r="AU122" s="220">
        <v>0</v>
      </c>
      <c r="AV122" s="220">
        <v>0</v>
      </c>
      <c r="AW122" s="220">
        <v>0</v>
      </c>
      <c r="AX122" s="220">
        <v>0</v>
      </c>
      <c r="AY122" s="220">
        <v>0</v>
      </c>
      <c r="AZ122" s="220">
        <v>0</v>
      </c>
      <c r="BA122" s="220">
        <v>0</v>
      </c>
      <c r="BB122" s="220">
        <v>0</v>
      </c>
      <c r="BC122" s="220">
        <v>0</v>
      </c>
      <c r="BD122" s="220">
        <v>0</v>
      </c>
      <c r="BE122" s="220">
        <v>0</v>
      </c>
      <c r="BF122" s="220">
        <v>0</v>
      </c>
      <c r="BG122" s="220">
        <v>0</v>
      </c>
      <c r="BH122" s="220">
        <v>0</v>
      </c>
      <c r="BI122" s="220">
        <v>0</v>
      </c>
      <c r="BJ122" s="220">
        <v>0</v>
      </c>
      <c r="BK122" s="220">
        <v>0</v>
      </c>
      <c r="BL122" s="220">
        <v>0</v>
      </c>
      <c r="BM122" s="220">
        <v>0</v>
      </c>
      <c r="BN122" s="220">
        <v>0</v>
      </c>
      <c r="BO122" s="220">
        <v>0</v>
      </c>
      <c r="BP122" s="220">
        <v>0</v>
      </c>
      <c r="BQ122" s="220">
        <v>0</v>
      </c>
      <c r="BR122" s="220">
        <v>0</v>
      </c>
      <c r="BS122" s="220">
        <v>0</v>
      </c>
      <c r="BT122" s="220">
        <v>0</v>
      </c>
      <c r="BU122" s="220">
        <v>0</v>
      </c>
      <c r="BV122" s="220">
        <v>0</v>
      </c>
      <c r="BW122" s="220">
        <v>0</v>
      </c>
      <c r="BX122" s="220">
        <v>0</v>
      </c>
      <c r="BY122" s="220">
        <v>0</v>
      </c>
      <c r="BZ122" s="220">
        <v>0</v>
      </c>
      <c r="CA122" s="220">
        <v>0</v>
      </c>
      <c r="CB122" s="220">
        <v>0</v>
      </c>
      <c r="CC122" s="220">
        <v>0</v>
      </c>
      <c r="CD122" s="220">
        <v>0</v>
      </c>
      <c r="CE122" s="220">
        <v>0</v>
      </c>
      <c r="CF122" s="220">
        <v>0</v>
      </c>
      <c r="CG122" s="220">
        <v>0</v>
      </c>
      <c r="CH122" s="220">
        <v>0</v>
      </c>
      <c r="CI122" s="220">
        <v>0</v>
      </c>
      <c r="CJ122" s="220">
        <v>0</v>
      </c>
      <c r="CK122" s="220">
        <v>0</v>
      </c>
      <c r="CL122" s="220">
        <v>0</v>
      </c>
      <c r="CM122" s="220">
        <v>0</v>
      </c>
      <c r="CN122" s="220">
        <v>0</v>
      </c>
      <c r="CO122" s="220">
        <v>0</v>
      </c>
      <c r="CP122" s="220">
        <v>0</v>
      </c>
      <c r="CQ122" s="220">
        <v>0</v>
      </c>
      <c r="CR122" s="220">
        <v>0</v>
      </c>
      <c r="CS122" s="220">
        <v>0</v>
      </c>
      <c r="CT122" s="220">
        <v>0</v>
      </c>
      <c r="CU122" s="220">
        <v>0</v>
      </c>
      <c r="CV122" s="220">
        <v>0</v>
      </c>
      <c r="CW122" s="220">
        <v>0</v>
      </c>
      <c r="CX122" s="220">
        <v>0</v>
      </c>
      <c r="CY122" s="220">
        <v>0</v>
      </c>
      <c r="CZ122" s="220">
        <v>0</v>
      </c>
      <c r="DA122" s="220">
        <v>0</v>
      </c>
      <c r="DB122" s="220">
        <v>0</v>
      </c>
      <c r="DC122" s="220">
        <v>0</v>
      </c>
      <c r="DD122" s="220">
        <v>0</v>
      </c>
      <c r="DE122" s="220">
        <v>0</v>
      </c>
      <c r="DF122" s="220">
        <v>0</v>
      </c>
      <c r="DG122" s="220">
        <v>0</v>
      </c>
      <c r="DH122" s="220">
        <v>0</v>
      </c>
      <c r="DI122" s="220">
        <v>0</v>
      </c>
      <c r="DJ122" s="220">
        <v>0</v>
      </c>
      <c r="DK122" s="220">
        <v>0</v>
      </c>
      <c r="DL122" s="220">
        <v>0</v>
      </c>
      <c r="DM122" s="220">
        <v>0</v>
      </c>
      <c r="DN122" s="220">
        <v>0</v>
      </c>
      <c r="DO122" s="220">
        <v>0</v>
      </c>
      <c r="DP122" s="221">
        <v>0</v>
      </c>
      <c r="DQ122" s="71">
        <f>TRP!AF244</f>
        <v>0</v>
      </c>
      <c r="DR122" s="71">
        <f t="shared" si="4"/>
        <v>0</v>
      </c>
    </row>
    <row r="123" spans="2:189" x14ac:dyDescent="0.25">
      <c r="B123" s="225" t="s">
        <v>81</v>
      </c>
      <c r="C123" s="224" t="s">
        <v>65</v>
      </c>
      <c r="D123" s="226">
        <v>40793</v>
      </c>
      <c r="E123" s="226">
        <v>2659</v>
      </c>
      <c r="F123" s="226">
        <v>721</v>
      </c>
      <c r="G123" s="226">
        <v>23213</v>
      </c>
      <c r="H123" s="226">
        <v>18484</v>
      </c>
      <c r="I123" s="226">
        <v>11701</v>
      </c>
      <c r="J123" s="226">
        <v>10791</v>
      </c>
      <c r="K123" s="226">
        <v>28240</v>
      </c>
      <c r="L123" s="226">
        <v>221</v>
      </c>
      <c r="M123" s="226">
        <v>6674</v>
      </c>
      <c r="N123" s="226">
        <v>2064</v>
      </c>
      <c r="O123" s="226">
        <v>19606</v>
      </c>
      <c r="P123" s="226">
        <v>26506</v>
      </c>
      <c r="Q123" s="226">
        <v>12582</v>
      </c>
      <c r="R123" s="226">
        <v>9027</v>
      </c>
      <c r="S123" s="226">
        <v>896</v>
      </c>
      <c r="T123" s="226">
        <v>2891</v>
      </c>
      <c r="U123" s="226">
        <v>2030</v>
      </c>
      <c r="V123" s="226">
        <v>1574</v>
      </c>
      <c r="W123" s="226">
        <v>1194</v>
      </c>
      <c r="X123" s="226">
        <v>55564</v>
      </c>
      <c r="Y123" s="226">
        <v>19795</v>
      </c>
      <c r="Z123" s="226">
        <v>2579</v>
      </c>
      <c r="AA123" s="226">
        <v>2543</v>
      </c>
      <c r="AB123" s="226">
        <v>39413</v>
      </c>
      <c r="AC123" s="226">
        <v>750</v>
      </c>
      <c r="AD123" s="226">
        <v>6534</v>
      </c>
      <c r="AE123" s="226">
        <v>6352</v>
      </c>
      <c r="AF123" s="226">
        <v>9413</v>
      </c>
      <c r="AG123" s="226">
        <v>13842</v>
      </c>
      <c r="AH123" s="226">
        <v>3513</v>
      </c>
      <c r="AI123" s="226">
        <v>1377</v>
      </c>
      <c r="AJ123" s="226">
        <v>8743</v>
      </c>
      <c r="AK123" s="226">
        <v>2281</v>
      </c>
      <c r="AL123" s="226">
        <v>1773</v>
      </c>
      <c r="AM123" s="226">
        <v>4181</v>
      </c>
      <c r="AN123" s="226">
        <v>8137</v>
      </c>
      <c r="AO123" s="226">
        <v>3216</v>
      </c>
      <c r="AP123" s="226">
        <v>8173</v>
      </c>
      <c r="AQ123" s="226">
        <v>31</v>
      </c>
      <c r="AR123" s="226">
        <v>3476</v>
      </c>
      <c r="AS123" s="226">
        <v>4189</v>
      </c>
      <c r="AT123" s="226">
        <v>13183</v>
      </c>
      <c r="AU123" s="226">
        <v>3819</v>
      </c>
      <c r="AV123" s="226">
        <v>3510</v>
      </c>
      <c r="AW123" s="226">
        <v>904</v>
      </c>
      <c r="AX123" s="226">
        <v>8418</v>
      </c>
      <c r="AY123" s="226">
        <v>7213</v>
      </c>
      <c r="AZ123" s="226">
        <v>7488</v>
      </c>
      <c r="BA123" s="226">
        <v>5150</v>
      </c>
      <c r="BB123" s="226">
        <v>19416</v>
      </c>
      <c r="BC123" s="226">
        <v>8590</v>
      </c>
      <c r="BD123" s="226">
        <v>361</v>
      </c>
      <c r="BE123" s="226">
        <v>6590</v>
      </c>
      <c r="BF123" s="226">
        <v>17661</v>
      </c>
      <c r="BG123" s="226">
        <v>19545</v>
      </c>
      <c r="BH123" s="226">
        <v>9493</v>
      </c>
      <c r="BI123" s="226">
        <v>3821</v>
      </c>
      <c r="BJ123" s="226">
        <v>17128</v>
      </c>
      <c r="BK123" s="226">
        <v>8545</v>
      </c>
      <c r="BL123" s="226">
        <v>4010</v>
      </c>
      <c r="BM123" s="226">
        <v>16623</v>
      </c>
      <c r="BN123" s="226">
        <v>7361</v>
      </c>
      <c r="BO123" s="226">
        <v>35</v>
      </c>
      <c r="BP123" s="226">
        <v>201</v>
      </c>
      <c r="BQ123" s="226">
        <v>2</v>
      </c>
      <c r="BR123" s="226">
        <v>2607</v>
      </c>
      <c r="BS123" s="226">
        <v>48116</v>
      </c>
      <c r="BT123" s="226">
        <v>27203</v>
      </c>
      <c r="BU123" s="226">
        <v>18307</v>
      </c>
      <c r="BV123" s="226">
        <v>6868</v>
      </c>
      <c r="BW123" s="226">
        <v>97436</v>
      </c>
      <c r="BX123" s="226">
        <v>31670</v>
      </c>
      <c r="BY123" s="226">
        <v>17783</v>
      </c>
      <c r="BZ123" s="226">
        <v>96280</v>
      </c>
      <c r="CA123" s="226">
        <v>45735</v>
      </c>
      <c r="CB123" s="226">
        <v>3528</v>
      </c>
      <c r="CC123" s="226">
        <v>5528</v>
      </c>
      <c r="CD123" s="226">
        <v>24066</v>
      </c>
      <c r="CE123" s="226">
        <v>7526</v>
      </c>
      <c r="CF123" s="226">
        <v>11163</v>
      </c>
      <c r="CG123" s="226">
        <v>14721</v>
      </c>
      <c r="CH123" s="226">
        <v>5665</v>
      </c>
      <c r="CI123" s="226">
        <v>7484</v>
      </c>
      <c r="CJ123" s="226">
        <v>47850</v>
      </c>
      <c r="CK123" s="226">
        <v>25688</v>
      </c>
      <c r="CL123" s="226">
        <v>17170</v>
      </c>
      <c r="CM123" s="226">
        <v>16427</v>
      </c>
      <c r="CN123" s="226">
        <v>36454</v>
      </c>
      <c r="CO123" s="226">
        <v>33296</v>
      </c>
      <c r="CP123" s="226">
        <v>24786</v>
      </c>
      <c r="CQ123" s="226">
        <v>20445</v>
      </c>
      <c r="CR123" s="226">
        <v>28443</v>
      </c>
      <c r="CS123" s="226">
        <v>10722</v>
      </c>
      <c r="CT123" s="226">
        <v>26341</v>
      </c>
      <c r="CU123" s="226">
        <v>12039</v>
      </c>
      <c r="CV123" s="226">
        <v>2513</v>
      </c>
      <c r="CW123" s="226">
        <v>47278</v>
      </c>
      <c r="CX123" s="226">
        <v>6064</v>
      </c>
      <c r="CY123" s="226">
        <v>16494</v>
      </c>
      <c r="CZ123" s="226">
        <v>4145</v>
      </c>
      <c r="DA123" s="226">
        <v>39358</v>
      </c>
      <c r="DB123" s="226">
        <v>15198</v>
      </c>
      <c r="DC123" s="226">
        <v>10947</v>
      </c>
      <c r="DD123" s="226">
        <v>9256</v>
      </c>
      <c r="DE123" s="226">
        <v>4299</v>
      </c>
      <c r="DF123" s="226">
        <v>0</v>
      </c>
      <c r="DG123" s="226">
        <v>5414</v>
      </c>
      <c r="DH123" s="226">
        <v>12934</v>
      </c>
      <c r="DI123" s="226">
        <v>16856</v>
      </c>
      <c r="DJ123" s="226">
        <v>14626</v>
      </c>
      <c r="DK123" s="226">
        <v>942</v>
      </c>
      <c r="DL123" s="226">
        <v>7060</v>
      </c>
      <c r="DM123" s="226">
        <v>6526</v>
      </c>
      <c r="DN123" s="226">
        <v>48880</v>
      </c>
      <c r="DO123" s="226">
        <v>4435</v>
      </c>
      <c r="DP123" s="227">
        <v>1661381</v>
      </c>
      <c r="DQ123" s="71">
        <f>TRP!AF245</f>
        <v>1661381</v>
      </c>
      <c r="DR123" s="71">
        <f t="shared" si="4"/>
        <v>0</v>
      </c>
    </row>
    <row r="124" spans="2:189" s="228" customFormat="1" ht="11.5" x14ac:dyDescent="0.25">
      <c r="C124" s="229" t="s">
        <v>580</v>
      </c>
      <c r="D124" s="230">
        <f>SUM(D5:D122)</f>
        <v>40793</v>
      </c>
      <c r="E124" s="230">
        <f t="shared" ref="E124:BP124" si="5">SUM(E5:E122)</f>
        <v>2659</v>
      </c>
      <c r="F124" s="230">
        <f t="shared" si="5"/>
        <v>721</v>
      </c>
      <c r="G124" s="230">
        <f t="shared" si="5"/>
        <v>23213</v>
      </c>
      <c r="H124" s="230">
        <f t="shared" si="5"/>
        <v>18484</v>
      </c>
      <c r="I124" s="230">
        <f t="shared" si="5"/>
        <v>11701</v>
      </c>
      <c r="J124" s="230">
        <f t="shared" si="5"/>
        <v>10791</v>
      </c>
      <c r="K124" s="230">
        <f t="shared" si="5"/>
        <v>28240</v>
      </c>
      <c r="L124" s="230">
        <f t="shared" si="5"/>
        <v>221</v>
      </c>
      <c r="M124" s="230">
        <f t="shared" si="5"/>
        <v>6674</v>
      </c>
      <c r="N124" s="230">
        <f t="shared" si="5"/>
        <v>2064</v>
      </c>
      <c r="O124" s="230">
        <f t="shared" si="5"/>
        <v>19606</v>
      </c>
      <c r="P124" s="230">
        <f t="shared" si="5"/>
        <v>26506</v>
      </c>
      <c r="Q124" s="230">
        <f t="shared" si="5"/>
        <v>12582</v>
      </c>
      <c r="R124" s="230">
        <f t="shared" si="5"/>
        <v>9027</v>
      </c>
      <c r="S124" s="230">
        <f t="shared" si="5"/>
        <v>896</v>
      </c>
      <c r="T124" s="230">
        <f t="shared" si="5"/>
        <v>2891</v>
      </c>
      <c r="U124" s="230">
        <f t="shared" si="5"/>
        <v>2030</v>
      </c>
      <c r="V124" s="230">
        <f t="shared" si="5"/>
        <v>1574</v>
      </c>
      <c r="W124" s="230">
        <f t="shared" si="5"/>
        <v>1194</v>
      </c>
      <c r="X124" s="230">
        <f t="shared" si="5"/>
        <v>55564</v>
      </c>
      <c r="Y124" s="230">
        <f t="shared" si="5"/>
        <v>19795</v>
      </c>
      <c r="Z124" s="230">
        <f t="shared" si="5"/>
        <v>2579</v>
      </c>
      <c r="AA124" s="230">
        <f t="shared" si="5"/>
        <v>2543</v>
      </c>
      <c r="AB124" s="230">
        <f t="shared" si="5"/>
        <v>39413</v>
      </c>
      <c r="AC124" s="230">
        <f t="shared" si="5"/>
        <v>750</v>
      </c>
      <c r="AD124" s="230">
        <f t="shared" si="5"/>
        <v>6534</v>
      </c>
      <c r="AE124" s="230">
        <f t="shared" si="5"/>
        <v>6352</v>
      </c>
      <c r="AF124" s="230">
        <f t="shared" si="5"/>
        <v>9413</v>
      </c>
      <c r="AG124" s="230">
        <f t="shared" si="5"/>
        <v>13842</v>
      </c>
      <c r="AH124" s="230">
        <f t="shared" si="5"/>
        <v>3513</v>
      </c>
      <c r="AI124" s="230">
        <f t="shared" si="5"/>
        <v>1377</v>
      </c>
      <c r="AJ124" s="230">
        <f t="shared" si="5"/>
        <v>8743</v>
      </c>
      <c r="AK124" s="230">
        <f t="shared" si="5"/>
        <v>2281</v>
      </c>
      <c r="AL124" s="230">
        <f t="shared" si="5"/>
        <v>1773</v>
      </c>
      <c r="AM124" s="230">
        <f t="shared" si="5"/>
        <v>4181</v>
      </c>
      <c r="AN124" s="230">
        <f t="shared" si="5"/>
        <v>8137</v>
      </c>
      <c r="AO124" s="230">
        <f t="shared" si="5"/>
        <v>3216</v>
      </c>
      <c r="AP124" s="230">
        <f t="shared" si="5"/>
        <v>8173</v>
      </c>
      <c r="AQ124" s="230">
        <f t="shared" si="5"/>
        <v>31</v>
      </c>
      <c r="AR124" s="230">
        <f t="shared" si="5"/>
        <v>3476</v>
      </c>
      <c r="AS124" s="230">
        <f t="shared" si="5"/>
        <v>4189</v>
      </c>
      <c r="AT124" s="230">
        <f t="shared" si="5"/>
        <v>13183</v>
      </c>
      <c r="AU124" s="230">
        <f t="shared" si="5"/>
        <v>3819</v>
      </c>
      <c r="AV124" s="230">
        <f t="shared" si="5"/>
        <v>3510</v>
      </c>
      <c r="AW124" s="230">
        <f t="shared" si="5"/>
        <v>904</v>
      </c>
      <c r="AX124" s="230">
        <f t="shared" si="5"/>
        <v>8418</v>
      </c>
      <c r="AY124" s="230">
        <f t="shared" si="5"/>
        <v>7213</v>
      </c>
      <c r="AZ124" s="230">
        <f t="shared" si="5"/>
        <v>7488</v>
      </c>
      <c r="BA124" s="230">
        <f t="shared" si="5"/>
        <v>5150</v>
      </c>
      <c r="BB124" s="230">
        <f t="shared" si="5"/>
        <v>19416</v>
      </c>
      <c r="BC124" s="230">
        <f t="shared" si="5"/>
        <v>8590</v>
      </c>
      <c r="BD124" s="230">
        <f t="shared" si="5"/>
        <v>361</v>
      </c>
      <c r="BE124" s="230">
        <f t="shared" si="5"/>
        <v>6590</v>
      </c>
      <c r="BF124" s="230">
        <f t="shared" si="5"/>
        <v>17661</v>
      </c>
      <c r="BG124" s="230">
        <f t="shared" si="5"/>
        <v>19545</v>
      </c>
      <c r="BH124" s="230">
        <f t="shared" si="5"/>
        <v>9493</v>
      </c>
      <c r="BI124" s="230">
        <f t="shared" si="5"/>
        <v>3821</v>
      </c>
      <c r="BJ124" s="230">
        <f t="shared" si="5"/>
        <v>17128</v>
      </c>
      <c r="BK124" s="230">
        <f t="shared" si="5"/>
        <v>8545</v>
      </c>
      <c r="BL124" s="230">
        <f t="shared" si="5"/>
        <v>4010</v>
      </c>
      <c r="BM124" s="230">
        <f t="shared" si="5"/>
        <v>16623</v>
      </c>
      <c r="BN124" s="230">
        <f t="shared" si="5"/>
        <v>7361</v>
      </c>
      <c r="BO124" s="230">
        <f t="shared" si="5"/>
        <v>35</v>
      </c>
      <c r="BP124" s="230">
        <f t="shared" si="5"/>
        <v>201</v>
      </c>
      <c r="BQ124" s="230">
        <f t="shared" ref="BQ124:DO124" si="6">SUM(BQ5:BQ122)</f>
        <v>2</v>
      </c>
      <c r="BR124" s="230">
        <f t="shared" si="6"/>
        <v>2607</v>
      </c>
      <c r="BS124" s="230">
        <f t="shared" si="6"/>
        <v>48116</v>
      </c>
      <c r="BT124" s="230">
        <f t="shared" si="6"/>
        <v>27203</v>
      </c>
      <c r="BU124" s="230">
        <f t="shared" si="6"/>
        <v>18307</v>
      </c>
      <c r="BV124" s="230">
        <f t="shared" si="6"/>
        <v>6868</v>
      </c>
      <c r="BW124" s="230">
        <f t="shared" si="6"/>
        <v>97436</v>
      </c>
      <c r="BX124" s="230">
        <f t="shared" si="6"/>
        <v>31670</v>
      </c>
      <c r="BY124" s="230">
        <f t="shared" si="6"/>
        <v>17783</v>
      </c>
      <c r="BZ124" s="230">
        <f t="shared" si="6"/>
        <v>96280</v>
      </c>
      <c r="CA124" s="230">
        <f t="shared" si="6"/>
        <v>45735</v>
      </c>
      <c r="CB124" s="230">
        <f t="shared" si="6"/>
        <v>3528</v>
      </c>
      <c r="CC124" s="230">
        <f t="shared" si="6"/>
        <v>5528</v>
      </c>
      <c r="CD124" s="230">
        <f t="shared" si="6"/>
        <v>24066</v>
      </c>
      <c r="CE124" s="230">
        <f t="shared" si="6"/>
        <v>7526</v>
      </c>
      <c r="CF124" s="230">
        <f t="shared" si="6"/>
        <v>11163</v>
      </c>
      <c r="CG124" s="230">
        <f t="shared" si="6"/>
        <v>14721</v>
      </c>
      <c r="CH124" s="230">
        <f t="shared" si="6"/>
        <v>5665</v>
      </c>
      <c r="CI124" s="230">
        <f t="shared" si="6"/>
        <v>7484</v>
      </c>
      <c r="CJ124" s="230">
        <f t="shared" si="6"/>
        <v>47850</v>
      </c>
      <c r="CK124" s="230">
        <f t="shared" si="6"/>
        <v>25688</v>
      </c>
      <c r="CL124" s="230">
        <f t="shared" si="6"/>
        <v>17170</v>
      </c>
      <c r="CM124" s="230">
        <f t="shared" si="6"/>
        <v>16427</v>
      </c>
      <c r="CN124" s="230">
        <f t="shared" si="6"/>
        <v>36454</v>
      </c>
      <c r="CO124" s="230">
        <f t="shared" si="6"/>
        <v>33296</v>
      </c>
      <c r="CP124" s="230">
        <f t="shared" si="6"/>
        <v>24786</v>
      </c>
      <c r="CQ124" s="230">
        <f t="shared" si="6"/>
        <v>20445</v>
      </c>
      <c r="CR124" s="230">
        <f t="shared" si="6"/>
        <v>28443</v>
      </c>
      <c r="CS124" s="230">
        <f t="shared" si="6"/>
        <v>10722</v>
      </c>
      <c r="CT124" s="230">
        <f t="shared" si="6"/>
        <v>26341</v>
      </c>
      <c r="CU124" s="230">
        <f t="shared" si="6"/>
        <v>12039</v>
      </c>
      <c r="CV124" s="230">
        <f t="shared" si="6"/>
        <v>2513</v>
      </c>
      <c r="CW124" s="230">
        <f t="shared" si="6"/>
        <v>47278</v>
      </c>
      <c r="CX124" s="230">
        <f t="shared" si="6"/>
        <v>6064</v>
      </c>
      <c r="CY124" s="230">
        <f t="shared" si="6"/>
        <v>16494</v>
      </c>
      <c r="CZ124" s="230">
        <f t="shared" si="6"/>
        <v>4145</v>
      </c>
      <c r="DA124" s="230">
        <f t="shared" si="6"/>
        <v>39358</v>
      </c>
      <c r="DB124" s="230">
        <f t="shared" si="6"/>
        <v>15198</v>
      </c>
      <c r="DC124" s="230">
        <f t="shared" si="6"/>
        <v>10947</v>
      </c>
      <c r="DD124" s="230">
        <f t="shared" si="6"/>
        <v>9256</v>
      </c>
      <c r="DE124" s="230">
        <f t="shared" si="6"/>
        <v>4299</v>
      </c>
      <c r="DF124" s="230">
        <f t="shared" si="6"/>
        <v>0</v>
      </c>
      <c r="DG124" s="230">
        <f t="shared" si="6"/>
        <v>5414</v>
      </c>
      <c r="DH124" s="230">
        <f t="shared" si="6"/>
        <v>12934</v>
      </c>
      <c r="DI124" s="230">
        <f t="shared" si="6"/>
        <v>16856</v>
      </c>
      <c r="DJ124" s="230">
        <f t="shared" si="6"/>
        <v>14626</v>
      </c>
      <c r="DK124" s="230">
        <f t="shared" si="6"/>
        <v>942</v>
      </c>
      <c r="DL124" s="230">
        <f t="shared" si="6"/>
        <v>7060</v>
      </c>
      <c r="DM124" s="230">
        <f t="shared" si="6"/>
        <v>6526</v>
      </c>
      <c r="DN124" s="230">
        <f t="shared" si="6"/>
        <v>48880</v>
      </c>
      <c r="DO124" s="230">
        <f t="shared" si="6"/>
        <v>4435</v>
      </c>
      <c r="DP124" s="231">
        <f>SUM(D124:DO124)</f>
        <v>1661381</v>
      </c>
    </row>
    <row r="125" spans="2:189" s="228" customFormat="1" ht="11.5" x14ac:dyDescent="0.25">
      <c r="C125" s="229" t="s">
        <v>580</v>
      </c>
      <c r="D125" s="230">
        <f>D123-D124</f>
        <v>0</v>
      </c>
      <c r="E125" s="230">
        <f t="shared" ref="E125:BP125" si="7">E123-E124</f>
        <v>0</v>
      </c>
      <c r="F125" s="230">
        <f t="shared" si="7"/>
        <v>0</v>
      </c>
      <c r="G125" s="230">
        <f t="shared" si="7"/>
        <v>0</v>
      </c>
      <c r="H125" s="230">
        <f t="shared" si="7"/>
        <v>0</v>
      </c>
      <c r="I125" s="230">
        <f t="shared" si="7"/>
        <v>0</v>
      </c>
      <c r="J125" s="230">
        <f t="shared" si="7"/>
        <v>0</v>
      </c>
      <c r="K125" s="230">
        <f t="shared" si="7"/>
        <v>0</v>
      </c>
      <c r="L125" s="230">
        <f t="shared" si="7"/>
        <v>0</v>
      </c>
      <c r="M125" s="230">
        <f t="shared" si="7"/>
        <v>0</v>
      </c>
      <c r="N125" s="230">
        <f t="shared" si="7"/>
        <v>0</v>
      </c>
      <c r="O125" s="230">
        <f t="shared" si="7"/>
        <v>0</v>
      </c>
      <c r="P125" s="230">
        <f t="shared" si="7"/>
        <v>0</v>
      </c>
      <c r="Q125" s="230">
        <f t="shared" si="7"/>
        <v>0</v>
      </c>
      <c r="R125" s="230">
        <f t="shared" si="7"/>
        <v>0</v>
      </c>
      <c r="S125" s="230">
        <f t="shared" si="7"/>
        <v>0</v>
      </c>
      <c r="T125" s="230">
        <f t="shared" si="7"/>
        <v>0</v>
      </c>
      <c r="U125" s="230">
        <f t="shared" si="7"/>
        <v>0</v>
      </c>
      <c r="V125" s="230">
        <f t="shared" si="7"/>
        <v>0</v>
      </c>
      <c r="W125" s="230">
        <f t="shared" si="7"/>
        <v>0</v>
      </c>
      <c r="X125" s="230">
        <f t="shared" si="7"/>
        <v>0</v>
      </c>
      <c r="Y125" s="230">
        <f t="shared" si="7"/>
        <v>0</v>
      </c>
      <c r="Z125" s="230">
        <f t="shared" si="7"/>
        <v>0</v>
      </c>
      <c r="AA125" s="230">
        <f t="shared" si="7"/>
        <v>0</v>
      </c>
      <c r="AB125" s="230">
        <f t="shared" si="7"/>
        <v>0</v>
      </c>
      <c r="AC125" s="230">
        <f t="shared" si="7"/>
        <v>0</v>
      </c>
      <c r="AD125" s="230">
        <f t="shared" si="7"/>
        <v>0</v>
      </c>
      <c r="AE125" s="230">
        <f t="shared" si="7"/>
        <v>0</v>
      </c>
      <c r="AF125" s="230">
        <f t="shared" si="7"/>
        <v>0</v>
      </c>
      <c r="AG125" s="230">
        <f t="shared" si="7"/>
        <v>0</v>
      </c>
      <c r="AH125" s="230">
        <f t="shared" si="7"/>
        <v>0</v>
      </c>
      <c r="AI125" s="230">
        <f t="shared" si="7"/>
        <v>0</v>
      </c>
      <c r="AJ125" s="230">
        <f t="shared" si="7"/>
        <v>0</v>
      </c>
      <c r="AK125" s="230">
        <f t="shared" si="7"/>
        <v>0</v>
      </c>
      <c r="AL125" s="230">
        <f t="shared" si="7"/>
        <v>0</v>
      </c>
      <c r="AM125" s="230">
        <f t="shared" si="7"/>
        <v>0</v>
      </c>
      <c r="AN125" s="230">
        <f t="shared" si="7"/>
        <v>0</v>
      </c>
      <c r="AO125" s="230">
        <f t="shared" si="7"/>
        <v>0</v>
      </c>
      <c r="AP125" s="230">
        <f t="shared" si="7"/>
        <v>0</v>
      </c>
      <c r="AQ125" s="230">
        <f t="shared" si="7"/>
        <v>0</v>
      </c>
      <c r="AR125" s="230">
        <f t="shared" si="7"/>
        <v>0</v>
      </c>
      <c r="AS125" s="230">
        <f t="shared" si="7"/>
        <v>0</v>
      </c>
      <c r="AT125" s="230">
        <f t="shared" si="7"/>
        <v>0</v>
      </c>
      <c r="AU125" s="230">
        <f t="shared" si="7"/>
        <v>0</v>
      </c>
      <c r="AV125" s="230">
        <f t="shared" si="7"/>
        <v>0</v>
      </c>
      <c r="AW125" s="230">
        <f t="shared" si="7"/>
        <v>0</v>
      </c>
      <c r="AX125" s="230">
        <f t="shared" si="7"/>
        <v>0</v>
      </c>
      <c r="AY125" s="230">
        <f t="shared" si="7"/>
        <v>0</v>
      </c>
      <c r="AZ125" s="230">
        <f t="shared" si="7"/>
        <v>0</v>
      </c>
      <c r="BA125" s="230">
        <f t="shared" si="7"/>
        <v>0</v>
      </c>
      <c r="BB125" s="230">
        <f t="shared" si="7"/>
        <v>0</v>
      </c>
      <c r="BC125" s="230">
        <f t="shared" si="7"/>
        <v>0</v>
      </c>
      <c r="BD125" s="230">
        <f t="shared" si="7"/>
        <v>0</v>
      </c>
      <c r="BE125" s="230">
        <f t="shared" si="7"/>
        <v>0</v>
      </c>
      <c r="BF125" s="230">
        <f t="shared" si="7"/>
        <v>0</v>
      </c>
      <c r="BG125" s="230">
        <f t="shared" si="7"/>
        <v>0</v>
      </c>
      <c r="BH125" s="230">
        <f t="shared" si="7"/>
        <v>0</v>
      </c>
      <c r="BI125" s="230">
        <f t="shared" si="7"/>
        <v>0</v>
      </c>
      <c r="BJ125" s="230">
        <f t="shared" si="7"/>
        <v>0</v>
      </c>
      <c r="BK125" s="230">
        <f t="shared" si="7"/>
        <v>0</v>
      </c>
      <c r="BL125" s="230">
        <f t="shared" si="7"/>
        <v>0</v>
      </c>
      <c r="BM125" s="230">
        <f t="shared" si="7"/>
        <v>0</v>
      </c>
      <c r="BN125" s="230">
        <f t="shared" si="7"/>
        <v>0</v>
      </c>
      <c r="BO125" s="230">
        <f t="shared" si="7"/>
        <v>0</v>
      </c>
      <c r="BP125" s="230">
        <f t="shared" si="7"/>
        <v>0</v>
      </c>
      <c r="BQ125" s="230">
        <f t="shared" ref="BQ125:DO125" si="8">BQ123-BQ124</f>
        <v>0</v>
      </c>
      <c r="BR125" s="230">
        <f t="shared" si="8"/>
        <v>0</v>
      </c>
      <c r="BS125" s="230">
        <f t="shared" si="8"/>
        <v>0</v>
      </c>
      <c r="BT125" s="230">
        <f t="shared" si="8"/>
        <v>0</v>
      </c>
      <c r="BU125" s="230">
        <f t="shared" si="8"/>
        <v>0</v>
      </c>
      <c r="BV125" s="230">
        <f t="shared" si="8"/>
        <v>0</v>
      </c>
      <c r="BW125" s="230">
        <f t="shared" si="8"/>
        <v>0</v>
      </c>
      <c r="BX125" s="230">
        <f t="shared" si="8"/>
        <v>0</v>
      </c>
      <c r="BY125" s="230">
        <f t="shared" si="8"/>
        <v>0</v>
      </c>
      <c r="BZ125" s="230">
        <f t="shared" si="8"/>
        <v>0</v>
      </c>
      <c r="CA125" s="230">
        <f t="shared" si="8"/>
        <v>0</v>
      </c>
      <c r="CB125" s="230">
        <f t="shared" si="8"/>
        <v>0</v>
      </c>
      <c r="CC125" s="230">
        <f t="shared" si="8"/>
        <v>0</v>
      </c>
      <c r="CD125" s="230">
        <f t="shared" si="8"/>
        <v>0</v>
      </c>
      <c r="CE125" s="230">
        <f t="shared" si="8"/>
        <v>0</v>
      </c>
      <c r="CF125" s="230">
        <f t="shared" si="8"/>
        <v>0</v>
      </c>
      <c r="CG125" s="230">
        <f t="shared" si="8"/>
        <v>0</v>
      </c>
      <c r="CH125" s="230">
        <f t="shared" si="8"/>
        <v>0</v>
      </c>
      <c r="CI125" s="230">
        <f t="shared" si="8"/>
        <v>0</v>
      </c>
      <c r="CJ125" s="230">
        <f t="shared" si="8"/>
        <v>0</v>
      </c>
      <c r="CK125" s="230">
        <f t="shared" si="8"/>
        <v>0</v>
      </c>
      <c r="CL125" s="230">
        <f t="shared" si="8"/>
        <v>0</v>
      </c>
      <c r="CM125" s="230">
        <f t="shared" si="8"/>
        <v>0</v>
      </c>
      <c r="CN125" s="230">
        <f t="shared" si="8"/>
        <v>0</v>
      </c>
      <c r="CO125" s="230">
        <f t="shared" si="8"/>
        <v>0</v>
      </c>
      <c r="CP125" s="230">
        <f t="shared" si="8"/>
        <v>0</v>
      </c>
      <c r="CQ125" s="230">
        <f t="shared" si="8"/>
        <v>0</v>
      </c>
      <c r="CR125" s="230">
        <f t="shared" si="8"/>
        <v>0</v>
      </c>
      <c r="CS125" s="230">
        <f t="shared" si="8"/>
        <v>0</v>
      </c>
      <c r="CT125" s="230">
        <f t="shared" si="8"/>
        <v>0</v>
      </c>
      <c r="CU125" s="230">
        <f t="shared" si="8"/>
        <v>0</v>
      </c>
      <c r="CV125" s="230">
        <f t="shared" si="8"/>
        <v>0</v>
      </c>
      <c r="CW125" s="230">
        <f t="shared" si="8"/>
        <v>0</v>
      </c>
      <c r="CX125" s="230">
        <f t="shared" si="8"/>
        <v>0</v>
      </c>
      <c r="CY125" s="230">
        <f t="shared" si="8"/>
        <v>0</v>
      </c>
      <c r="CZ125" s="230">
        <f t="shared" si="8"/>
        <v>0</v>
      </c>
      <c r="DA125" s="230">
        <f t="shared" si="8"/>
        <v>0</v>
      </c>
      <c r="DB125" s="230">
        <f t="shared" si="8"/>
        <v>0</v>
      </c>
      <c r="DC125" s="230">
        <f t="shared" si="8"/>
        <v>0</v>
      </c>
      <c r="DD125" s="230">
        <f t="shared" si="8"/>
        <v>0</v>
      </c>
      <c r="DE125" s="230">
        <f t="shared" si="8"/>
        <v>0</v>
      </c>
      <c r="DF125" s="230">
        <f t="shared" si="8"/>
        <v>0</v>
      </c>
      <c r="DG125" s="230">
        <f t="shared" si="8"/>
        <v>0</v>
      </c>
      <c r="DH125" s="230">
        <f t="shared" si="8"/>
        <v>0</v>
      </c>
      <c r="DI125" s="230">
        <f t="shared" si="8"/>
        <v>0</v>
      </c>
      <c r="DJ125" s="230">
        <f t="shared" si="8"/>
        <v>0</v>
      </c>
      <c r="DK125" s="230">
        <f t="shared" si="8"/>
        <v>0</v>
      </c>
      <c r="DL125" s="230">
        <f t="shared" si="8"/>
        <v>0</v>
      </c>
      <c r="DM125" s="230">
        <f t="shared" si="8"/>
        <v>0</v>
      </c>
      <c r="DN125" s="230">
        <f t="shared" si="8"/>
        <v>0</v>
      </c>
      <c r="DO125" s="230">
        <f t="shared" si="8"/>
        <v>0</v>
      </c>
      <c r="DP125" s="231"/>
    </row>
    <row r="127" spans="2:189" s="228" customFormat="1" ht="10.5" x14ac:dyDescent="0.25">
      <c r="D127" s="233">
        <f t="array" ref="D127:GG127">TRANSPOSE(C129:C314)</f>
        <v>1</v>
      </c>
      <c r="E127" s="233">
        <v>1</v>
      </c>
      <c r="F127" s="233">
        <v>1</v>
      </c>
      <c r="G127" s="233">
        <v>2</v>
      </c>
      <c r="H127" s="233">
        <v>2</v>
      </c>
      <c r="I127" s="233">
        <v>2</v>
      </c>
      <c r="J127" s="233">
        <v>2</v>
      </c>
      <c r="K127" s="233">
        <v>2</v>
      </c>
      <c r="L127" s="233">
        <v>2</v>
      </c>
      <c r="M127" s="233">
        <v>12</v>
      </c>
      <c r="N127" s="233">
        <v>12</v>
      </c>
      <c r="O127" s="233">
        <v>12</v>
      </c>
      <c r="P127" s="233">
        <v>12</v>
      </c>
      <c r="Q127" s="233">
        <v>12</v>
      </c>
      <c r="R127" s="233">
        <v>12</v>
      </c>
      <c r="S127" s="233">
        <v>12</v>
      </c>
      <c r="T127" s="233">
        <v>12</v>
      </c>
      <c r="U127" s="233">
        <v>12</v>
      </c>
      <c r="V127" s="233">
        <v>12</v>
      </c>
      <c r="W127" s="233">
        <v>12</v>
      </c>
      <c r="X127" s="233">
        <v>103</v>
      </c>
      <c r="Y127" s="233">
        <v>103</v>
      </c>
      <c r="Z127" s="233">
        <v>12</v>
      </c>
      <c r="AA127" s="233">
        <v>12</v>
      </c>
      <c r="AB127" s="228">
        <v>12</v>
      </c>
      <c r="AC127" s="228" t="str">
        <v>112-3</v>
      </c>
      <c r="AD127" s="228">
        <v>12</v>
      </c>
      <c r="AE127" s="228">
        <v>12</v>
      </c>
      <c r="AF127" s="228">
        <v>12</v>
      </c>
      <c r="AG127" s="228">
        <v>12</v>
      </c>
      <c r="AH127" s="228">
        <v>12</v>
      </c>
      <c r="AI127" s="228">
        <v>12</v>
      </c>
      <c r="AJ127" s="228">
        <v>12</v>
      </c>
      <c r="AK127" s="228">
        <v>12</v>
      </c>
      <c r="AL127" s="228">
        <v>12</v>
      </c>
      <c r="AM127" s="228">
        <v>12</v>
      </c>
      <c r="AN127" s="228">
        <v>12</v>
      </c>
      <c r="AO127" s="228">
        <v>12</v>
      </c>
      <c r="AP127" s="228">
        <v>12</v>
      </c>
      <c r="AQ127" s="228">
        <v>12</v>
      </c>
      <c r="AR127" s="228">
        <v>12</v>
      </c>
      <c r="AS127" s="228">
        <v>4</v>
      </c>
      <c r="AT127" s="228">
        <v>5</v>
      </c>
      <c r="AU127" s="228">
        <v>12</v>
      </c>
      <c r="AV127" s="228">
        <v>12</v>
      </c>
      <c r="AW127" s="228">
        <v>12</v>
      </c>
      <c r="AX127" s="228">
        <v>12</v>
      </c>
      <c r="AY127" s="228">
        <v>6</v>
      </c>
      <c r="AZ127" s="228">
        <v>6</v>
      </c>
      <c r="BA127" s="228">
        <v>7</v>
      </c>
      <c r="BB127" s="228">
        <v>8</v>
      </c>
      <c r="BC127" s="228">
        <v>12</v>
      </c>
      <c r="BD127" s="228">
        <v>12</v>
      </c>
      <c r="BE127" s="228">
        <v>12</v>
      </c>
      <c r="BF127" s="228">
        <v>9</v>
      </c>
      <c r="BG127" s="228">
        <v>10</v>
      </c>
      <c r="BH127" s="228">
        <v>11</v>
      </c>
      <c r="BI127" s="228">
        <v>12</v>
      </c>
      <c r="BJ127" s="228">
        <v>12</v>
      </c>
      <c r="BK127" s="228">
        <v>12</v>
      </c>
      <c r="BL127" s="228">
        <v>12</v>
      </c>
      <c r="BM127" s="228">
        <v>12</v>
      </c>
      <c r="BN127" s="228">
        <v>12</v>
      </c>
      <c r="BO127" s="228">
        <v>21</v>
      </c>
      <c r="BP127" s="228" t="str">
        <v>122-24</v>
      </c>
      <c r="BQ127" s="228">
        <v>12</v>
      </c>
      <c r="BR127" s="228">
        <v>12</v>
      </c>
      <c r="BS127" s="228">
        <v>122</v>
      </c>
      <c r="BT127" s="228">
        <v>23</v>
      </c>
      <c r="BU127" s="228">
        <v>124</v>
      </c>
      <c r="BV127" s="228">
        <v>12</v>
      </c>
      <c r="BW127" s="228">
        <v>13</v>
      </c>
      <c r="BX127" s="228">
        <v>13</v>
      </c>
      <c r="BY127" s="228">
        <v>19</v>
      </c>
      <c r="BZ127" s="228">
        <v>19</v>
      </c>
      <c r="CA127" s="228">
        <v>19</v>
      </c>
      <c r="CB127" s="228">
        <v>114</v>
      </c>
      <c r="CC127" s="228">
        <v>15</v>
      </c>
      <c r="CD127" s="228">
        <v>116</v>
      </c>
      <c r="CE127" s="228">
        <v>117</v>
      </c>
      <c r="CF127" s="228">
        <v>118</v>
      </c>
      <c r="CG127" s="228">
        <v>19</v>
      </c>
      <c r="CH127" s="228">
        <v>19</v>
      </c>
      <c r="CI127" s="228" t="str">
        <v>114-16-17-18</v>
      </c>
      <c r="CJ127" s="228">
        <v>19</v>
      </c>
      <c r="CK127" s="228">
        <v>19</v>
      </c>
      <c r="CL127" s="228">
        <v>19</v>
      </c>
      <c r="CM127" s="228">
        <v>19</v>
      </c>
      <c r="CN127" s="228">
        <v>19</v>
      </c>
      <c r="CO127" s="228">
        <v>19</v>
      </c>
      <c r="CP127" s="228">
        <v>19</v>
      </c>
      <c r="CQ127" s="228">
        <v>19</v>
      </c>
      <c r="CR127" s="228">
        <v>19</v>
      </c>
      <c r="CS127" s="228">
        <v>19</v>
      </c>
      <c r="CT127" s="228">
        <v>19</v>
      </c>
      <c r="CU127" s="228">
        <v>19</v>
      </c>
      <c r="CV127" s="228">
        <v>19</v>
      </c>
      <c r="CW127" s="228">
        <v>19</v>
      </c>
      <c r="CX127" s="228">
        <v>19</v>
      </c>
      <c r="CY127" s="228">
        <v>19</v>
      </c>
      <c r="CZ127" s="228">
        <v>20</v>
      </c>
      <c r="DA127" s="228">
        <v>19</v>
      </c>
      <c r="DB127" s="228">
        <v>19</v>
      </c>
      <c r="DC127" s="228">
        <v>19</v>
      </c>
      <c r="DD127" s="228">
        <v>19</v>
      </c>
      <c r="DE127" s="228">
        <v>19</v>
      </c>
      <c r="DF127" s="228">
        <v>19</v>
      </c>
      <c r="DG127" s="228">
        <v>19</v>
      </c>
      <c r="DH127" s="228">
        <v>20</v>
      </c>
      <c r="DI127" s="228">
        <v>19</v>
      </c>
      <c r="DJ127" s="228">
        <v>20</v>
      </c>
      <c r="DK127" s="228">
        <v>19</v>
      </c>
      <c r="DL127" s="228">
        <v>19</v>
      </c>
      <c r="DM127" s="228">
        <v>20</v>
      </c>
      <c r="DN127" s="228">
        <v>20</v>
      </c>
      <c r="DO127" s="228">
        <v>20</v>
      </c>
      <c r="DP127" s="232">
        <v>27</v>
      </c>
      <c r="DQ127" s="228">
        <v>22</v>
      </c>
      <c r="DR127" s="228">
        <v>24</v>
      </c>
      <c r="DS127" s="228">
        <v>14</v>
      </c>
      <c r="DT127" s="228">
        <v>16</v>
      </c>
      <c r="DU127" s="228">
        <v>17</v>
      </c>
      <c r="DV127" s="228">
        <v>18</v>
      </c>
      <c r="DW127" s="228">
        <v>3</v>
      </c>
      <c r="DX127" s="228">
        <v>12</v>
      </c>
      <c r="DY127" s="228">
        <v>100</v>
      </c>
      <c r="DZ127" s="228">
        <v>100</v>
      </c>
      <c r="EA127" s="228">
        <v>100</v>
      </c>
      <c r="EB127" s="228">
        <v>100</v>
      </c>
      <c r="EC127" s="228">
        <v>100</v>
      </c>
      <c r="ED127" s="228">
        <v>100</v>
      </c>
      <c r="EE127" s="228">
        <v>100</v>
      </c>
      <c r="EF127" s="228">
        <v>100</v>
      </c>
      <c r="EG127" s="228">
        <v>100</v>
      </c>
      <c r="EH127" s="228">
        <v>100</v>
      </c>
      <c r="EI127" s="228">
        <v>100</v>
      </c>
      <c r="EJ127" s="228">
        <v>100</v>
      </c>
      <c r="EK127" s="228">
        <v>100</v>
      </c>
      <c r="EL127" s="228">
        <v>100</v>
      </c>
      <c r="EM127" s="228">
        <v>100</v>
      </c>
      <c r="EN127" s="228">
        <v>100</v>
      </c>
      <c r="EO127" s="228">
        <v>100</v>
      </c>
      <c r="EP127" s="228">
        <v>100</v>
      </c>
      <c r="EQ127" s="228">
        <v>100</v>
      </c>
      <c r="ER127" s="228">
        <v>100</v>
      </c>
      <c r="ES127" s="228">
        <v>100</v>
      </c>
      <c r="ET127" s="228">
        <v>100</v>
      </c>
      <c r="EU127" s="228">
        <v>100</v>
      </c>
      <c r="EV127" s="228">
        <v>100</v>
      </c>
      <c r="EW127" s="228">
        <v>100</v>
      </c>
      <c r="EX127" s="228">
        <v>100</v>
      </c>
      <c r="EY127" s="228">
        <v>100</v>
      </c>
      <c r="EZ127" s="228">
        <v>100</v>
      </c>
      <c r="FA127" s="228">
        <v>100</v>
      </c>
      <c r="FB127" s="228">
        <v>100</v>
      </c>
      <c r="FC127" s="228">
        <v>100</v>
      </c>
      <c r="FD127" s="228">
        <v>100</v>
      </c>
      <c r="FE127" s="228">
        <v>100</v>
      </c>
      <c r="FF127" s="228">
        <v>100</v>
      </c>
      <c r="FG127" s="228">
        <v>100</v>
      </c>
      <c r="FH127" s="228">
        <v>100</v>
      </c>
      <c r="FI127" s="228">
        <v>100</v>
      </c>
      <c r="FJ127" s="228">
        <v>100</v>
      </c>
      <c r="FK127" s="228">
        <v>100</v>
      </c>
      <c r="FL127" s="228">
        <v>100</v>
      </c>
      <c r="FM127" s="228">
        <v>100</v>
      </c>
      <c r="FN127" s="228">
        <v>100</v>
      </c>
      <c r="FO127" s="228">
        <v>100</v>
      </c>
      <c r="FP127" s="228">
        <v>100</v>
      </c>
      <c r="FQ127" s="228">
        <v>100</v>
      </c>
      <c r="FR127" s="228">
        <v>100</v>
      </c>
      <c r="FS127" s="228">
        <v>100</v>
      </c>
      <c r="FT127" s="228">
        <v>100</v>
      </c>
      <c r="FU127" s="228">
        <v>100</v>
      </c>
      <c r="FV127" s="228">
        <v>100</v>
      </c>
      <c r="FW127" s="228">
        <v>100</v>
      </c>
      <c r="FX127" s="228">
        <v>100</v>
      </c>
      <c r="FY127" s="228">
        <v>100</v>
      </c>
      <c r="FZ127" s="228">
        <v>100</v>
      </c>
      <c r="GA127" s="228">
        <v>100</v>
      </c>
      <c r="GB127" s="228">
        <v>100</v>
      </c>
      <c r="GC127" s="228">
        <v>100</v>
      </c>
      <c r="GD127" s="228">
        <v>100</v>
      </c>
      <c r="GE127" s="228">
        <v>100</v>
      </c>
      <c r="GF127" s="228">
        <v>100</v>
      </c>
      <c r="GG127" s="228">
        <v>100</v>
      </c>
    </row>
    <row r="128" spans="2:189" s="228" customFormat="1" ht="10.5" x14ac:dyDescent="0.25">
      <c r="B128" s="232"/>
      <c r="C128" s="233" t="s">
        <v>325</v>
      </c>
      <c r="D128" s="228" t="str">
        <f>CONCATENATE("CI_",IF(D127&lt;10,"0",""),D127)</f>
        <v>CI_01</v>
      </c>
      <c r="E128" s="228" t="str">
        <f t="shared" ref="E128:BP128" si="9">CONCATENATE("CI_",IF(E127&lt;10,"0",""),E127)</f>
        <v>CI_01</v>
      </c>
      <c r="F128" s="228" t="str">
        <f t="shared" si="9"/>
        <v>CI_01</v>
      </c>
      <c r="G128" s="228" t="str">
        <f t="shared" si="9"/>
        <v>CI_02</v>
      </c>
      <c r="H128" s="228" t="str">
        <f t="shared" si="9"/>
        <v>CI_02</v>
      </c>
      <c r="I128" s="228" t="str">
        <f t="shared" si="9"/>
        <v>CI_02</v>
      </c>
      <c r="J128" s="228" t="str">
        <f t="shared" si="9"/>
        <v>CI_02</v>
      </c>
      <c r="K128" s="228" t="str">
        <f t="shared" si="9"/>
        <v>CI_02</v>
      </c>
      <c r="L128" s="228" t="str">
        <f t="shared" si="9"/>
        <v>CI_02</v>
      </c>
      <c r="M128" s="228" t="str">
        <f t="shared" si="9"/>
        <v>CI_12</v>
      </c>
      <c r="N128" s="228" t="str">
        <f t="shared" si="9"/>
        <v>CI_12</v>
      </c>
      <c r="O128" s="228" t="str">
        <f t="shared" si="9"/>
        <v>CI_12</v>
      </c>
      <c r="P128" s="228" t="str">
        <f t="shared" si="9"/>
        <v>CI_12</v>
      </c>
      <c r="Q128" s="228" t="str">
        <f t="shared" si="9"/>
        <v>CI_12</v>
      </c>
      <c r="R128" s="228" t="str">
        <f t="shared" si="9"/>
        <v>CI_12</v>
      </c>
      <c r="S128" s="228" t="str">
        <f t="shared" si="9"/>
        <v>CI_12</v>
      </c>
      <c r="T128" s="228" t="str">
        <f t="shared" si="9"/>
        <v>CI_12</v>
      </c>
      <c r="U128" s="228" t="str">
        <f t="shared" si="9"/>
        <v>CI_12</v>
      </c>
      <c r="V128" s="228" t="str">
        <f t="shared" si="9"/>
        <v>CI_12</v>
      </c>
      <c r="W128" s="228" t="str">
        <f t="shared" si="9"/>
        <v>CI_12</v>
      </c>
      <c r="X128" s="228" t="str">
        <f t="shared" si="9"/>
        <v>CI_103</v>
      </c>
      <c r="Y128" s="228" t="str">
        <f t="shared" si="9"/>
        <v>CI_103</v>
      </c>
      <c r="Z128" s="228" t="str">
        <f t="shared" si="9"/>
        <v>CI_12</v>
      </c>
      <c r="AA128" s="228" t="str">
        <f t="shared" si="9"/>
        <v>CI_12</v>
      </c>
      <c r="AB128" s="228" t="str">
        <f t="shared" si="9"/>
        <v>CI_12</v>
      </c>
      <c r="AC128" s="228" t="str">
        <f t="shared" si="9"/>
        <v>CI_112-3</v>
      </c>
      <c r="AD128" s="228" t="str">
        <f t="shared" si="9"/>
        <v>CI_12</v>
      </c>
      <c r="AE128" s="228" t="str">
        <f t="shared" si="9"/>
        <v>CI_12</v>
      </c>
      <c r="AF128" s="228" t="str">
        <f t="shared" si="9"/>
        <v>CI_12</v>
      </c>
      <c r="AG128" s="228" t="str">
        <f t="shared" si="9"/>
        <v>CI_12</v>
      </c>
      <c r="AH128" s="228" t="str">
        <f t="shared" si="9"/>
        <v>CI_12</v>
      </c>
      <c r="AI128" s="228" t="str">
        <f t="shared" si="9"/>
        <v>CI_12</v>
      </c>
      <c r="AJ128" s="228" t="str">
        <f t="shared" si="9"/>
        <v>CI_12</v>
      </c>
      <c r="AK128" s="228" t="str">
        <f t="shared" si="9"/>
        <v>CI_12</v>
      </c>
      <c r="AL128" s="228" t="str">
        <f t="shared" si="9"/>
        <v>CI_12</v>
      </c>
      <c r="AM128" s="228" t="str">
        <f t="shared" si="9"/>
        <v>CI_12</v>
      </c>
      <c r="AN128" s="228" t="str">
        <f t="shared" si="9"/>
        <v>CI_12</v>
      </c>
      <c r="AO128" s="228" t="str">
        <f t="shared" si="9"/>
        <v>CI_12</v>
      </c>
      <c r="AP128" s="228" t="str">
        <f t="shared" si="9"/>
        <v>CI_12</v>
      </c>
      <c r="AQ128" s="228" t="str">
        <f t="shared" si="9"/>
        <v>CI_12</v>
      </c>
      <c r="AR128" s="228" t="str">
        <f t="shared" si="9"/>
        <v>CI_12</v>
      </c>
      <c r="AS128" s="228" t="str">
        <f t="shared" si="9"/>
        <v>CI_04</v>
      </c>
      <c r="AT128" s="228" t="str">
        <f t="shared" si="9"/>
        <v>CI_05</v>
      </c>
      <c r="AU128" s="228" t="str">
        <f t="shared" si="9"/>
        <v>CI_12</v>
      </c>
      <c r="AV128" s="228" t="str">
        <f t="shared" si="9"/>
        <v>CI_12</v>
      </c>
      <c r="AW128" s="228" t="str">
        <f t="shared" si="9"/>
        <v>CI_12</v>
      </c>
      <c r="AX128" s="228" t="str">
        <f t="shared" si="9"/>
        <v>CI_12</v>
      </c>
      <c r="AY128" s="228" t="str">
        <f t="shared" si="9"/>
        <v>CI_06</v>
      </c>
      <c r="AZ128" s="228" t="str">
        <f t="shared" si="9"/>
        <v>CI_06</v>
      </c>
      <c r="BA128" s="228" t="str">
        <f t="shared" si="9"/>
        <v>CI_07</v>
      </c>
      <c r="BB128" s="228" t="str">
        <f t="shared" si="9"/>
        <v>CI_08</v>
      </c>
      <c r="BC128" s="228" t="str">
        <f t="shared" si="9"/>
        <v>CI_12</v>
      </c>
      <c r="BD128" s="228" t="str">
        <f t="shared" si="9"/>
        <v>CI_12</v>
      </c>
      <c r="BE128" s="228" t="str">
        <f t="shared" si="9"/>
        <v>CI_12</v>
      </c>
      <c r="BF128" s="228" t="str">
        <f t="shared" si="9"/>
        <v>CI_09</v>
      </c>
      <c r="BG128" s="228" t="str">
        <f t="shared" si="9"/>
        <v>CI_10</v>
      </c>
      <c r="BH128" s="228" t="str">
        <f t="shared" si="9"/>
        <v>CI_11</v>
      </c>
      <c r="BI128" s="228" t="str">
        <f t="shared" si="9"/>
        <v>CI_12</v>
      </c>
      <c r="BJ128" s="228" t="str">
        <f t="shared" si="9"/>
        <v>CI_12</v>
      </c>
      <c r="BK128" s="228" t="str">
        <f t="shared" si="9"/>
        <v>CI_12</v>
      </c>
      <c r="BL128" s="228" t="str">
        <f t="shared" si="9"/>
        <v>CI_12</v>
      </c>
      <c r="BM128" s="228" t="str">
        <f t="shared" si="9"/>
        <v>CI_12</v>
      </c>
      <c r="BN128" s="228" t="str">
        <f t="shared" si="9"/>
        <v>CI_12</v>
      </c>
      <c r="BO128" s="228" t="str">
        <f t="shared" si="9"/>
        <v>CI_21</v>
      </c>
      <c r="BP128" s="228" t="str">
        <f t="shared" si="9"/>
        <v>CI_122-24</v>
      </c>
      <c r="BQ128" s="228" t="str">
        <f t="shared" ref="BQ128:DP128" si="10">CONCATENATE("CI_",IF(BQ127&lt;10,"0",""),BQ127)</f>
        <v>CI_12</v>
      </c>
      <c r="BR128" s="228" t="str">
        <f t="shared" si="10"/>
        <v>CI_12</v>
      </c>
      <c r="BS128" s="228" t="str">
        <f t="shared" si="10"/>
        <v>CI_122</v>
      </c>
      <c r="BT128" s="228" t="str">
        <f t="shared" si="10"/>
        <v>CI_23</v>
      </c>
      <c r="BU128" s="228" t="str">
        <f t="shared" si="10"/>
        <v>CI_124</v>
      </c>
      <c r="BV128" s="228" t="str">
        <f t="shared" si="10"/>
        <v>CI_12</v>
      </c>
      <c r="BW128" s="228" t="str">
        <f t="shared" si="10"/>
        <v>CI_13</v>
      </c>
      <c r="BX128" s="228" t="str">
        <f t="shared" si="10"/>
        <v>CI_13</v>
      </c>
      <c r="BY128" s="228" t="str">
        <f t="shared" si="10"/>
        <v>CI_19</v>
      </c>
      <c r="BZ128" s="228" t="str">
        <f t="shared" si="10"/>
        <v>CI_19</v>
      </c>
      <c r="CA128" s="228" t="str">
        <f t="shared" si="10"/>
        <v>CI_19</v>
      </c>
      <c r="CB128" s="228" t="str">
        <f t="shared" si="10"/>
        <v>CI_114</v>
      </c>
      <c r="CC128" s="228" t="str">
        <f t="shared" si="10"/>
        <v>CI_15</v>
      </c>
      <c r="CD128" s="228" t="str">
        <f t="shared" si="10"/>
        <v>CI_116</v>
      </c>
      <c r="CE128" s="228" t="str">
        <f t="shared" si="10"/>
        <v>CI_117</v>
      </c>
      <c r="CF128" s="228" t="str">
        <f t="shared" si="10"/>
        <v>CI_118</v>
      </c>
      <c r="CG128" s="228" t="str">
        <f t="shared" si="10"/>
        <v>CI_19</v>
      </c>
      <c r="CH128" s="228" t="str">
        <f t="shared" si="10"/>
        <v>CI_19</v>
      </c>
      <c r="CI128" s="228" t="str">
        <f t="shared" si="10"/>
        <v>CI_114-16-17-18</v>
      </c>
      <c r="CJ128" s="228" t="str">
        <f t="shared" si="10"/>
        <v>CI_19</v>
      </c>
      <c r="CK128" s="228" t="str">
        <f t="shared" si="10"/>
        <v>CI_19</v>
      </c>
      <c r="CL128" s="228" t="str">
        <f t="shared" si="10"/>
        <v>CI_19</v>
      </c>
      <c r="CM128" s="228" t="str">
        <f t="shared" si="10"/>
        <v>CI_19</v>
      </c>
      <c r="CN128" s="228" t="str">
        <f t="shared" si="10"/>
        <v>CI_19</v>
      </c>
      <c r="CO128" s="228" t="str">
        <f t="shared" si="10"/>
        <v>CI_19</v>
      </c>
      <c r="CP128" s="228" t="str">
        <f t="shared" si="10"/>
        <v>CI_19</v>
      </c>
      <c r="CQ128" s="228" t="str">
        <f t="shared" si="10"/>
        <v>CI_19</v>
      </c>
      <c r="CR128" s="228" t="str">
        <f t="shared" si="10"/>
        <v>CI_19</v>
      </c>
      <c r="CS128" s="228" t="str">
        <f t="shared" si="10"/>
        <v>CI_19</v>
      </c>
      <c r="CT128" s="228" t="str">
        <f t="shared" si="10"/>
        <v>CI_19</v>
      </c>
      <c r="CU128" s="228" t="str">
        <f t="shared" si="10"/>
        <v>CI_19</v>
      </c>
      <c r="CV128" s="228" t="str">
        <f t="shared" si="10"/>
        <v>CI_19</v>
      </c>
      <c r="CW128" s="228" t="str">
        <f t="shared" si="10"/>
        <v>CI_19</v>
      </c>
      <c r="CX128" s="228" t="str">
        <f t="shared" si="10"/>
        <v>CI_19</v>
      </c>
      <c r="CY128" s="228" t="str">
        <f t="shared" si="10"/>
        <v>CI_19</v>
      </c>
      <c r="CZ128" s="228" t="str">
        <f t="shared" si="10"/>
        <v>CI_20</v>
      </c>
      <c r="DA128" s="228" t="str">
        <f t="shared" si="10"/>
        <v>CI_19</v>
      </c>
      <c r="DB128" s="228" t="str">
        <f t="shared" si="10"/>
        <v>CI_19</v>
      </c>
      <c r="DC128" s="228" t="str">
        <f t="shared" si="10"/>
        <v>CI_19</v>
      </c>
      <c r="DD128" s="228" t="str">
        <f t="shared" si="10"/>
        <v>CI_19</v>
      </c>
      <c r="DE128" s="228" t="str">
        <f t="shared" si="10"/>
        <v>CI_19</v>
      </c>
      <c r="DF128" s="228" t="str">
        <f t="shared" si="10"/>
        <v>CI_19</v>
      </c>
      <c r="DG128" s="228" t="str">
        <f t="shared" si="10"/>
        <v>CI_19</v>
      </c>
      <c r="DH128" s="228" t="str">
        <f t="shared" si="10"/>
        <v>CI_20</v>
      </c>
      <c r="DI128" s="228" t="str">
        <f t="shared" si="10"/>
        <v>CI_19</v>
      </c>
      <c r="DJ128" s="228" t="str">
        <f t="shared" si="10"/>
        <v>CI_20</v>
      </c>
      <c r="DK128" s="228" t="str">
        <f t="shared" si="10"/>
        <v>CI_19</v>
      </c>
      <c r="DL128" s="228" t="str">
        <f t="shared" si="10"/>
        <v>CI_19</v>
      </c>
      <c r="DM128" s="228" t="str">
        <f t="shared" si="10"/>
        <v>CI_20</v>
      </c>
      <c r="DN128" s="228" t="str">
        <f t="shared" si="10"/>
        <v>CI_20</v>
      </c>
      <c r="DO128" s="228" t="str">
        <f t="shared" si="10"/>
        <v>CI_20</v>
      </c>
      <c r="DP128" s="228" t="str">
        <f t="shared" si="10"/>
        <v>CI_27</v>
      </c>
      <c r="DQ128" s="228">
        <v>1</v>
      </c>
      <c r="DR128" s="228">
        <f t="shared" ref="DR128:EN128" si="11">DQ128+1</f>
        <v>2</v>
      </c>
      <c r="DS128" s="230">
        <f t="shared" si="11"/>
        <v>3</v>
      </c>
      <c r="DT128" s="228">
        <f t="shared" si="11"/>
        <v>4</v>
      </c>
      <c r="DU128" s="228">
        <f t="shared" si="11"/>
        <v>5</v>
      </c>
      <c r="DV128" s="228">
        <f t="shared" si="11"/>
        <v>6</v>
      </c>
      <c r="DW128" s="228">
        <f t="shared" si="11"/>
        <v>7</v>
      </c>
      <c r="DX128" s="228">
        <f t="shared" si="11"/>
        <v>8</v>
      </c>
      <c r="DY128" s="228">
        <f t="shared" si="11"/>
        <v>9</v>
      </c>
      <c r="DZ128" s="228">
        <f t="shared" si="11"/>
        <v>10</v>
      </c>
      <c r="EA128" s="228">
        <f t="shared" si="11"/>
        <v>11</v>
      </c>
      <c r="EB128" s="230">
        <f t="shared" si="11"/>
        <v>12</v>
      </c>
      <c r="EC128" s="228">
        <f t="shared" si="11"/>
        <v>13</v>
      </c>
      <c r="ED128" s="230">
        <f t="shared" si="11"/>
        <v>14</v>
      </c>
      <c r="EE128" s="228">
        <f t="shared" si="11"/>
        <v>15</v>
      </c>
      <c r="EF128" s="230">
        <f t="shared" si="11"/>
        <v>16</v>
      </c>
      <c r="EG128" s="230">
        <f t="shared" si="11"/>
        <v>17</v>
      </c>
      <c r="EH128" s="230">
        <f t="shared" si="11"/>
        <v>18</v>
      </c>
      <c r="EI128" s="228">
        <f t="shared" si="11"/>
        <v>19</v>
      </c>
      <c r="EJ128" s="228">
        <f t="shared" si="11"/>
        <v>20</v>
      </c>
      <c r="EK128" s="228">
        <f t="shared" si="11"/>
        <v>21</v>
      </c>
      <c r="EL128" s="230">
        <f t="shared" si="11"/>
        <v>22</v>
      </c>
      <c r="EM128" s="228">
        <f t="shared" si="11"/>
        <v>23</v>
      </c>
      <c r="EN128" s="230">
        <f t="shared" si="11"/>
        <v>24</v>
      </c>
      <c r="EO128" s="228">
        <f>EO127</f>
        <v>100</v>
      </c>
      <c r="EP128" s="228">
        <f t="shared" ref="EP128:GG128" si="12">EP127</f>
        <v>100</v>
      </c>
      <c r="EQ128" s="228">
        <f t="shared" si="12"/>
        <v>100</v>
      </c>
      <c r="ER128" s="228">
        <f t="shared" si="12"/>
        <v>100</v>
      </c>
      <c r="ES128" s="228">
        <f t="shared" si="12"/>
        <v>100</v>
      </c>
      <c r="ET128" s="228">
        <f t="shared" si="12"/>
        <v>100</v>
      </c>
      <c r="EU128" s="228">
        <f t="shared" si="12"/>
        <v>100</v>
      </c>
      <c r="EV128" s="228">
        <f t="shared" si="12"/>
        <v>100</v>
      </c>
      <c r="EW128" s="228">
        <f t="shared" si="12"/>
        <v>100</v>
      </c>
      <c r="EX128" s="228">
        <f t="shared" si="12"/>
        <v>100</v>
      </c>
      <c r="EY128" s="228">
        <f t="shared" si="12"/>
        <v>100</v>
      </c>
      <c r="EZ128" s="228">
        <f t="shared" si="12"/>
        <v>100</v>
      </c>
      <c r="FA128" s="228">
        <f t="shared" si="12"/>
        <v>100</v>
      </c>
      <c r="FB128" s="228">
        <f t="shared" si="12"/>
        <v>100</v>
      </c>
      <c r="FC128" s="228">
        <f t="shared" si="12"/>
        <v>100</v>
      </c>
      <c r="FD128" s="228">
        <f t="shared" si="12"/>
        <v>100</v>
      </c>
      <c r="FE128" s="228">
        <f t="shared" si="12"/>
        <v>100</v>
      </c>
      <c r="FF128" s="228">
        <f t="shared" si="12"/>
        <v>100</v>
      </c>
      <c r="FG128" s="228">
        <f t="shared" si="12"/>
        <v>100</v>
      </c>
      <c r="FH128" s="228">
        <f t="shared" si="12"/>
        <v>100</v>
      </c>
      <c r="FI128" s="228">
        <f t="shared" si="12"/>
        <v>100</v>
      </c>
      <c r="FJ128" s="228">
        <f t="shared" si="12"/>
        <v>100</v>
      </c>
      <c r="FK128" s="228">
        <f t="shared" si="12"/>
        <v>100</v>
      </c>
      <c r="FL128" s="228">
        <f t="shared" si="12"/>
        <v>100</v>
      </c>
      <c r="FM128" s="228">
        <f t="shared" si="12"/>
        <v>100</v>
      </c>
      <c r="FN128" s="228">
        <f t="shared" si="12"/>
        <v>100</v>
      </c>
      <c r="FO128" s="228">
        <f t="shared" si="12"/>
        <v>100</v>
      </c>
      <c r="FP128" s="228">
        <f t="shared" si="12"/>
        <v>100</v>
      </c>
      <c r="FQ128" s="228">
        <f t="shared" si="12"/>
        <v>100</v>
      </c>
      <c r="FR128" s="228">
        <f t="shared" si="12"/>
        <v>100</v>
      </c>
      <c r="FS128" s="228">
        <f t="shared" si="12"/>
        <v>100</v>
      </c>
      <c r="FT128" s="228">
        <f t="shared" si="12"/>
        <v>100</v>
      </c>
      <c r="FU128" s="228">
        <f t="shared" si="12"/>
        <v>100</v>
      </c>
      <c r="FV128" s="228">
        <f t="shared" si="12"/>
        <v>100</v>
      </c>
      <c r="FW128" s="228">
        <f t="shared" si="12"/>
        <v>100</v>
      </c>
      <c r="FX128" s="228">
        <f t="shared" si="12"/>
        <v>100</v>
      </c>
      <c r="FY128" s="228">
        <f t="shared" si="12"/>
        <v>100</v>
      </c>
      <c r="FZ128" s="228">
        <f t="shared" si="12"/>
        <v>100</v>
      </c>
      <c r="GA128" s="228">
        <f t="shared" si="12"/>
        <v>100</v>
      </c>
      <c r="GB128" s="228">
        <f t="shared" si="12"/>
        <v>100</v>
      </c>
      <c r="GC128" s="228">
        <f t="shared" si="12"/>
        <v>100</v>
      </c>
      <c r="GD128" s="228">
        <f t="shared" si="12"/>
        <v>100</v>
      </c>
      <c r="GE128" s="228">
        <f t="shared" si="12"/>
        <v>100</v>
      </c>
      <c r="GF128" s="228">
        <f t="shared" si="12"/>
        <v>100</v>
      </c>
      <c r="GG128" s="228">
        <f t="shared" si="12"/>
        <v>100</v>
      </c>
    </row>
    <row r="129" spans="1:144" s="228" customFormat="1" ht="10.5" x14ac:dyDescent="0.25">
      <c r="A129" s="228" t="str">
        <f>TRP!C127</f>
        <v xml:space="preserve">GA01 </v>
      </c>
      <c r="B129" s="228" t="str">
        <f>TRP!B127</f>
        <v>AGRICULTURE  CHASSE  SERVICES ANNEXES</v>
      </c>
      <c r="C129" s="233">
        <f>TRP!A127</f>
        <v>1</v>
      </c>
      <c r="D129" s="228">
        <f>D5</f>
        <v>12492</v>
      </c>
      <c r="E129" s="228">
        <f t="shared" ref="E129:BP129" si="13">E5</f>
        <v>102</v>
      </c>
      <c r="F129" s="228">
        <f t="shared" si="13"/>
        <v>0</v>
      </c>
      <c r="G129" s="228">
        <f t="shared" si="13"/>
        <v>13691</v>
      </c>
      <c r="H129" s="228">
        <f t="shared" si="13"/>
        <v>7133</v>
      </c>
      <c r="I129" s="228">
        <f t="shared" si="13"/>
        <v>451</v>
      </c>
      <c r="J129" s="228">
        <f t="shared" si="13"/>
        <v>3597</v>
      </c>
      <c r="K129" s="228">
        <f t="shared" si="13"/>
        <v>4230</v>
      </c>
      <c r="L129" s="228">
        <f t="shared" si="13"/>
        <v>47</v>
      </c>
      <c r="M129" s="228">
        <f t="shared" si="13"/>
        <v>0</v>
      </c>
      <c r="N129" s="228">
        <f t="shared" si="13"/>
        <v>43</v>
      </c>
      <c r="O129" s="228">
        <f t="shared" si="13"/>
        <v>0</v>
      </c>
      <c r="P129" s="228">
        <f t="shared" si="13"/>
        <v>0</v>
      </c>
      <c r="Q129" s="228">
        <f t="shared" si="13"/>
        <v>25</v>
      </c>
      <c r="R129" s="228">
        <f t="shared" si="13"/>
        <v>0</v>
      </c>
      <c r="S129" s="228">
        <f t="shared" si="13"/>
        <v>0</v>
      </c>
      <c r="T129" s="228">
        <f t="shared" si="13"/>
        <v>0</v>
      </c>
      <c r="U129" s="228">
        <f t="shared" si="13"/>
        <v>0</v>
      </c>
      <c r="V129" s="228">
        <f t="shared" si="13"/>
        <v>0</v>
      </c>
      <c r="W129" s="228">
        <f t="shared" si="13"/>
        <v>0</v>
      </c>
      <c r="X129" s="228">
        <f t="shared" si="13"/>
        <v>0</v>
      </c>
      <c r="Y129" s="228">
        <f t="shared" si="13"/>
        <v>0</v>
      </c>
      <c r="Z129" s="228">
        <f t="shared" si="13"/>
        <v>0</v>
      </c>
      <c r="AA129" s="228">
        <f t="shared" si="13"/>
        <v>0</v>
      </c>
      <c r="AB129" s="228">
        <f t="shared" si="13"/>
        <v>0</v>
      </c>
      <c r="AC129" s="228">
        <f t="shared" si="13"/>
        <v>0</v>
      </c>
      <c r="AD129" s="228">
        <f t="shared" si="13"/>
        <v>0</v>
      </c>
      <c r="AE129" s="228">
        <f t="shared" si="13"/>
        <v>0</v>
      </c>
      <c r="AF129" s="228">
        <f t="shared" si="13"/>
        <v>0</v>
      </c>
      <c r="AG129" s="228">
        <f t="shared" si="13"/>
        <v>0</v>
      </c>
      <c r="AH129" s="228">
        <f t="shared" si="13"/>
        <v>0</v>
      </c>
      <c r="AI129" s="228">
        <f t="shared" si="13"/>
        <v>0</v>
      </c>
      <c r="AJ129" s="228">
        <f t="shared" si="13"/>
        <v>0</v>
      </c>
      <c r="AK129" s="228">
        <f t="shared" si="13"/>
        <v>0</v>
      </c>
      <c r="AL129" s="228">
        <f t="shared" si="13"/>
        <v>0</v>
      </c>
      <c r="AM129" s="228">
        <f t="shared" si="13"/>
        <v>0</v>
      </c>
      <c r="AN129" s="228">
        <f t="shared" si="13"/>
        <v>0</v>
      </c>
      <c r="AO129" s="228">
        <f t="shared" si="13"/>
        <v>0</v>
      </c>
      <c r="AP129" s="228">
        <f t="shared" si="13"/>
        <v>0</v>
      </c>
      <c r="AQ129" s="228">
        <f t="shared" si="13"/>
        <v>0</v>
      </c>
      <c r="AR129" s="228">
        <f t="shared" si="13"/>
        <v>0</v>
      </c>
      <c r="AS129" s="228">
        <f t="shared" si="13"/>
        <v>0</v>
      </c>
      <c r="AT129" s="228">
        <f t="shared" si="13"/>
        <v>0</v>
      </c>
      <c r="AU129" s="228">
        <f t="shared" si="13"/>
        <v>193</v>
      </c>
      <c r="AV129" s="228">
        <f t="shared" si="13"/>
        <v>0</v>
      </c>
      <c r="AW129" s="228">
        <f t="shared" si="13"/>
        <v>0</v>
      </c>
      <c r="AX129" s="228">
        <f t="shared" si="13"/>
        <v>0</v>
      </c>
      <c r="AY129" s="228">
        <f t="shared" si="13"/>
        <v>0</v>
      </c>
      <c r="AZ129" s="228">
        <f t="shared" si="13"/>
        <v>0</v>
      </c>
      <c r="BA129" s="228">
        <f t="shared" si="13"/>
        <v>0</v>
      </c>
      <c r="BB129" s="228">
        <f t="shared" si="13"/>
        <v>0</v>
      </c>
      <c r="BC129" s="228">
        <f t="shared" si="13"/>
        <v>0</v>
      </c>
      <c r="BD129" s="228">
        <f t="shared" si="13"/>
        <v>0</v>
      </c>
      <c r="BE129" s="228">
        <f t="shared" si="13"/>
        <v>428</v>
      </c>
      <c r="BF129" s="228">
        <f t="shared" si="13"/>
        <v>0</v>
      </c>
      <c r="BG129" s="228">
        <f t="shared" si="13"/>
        <v>0</v>
      </c>
      <c r="BH129" s="228">
        <f t="shared" si="13"/>
        <v>0</v>
      </c>
      <c r="BI129" s="228">
        <f t="shared" si="13"/>
        <v>0</v>
      </c>
      <c r="BJ129" s="228">
        <f t="shared" si="13"/>
        <v>0</v>
      </c>
      <c r="BK129" s="228">
        <f t="shared" si="13"/>
        <v>0</v>
      </c>
      <c r="BL129" s="228">
        <f t="shared" si="13"/>
        <v>0</v>
      </c>
      <c r="BM129" s="228">
        <f t="shared" si="13"/>
        <v>0</v>
      </c>
      <c r="BN129" s="228">
        <f t="shared" si="13"/>
        <v>0</v>
      </c>
      <c r="BO129" s="228">
        <f t="shared" si="13"/>
        <v>0</v>
      </c>
      <c r="BP129" s="228">
        <f t="shared" si="13"/>
        <v>0</v>
      </c>
      <c r="BQ129" s="228">
        <f t="shared" ref="BQ129:DP129" si="14">BQ5</f>
        <v>0</v>
      </c>
      <c r="BR129" s="228">
        <f t="shared" si="14"/>
        <v>0</v>
      </c>
      <c r="BS129" s="228">
        <f t="shared" si="14"/>
        <v>0</v>
      </c>
      <c r="BT129" s="228">
        <f t="shared" si="14"/>
        <v>250</v>
      </c>
      <c r="BU129" s="228">
        <f t="shared" si="14"/>
        <v>0</v>
      </c>
      <c r="BV129" s="228">
        <f t="shared" si="14"/>
        <v>0</v>
      </c>
      <c r="BW129" s="228">
        <f t="shared" si="14"/>
        <v>632</v>
      </c>
      <c r="BX129" s="228">
        <f t="shared" si="14"/>
        <v>1229</v>
      </c>
      <c r="BY129" s="228">
        <f t="shared" si="14"/>
        <v>0</v>
      </c>
      <c r="BZ129" s="228">
        <f t="shared" si="14"/>
        <v>0</v>
      </c>
      <c r="CA129" s="228">
        <f t="shared" si="14"/>
        <v>0</v>
      </c>
      <c r="CB129" s="228">
        <f t="shared" si="14"/>
        <v>0</v>
      </c>
      <c r="CC129" s="228">
        <f t="shared" si="14"/>
        <v>0</v>
      </c>
      <c r="CD129" s="228">
        <f t="shared" si="14"/>
        <v>0</v>
      </c>
      <c r="CE129" s="228">
        <f t="shared" si="14"/>
        <v>0</v>
      </c>
      <c r="CF129" s="228">
        <f t="shared" si="14"/>
        <v>0</v>
      </c>
      <c r="CG129" s="228">
        <f t="shared" si="14"/>
        <v>0</v>
      </c>
      <c r="CH129" s="228">
        <f t="shared" si="14"/>
        <v>0</v>
      </c>
      <c r="CI129" s="228">
        <f t="shared" si="14"/>
        <v>0</v>
      </c>
      <c r="CJ129" s="228">
        <f t="shared" si="14"/>
        <v>0</v>
      </c>
      <c r="CK129" s="228">
        <f t="shared" si="14"/>
        <v>0</v>
      </c>
      <c r="CL129" s="228">
        <f t="shared" si="14"/>
        <v>0</v>
      </c>
      <c r="CM129" s="228">
        <f t="shared" si="14"/>
        <v>0</v>
      </c>
      <c r="CN129" s="228">
        <f t="shared" si="14"/>
        <v>0</v>
      </c>
      <c r="CO129" s="228">
        <f t="shared" si="14"/>
        <v>0</v>
      </c>
      <c r="CP129" s="228">
        <f t="shared" si="14"/>
        <v>0</v>
      </c>
      <c r="CQ129" s="228">
        <f t="shared" si="14"/>
        <v>0</v>
      </c>
      <c r="CR129" s="228">
        <f t="shared" si="14"/>
        <v>0</v>
      </c>
      <c r="CS129" s="228">
        <f t="shared" si="14"/>
        <v>0</v>
      </c>
      <c r="CT129" s="228">
        <f t="shared" si="14"/>
        <v>0</v>
      </c>
      <c r="CU129" s="228">
        <f t="shared" si="14"/>
        <v>0</v>
      </c>
      <c r="CV129" s="228">
        <f t="shared" si="14"/>
        <v>0</v>
      </c>
      <c r="CW129" s="228">
        <f t="shared" si="14"/>
        <v>0</v>
      </c>
      <c r="CX129" s="228">
        <f t="shared" si="14"/>
        <v>0</v>
      </c>
      <c r="CY129" s="228">
        <f t="shared" si="14"/>
        <v>0</v>
      </c>
      <c r="CZ129" s="228">
        <f t="shared" si="14"/>
        <v>0</v>
      </c>
      <c r="DA129" s="228">
        <f t="shared" si="14"/>
        <v>1468</v>
      </c>
      <c r="DB129" s="228">
        <f t="shared" si="14"/>
        <v>0</v>
      </c>
      <c r="DC129" s="228">
        <f t="shared" si="14"/>
        <v>0</v>
      </c>
      <c r="DD129" s="228">
        <f t="shared" si="14"/>
        <v>73</v>
      </c>
      <c r="DE129" s="228">
        <f t="shared" si="14"/>
        <v>0</v>
      </c>
      <c r="DF129" s="228">
        <f t="shared" si="14"/>
        <v>0</v>
      </c>
      <c r="DG129" s="228">
        <f t="shared" si="14"/>
        <v>0</v>
      </c>
      <c r="DH129" s="228">
        <f t="shared" si="14"/>
        <v>34</v>
      </c>
      <c r="DI129" s="228">
        <f t="shared" si="14"/>
        <v>0</v>
      </c>
      <c r="DJ129" s="228">
        <f t="shared" si="14"/>
        <v>1</v>
      </c>
      <c r="DK129" s="228">
        <f t="shared" si="14"/>
        <v>0</v>
      </c>
      <c r="DL129" s="228">
        <f t="shared" si="14"/>
        <v>0</v>
      </c>
      <c r="DM129" s="228">
        <f t="shared" si="14"/>
        <v>8</v>
      </c>
      <c r="DN129" s="228">
        <f t="shared" si="14"/>
        <v>448</v>
      </c>
      <c r="DO129" s="228">
        <f t="shared" si="14"/>
        <v>0</v>
      </c>
      <c r="DP129" s="232">
        <f t="shared" si="14"/>
        <v>46575</v>
      </c>
      <c r="DQ129" s="228">
        <f>SUM(D129:F129)</f>
        <v>12594</v>
      </c>
      <c r="DR129" s="228">
        <f>SUM(G129:L129)</f>
        <v>29149</v>
      </c>
      <c r="DS129" s="230">
        <f>SUM(X129:Y129)+(1-TRP!$AK$253)*AC129</f>
        <v>0</v>
      </c>
      <c r="DT129" s="228">
        <f>AS129</f>
        <v>0</v>
      </c>
      <c r="DU129" s="228">
        <f>AT129</f>
        <v>0</v>
      </c>
      <c r="DV129" s="228">
        <f>SUM(AY129:AZ129)</f>
        <v>0</v>
      </c>
      <c r="DW129" s="228">
        <f>BA129</f>
        <v>0</v>
      </c>
      <c r="DX129" s="228">
        <f>BB129</f>
        <v>0</v>
      </c>
      <c r="DY129" s="228">
        <f>BF129</f>
        <v>0</v>
      </c>
      <c r="DZ129" s="228">
        <f>BG129</f>
        <v>0</v>
      </c>
      <c r="EA129" s="228">
        <f>BH129</f>
        <v>0</v>
      </c>
      <c r="EB129" s="230">
        <f>TRP!$AK$253*$AC129+SUM(M129:W129,Z129:AB129,AD129:AR129,AU129:AX129,BC129:BE129,BI129:BN129,BQ129:BR129,BV129)</f>
        <v>689</v>
      </c>
      <c r="EC129" s="228">
        <f>SUM(BW129:BX129)</f>
        <v>1861</v>
      </c>
      <c r="ED129" s="230">
        <f>CB129+$CI129*TRP!$AV$248</f>
        <v>0</v>
      </c>
      <c r="EE129" s="228">
        <f>CC129</f>
        <v>0</v>
      </c>
      <c r="EF129" s="230">
        <f>CD129+$CI129*TRP!$AV$249</f>
        <v>0</v>
      </c>
      <c r="EG129" s="230">
        <f>CE129+$CI129*TRP!$AV$250</f>
        <v>0</v>
      </c>
      <c r="EH129" s="230">
        <f>CF129+$CI129*TRP!$AV$251</f>
        <v>0</v>
      </c>
      <c r="EI129" s="228">
        <f>SUM(BY129:CA129,CG129:CH129,CJ129:CY129,DA129:DG129,DI129,DK129:DL129)</f>
        <v>1541</v>
      </c>
      <c r="EJ129" s="228">
        <f>SUM(DM129:DO129,DJ129,DH129,CZ129)</f>
        <v>491</v>
      </c>
      <c r="EK129" s="228">
        <f>BO129</f>
        <v>0</v>
      </c>
      <c r="EL129" s="230">
        <f>BS129+$BP129*TRP!$AN$246</f>
        <v>0</v>
      </c>
      <c r="EM129" s="228">
        <f>BT129</f>
        <v>250</v>
      </c>
      <c r="EN129" s="230">
        <f>BU129+$BP129*TRP!$AN$247</f>
        <v>0</v>
      </c>
    </row>
    <row r="130" spans="1:144" s="228" customFormat="1" ht="10.5" x14ac:dyDescent="0.25">
      <c r="A130" s="228" t="str">
        <f>TRP!C128</f>
        <v xml:space="preserve">GA02 </v>
      </c>
      <c r="B130" s="228" t="str">
        <f>TRP!B128</f>
        <v>PRODUITS SYLVICOLES</v>
      </c>
      <c r="C130" s="233">
        <f>TRP!A128</f>
        <v>1</v>
      </c>
      <c r="D130" s="228">
        <f t="shared" ref="D130:BO130" si="15">D6</f>
        <v>0</v>
      </c>
      <c r="E130" s="228">
        <f t="shared" si="15"/>
        <v>1627</v>
      </c>
      <c r="F130" s="228">
        <f t="shared" si="15"/>
        <v>0</v>
      </c>
      <c r="G130" s="228">
        <f t="shared" si="15"/>
        <v>0</v>
      </c>
      <c r="H130" s="228">
        <f t="shared" si="15"/>
        <v>0</v>
      </c>
      <c r="I130" s="228">
        <f t="shared" si="15"/>
        <v>0</v>
      </c>
      <c r="J130" s="228">
        <f t="shared" si="15"/>
        <v>0</v>
      </c>
      <c r="K130" s="228">
        <f t="shared" si="15"/>
        <v>4</v>
      </c>
      <c r="L130" s="228">
        <f t="shared" si="15"/>
        <v>0</v>
      </c>
      <c r="M130" s="228">
        <f t="shared" si="15"/>
        <v>0</v>
      </c>
      <c r="N130" s="228">
        <f t="shared" si="15"/>
        <v>0</v>
      </c>
      <c r="O130" s="228">
        <f t="shared" si="15"/>
        <v>0</v>
      </c>
      <c r="P130" s="228">
        <f t="shared" si="15"/>
        <v>0</v>
      </c>
      <c r="Q130" s="228">
        <f t="shared" si="15"/>
        <v>2</v>
      </c>
      <c r="R130" s="228">
        <f t="shared" si="15"/>
        <v>0</v>
      </c>
      <c r="S130" s="228">
        <f t="shared" si="15"/>
        <v>0</v>
      </c>
      <c r="T130" s="228">
        <f t="shared" si="15"/>
        <v>1</v>
      </c>
      <c r="U130" s="228">
        <f t="shared" si="15"/>
        <v>0</v>
      </c>
      <c r="V130" s="228">
        <f t="shared" si="15"/>
        <v>0</v>
      </c>
      <c r="W130" s="228">
        <f t="shared" si="15"/>
        <v>0</v>
      </c>
      <c r="X130" s="228">
        <f t="shared" si="15"/>
        <v>0</v>
      </c>
      <c r="Y130" s="228">
        <f t="shared" si="15"/>
        <v>0</v>
      </c>
      <c r="Z130" s="228">
        <f t="shared" si="15"/>
        <v>0</v>
      </c>
      <c r="AA130" s="228">
        <f t="shared" si="15"/>
        <v>0</v>
      </c>
      <c r="AB130" s="228">
        <f t="shared" si="15"/>
        <v>0</v>
      </c>
      <c r="AC130" s="228">
        <f t="shared" si="15"/>
        <v>0</v>
      </c>
      <c r="AD130" s="228">
        <f t="shared" si="15"/>
        <v>0</v>
      </c>
      <c r="AE130" s="228">
        <f t="shared" si="15"/>
        <v>0</v>
      </c>
      <c r="AF130" s="228">
        <f t="shared" si="15"/>
        <v>0</v>
      </c>
      <c r="AG130" s="228">
        <f t="shared" si="15"/>
        <v>0</v>
      </c>
      <c r="AH130" s="228">
        <f t="shared" si="15"/>
        <v>1</v>
      </c>
      <c r="AI130" s="228">
        <f t="shared" si="15"/>
        <v>0</v>
      </c>
      <c r="AJ130" s="228">
        <f t="shared" si="15"/>
        <v>0</v>
      </c>
      <c r="AK130" s="228">
        <f t="shared" si="15"/>
        <v>0</v>
      </c>
      <c r="AL130" s="228">
        <f t="shared" si="15"/>
        <v>0</v>
      </c>
      <c r="AM130" s="228">
        <f t="shared" si="15"/>
        <v>0</v>
      </c>
      <c r="AN130" s="228">
        <f t="shared" si="15"/>
        <v>0</v>
      </c>
      <c r="AO130" s="228">
        <f t="shared" si="15"/>
        <v>0</v>
      </c>
      <c r="AP130" s="228">
        <f t="shared" si="15"/>
        <v>0</v>
      </c>
      <c r="AQ130" s="228">
        <f t="shared" si="15"/>
        <v>0</v>
      </c>
      <c r="AR130" s="228">
        <f t="shared" si="15"/>
        <v>0</v>
      </c>
      <c r="AS130" s="228">
        <f t="shared" si="15"/>
        <v>0</v>
      </c>
      <c r="AT130" s="228">
        <f t="shared" si="15"/>
        <v>0</v>
      </c>
      <c r="AU130" s="228">
        <f t="shared" si="15"/>
        <v>0</v>
      </c>
      <c r="AV130" s="228">
        <f t="shared" si="15"/>
        <v>0</v>
      </c>
      <c r="AW130" s="228">
        <f t="shared" si="15"/>
        <v>0</v>
      </c>
      <c r="AX130" s="228">
        <f t="shared" si="15"/>
        <v>2178</v>
      </c>
      <c r="AY130" s="228">
        <f t="shared" si="15"/>
        <v>125</v>
      </c>
      <c r="AZ130" s="228">
        <f t="shared" si="15"/>
        <v>101</v>
      </c>
      <c r="BA130" s="228">
        <f t="shared" si="15"/>
        <v>0</v>
      </c>
      <c r="BB130" s="228">
        <f t="shared" si="15"/>
        <v>7</v>
      </c>
      <c r="BC130" s="228">
        <f t="shared" si="15"/>
        <v>3</v>
      </c>
      <c r="BD130" s="228">
        <f t="shared" si="15"/>
        <v>0</v>
      </c>
      <c r="BE130" s="228">
        <f t="shared" si="15"/>
        <v>0</v>
      </c>
      <c r="BF130" s="228">
        <f t="shared" si="15"/>
        <v>0</v>
      </c>
      <c r="BG130" s="228">
        <f t="shared" si="15"/>
        <v>0</v>
      </c>
      <c r="BH130" s="228">
        <f t="shared" si="15"/>
        <v>0</v>
      </c>
      <c r="BI130" s="228">
        <f t="shared" si="15"/>
        <v>0</v>
      </c>
      <c r="BJ130" s="228">
        <f t="shared" si="15"/>
        <v>0</v>
      </c>
      <c r="BK130" s="228">
        <f t="shared" si="15"/>
        <v>0</v>
      </c>
      <c r="BL130" s="228">
        <f t="shared" si="15"/>
        <v>0</v>
      </c>
      <c r="BM130" s="228">
        <f t="shared" si="15"/>
        <v>0</v>
      </c>
      <c r="BN130" s="228">
        <f t="shared" si="15"/>
        <v>0</v>
      </c>
      <c r="BO130" s="228">
        <f t="shared" si="15"/>
        <v>0</v>
      </c>
      <c r="BP130" s="228">
        <f t="shared" ref="BP130:DP130" si="16">BP6</f>
        <v>0</v>
      </c>
      <c r="BQ130" s="228">
        <f t="shared" si="16"/>
        <v>0</v>
      </c>
      <c r="BR130" s="228">
        <f t="shared" si="16"/>
        <v>0</v>
      </c>
      <c r="BS130" s="228">
        <f t="shared" si="16"/>
        <v>0</v>
      </c>
      <c r="BT130" s="228">
        <f t="shared" si="16"/>
        <v>0</v>
      </c>
      <c r="BU130" s="228">
        <f t="shared" si="16"/>
        <v>0</v>
      </c>
      <c r="BV130" s="228">
        <f t="shared" si="16"/>
        <v>0</v>
      </c>
      <c r="BW130" s="228">
        <f t="shared" si="16"/>
        <v>0</v>
      </c>
      <c r="BX130" s="228">
        <f t="shared" si="16"/>
        <v>0</v>
      </c>
      <c r="BY130" s="228">
        <f t="shared" si="16"/>
        <v>0</v>
      </c>
      <c r="BZ130" s="228">
        <f t="shared" si="16"/>
        <v>0</v>
      </c>
      <c r="CA130" s="228">
        <f t="shared" si="16"/>
        <v>0</v>
      </c>
      <c r="CB130" s="228">
        <f t="shared" si="16"/>
        <v>0</v>
      </c>
      <c r="CC130" s="228">
        <f t="shared" si="16"/>
        <v>0</v>
      </c>
      <c r="CD130" s="228">
        <f t="shared" si="16"/>
        <v>0</v>
      </c>
      <c r="CE130" s="228">
        <f t="shared" si="16"/>
        <v>0</v>
      </c>
      <c r="CF130" s="228">
        <f t="shared" si="16"/>
        <v>0</v>
      </c>
      <c r="CG130" s="228">
        <f t="shared" si="16"/>
        <v>0</v>
      </c>
      <c r="CH130" s="228">
        <f t="shared" si="16"/>
        <v>0</v>
      </c>
      <c r="CI130" s="228">
        <f t="shared" si="16"/>
        <v>0</v>
      </c>
      <c r="CJ130" s="228">
        <f t="shared" si="16"/>
        <v>0</v>
      </c>
      <c r="CK130" s="228">
        <f t="shared" si="16"/>
        <v>0</v>
      </c>
      <c r="CL130" s="228">
        <f t="shared" si="16"/>
        <v>0</v>
      </c>
      <c r="CM130" s="228">
        <f t="shared" si="16"/>
        <v>0</v>
      </c>
      <c r="CN130" s="228">
        <f t="shared" si="16"/>
        <v>0</v>
      </c>
      <c r="CO130" s="228">
        <f t="shared" si="16"/>
        <v>0</v>
      </c>
      <c r="CP130" s="228">
        <f t="shared" si="16"/>
        <v>0</v>
      </c>
      <c r="CQ130" s="228">
        <f t="shared" si="16"/>
        <v>0</v>
      </c>
      <c r="CR130" s="228">
        <f t="shared" si="16"/>
        <v>0</v>
      </c>
      <c r="CS130" s="228">
        <f t="shared" si="16"/>
        <v>0</v>
      </c>
      <c r="CT130" s="228">
        <f t="shared" si="16"/>
        <v>0</v>
      </c>
      <c r="CU130" s="228">
        <f t="shared" si="16"/>
        <v>0</v>
      </c>
      <c r="CV130" s="228">
        <f t="shared" si="16"/>
        <v>0</v>
      </c>
      <c r="CW130" s="228">
        <f t="shared" si="16"/>
        <v>0</v>
      </c>
      <c r="CX130" s="228">
        <f t="shared" si="16"/>
        <v>0</v>
      </c>
      <c r="CY130" s="228">
        <f t="shared" si="16"/>
        <v>1</v>
      </c>
      <c r="CZ130" s="228">
        <f t="shared" si="16"/>
        <v>0</v>
      </c>
      <c r="DA130" s="228">
        <f t="shared" si="16"/>
        <v>3</v>
      </c>
      <c r="DB130" s="228">
        <f t="shared" si="16"/>
        <v>0</v>
      </c>
      <c r="DC130" s="228">
        <f t="shared" si="16"/>
        <v>0</v>
      </c>
      <c r="DD130" s="228">
        <f t="shared" si="16"/>
        <v>6</v>
      </c>
      <c r="DE130" s="228">
        <f t="shared" si="16"/>
        <v>0</v>
      </c>
      <c r="DF130" s="228">
        <f t="shared" si="16"/>
        <v>0</v>
      </c>
      <c r="DG130" s="228">
        <f t="shared" si="16"/>
        <v>0</v>
      </c>
      <c r="DH130" s="228">
        <f t="shared" si="16"/>
        <v>5</v>
      </c>
      <c r="DI130" s="228">
        <f t="shared" si="16"/>
        <v>0</v>
      </c>
      <c r="DJ130" s="228">
        <f t="shared" si="16"/>
        <v>0</v>
      </c>
      <c r="DK130" s="228">
        <f t="shared" si="16"/>
        <v>0</v>
      </c>
      <c r="DL130" s="228">
        <f t="shared" si="16"/>
        <v>0</v>
      </c>
      <c r="DM130" s="228">
        <f t="shared" si="16"/>
        <v>0</v>
      </c>
      <c r="DN130" s="228">
        <f t="shared" si="16"/>
        <v>42</v>
      </c>
      <c r="DO130" s="228">
        <f t="shared" si="16"/>
        <v>0</v>
      </c>
      <c r="DP130" s="232">
        <f t="shared" si="16"/>
        <v>4106</v>
      </c>
      <c r="DQ130" s="228">
        <f t="shared" ref="DQ130:DQ193" si="17">SUM(D130:F130)</f>
        <v>1627</v>
      </c>
      <c r="DR130" s="228">
        <f t="shared" ref="DR130:DR193" si="18">SUM(G130:L130)</f>
        <v>4</v>
      </c>
      <c r="DS130" s="230">
        <f>SUM(X130:Y130)+(1-TRP!$AK$253)*AC130</f>
        <v>0</v>
      </c>
      <c r="DT130" s="228">
        <f t="shared" ref="DT130:DT193" si="19">AS130</f>
        <v>0</v>
      </c>
      <c r="DU130" s="228">
        <f t="shared" ref="DU130:DU193" si="20">AT130</f>
        <v>0</v>
      </c>
      <c r="DV130" s="228">
        <f t="shared" ref="DV130:DV193" si="21">SUM(AY130:AZ130)</f>
        <v>226</v>
      </c>
      <c r="DW130" s="228">
        <f t="shared" ref="DW130:DW193" si="22">BA130</f>
        <v>0</v>
      </c>
      <c r="DX130" s="228">
        <f t="shared" ref="DX130:DX193" si="23">BB130</f>
        <v>7</v>
      </c>
      <c r="DY130" s="228">
        <f t="shared" ref="DY130:DY193" si="24">BF130</f>
        <v>0</v>
      </c>
      <c r="DZ130" s="228">
        <f t="shared" ref="DZ130:DZ193" si="25">BG130</f>
        <v>0</v>
      </c>
      <c r="EA130" s="228">
        <f t="shared" ref="EA130:EA193" si="26">BH130</f>
        <v>0</v>
      </c>
      <c r="EB130" s="230">
        <f>TRP!$AK$253*$AC130+SUM(M130:W130,Z130:AB130,AD130:AR130,AU130:AX130,BC130:BE130,BI130:BN130,BQ130:BR130,BV130)</f>
        <v>2185</v>
      </c>
      <c r="EC130" s="228">
        <f t="shared" ref="EC130:EC193" si="27">SUM(BW130:BX130)</f>
        <v>0</v>
      </c>
      <c r="ED130" s="230">
        <f>CB130+$CI130*TRP!$AV$248</f>
        <v>0</v>
      </c>
      <c r="EE130" s="228">
        <f t="shared" ref="EE130:EE193" si="28">CC130</f>
        <v>0</v>
      </c>
      <c r="EF130" s="230">
        <f>CD130+$CI130*TRP!$AV$249</f>
        <v>0</v>
      </c>
      <c r="EG130" s="230">
        <f>CE130+$CI130*TRP!$AV$250</f>
        <v>0</v>
      </c>
      <c r="EH130" s="230">
        <f>CF130+$CI130*TRP!$AV$251</f>
        <v>0</v>
      </c>
      <c r="EI130" s="228">
        <f t="shared" ref="EI130:EI193" si="29">SUM(BY130:CA130,CG130:CH130,CJ130:CY130,DA130:DG130,DI130,DK130:DL130)</f>
        <v>10</v>
      </c>
      <c r="EJ130" s="228">
        <f t="shared" ref="EJ130:EJ193" si="30">SUM(DM130:DO130,DJ130,DH130,CZ130)</f>
        <v>47</v>
      </c>
      <c r="EK130" s="228">
        <f t="shared" ref="EK130:EK193" si="31">BO130</f>
        <v>0</v>
      </c>
      <c r="EL130" s="230">
        <f>BS130+$BP130*TRP!$AN$246</f>
        <v>0</v>
      </c>
      <c r="EM130" s="228">
        <f t="shared" ref="EM130:EM193" si="32">BT130</f>
        <v>0</v>
      </c>
      <c r="EN130" s="230">
        <f>BU130+$BP130*TRP!$AN$247</f>
        <v>0</v>
      </c>
    </row>
    <row r="131" spans="1:144" s="228" customFormat="1" ht="10.5" x14ac:dyDescent="0.25">
      <c r="A131" s="228" t="str">
        <f>TRP!C129</f>
        <v xml:space="preserve">GA03 </v>
      </c>
      <c r="B131" s="228" t="str">
        <f>TRP!B129</f>
        <v>PRODUITS DE LA PECHE ET DE L AQUACULTURE</v>
      </c>
      <c r="C131" s="233">
        <f>TRP!A129</f>
        <v>1</v>
      </c>
      <c r="D131" s="228">
        <f t="shared" ref="D131:BO131" si="33">D7</f>
        <v>0</v>
      </c>
      <c r="E131" s="228">
        <f t="shared" si="33"/>
        <v>0</v>
      </c>
      <c r="F131" s="228">
        <f t="shared" si="33"/>
        <v>9</v>
      </c>
      <c r="G131" s="228">
        <f t="shared" si="33"/>
        <v>0</v>
      </c>
      <c r="H131" s="228">
        <f t="shared" si="33"/>
        <v>0</v>
      </c>
      <c r="I131" s="228">
        <f t="shared" si="33"/>
        <v>0</v>
      </c>
      <c r="J131" s="228">
        <f t="shared" si="33"/>
        <v>46</v>
      </c>
      <c r="K131" s="228">
        <f t="shared" si="33"/>
        <v>1264</v>
      </c>
      <c r="L131" s="228">
        <f t="shared" si="33"/>
        <v>0</v>
      </c>
      <c r="M131" s="228">
        <f t="shared" si="33"/>
        <v>0</v>
      </c>
      <c r="N131" s="228">
        <f t="shared" si="33"/>
        <v>0</v>
      </c>
      <c r="O131" s="228">
        <f t="shared" si="33"/>
        <v>0</v>
      </c>
      <c r="P131" s="228">
        <f t="shared" si="33"/>
        <v>0</v>
      </c>
      <c r="Q131" s="228">
        <f t="shared" si="33"/>
        <v>2</v>
      </c>
      <c r="R131" s="228">
        <f t="shared" si="33"/>
        <v>0</v>
      </c>
      <c r="S131" s="228">
        <f t="shared" si="33"/>
        <v>0</v>
      </c>
      <c r="T131" s="228">
        <f t="shared" si="33"/>
        <v>0</v>
      </c>
      <c r="U131" s="228">
        <f t="shared" si="33"/>
        <v>0</v>
      </c>
      <c r="V131" s="228">
        <f t="shared" si="33"/>
        <v>0</v>
      </c>
      <c r="W131" s="228">
        <f t="shared" si="33"/>
        <v>0</v>
      </c>
      <c r="X131" s="228">
        <f t="shared" si="33"/>
        <v>0</v>
      </c>
      <c r="Y131" s="228">
        <f t="shared" si="33"/>
        <v>0</v>
      </c>
      <c r="Z131" s="228">
        <f t="shared" si="33"/>
        <v>0</v>
      </c>
      <c r="AA131" s="228">
        <f t="shared" si="33"/>
        <v>0</v>
      </c>
      <c r="AB131" s="228">
        <f t="shared" si="33"/>
        <v>0</v>
      </c>
      <c r="AC131" s="228">
        <f t="shared" si="33"/>
        <v>0</v>
      </c>
      <c r="AD131" s="228">
        <f t="shared" si="33"/>
        <v>0</v>
      </c>
      <c r="AE131" s="228">
        <f t="shared" si="33"/>
        <v>0</v>
      </c>
      <c r="AF131" s="228">
        <f t="shared" si="33"/>
        <v>0</v>
      </c>
      <c r="AG131" s="228">
        <f t="shared" si="33"/>
        <v>0</v>
      </c>
      <c r="AH131" s="228">
        <f t="shared" si="33"/>
        <v>0</v>
      </c>
      <c r="AI131" s="228">
        <f t="shared" si="33"/>
        <v>0</v>
      </c>
      <c r="AJ131" s="228">
        <f t="shared" si="33"/>
        <v>0</v>
      </c>
      <c r="AK131" s="228">
        <f t="shared" si="33"/>
        <v>0</v>
      </c>
      <c r="AL131" s="228">
        <f t="shared" si="33"/>
        <v>0</v>
      </c>
      <c r="AM131" s="228">
        <f t="shared" si="33"/>
        <v>0</v>
      </c>
      <c r="AN131" s="228">
        <f t="shared" si="33"/>
        <v>0</v>
      </c>
      <c r="AO131" s="228">
        <f t="shared" si="33"/>
        <v>0</v>
      </c>
      <c r="AP131" s="228">
        <f t="shared" si="33"/>
        <v>0</v>
      </c>
      <c r="AQ131" s="228">
        <f t="shared" si="33"/>
        <v>0</v>
      </c>
      <c r="AR131" s="228">
        <f t="shared" si="33"/>
        <v>0</v>
      </c>
      <c r="AS131" s="228">
        <f t="shared" si="33"/>
        <v>0</v>
      </c>
      <c r="AT131" s="228">
        <f t="shared" si="33"/>
        <v>0</v>
      </c>
      <c r="AU131" s="228">
        <f t="shared" si="33"/>
        <v>0</v>
      </c>
      <c r="AV131" s="228">
        <f t="shared" si="33"/>
        <v>0</v>
      </c>
      <c r="AW131" s="228">
        <f t="shared" si="33"/>
        <v>0</v>
      </c>
      <c r="AX131" s="228">
        <f t="shared" si="33"/>
        <v>0</v>
      </c>
      <c r="AY131" s="228">
        <f t="shared" si="33"/>
        <v>0</v>
      </c>
      <c r="AZ131" s="228">
        <f t="shared" si="33"/>
        <v>0</v>
      </c>
      <c r="BA131" s="228">
        <f t="shared" si="33"/>
        <v>0</v>
      </c>
      <c r="BB131" s="228">
        <f t="shared" si="33"/>
        <v>46</v>
      </c>
      <c r="BC131" s="228">
        <f t="shared" si="33"/>
        <v>2</v>
      </c>
      <c r="BD131" s="228">
        <f t="shared" si="33"/>
        <v>0</v>
      </c>
      <c r="BE131" s="228">
        <f t="shared" si="33"/>
        <v>0</v>
      </c>
      <c r="BF131" s="228">
        <f t="shared" si="33"/>
        <v>0</v>
      </c>
      <c r="BG131" s="228">
        <f t="shared" si="33"/>
        <v>0</v>
      </c>
      <c r="BH131" s="228">
        <f t="shared" si="33"/>
        <v>0</v>
      </c>
      <c r="BI131" s="228">
        <f t="shared" si="33"/>
        <v>0</v>
      </c>
      <c r="BJ131" s="228">
        <f t="shared" si="33"/>
        <v>0</v>
      </c>
      <c r="BK131" s="228">
        <f t="shared" si="33"/>
        <v>0</v>
      </c>
      <c r="BL131" s="228">
        <f t="shared" si="33"/>
        <v>0</v>
      </c>
      <c r="BM131" s="228">
        <f t="shared" si="33"/>
        <v>0</v>
      </c>
      <c r="BN131" s="228">
        <f t="shared" si="33"/>
        <v>0</v>
      </c>
      <c r="BO131" s="228">
        <f t="shared" si="33"/>
        <v>0</v>
      </c>
      <c r="BP131" s="228">
        <f t="shared" ref="BP131:DP131" si="34">BP7</f>
        <v>0</v>
      </c>
      <c r="BQ131" s="228">
        <f t="shared" si="34"/>
        <v>0</v>
      </c>
      <c r="BR131" s="228">
        <f t="shared" si="34"/>
        <v>0</v>
      </c>
      <c r="BS131" s="228">
        <f t="shared" si="34"/>
        <v>0</v>
      </c>
      <c r="BT131" s="228">
        <f t="shared" si="34"/>
        <v>0</v>
      </c>
      <c r="BU131" s="228">
        <f t="shared" si="34"/>
        <v>0</v>
      </c>
      <c r="BV131" s="228">
        <f t="shared" si="34"/>
        <v>0</v>
      </c>
      <c r="BW131" s="228">
        <f t="shared" si="34"/>
        <v>0</v>
      </c>
      <c r="BX131" s="228">
        <f t="shared" si="34"/>
        <v>0</v>
      </c>
      <c r="BY131" s="228">
        <f t="shared" si="34"/>
        <v>0</v>
      </c>
      <c r="BZ131" s="228">
        <f t="shared" si="34"/>
        <v>0</v>
      </c>
      <c r="CA131" s="228">
        <f t="shared" si="34"/>
        <v>0</v>
      </c>
      <c r="CB131" s="228">
        <f t="shared" si="34"/>
        <v>0</v>
      </c>
      <c r="CC131" s="228">
        <f t="shared" si="34"/>
        <v>0</v>
      </c>
      <c r="CD131" s="228">
        <f t="shared" si="34"/>
        <v>0</v>
      </c>
      <c r="CE131" s="228">
        <f t="shared" si="34"/>
        <v>22</v>
      </c>
      <c r="CF131" s="228">
        <f t="shared" si="34"/>
        <v>0</v>
      </c>
      <c r="CG131" s="228">
        <f t="shared" si="34"/>
        <v>0</v>
      </c>
      <c r="CH131" s="228">
        <f t="shared" si="34"/>
        <v>0</v>
      </c>
      <c r="CI131" s="228">
        <f t="shared" si="34"/>
        <v>0</v>
      </c>
      <c r="CJ131" s="228">
        <f t="shared" si="34"/>
        <v>0</v>
      </c>
      <c r="CK131" s="228">
        <f t="shared" si="34"/>
        <v>0</v>
      </c>
      <c r="CL131" s="228">
        <f t="shared" si="34"/>
        <v>0</v>
      </c>
      <c r="CM131" s="228">
        <f t="shared" si="34"/>
        <v>0</v>
      </c>
      <c r="CN131" s="228">
        <f t="shared" si="34"/>
        <v>0</v>
      </c>
      <c r="CO131" s="228">
        <f t="shared" si="34"/>
        <v>0</v>
      </c>
      <c r="CP131" s="228">
        <f t="shared" si="34"/>
        <v>0</v>
      </c>
      <c r="CQ131" s="228">
        <f t="shared" si="34"/>
        <v>0</v>
      </c>
      <c r="CR131" s="228">
        <f t="shared" si="34"/>
        <v>0</v>
      </c>
      <c r="CS131" s="228">
        <f t="shared" si="34"/>
        <v>0</v>
      </c>
      <c r="CT131" s="228">
        <f t="shared" si="34"/>
        <v>0</v>
      </c>
      <c r="CU131" s="228">
        <f t="shared" si="34"/>
        <v>0</v>
      </c>
      <c r="CV131" s="228">
        <f t="shared" si="34"/>
        <v>0</v>
      </c>
      <c r="CW131" s="228">
        <f t="shared" si="34"/>
        <v>0</v>
      </c>
      <c r="CX131" s="228">
        <f t="shared" si="34"/>
        <v>0</v>
      </c>
      <c r="CY131" s="228">
        <f t="shared" si="34"/>
        <v>1</v>
      </c>
      <c r="CZ131" s="228">
        <f t="shared" si="34"/>
        <v>0</v>
      </c>
      <c r="DA131" s="228">
        <f t="shared" si="34"/>
        <v>592</v>
      </c>
      <c r="DB131" s="228">
        <f t="shared" si="34"/>
        <v>0</v>
      </c>
      <c r="DC131" s="228">
        <f t="shared" si="34"/>
        <v>54</v>
      </c>
      <c r="DD131" s="228">
        <f t="shared" si="34"/>
        <v>0</v>
      </c>
      <c r="DE131" s="228">
        <f t="shared" si="34"/>
        <v>5</v>
      </c>
      <c r="DF131" s="228">
        <f t="shared" si="34"/>
        <v>0</v>
      </c>
      <c r="DG131" s="228">
        <f t="shared" si="34"/>
        <v>0</v>
      </c>
      <c r="DH131" s="228">
        <f t="shared" si="34"/>
        <v>0</v>
      </c>
      <c r="DI131" s="228">
        <f t="shared" si="34"/>
        <v>78</v>
      </c>
      <c r="DJ131" s="228">
        <f t="shared" si="34"/>
        <v>0</v>
      </c>
      <c r="DK131" s="228">
        <f t="shared" si="34"/>
        <v>0</v>
      </c>
      <c r="DL131" s="228">
        <f t="shared" si="34"/>
        <v>25</v>
      </c>
      <c r="DM131" s="228">
        <f t="shared" si="34"/>
        <v>0</v>
      </c>
      <c r="DN131" s="228">
        <f t="shared" si="34"/>
        <v>0</v>
      </c>
      <c r="DO131" s="228">
        <f t="shared" si="34"/>
        <v>0</v>
      </c>
      <c r="DP131" s="232">
        <f t="shared" si="34"/>
        <v>2146</v>
      </c>
      <c r="DQ131" s="228">
        <f t="shared" si="17"/>
        <v>9</v>
      </c>
      <c r="DR131" s="228">
        <f t="shared" si="18"/>
        <v>1310</v>
      </c>
      <c r="DS131" s="230">
        <f>SUM(X131:Y131)+(1-TRP!$AK$253)*AC131</f>
        <v>0</v>
      </c>
      <c r="DT131" s="228">
        <f t="shared" si="19"/>
        <v>0</v>
      </c>
      <c r="DU131" s="228">
        <f t="shared" si="20"/>
        <v>0</v>
      </c>
      <c r="DV131" s="228">
        <f t="shared" si="21"/>
        <v>0</v>
      </c>
      <c r="DW131" s="228">
        <f t="shared" si="22"/>
        <v>0</v>
      </c>
      <c r="DX131" s="228">
        <f t="shared" si="23"/>
        <v>46</v>
      </c>
      <c r="DY131" s="228">
        <f t="shared" si="24"/>
        <v>0</v>
      </c>
      <c r="DZ131" s="228">
        <f t="shared" si="25"/>
        <v>0</v>
      </c>
      <c r="EA131" s="228">
        <f t="shared" si="26"/>
        <v>0</v>
      </c>
      <c r="EB131" s="230">
        <f>TRP!$AK$253*$AC131+SUM(M131:W131,Z131:AB131,AD131:AR131,AU131:AX131,BC131:BE131,BI131:BN131,BQ131:BR131,BV131)</f>
        <v>4</v>
      </c>
      <c r="EC131" s="228">
        <f t="shared" si="27"/>
        <v>0</v>
      </c>
      <c r="ED131" s="230">
        <f>CB131+$CI131*TRP!$AV$248</f>
        <v>0</v>
      </c>
      <c r="EE131" s="228">
        <f t="shared" si="28"/>
        <v>0</v>
      </c>
      <c r="EF131" s="230">
        <f>CD131+$CI131*TRP!$AV$249</f>
        <v>0</v>
      </c>
      <c r="EG131" s="230">
        <f>CE131+$CI131*TRP!$AV$250</f>
        <v>22</v>
      </c>
      <c r="EH131" s="230">
        <f>CF131+$CI131*TRP!$AV$251</f>
        <v>0</v>
      </c>
      <c r="EI131" s="228">
        <f t="shared" si="29"/>
        <v>755</v>
      </c>
      <c r="EJ131" s="228">
        <f t="shared" si="30"/>
        <v>0</v>
      </c>
      <c r="EK131" s="228">
        <f t="shared" si="31"/>
        <v>0</v>
      </c>
      <c r="EL131" s="230">
        <f>BS131+$BP131*TRP!$AN$246</f>
        <v>0</v>
      </c>
      <c r="EM131" s="228">
        <f t="shared" si="32"/>
        <v>0</v>
      </c>
      <c r="EN131" s="230">
        <f>BU131+$BP131*TRP!$AN$247</f>
        <v>0</v>
      </c>
    </row>
    <row r="132" spans="1:144" s="228" customFormat="1" ht="10.5" x14ac:dyDescent="0.25">
      <c r="A132" s="228" t="str">
        <f>TRP!C130</f>
        <v xml:space="preserve">GB01 </v>
      </c>
      <c r="B132" s="228" t="str">
        <f>TRP!B130</f>
        <v>INDUSTRIE DES VIANDES</v>
      </c>
      <c r="C132" s="233">
        <f>TRP!A130</f>
        <v>2</v>
      </c>
      <c r="D132" s="228">
        <f t="shared" ref="D132:BO132" si="35">D8</f>
        <v>0</v>
      </c>
      <c r="E132" s="228">
        <f t="shared" si="35"/>
        <v>0</v>
      </c>
      <c r="F132" s="228">
        <f t="shared" si="35"/>
        <v>0</v>
      </c>
      <c r="G132" s="228">
        <f t="shared" si="35"/>
        <v>3946</v>
      </c>
      <c r="H132" s="228">
        <f t="shared" si="35"/>
        <v>14</v>
      </c>
      <c r="I132" s="228">
        <f t="shared" si="35"/>
        <v>5</v>
      </c>
      <c r="J132" s="228">
        <f t="shared" si="35"/>
        <v>83</v>
      </c>
      <c r="K132" s="228">
        <f t="shared" si="35"/>
        <v>67</v>
      </c>
      <c r="L132" s="228">
        <f t="shared" si="35"/>
        <v>0</v>
      </c>
      <c r="M132" s="228">
        <f t="shared" si="35"/>
        <v>47</v>
      </c>
      <c r="N132" s="228">
        <f t="shared" si="35"/>
        <v>203</v>
      </c>
      <c r="O132" s="228">
        <f t="shared" si="35"/>
        <v>0</v>
      </c>
      <c r="P132" s="228">
        <f t="shared" si="35"/>
        <v>0</v>
      </c>
      <c r="Q132" s="228">
        <f t="shared" si="35"/>
        <v>103</v>
      </c>
      <c r="R132" s="228">
        <f t="shared" si="35"/>
        <v>28</v>
      </c>
      <c r="S132" s="228">
        <f t="shared" si="35"/>
        <v>0</v>
      </c>
      <c r="T132" s="228">
        <f t="shared" si="35"/>
        <v>1</v>
      </c>
      <c r="U132" s="228">
        <f t="shared" si="35"/>
        <v>0</v>
      </c>
      <c r="V132" s="228">
        <f t="shared" si="35"/>
        <v>0</v>
      </c>
      <c r="W132" s="228">
        <f t="shared" si="35"/>
        <v>0</v>
      </c>
      <c r="X132" s="228">
        <f t="shared" si="35"/>
        <v>0</v>
      </c>
      <c r="Y132" s="228">
        <f t="shared" si="35"/>
        <v>0</v>
      </c>
      <c r="Z132" s="228">
        <f t="shared" si="35"/>
        <v>0</v>
      </c>
      <c r="AA132" s="228">
        <f t="shared" si="35"/>
        <v>0</v>
      </c>
      <c r="AB132" s="228">
        <f t="shared" si="35"/>
        <v>0</v>
      </c>
      <c r="AC132" s="228">
        <f t="shared" si="35"/>
        <v>0</v>
      </c>
      <c r="AD132" s="228">
        <f t="shared" si="35"/>
        <v>0</v>
      </c>
      <c r="AE132" s="228">
        <f t="shared" si="35"/>
        <v>0</v>
      </c>
      <c r="AF132" s="228">
        <f t="shared" si="35"/>
        <v>0</v>
      </c>
      <c r="AG132" s="228">
        <f t="shared" si="35"/>
        <v>0</v>
      </c>
      <c r="AH132" s="228">
        <f t="shared" si="35"/>
        <v>0</v>
      </c>
      <c r="AI132" s="228">
        <f t="shared" si="35"/>
        <v>0</v>
      </c>
      <c r="AJ132" s="228">
        <f t="shared" si="35"/>
        <v>0</v>
      </c>
      <c r="AK132" s="228">
        <f t="shared" si="35"/>
        <v>0</v>
      </c>
      <c r="AL132" s="228">
        <f t="shared" si="35"/>
        <v>0</v>
      </c>
      <c r="AM132" s="228">
        <f t="shared" si="35"/>
        <v>0</v>
      </c>
      <c r="AN132" s="228">
        <f t="shared" si="35"/>
        <v>0</v>
      </c>
      <c r="AO132" s="228">
        <f t="shared" si="35"/>
        <v>0</v>
      </c>
      <c r="AP132" s="228">
        <f t="shared" si="35"/>
        <v>0</v>
      </c>
      <c r="AQ132" s="228">
        <f t="shared" si="35"/>
        <v>0</v>
      </c>
      <c r="AR132" s="228">
        <f t="shared" si="35"/>
        <v>0</v>
      </c>
      <c r="AS132" s="228">
        <f t="shared" si="35"/>
        <v>0</v>
      </c>
      <c r="AT132" s="228">
        <f t="shared" si="35"/>
        <v>0</v>
      </c>
      <c r="AU132" s="228">
        <f t="shared" si="35"/>
        <v>12</v>
      </c>
      <c r="AV132" s="228">
        <f t="shared" si="35"/>
        <v>0</v>
      </c>
      <c r="AW132" s="228">
        <f t="shared" si="35"/>
        <v>0</v>
      </c>
      <c r="AX132" s="228">
        <f t="shared" si="35"/>
        <v>0</v>
      </c>
      <c r="AY132" s="228">
        <f t="shared" si="35"/>
        <v>0</v>
      </c>
      <c r="AZ132" s="228">
        <f t="shared" si="35"/>
        <v>0</v>
      </c>
      <c r="BA132" s="228">
        <f t="shared" si="35"/>
        <v>0</v>
      </c>
      <c r="BB132" s="228">
        <f t="shared" si="35"/>
        <v>0</v>
      </c>
      <c r="BC132" s="228">
        <f t="shared" si="35"/>
        <v>0</v>
      </c>
      <c r="BD132" s="228">
        <f t="shared" si="35"/>
        <v>0</v>
      </c>
      <c r="BE132" s="228">
        <f t="shared" si="35"/>
        <v>1</v>
      </c>
      <c r="BF132" s="228">
        <f t="shared" si="35"/>
        <v>1</v>
      </c>
      <c r="BG132" s="228">
        <f t="shared" si="35"/>
        <v>1</v>
      </c>
      <c r="BH132" s="228">
        <f t="shared" si="35"/>
        <v>0</v>
      </c>
      <c r="BI132" s="228">
        <f t="shared" si="35"/>
        <v>0</v>
      </c>
      <c r="BJ132" s="228">
        <f t="shared" si="35"/>
        <v>1</v>
      </c>
      <c r="BK132" s="228">
        <f t="shared" si="35"/>
        <v>0</v>
      </c>
      <c r="BL132" s="228">
        <f t="shared" si="35"/>
        <v>0</v>
      </c>
      <c r="BM132" s="228">
        <f t="shared" si="35"/>
        <v>0</v>
      </c>
      <c r="BN132" s="228">
        <f t="shared" si="35"/>
        <v>0</v>
      </c>
      <c r="BO132" s="228">
        <f t="shared" si="35"/>
        <v>0</v>
      </c>
      <c r="BP132" s="228">
        <f t="shared" ref="BP132:DP132" si="36">BP8</f>
        <v>0</v>
      </c>
      <c r="BQ132" s="228">
        <f t="shared" si="36"/>
        <v>0</v>
      </c>
      <c r="BR132" s="228">
        <f t="shared" si="36"/>
        <v>0</v>
      </c>
      <c r="BS132" s="228">
        <f t="shared" si="36"/>
        <v>0</v>
      </c>
      <c r="BT132" s="228">
        <f t="shared" si="36"/>
        <v>0</v>
      </c>
      <c r="BU132" s="228">
        <f t="shared" si="36"/>
        <v>0</v>
      </c>
      <c r="BV132" s="228">
        <f t="shared" si="36"/>
        <v>0</v>
      </c>
      <c r="BW132" s="228">
        <f t="shared" si="36"/>
        <v>0</v>
      </c>
      <c r="BX132" s="228">
        <f t="shared" si="36"/>
        <v>0</v>
      </c>
      <c r="BY132" s="228">
        <f t="shared" si="36"/>
        <v>5</v>
      </c>
      <c r="BZ132" s="228">
        <f t="shared" si="36"/>
        <v>167</v>
      </c>
      <c r="CA132" s="228">
        <f t="shared" si="36"/>
        <v>117</v>
      </c>
      <c r="CB132" s="228">
        <f t="shared" si="36"/>
        <v>0</v>
      </c>
      <c r="CC132" s="228">
        <f t="shared" si="36"/>
        <v>1</v>
      </c>
      <c r="CD132" s="228">
        <f t="shared" si="36"/>
        <v>1</v>
      </c>
      <c r="CE132" s="228">
        <f t="shared" si="36"/>
        <v>16</v>
      </c>
      <c r="CF132" s="228">
        <f t="shared" si="36"/>
        <v>1</v>
      </c>
      <c r="CG132" s="228">
        <f t="shared" si="36"/>
        <v>2</v>
      </c>
      <c r="CH132" s="228">
        <f t="shared" si="36"/>
        <v>0</v>
      </c>
      <c r="CI132" s="228">
        <f t="shared" si="36"/>
        <v>7</v>
      </c>
      <c r="CJ132" s="228">
        <f t="shared" si="36"/>
        <v>7</v>
      </c>
      <c r="CK132" s="228">
        <f t="shared" si="36"/>
        <v>0</v>
      </c>
      <c r="CL132" s="228">
        <f t="shared" si="36"/>
        <v>1</v>
      </c>
      <c r="CM132" s="228">
        <f t="shared" si="36"/>
        <v>7</v>
      </c>
      <c r="CN132" s="228">
        <f t="shared" si="36"/>
        <v>14</v>
      </c>
      <c r="CO132" s="228">
        <f t="shared" si="36"/>
        <v>0</v>
      </c>
      <c r="CP132" s="228">
        <f t="shared" si="36"/>
        <v>0</v>
      </c>
      <c r="CQ132" s="228">
        <f t="shared" si="36"/>
        <v>0</v>
      </c>
      <c r="CR132" s="228">
        <f t="shared" si="36"/>
        <v>0</v>
      </c>
      <c r="CS132" s="228">
        <f t="shared" si="36"/>
        <v>0</v>
      </c>
      <c r="CT132" s="228">
        <f t="shared" si="36"/>
        <v>0</v>
      </c>
      <c r="CU132" s="228">
        <f t="shared" si="36"/>
        <v>0</v>
      </c>
      <c r="CV132" s="228">
        <f t="shared" si="36"/>
        <v>0</v>
      </c>
      <c r="CW132" s="228">
        <f t="shared" si="36"/>
        <v>37</v>
      </c>
      <c r="CX132" s="228">
        <f t="shared" si="36"/>
        <v>0</v>
      </c>
      <c r="CY132" s="228">
        <f t="shared" si="36"/>
        <v>2</v>
      </c>
      <c r="CZ132" s="228">
        <f t="shared" si="36"/>
        <v>0</v>
      </c>
      <c r="DA132" s="228">
        <f t="shared" si="36"/>
        <v>2535</v>
      </c>
      <c r="DB132" s="228">
        <f t="shared" si="36"/>
        <v>11</v>
      </c>
      <c r="DC132" s="228">
        <f t="shared" si="36"/>
        <v>8</v>
      </c>
      <c r="DD132" s="228">
        <f t="shared" si="36"/>
        <v>0</v>
      </c>
      <c r="DE132" s="228">
        <f t="shared" si="36"/>
        <v>0</v>
      </c>
      <c r="DF132" s="228">
        <f t="shared" si="36"/>
        <v>0</v>
      </c>
      <c r="DG132" s="228">
        <f t="shared" si="36"/>
        <v>420</v>
      </c>
      <c r="DH132" s="228">
        <f t="shared" si="36"/>
        <v>1303</v>
      </c>
      <c r="DI132" s="228">
        <f t="shared" si="36"/>
        <v>234</v>
      </c>
      <c r="DJ132" s="228">
        <f t="shared" si="36"/>
        <v>255</v>
      </c>
      <c r="DK132" s="228">
        <f t="shared" si="36"/>
        <v>2</v>
      </c>
      <c r="DL132" s="228">
        <f t="shared" si="36"/>
        <v>90</v>
      </c>
      <c r="DM132" s="228">
        <f t="shared" si="36"/>
        <v>0</v>
      </c>
      <c r="DN132" s="228">
        <f t="shared" si="36"/>
        <v>0</v>
      </c>
      <c r="DO132" s="228">
        <f t="shared" si="36"/>
        <v>3</v>
      </c>
      <c r="DP132" s="232">
        <f t="shared" si="36"/>
        <v>9759</v>
      </c>
      <c r="DQ132" s="228">
        <f t="shared" si="17"/>
        <v>0</v>
      </c>
      <c r="DR132" s="228">
        <f t="shared" si="18"/>
        <v>4115</v>
      </c>
      <c r="DS132" s="230">
        <f>SUM(X132:Y132)+(1-TRP!$AK$253)*AC132</f>
        <v>0</v>
      </c>
      <c r="DT132" s="228">
        <f t="shared" si="19"/>
        <v>0</v>
      </c>
      <c r="DU132" s="228">
        <f t="shared" si="20"/>
        <v>0</v>
      </c>
      <c r="DV132" s="228">
        <f t="shared" si="21"/>
        <v>0</v>
      </c>
      <c r="DW132" s="228">
        <f t="shared" si="22"/>
        <v>0</v>
      </c>
      <c r="DX132" s="228">
        <f t="shared" si="23"/>
        <v>0</v>
      </c>
      <c r="DY132" s="228">
        <f t="shared" si="24"/>
        <v>1</v>
      </c>
      <c r="DZ132" s="228">
        <f t="shared" si="25"/>
        <v>1</v>
      </c>
      <c r="EA132" s="228">
        <f t="shared" si="26"/>
        <v>0</v>
      </c>
      <c r="EB132" s="230">
        <f>TRP!$AK$253*$AC132+SUM(M132:W132,Z132:AB132,AD132:AR132,AU132:AX132,BC132:BE132,BI132:BN132,BQ132:BR132,BV132)</f>
        <v>396</v>
      </c>
      <c r="EC132" s="228">
        <f t="shared" si="27"/>
        <v>0</v>
      </c>
      <c r="ED132" s="230">
        <f>CB132+$CI132*TRP!$AV$248</f>
        <v>0.21702975176067185</v>
      </c>
      <c r="EE132" s="228">
        <f t="shared" si="28"/>
        <v>1</v>
      </c>
      <c r="EF132" s="230">
        <f>CD132+$CI132*TRP!$AV$249</f>
        <v>5.8523704905241978</v>
      </c>
      <c r="EG132" s="230">
        <f>CE132+$CI132*TRP!$AV$250</f>
        <v>17.415354290290125</v>
      </c>
      <c r="EH132" s="230">
        <f>CF132+$CI132*TRP!$AV$251</f>
        <v>1.5152454674250047</v>
      </c>
      <c r="EI132" s="228">
        <f t="shared" si="29"/>
        <v>3659</v>
      </c>
      <c r="EJ132" s="228">
        <f t="shared" si="30"/>
        <v>1561</v>
      </c>
      <c r="EK132" s="228">
        <f t="shared" si="31"/>
        <v>0</v>
      </c>
      <c r="EL132" s="230">
        <f>BS132+$BP132*TRP!$AN$246</f>
        <v>0</v>
      </c>
      <c r="EM132" s="228">
        <f t="shared" si="32"/>
        <v>0</v>
      </c>
      <c r="EN132" s="230">
        <f>BU132+$BP132*TRP!$AN$247</f>
        <v>0</v>
      </c>
    </row>
    <row r="133" spans="1:144" s="228" customFormat="1" ht="10.5" x14ac:dyDescent="0.25">
      <c r="A133" s="228" t="str">
        <f>TRP!C131</f>
        <v xml:space="preserve">GB02 </v>
      </c>
      <c r="B133" s="228" t="str">
        <f>TRP!B131</f>
        <v>INDUSTRIE DU LAIT</v>
      </c>
      <c r="C133" s="233">
        <f>TRP!A131</f>
        <v>2</v>
      </c>
      <c r="D133" s="228">
        <f t="shared" ref="D133:BO133" si="37">D9</f>
        <v>0</v>
      </c>
      <c r="E133" s="228">
        <f t="shared" si="37"/>
        <v>0</v>
      </c>
      <c r="F133" s="228">
        <f t="shared" si="37"/>
        <v>0</v>
      </c>
      <c r="G133" s="228">
        <f t="shared" si="37"/>
        <v>295</v>
      </c>
      <c r="H133" s="228">
        <f t="shared" si="37"/>
        <v>2656</v>
      </c>
      <c r="I133" s="228">
        <f t="shared" si="37"/>
        <v>236</v>
      </c>
      <c r="J133" s="228">
        <f t="shared" si="37"/>
        <v>356</v>
      </c>
      <c r="K133" s="228">
        <f t="shared" si="37"/>
        <v>1423</v>
      </c>
      <c r="L133" s="228">
        <f t="shared" si="37"/>
        <v>0</v>
      </c>
      <c r="M133" s="228">
        <f t="shared" si="37"/>
        <v>0</v>
      </c>
      <c r="N133" s="228">
        <f t="shared" si="37"/>
        <v>0</v>
      </c>
      <c r="O133" s="228">
        <f t="shared" si="37"/>
        <v>0</v>
      </c>
      <c r="P133" s="228">
        <f t="shared" si="37"/>
        <v>0</v>
      </c>
      <c r="Q133" s="228">
        <f t="shared" si="37"/>
        <v>0</v>
      </c>
      <c r="R133" s="228">
        <f t="shared" si="37"/>
        <v>0</v>
      </c>
      <c r="S133" s="228">
        <f t="shared" si="37"/>
        <v>0</v>
      </c>
      <c r="T133" s="228">
        <f t="shared" si="37"/>
        <v>0</v>
      </c>
      <c r="U133" s="228">
        <f t="shared" si="37"/>
        <v>0</v>
      </c>
      <c r="V133" s="228">
        <f t="shared" si="37"/>
        <v>0</v>
      </c>
      <c r="W133" s="228">
        <f t="shared" si="37"/>
        <v>0</v>
      </c>
      <c r="X133" s="228">
        <f t="shared" si="37"/>
        <v>0</v>
      </c>
      <c r="Y133" s="228">
        <f t="shared" si="37"/>
        <v>0</v>
      </c>
      <c r="Z133" s="228">
        <f t="shared" si="37"/>
        <v>0</v>
      </c>
      <c r="AA133" s="228">
        <f t="shared" si="37"/>
        <v>0</v>
      </c>
      <c r="AB133" s="228">
        <f t="shared" si="37"/>
        <v>0</v>
      </c>
      <c r="AC133" s="228">
        <f t="shared" si="37"/>
        <v>0</v>
      </c>
      <c r="AD133" s="228">
        <f t="shared" si="37"/>
        <v>0</v>
      </c>
      <c r="AE133" s="228">
        <f t="shared" si="37"/>
        <v>0</v>
      </c>
      <c r="AF133" s="228">
        <f t="shared" si="37"/>
        <v>0</v>
      </c>
      <c r="AG133" s="228">
        <f t="shared" si="37"/>
        <v>0</v>
      </c>
      <c r="AH133" s="228">
        <f t="shared" si="37"/>
        <v>0</v>
      </c>
      <c r="AI133" s="228">
        <f t="shared" si="37"/>
        <v>0</v>
      </c>
      <c r="AJ133" s="228">
        <f t="shared" si="37"/>
        <v>0</v>
      </c>
      <c r="AK133" s="228">
        <f t="shared" si="37"/>
        <v>0</v>
      </c>
      <c r="AL133" s="228">
        <f t="shared" si="37"/>
        <v>0</v>
      </c>
      <c r="AM133" s="228">
        <f t="shared" si="37"/>
        <v>0</v>
      </c>
      <c r="AN133" s="228">
        <f t="shared" si="37"/>
        <v>0</v>
      </c>
      <c r="AO133" s="228">
        <f t="shared" si="37"/>
        <v>0</v>
      </c>
      <c r="AP133" s="228">
        <f t="shared" si="37"/>
        <v>0</v>
      </c>
      <c r="AQ133" s="228">
        <f t="shared" si="37"/>
        <v>0</v>
      </c>
      <c r="AR133" s="228">
        <f t="shared" si="37"/>
        <v>0</v>
      </c>
      <c r="AS133" s="228">
        <f t="shared" si="37"/>
        <v>0</v>
      </c>
      <c r="AT133" s="228">
        <f t="shared" si="37"/>
        <v>0</v>
      </c>
      <c r="AU133" s="228">
        <f t="shared" si="37"/>
        <v>0</v>
      </c>
      <c r="AV133" s="228">
        <f t="shared" si="37"/>
        <v>0</v>
      </c>
      <c r="AW133" s="228">
        <f t="shared" si="37"/>
        <v>0</v>
      </c>
      <c r="AX133" s="228">
        <f t="shared" si="37"/>
        <v>0</v>
      </c>
      <c r="AY133" s="228">
        <f t="shared" si="37"/>
        <v>0</v>
      </c>
      <c r="AZ133" s="228">
        <f t="shared" si="37"/>
        <v>0</v>
      </c>
      <c r="BA133" s="228">
        <f t="shared" si="37"/>
        <v>0</v>
      </c>
      <c r="BB133" s="228">
        <f t="shared" si="37"/>
        <v>0</v>
      </c>
      <c r="BC133" s="228">
        <f t="shared" si="37"/>
        <v>0</v>
      </c>
      <c r="BD133" s="228">
        <f t="shared" si="37"/>
        <v>0</v>
      </c>
      <c r="BE133" s="228">
        <f t="shared" si="37"/>
        <v>0</v>
      </c>
      <c r="BF133" s="228">
        <f t="shared" si="37"/>
        <v>0</v>
      </c>
      <c r="BG133" s="228">
        <f t="shared" si="37"/>
        <v>0</v>
      </c>
      <c r="BH133" s="228">
        <f t="shared" si="37"/>
        <v>0</v>
      </c>
      <c r="BI133" s="228">
        <f t="shared" si="37"/>
        <v>0</v>
      </c>
      <c r="BJ133" s="228">
        <f t="shared" si="37"/>
        <v>0</v>
      </c>
      <c r="BK133" s="228">
        <f t="shared" si="37"/>
        <v>0</v>
      </c>
      <c r="BL133" s="228">
        <f t="shared" si="37"/>
        <v>0</v>
      </c>
      <c r="BM133" s="228">
        <f t="shared" si="37"/>
        <v>0</v>
      </c>
      <c r="BN133" s="228">
        <f t="shared" si="37"/>
        <v>0</v>
      </c>
      <c r="BO133" s="228">
        <f t="shared" si="37"/>
        <v>0</v>
      </c>
      <c r="BP133" s="228">
        <f t="shared" ref="BP133:DP133" si="38">BP9</f>
        <v>0</v>
      </c>
      <c r="BQ133" s="228">
        <f t="shared" si="38"/>
        <v>0</v>
      </c>
      <c r="BR133" s="228">
        <f t="shared" si="38"/>
        <v>0</v>
      </c>
      <c r="BS133" s="228">
        <f t="shared" si="38"/>
        <v>0</v>
      </c>
      <c r="BT133" s="228">
        <f t="shared" si="38"/>
        <v>0</v>
      </c>
      <c r="BU133" s="228">
        <f t="shared" si="38"/>
        <v>0</v>
      </c>
      <c r="BV133" s="228">
        <f t="shared" si="38"/>
        <v>0</v>
      </c>
      <c r="BW133" s="228">
        <f t="shared" si="38"/>
        <v>0</v>
      </c>
      <c r="BX133" s="228">
        <f t="shared" si="38"/>
        <v>0</v>
      </c>
      <c r="BY133" s="228">
        <f t="shared" si="38"/>
        <v>37</v>
      </c>
      <c r="BZ133" s="228">
        <f t="shared" si="38"/>
        <v>111</v>
      </c>
      <c r="CA133" s="228">
        <f t="shared" si="38"/>
        <v>104</v>
      </c>
      <c r="CB133" s="228">
        <f t="shared" si="38"/>
        <v>0</v>
      </c>
      <c r="CC133" s="228">
        <f t="shared" si="38"/>
        <v>9</v>
      </c>
      <c r="CD133" s="228">
        <f t="shared" si="38"/>
        <v>10</v>
      </c>
      <c r="CE133" s="228">
        <f t="shared" si="38"/>
        <v>2</v>
      </c>
      <c r="CF133" s="228">
        <f t="shared" si="38"/>
        <v>58</v>
      </c>
      <c r="CG133" s="228">
        <f t="shared" si="38"/>
        <v>2</v>
      </c>
      <c r="CH133" s="228">
        <f t="shared" si="38"/>
        <v>0</v>
      </c>
      <c r="CI133" s="228">
        <f t="shared" si="38"/>
        <v>2</v>
      </c>
      <c r="CJ133" s="228">
        <f t="shared" si="38"/>
        <v>3</v>
      </c>
      <c r="CK133" s="228">
        <f t="shared" si="38"/>
        <v>0</v>
      </c>
      <c r="CL133" s="228">
        <f t="shared" si="38"/>
        <v>1</v>
      </c>
      <c r="CM133" s="228">
        <f t="shared" si="38"/>
        <v>4</v>
      </c>
      <c r="CN133" s="228">
        <f t="shared" si="38"/>
        <v>3</v>
      </c>
      <c r="CO133" s="228">
        <f t="shared" si="38"/>
        <v>47</v>
      </c>
      <c r="CP133" s="228">
        <f t="shared" si="38"/>
        <v>16</v>
      </c>
      <c r="CQ133" s="228">
        <f t="shared" si="38"/>
        <v>16</v>
      </c>
      <c r="CR133" s="228">
        <f t="shared" si="38"/>
        <v>16</v>
      </c>
      <c r="CS133" s="228">
        <f t="shared" si="38"/>
        <v>10</v>
      </c>
      <c r="CT133" s="228">
        <f t="shared" si="38"/>
        <v>15</v>
      </c>
      <c r="CU133" s="228">
        <f t="shared" si="38"/>
        <v>15</v>
      </c>
      <c r="CV133" s="228">
        <f t="shared" si="38"/>
        <v>17</v>
      </c>
      <c r="CW133" s="228">
        <f t="shared" si="38"/>
        <v>91</v>
      </c>
      <c r="CX133" s="228">
        <f t="shared" si="38"/>
        <v>1</v>
      </c>
      <c r="CY133" s="228">
        <f t="shared" si="38"/>
        <v>9</v>
      </c>
      <c r="CZ133" s="228">
        <f t="shared" si="38"/>
        <v>0</v>
      </c>
      <c r="DA133" s="228">
        <f t="shared" si="38"/>
        <v>1973</v>
      </c>
      <c r="DB133" s="228">
        <f t="shared" si="38"/>
        <v>14</v>
      </c>
      <c r="DC133" s="228">
        <f t="shared" si="38"/>
        <v>7</v>
      </c>
      <c r="DD133" s="228">
        <f t="shared" si="38"/>
        <v>0</v>
      </c>
      <c r="DE133" s="228">
        <f t="shared" si="38"/>
        <v>12</v>
      </c>
      <c r="DF133" s="228">
        <f t="shared" si="38"/>
        <v>0</v>
      </c>
      <c r="DG133" s="228">
        <f t="shared" si="38"/>
        <v>351</v>
      </c>
      <c r="DH133" s="228">
        <f t="shared" si="38"/>
        <v>0</v>
      </c>
      <c r="DI133" s="228">
        <f t="shared" si="38"/>
        <v>307</v>
      </c>
      <c r="DJ133" s="228">
        <f t="shared" si="38"/>
        <v>132</v>
      </c>
      <c r="DK133" s="228">
        <f t="shared" si="38"/>
        <v>4</v>
      </c>
      <c r="DL133" s="228">
        <f t="shared" si="38"/>
        <v>150</v>
      </c>
      <c r="DM133" s="228">
        <f t="shared" si="38"/>
        <v>0</v>
      </c>
      <c r="DN133" s="228">
        <f t="shared" si="38"/>
        <v>0</v>
      </c>
      <c r="DO133" s="228">
        <f t="shared" si="38"/>
        <v>0</v>
      </c>
      <c r="DP133" s="232">
        <f t="shared" si="38"/>
        <v>8515</v>
      </c>
      <c r="DQ133" s="228">
        <f t="shared" si="17"/>
        <v>0</v>
      </c>
      <c r="DR133" s="228">
        <f t="shared" si="18"/>
        <v>4966</v>
      </c>
      <c r="DS133" s="230">
        <f>SUM(X133:Y133)+(1-TRP!$AK$253)*AC133</f>
        <v>0</v>
      </c>
      <c r="DT133" s="228">
        <f t="shared" si="19"/>
        <v>0</v>
      </c>
      <c r="DU133" s="228">
        <f t="shared" si="20"/>
        <v>0</v>
      </c>
      <c r="DV133" s="228">
        <f t="shared" si="21"/>
        <v>0</v>
      </c>
      <c r="DW133" s="228">
        <f t="shared" si="22"/>
        <v>0</v>
      </c>
      <c r="DX133" s="228">
        <f t="shared" si="23"/>
        <v>0</v>
      </c>
      <c r="DY133" s="228">
        <f t="shared" si="24"/>
        <v>0</v>
      </c>
      <c r="DZ133" s="228">
        <f t="shared" si="25"/>
        <v>0</v>
      </c>
      <c r="EA133" s="228">
        <f t="shared" si="26"/>
        <v>0</v>
      </c>
      <c r="EB133" s="230">
        <f>TRP!$AK$253*$AC133+SUM(M133:W133,Z133:AB133,AD133:AR133,AU133:AX133,BC133:BE133,BI133:BN133,BQ133:BR133,BV133)</f>
        <v>0</v>
      </c>
      <c r="EC133" s="228">
        <f t="shared" si="27"/>
        <v>0</v>
      </c>
      <c r="ED133" s="230">
        <f>CB133+$CI133*TRP!$AV$248</f>
        <v>6.2008500503049097E-2</v>
      </c>
      <c r="EE133" s="228">
        <f t="shared" si="28"/>
        <v>9</v>
      </c>
      <c r="EF133" s="230">
        <f>CD133+$CI133*TRP!$AV$249</f>
        <v>11.3863915687212</v>
      </c>
      <c r="EG133" s="230">
        <f>CE133+$CI133*TRP!$AV$250</f>
        <v>2.404386940082893</v>
      </c>
      <c r="EH133" s="230">
        <f>CF133+$CI133*TRP!$AV$251</f>
        <v>58.147212990692857</v>
      </c>
      <c r="EI133" s="228">
        <f t="shared" si="29"/>
        <v>3336</v>
      </c>
      <c r="EJ133" s="228">
        <f t="shared" si="30"/>
        <v>132</v>
      </c>
      <c r="EK133" s="228">
        <f t="shared" si="31"/>
        <v>0</v>
      </c>
      <c r="EL133" s="230">
        <f>BS133+$BP133*TRP!$AN$246</f>
        <v>0</v>
      </c>
      <c r="EM133" s="228">
        <f t="shared" si="32"/>
        <v>0</v>
      </c>
      <c r="EN133" s="230">
        <f>BU133+$BP133*TRP!$AN$247</f>
        <v>0</v>
      </c>
    </row>
    <row r="134" spans="1:144" s="228" customFormat="1" ht="10.5" x14ac:dyDescent="0.25">
      <c r="A134" s="228" t="str">
        <f>TRP!C132</f>
        <v xml:space="preserve">GB03 </v>
      </c>
      <c r="B134" s="228" t="str">
        <f>TRP!B132</f>
        <v>INDUSTRIE DES BOISSONS</v>
      </c>
      <c r="C134" s="233">
        <f>TRP!A132</f>
        <v>2</v>
      </c>
      <c r="D134" s="228">
        <f t="shared" ref="D134:BO134" si="39">D10</f>
        <v>22</v>
      </c>
      <c r="E134" s="228">
        <f t="shared" si="39"/>
        <v>0</v>
      </c>
      <c r="F134" s="228">
        <f t="shared" si="39"/>
        <v>0</v>
      </c>
      <c r="G134" s="228">
        <f t="shared" si="39"/>
        <v>34</v>
      </c>
      <c r="H134" s="228">
        <f t="shared" si="39"/>
        <v>537</v>
      </c>
      <c r="I134" s="228">
        <f t="shared" si="39"/>
        <v>3563</v>
      </c>
      <c r="J134" s="228">
        <f t="shared" si="39"/>
        <v>58</v>
      </c>
      <c r="K134" s="228">
        <f t="shared" si="39"/>
        <v>371</v>
      </c>
      <c r="L134" s="228">
        <f t="shared" si="39"/>
        <v>1</v>
      </c>
      <c r="M134" s="228">
        <f t="shared" si="39"/>
        <v>9</v>
      </c>
      <c r="N134" s="228">
        <f t="shared" si="39"/>
        <v>2</v>
      </c>
      <c r="O134" s="228">
        <f t="shared" si="39"/>
        <v>26</v>
      </c>
      <c r="P134" s="228">
        <f t="shared" si="39"/>
        <v>119</v>
      </c>
      <c r="Q134" s="228">
        <f t="shared" si="39"/>
        <v>60</v>
      </c>
      <c r="R134" s="228">
        <f t="shared" si="39"/>
        <v>4</v>
      </c>
      <c r="S134" s="228">
        <f t="shared" si="39"/>
        <v>0</v>
      </c>
      <c r="T134" s="228">
        <f t="shared" si="39"/>
        <v>1</v>
      </c>
      <c r="U134" s="228">
        <f t="shared" si="39"/>
        <v>1</v>
      </c>
      <c r="V134" s="228">
        <f t="shared" si="39"/>
        <v>1</v>
      </c>
      <c r="W134" s="228">
        <f t="shared" si="39"/>
        <v>1</v>
      </c>
      <c r="X134" s="228">
        <f t="shared" si="39"/>
        <v>23</v>
      </c>
      <c r="Y134" s="228">
        <f t="shared" si="39"/>
        <v>9</v>
      </c>
      <c r="Z134" s="228">
        <f t="shared" si="39"/>
        <v>1</v>
      </c>
      <c r="AA134" s="228">
        <f t="shared" si="39"/>
        <v>0</v>
      </c>
      <c r="AB134" s="228">
        <f t="shared" si="39"/>
        <v>12</v>
      </c>
      <c r="AC134" s="228">
        <f t="shared" si="39"/>
        <v>1</v>
      </c>
      <c r="AD134" s="228">
        <f t="shared" si="39"/>
        <v>1</v>
      </c>
      <c r="AE134" s="228">
        <f t="shared" si="39"/>
        <v>3</v>
      </c>
      <c r="AF134" s="228">
        <f t="shared" si="39"/>
        <v>10</v>
      </c>
      <c r="AG134" s="228">
        <f t="shared" si="39"/>
        <v>6</v>
      </c>
      <c r="AH134" s="228">
        <f t="shared" si="39"/>
        <v>2</v>
      </c>
      <c r="AI134" s="228">
        <f t="shared" si="39"/>
        <v>2</v>
      </c>
      <c r="AJ134" s="228">
        <f t="shared" si="39"/>
        <v>6</v>
      </c>
      <c r="AK134" s="228">
        <f t="shared" si="39"/>
        <v>1</v>
      </c>
      <c r="AL134" s="228">
        <f t="shared" si="39"/>
        <v>2</v>
      </c>
      <c r="AM134" s="228">
        <f t="shared" si="39"/>
        <v>2</v>
      </c>
      <c r="AN134" s="228">
        <f t="shared" si="39"/>
        <v>19</v>
      </c>
      <c r="AO134" s="228">
        <f t="shared" si="39"/>
        <v>1</v>
      </c>
      <c r="AP134" s="228">
        <f t="shared" si="39"/>
        <v>27</v>
      </c>
      <c r="AQ134" s="228">
        <f t="shared" si="39"/>
        <v>0</v>
      </c>
      <c r="AR134" s="228">
        <f t="shared" si="39"/>
        <v>6</v>
      </c>
      <c r="AS134" s="228">
        <f t="shared" si="39"/>
        <v>1</v>
      </c>
      <c r="AT134" s="228">
        <f t="shared" si="39"/>
        <v>3</v>
      </c>
      <c r="AU134" s="228">
        <f t="shared" si="39"/>
        <v>7</v>
      </c>
      <c r="AV134" s="228">
        <f t="shared" si="39"/>
        <v>1</v>
      </c>
      <c r="AW134" s="228">
        <f t="shared" si="39"/>
        <v>2</v>
      </c>
      <c r="AX134" s="228">
        <f t="shared" si="39"/>
        <v>2</v>
      </c>
      <c r="AY134" s="228">
        <f t="shared" si="39"/>
        <v>43</v>
      </c>
      <c r="AZ134" s="228">
        <f t="shared" si="39"/>
        <v>7</v>
      </c>
      <c r="BA134" s="228">
        <f t="shared" si="39"/>
        <v>0</v>
      </c>
      <c r="BB134" s="228">
        <f t="shared" si="39"/>
        <v>25</v>
      </c>
      <c r="BC134" s="228">
        <f t="shared" si="39"/>
        <v>8</v>
      </c>
      <c r="BD134" s="228">
        <f t="shared" si="39"/>
        <v>0</v>
      </c>
      <c r="BE134" s="228">
        <f t="shared" si="39"/>
        <v>11</v>
      </c>
      <c r="BF134" s="228">
        <f t="shared" si="39"/>
        <v>20</v>
      </c>
      <c r="BG134" s="228">
        <f t="shared" si="39"/>
        <v>15</v>
      </c>
      <c r="BH134" s="228">
        <f t="shared" si="39"/>
        <v>8</v>
      </c>
      <c r="BI134" s="228">
        <f t="shared" si="39"/>
        <v>9</v>
      </c>
      <c r="BJ134" s="228">
        <f t="shared" si="39"/>
        <v>10</v>
      </c>
      <c r="BK134" s="228">
        <f t="shared" si="39"/>
        <v>9</v>
      </c>
      <c r="BL134" s="228">
        <f t="shared" si="39"/>
        <v>14</v>
      </c>
      <c r="BM134" s="228">
        <f t="shared" si="39"/>
        <v>9</v>
      </c>
      <c r="BN134" s="228">
        <f t="shared" si="39"/>
        <v>14</v>
      </c>
      <c r="BO134" s="228">
        <f t="shared" si="39"/>
        <v>0</v>
      </c>
      <c r="BP134" s="228">
        <f t="shared" ref="BP134:DP134" si="40">BP10</f>
        <v>0</v>
      </c>
      <c r="BQ134" s="228">
        <f t="shared" si="40"/>
        <v>0</v>
      </c>
      <c r="BR134" s="228">
        <f t="shared" si="40"/>
        <v>0</v>
      </c>
      <c r="BS134" s="228">
        <f t="shared" si="40"/>
        <v>19</v>
      </c>
      <c r="BT134" s="228">
        <f t="shared" si="40"/>
        <v>7</v>
      </c>
      <c r="BU134" s="228">
        <f t="shared" si="40"/>
        <v>4</v>
      </c>
      <c r="BV134" s="228">
        <f t="shared" si="40"/>
        <v>6</v>
      </c>
      <c r="BW134" s="228">
        <f t="shared" si="40"/>
        <v>86</v>
      </c>
      <c r="BX134" s="228">
        <f t="shared" si="40"/>
        <v>27</v>
      </c>
      <c r="BY134" s="228">
        <f t="shared" si="40"/>
        <v>43</v>
      </c>
      <c r="BZ134" s="228">
        <f t="shared" si="40"/>
        <v>90</v>
      </c>
      <c r="CA134" s="228">
        <f t="shared" si="40"/>
        <v>88</v>
      </c>
      <c r="CB134" s="228">
        <f t="shared" si="40"/>
        <v>3</v>
      </c>
      <c r="CC134" s="228">
        <f t="shared" si="40"/>
        <v>6</v>
      </c>
      <c r="CD134" s="228">
        <f t="shared" si="40"/>
        <v>29</v>
      </c>
      <c r="CE134" s="228">
        <f t="shared" si="40"/>
        <v>18</v>
      </c>
      <c r="CF134" s="228">
        <f t="shared" si="40"/>
        <v>67</v>
      </c>
      <c r="CG134" s="228">
        <f t="shared" si="40"/>
        <v>19</v>
      </c>
      <c r="CH134" s="228">
        <f t="shared" si="40"/>
        <v>2</v>
      </c>
      <c r="CI134" s="228">
        <f t="shared" si="40"/>
        <v>19</v>
      </c>
      <c r="CJ134" s="228">
        <f t="shared" si="40"/>
        <v>3</v>
      </c>
      <c r="CK134" s="228">
        <f t="shared" si="40"/>
        <v>0</v>
      </c>
      <c r="CL134" s="228">
        <f t="shared" si="40"/>
        <v>1</v>
      </c>
      <c r="CM134" s="228">
        <f t="shared" si="40"/>
        <v>11</v>
      </c>
      <c r="CN134" s="228">
        <f t="shared" si="40"/>
        <v>10</v>
      </c>
      <c r="CO134" s="228">
        <f t="shared" si="40"/>
        <v>34</v>
      </c>
      <c r="CP134" s="228">
        <f t="shared" si="40"/>
        <v>33</v>
      </c>
      <c r="CQ134" s="228">
        <f t="shared" si="40"/>
        <v>33</v>
      </c>
      <c r="CR134" s="228">
        <f t="shared" si="40"/>
        <v>31</v>
      </c>
      <c r="CS134" s="228">
        <f t="shared" si="40"/>
        <v>44</v>
      </c>
      <c r="CT134" s="228">
        <f t="shared" si="40"/>
        <v>40</v>
      </c>
      <c r="CU134" s="228">
        <f t="shared" si="40"/>
        <v>20</v>
      </c>
      <c r="CV134" s="228">
        <f t="shared" si="40"/>
        <v>18</v>
      </c>
      <c r="CW134" s="228">
        <f t="shared" si="40"/>
        <v>140</v>
      </c>
      <c r="CX134" s="228">
        <f t="shared" si="40"/>
        <v>1</v>
      </c>
      <c r="CY134" s="228">
        <f t="shared" si="40"/>
        <v>80</v>
      </c>
      <c r="CZ134" s="228">
        <f t="shared" si="40"/>
        <v>0</v>
      </c>
      <c r="DA134" s="228">
        <f t="shared" si="40"/>
        <v>5528</v>
      </c>
      <c r="DB134" s="228">
        <f t="shared" si="40"/>
        <v>35</v>
      </c>
      <c r="DC134" s="228">
        <f t="shared" si="40"/>
        <v>157</v>
      </c>
      <c r="DD134" s="228">
        <f t="shared" si="40"/>
        <v>0</v>
      </c>
      <c r="DE134" s="228">
        <f t="shared" si="40"/>
        <v>24</v>
      </c>
      <c r="DF134" s="228">
        <f t="shared" si="40"/>
        <v>0</v>
      </c>
      <c r="DG134" s="228">
        <f t="shared" si="40"/>
        <v>183</v>
      </c>
      <c r="DH134" s="228">
        <f t="shared" si="40"/>
        <v>0</v>
      </c>
      <c r="DI134" s="228">
        <f t="shared" si="40"/>
        <v>228</v>
      </c>
      <c r="DJ134" s="228">
        <f t="shared" si="40"/>
        <v>115</v>
      </c>
      <c r="DK134" s="228">
        <f t="shared" si="40"/>
        <v>2</v>
      </c>
      <c r="DL134" s="228">
        <f t="shared" si="40"/>
        <v>114</v>
      </c>
      <c r="DM134" s="228">
        <f t="shared" si="40"/>
        <v>0</v>
      </c>
      <c r="DN134" s="228">
        <f t="shared" si="40"/>
        <v>0</v>
      </c>
      <c r="DO134" s="228">
        <f t="shared" si="40"/>
        <v>0</v>
      </c>
      <c r="DP134" s="232">
        <f t="shared" si="40"/>
        <v>12580</v>
      </c>
      <c r="DQ134" s="228">
        <f t="shared" si="17"/>
        <v>22</v>
      </c>
      <c r="DR134" s="228">
        <f t="shared" si="18"/>
        <v>4564</v>
      </c>
      <c r="DS134" s="230">
        <f>SUM(X134:Y134)+(1-TRP!$AK$253)*AC134</f>
        <v>32.700000000000003</v>
      </c>
      <c r="DT134" s="228">
        <f t="shared" si="19"/>
        <v>1</v>
      </c>
      <c r="DU134" s="228">
        <f t="shared" si="20"/>
        <v>3</v>
      </c>
      <c r="DV134" s="228">
        <f t="shared" si="21"/>
        <v>50</v>
      </c>
      <c r="DW134" s="228">
        <f t="shared" si="22"/>
        <v>0</v>
      </c>
      <c r="DX134" s="228">
        <f t="shared" si="23"/>
        <v>25</v>
      </c>
      <c r="DY134" s="228">
        <f t="shared" si="24"/>
        <v>20</v>
      </c>
      <c r="DZ134" s="228">
        <f t="shared" si="25"/>
        <v>15</v>
      </c>
      <c r="EA134" s="228">
        <f t="shared" si="26"/>
        <v>8</v>
      </c>
      <c r="EB134" s="230">
        <f>TRP!$AK$253*$AC134+SUM(M134:W134,Z134:AB134,AD134:AR134,AU134:AX134,BC134:BE134,BI134:BN134,BQ134:BR134,BV134)</f>
        <v>427.3</v>
      </c>
      <c r="EC134" s="228">
        <f t="shared" si="27"/>
        <v>113</v>
      </c>
      <c r="ED134" s="230">
        <f>CB134+$CI134*TRP!$AV$248</f>
        <v>3.5890807547789665</v>
      </c>
      <c r="EE134" s="228">
        <f t="shared" si="28"/>
        <v>6</v>
      </c>
      <c r="EF134" s="230">
        <f>CD134+$CI134*TRP!$AV$249</f>
        <v>42.170719902851395</v>
      </c>
      <c r="EG134" s="230">
        <f>CE134+$CI134*TRP!$AV$250</f>
        <v>21.841675930787485</v>
      </c>
      <c r="EH134" s="230">
        <f>CF134+$CI134*TRP!$AV$251</f>
        <v>68.398523411582161</v>
      </c>
      <c r="EI134" s="228">
        <f t="shared" si="29"/>
        <v>7012</v>
      </c>
      <c r="EJ134" s="228">
        <f t="shared" si="30"/>
        <v>115</v>
      </c>
      <c r="EK134" s="228">
        <f t="shared" si="31"/>
        <v>0</v>
      </c>
      <c r="EL134" s="230">
        <f>BS134+$BP134*TRP!$AN$246</f>
        <v>19</v>
      </c>
      <c r="EM134" s="228">
        <f t="shared" si="32"/>
        <v>7</v>
      </c>
      <c r="EN134" s="230">
        <f>BU134+$BP134*TRP!$AN$247</f>
        <v>4</v>
      </c>
    </row>
    <row r="135" spans="1:144" s="228" customFormat="1" ht="10.5" x14ac:dyDescent="0.25">
      <c r="A135" s="228" t="str">
        <f>TRP!C133</f>
        <v xml:space="preserve">GB04 </v>
      </c>
      <c r="B135" s="228" t="str">
        <f>TRP!B133</f>
        <v>TRAVAIL DU GRAIN: FABRICATION D ALIMENTS</v>
      </c>
      <c r="C135" s="233">
        <f>TRP!A133</f>
        <v>2</v>
      </c>
      <c r="D135" s="228">
        <f t="shared" ref="D135:BO135" si="41">D11</f>
        <v>5896</v>
      </c>
      <c r="E135" s="228">
        <f t="shared" si="41"/>
        <v>0</v>
      </c>
      <c r="F135" s="228">
        <f t="shared" si="41"/>
        <v>0</v>
      </c>
      <c r="G135" s="228">
        <f t="shared" si="41"/>
        <v>173</v>
      </c>
      <c r="H135" s="228">
        <f t="shared" si="41"/>
        <v>69</v>
      </c>
      <c r="I135" s="228">
        <f t="shared" si="41"/>
        <v>34</v>
      </c>
      <c r="J135" s="228">
        <f t="shared" si="41"/>
        <v>1640</v>
      </c>
      <c r="K135" s="228">
        <f t="shared" si="41"/>
        <v>2037</v>
      </c>
      <c r="L135" s="228">
        <f t="shared" si="41"/>
        <v>0</v>
      </c>
      <c r="M135" s="228">
        <f t="shared" si="41"/>
        <v>0</v>
      </c>
      <c r="N135" s="228">
        <f t="shared" si="41"/>
        <v>0</v>
      </c>
      <c r="O135" s="228">
        <f t="shared" si="41"/>
        <v>0</v>
      </c>
      <c r="P135" s="228">
        <f t="shared" si="41"/>
        <v>389</v>
      </c>
      <c r="Q135" s="228">
        <f t="shared" si="41"/>
        <v>248</v>
      </c>
      <c r="R135" s="228">
        <f t="shared" si="41"/>
        <v>0</v>
      </c>
      <c r="S135" s="228">
        <f t="shared" si="41"/>
        <v>0</v>
      </c>
      <c r="T135" s="228">
        <f t="shared" si="41"/>
        <v>1</v>
      </c>
      <c r="U135" s="228">
        <f t="shared" si="41"/>
        <v>0</v>
      </c>
      <c r="V135" s="228">
        <f t="shared" si="41"/>
        <v>0</v>
      </c>
      <c r="W135" s="228">
        <f t="shared" si="41"/>
        <v>0</v>
      </c>
      <c r="X135" s="228">
        <f t="shared" si="41"/>
        <v>0</v>
      </c>
      <c r="Y135" s="228">
        <f t="shared" si="41"/>
        <v>0</v>
      </c>
      <c r="Z135" s="228">
        <f t="shared" si="41"/>
        <v>0</v>
      </c>
      <c r="AA135" s="228">
        <f t="shared" si="41"/>
        <v>0</v>
      </c>
      <c r="AB135" s="228">
        <f t="shared" si="41"/>
        <v>0</v>
      </c>
      <c r="AC135" s="228">
        <f t="shared" si="41"/>
        <v>0</v>
      </c>
      <c r="AD135" s="228">
        <f t="shared" si="41"/>
        <v>0</v>
      </c>
      <c r="AE135" s="228">
        <f t="shared" si="41"/>
        <v>0</v>
      </c>
      <c r="AF135" s="228">
        <f t="shared" si="41"/>
        <v>0</v>
      </c>
      <c r="AG135" s="228">
        <f t="shared" si="41"/>
        <v>0</v>
      </c>
      <c r="AH135" s="228">
        <f t="shared" si="41"/>
        <v>0</v>
      </c>
      <c r="AI135" s="228">
        <f t="shared" si="41"/>
        <v>0</v>
      </c>
      <c r="AJ135" s="228">
        <f t="shared" si="41"/>
        <v>0</v>
      </c>
      <c r="AK135" s="228">
        <f t="shared" si="41"/>
        <v>0</v>
      </c>
      <c r="AL135" s="228">
        <f t="shared" si="41"/>
        <v>0</v>
      </c>
      <c r="AM135" s="228">
        <f t="shared" si="41"/>
        <v>0</v>
      </c>
      <c r="AN135" s="228">
        <f t="shared" si="41"/>
        <v>0</v>
      </c>
      <c r="AO135" s="228">
        <f t="shared" si="41"/>
        <v>0</v>
      </c>
      <c r="AP135" s="228">
        <f t="shared" si="41"/>
        <v>0</v>
      </c>
      <c r="AQ135" s="228">
        <f t="shared" si="41"/>
        <v>0</v>
      </c>
      <c r="AR135" s="228">
        <f t="shared" si="41"/>
        <v>0</v>
      </c>
      <c r="AS135" s="228">
        <f t="shared" si="41"/>
        <v>0</v>
      </c>
      <c r="AT135" s="228">
        <f t="shared" si="41"/>
        <v>0</v>
      </c>
      <c r="AU135" s="228">
        <f t="shared" si="41"/>
        <v>165</v>
      </c>
      <c r="AV135" s="228">
        <f t="shared" si="41"/>
        <v>6</v>
      </c>
      <c r="AW135" s="228">
        <f t="shared" si="41"/>
        <v>0</v>
      </c>
      <c r="AX135" s="228">
        <f t="shared" si="41"/>
        <v>0</v>
      </c>
      <c r="AY135" s="228">
        <f t="shared" si="41"/>
        <v>28</v>
      </c>
      <c r="AZ135" s="228">
        <f t="shared" si="41"/>
        <v>111</v>
      </c>
      <c r="BA135" s="228">
        <f t="shared" si="41"/>
        <v>1</v>
      </c>
      <c r="BB135" s="228">
        <f t="shared" si="41"/>
        <v>0</v>
      </c>
      <c r="BC135" s="228">
        <f t="shared" si="41"/>
        <v>248</v>
      </c>
      <c r="BD135" s="228">
        <f t="shared" si="41"/>
        <v>0</v>
      </c>
      <c r="BE135" s="228">
        <f t="shared" si="41"/>
        <v>0</v>
      </c>
      <c r="BF135" s="228">
        <f t="shared" si="41"/>
        <v>0</v>
      </c>
      <c r="BG135" s="228">
        <f t="shared" si="41"/>
        <v>0</v>
      </c>
      <c r="BH135" s="228">
        <f t="shared" si="41"/>
        <v>0</v>
      </c>
      <c r="BI135" s="228">
        <f t="shared" si="41"/>
        <v>0</v>
      </c>
      <c r="BJ135" s="228">
        <f t="shared" si="41"/>
        <v>0</v>
      </c>
      <c r="BK135" s="228">
        <f t="shared" si="41"/>
        <v>0</v>
      </c>
      <c r="BL135" s="228">
        <f t="shared" si="41"/>
        <v>0</v>
      </c>
      <c r="BM135" s="228">
        <f t="shared" si="41"/>
        <v>0</v>
      </c>
      <c r="BN135" s="228">
        <f t="shared" si="41"/>
        <v>0</v>
      </c>
      <c r="BO135" s="228">
        <f t="shared" si="41"/>
        <v>0</v>
      </c>
      <c r="BP135" s="228">
        <f t="shared" ref="BP135:DP135" si="42">BP11</f>
        <v>0</v>
      </c>
      <c r="BQ135" s="228">
        <f t="shared" si="42"/>
        <v>0</v>
      </c>
      <c r="BR135" s="228">
        <f t="shared" si="42"/>
        <v>0</v>
      </c>
      <c r="BS135" s="228">
        <f t="shared" si="42"/>
        <v>0</v>
      </c>
      <c r="BT135" s="228">
        <f t="shared" si="42"/>
        <v>0</v>
      </c>
      <c r="BU135" s="228">
        <f t="shared" si="42"/>
        <v>0</v>
      </c>
      <c r="BV135" s="228">
        <f t="shared" si="42"/>
        <v>0</v>
      </c>
      <c r="BW135" s="228">
        <f t="shared" si="42"/>
        <v>0</v>
      </c>
      <c r="BX135" s="228">
        <f t="shared" si="42"/>
        <v>0</v>
      </c>
      <c r="BY135" s="228">
        <f t="shared" si="42"/>
        <v>34</v>
      </c>
      <c r="BZ135" s="228">
        <f t="shared" si="42"/>
        <v>55</v>
      </c>
      <c r="CA135" s="228">
        <f t="shared" si="42"/>
        <v>149</v>
      </c>
      <c r="CB135" s="228">
        <f t="shared" si="42"/>
        <v>0</v>
      </c>
      <c r="CC135" s="228">
        <f t="shared" si="42"/>
        <v>0</v>
      </c>
      <c r="CD135" s="228">
        <f t="shared" si="42"/>
        <v>0</v>
      </c>
      <c r="CE135" s="228">
        <f t="shared" si="42"/>
        <v>17</v>
      </c>
      <c r="CF135" s="228">
        <f t="shared" si="42"/>
        <v>0</v>
      </c>
      <c r="CG135" s="228">
        <f t="shared" si="42"/>
        <v>0</v>
      </c>
      <c r="CH135" s="228">
        <f t="shared" si="42"/>
        <v>0</v>
      </c>
      <c r="CI135" s="228">
        <f t="shared" si="42"/>
        <v>0</v>
      </c>
      <c r="CJ135" s="228">
        <f t="shared" si="42"/>
        <v>0</v>
      </c>
      <c r="CK135" s="228">
        <f t="shared" si="42"/>
        <v>0</v>
      </c>
      <c r="CL135" s="228">
        <f t="shared" si="42"/>
        <v>0</v>
      </c>
      <c r="CM135" s="228">
        <f t="shared" si="42"/>
        <v>0</v>
      </c>
      <c r="CN135" s="228">
        <f t="shared" si="42"/>
        <v>0</v>
      </c>
      <c r="CO135" s="228">
        <f t="shared" si="42"/>
        <v>0</v>
      </c>
      <c r="CP135" s="228">
        <f t="shared" si="42"/>
        <v>0</v>
      </c>
      <c r="CQ135" s="228">
        <f t="shared" si="42"/>
        <v>0</v>
      </c>
      <c r="CR135" s="228">
        <f t="shared" si="42"/>
        <v>0</v>
      </c>
      <c r="CS135" s="228">
        <f t="shared" si="42"/>
        <v>0</v>
      </c>
      <c r="CT135" s="228">
        <f t="shared" si="42"/>
        <v>0</v>
      </c>
      <c r="CU135" s="228">
        <f t="shared" si="42"/>
        <v>0</v>
      </c>
      <c r="CV135" s="228">
        <f t="shared" si="42"/>
        <v>0</v>
      </c>
      <c r="CW135" s="228">
        <f t="shared" si="42"/>
        <v>47</v>
      </c>
      <c r="CX135" s="228">
        <f t="shared" si="42"/>
        <v>0</v>
      </c>
      <c r="CY135" s="228">
        <f t="shared" si="42"/>
        <v>87</v>
      </c>
      <c r="CZ135" s="228">
        <f t="shared" si="42"/>
        <v>3</v>
      </c>
      <c r="DA135" s="228">
        <f t="shared" si="42"/>
        <v>447</v>
      </c>
      <c r="DB135" s="228">
        <f t="shared" si="42"/>
        <v>15</v>
      </c>
      <c r="DC135" s="228">
        <f t="shared" si="42"/>
        <v>31</v>
      </c>
      <c r="DD135" s="228">
        <f t="shared" si="42"/>
        <v>0</v>
      </c>
      <c r="DE135" s="228">
        <f t="shared" si="42"/>
        <v>4</v>
      </c>
      <c r="DF135" s="228">
        <f t="shared" si="42"/>
        <v>0</v>
      </c>
      <c r="DG135" s="228">
        <f t="shared" si="42"/>
        <v>188</v>
      </c>
      <c r="DH135" s="228">
        <f t="shared" si="42"/>
        <v>0</v>
      </c>
      <c r="DI135" s="228">
        <f t="shared" si="42"/>
        <v>140</v>
      </c>
      <c r="DJ135" s="228">
        <f t="shared" si="42"/>
        <v>269</v>
      </c>
      <c r="DK135" s="228">
        <f t="shared" si="42"/>
        <v>4</v>
      </c>
      <c r="DL135" s="228">
        <f t="shared" si="42"/>
        <v>67</v>
      </c>
      <c r="DM135" s="228">
        <f t="shared" si="42"/>
        <v>0</v>
      </c>
      <c r="DN135" s="228">
        <f t="shared" si="42"/>
        <v>0</v>
      </c>
      <c r="DO135" s="228">
        <f t="shared" si="42"/>
        <v>0</v>
      </c>
      <c r="DP135" s="232">
        <f t="shared" si="42"/>
        <v>12603</v>
      </c>
      <c r="DQ135" s="228">
        <f t="shared" si="17"/>
        <v>5896</v>
      </c>
      <c r="DR135" s="228">
        <f t="shared" si="18"/>
        <v>3953</v>
      </c>
      <c r="DS135" s="230">
        <f>SUM(X135:Y135)+(1-TRP!$AK$253)*AC135</f>
        <v>0</v>
      </c>
      <c r="DT135" s="228">
        <f t="shared" si="19"/>
        <v>0</v>
      </c>
      <c r="DU135" s="228">
        <f t="shared" si="20"/>
        <v>0</v>
      </c>
      <c r="DV135" s="228">
        <f t="shared" si="21"/>
        <v>139</v>
      </c>
      <c r="DW135" s="228">
        <f t="shared" si="22"/>
        <v>1</v>
      </c>
      <c r="DX135" s="228">
        <f t="shared" si="23"/>
        <v>0</v>
      </c>
      <c r="DY135" s="228">
        <f t="shared" si="24"/>
        <v>0</v>
      </c>
      <c r="DZ135" s="228">
        <f t="shared" si="25"/>
        <v>0</v>
      </c>
      <c r="EA135" s="228">
        <f t="shared" si="26"/>
        <v>0</v>
      </c>
      <c r="EB135" s="230">
        <f>TRP!$AK$253*$AC135+SUM(M135:W135,Z135:AB135,AD135:AR135,AU135:AX135,BC135:BE135,BI135:BN135,BQ135:BR135,BV135)</f>
        <v>1057</v>
      </c>
      <c r="EC135" s="228">
        <f t="shared" si="27"/>
        <v>0</v>
      </c>
      <c r="ED135" s="230">
        <f>CB135+$CI135*TRP!$AV$248</f>
        <v>0</v>
      </c>
      <c r="EE135" s="228">
        <f t="shared" si="28"/>
        <v>0</v>
      </c>
      <c r="EF135" s="230">
        <f>CD135+$CI135*TRP!$AV$249</f>
        <v>0</v>
      </c>
      <c r="EG135" s="230">
        <f>CE135+$CI135*TRP!$AV$250</f>
        <v>17</v>
      </c>
      <c r="EH135" s="230">
        <f>CF135+$CI135*TRP!$AV$251</f>
        <v>0</v>
      </c>
      <c r="EI135" s="228">
        <f t="shared" si="29"/>
        <v>1268</v>
      </c>
      <c r="EJ135" s="228">
        <f t="shared" si="30"/>
        <v>272</v>
      </c>
      <c r="EK135" s="228">
        <f t="shared" si="31"/>
        <v>0</v>
      </c>
      <c r="EL135" s="230">
        <f>BS135+$BP135*TRP!$AN$246</f>
        <v>0</v>
      </c>
      <c r="EM135" s="228">
        <f t="shared" si="32"/>
        <v>0</v>
      </c>
      <c r="EN135" s="230">
        <f>BU135+$BP135*TRP!$AN$247</f>
        <v>0</v>
      </c>
    </row>
    <row r="136" spans="1:144" s="228" customFormat="1" ht="10.5" x14ac:dyDescent="0.25">
      <c r="A136" s="228" t="str">
        <f>TRP!C134</f>
        <v xml:space="preserve">GB05 </v>
      </c>
      <c r="B136" s="228" t="str">
        <f>TRP!B134</f>
        <v>INDUSTRIES ALIMENTAIRES DIVERSES</v>
      </c>
      <c r="C136" s="233">
        <f>TRP!A134</f>
        <v>2</v>
      </c>
      <c r="D136" s="228">
        <f t="shared" ref="D136:BO136" si="43">D12</f>
        <v>365</v>
      </c>
      <c r="E136" s="228">
        <f t="shared" si="43"/>
        <v>0</v>
      </c>
      <c r="F136" s="228">
        <f t="shared" si="43"/>
        <v>1</v>
      </c>
      <c r="G136" s="228">
        <f t="shared" si="43"/>
        <v>340</v>
      </c>
      <c r="H136" s="228">
        <f t="shared" si="43"/>
        <v>1967</v>
      </c>
      <c r="I136" s="228">
        <f t="shared" si="43"/>
        <v>790</v>
      </c>
      <c r="J136" s="228">
        <f t="shared" si="43"/>
        <v>1251</v>
      </c>
      <c r="K136" s="228">
        <f t="shared" si="43"/>
        <v>5937</v>
      </c>
      <c r="L136" s="228">
        <f t="shared" si="43"/>
        <v>11</v>
      </c>
      <c r="M136" s="228">
        <f t="shared" si="43"/>
        <v>14</v>
      </c>
      <c r="N136" s="228">
        <f t="shared" si="43"/>
        <v>5</v>
      </c>
      <c r="O136" s="228">
        <f t="shared" si="43"/>
        <v>8</v>
      </c>
      <c r="P136" s="228">
        <f t="shared" si="43"/>
        <v>198</v>
      </c>
      <c r="Q136" s="228">
        <f t="shared" si="43"/>
        <v>257</v>
      </c>
      <c r="R136" s="228">
        <f t="shared" si="43"/>
        <v>37</v>
      </c>
      <c r="S136" s="228">
        <f t="shared" si="43"/>
        <v>0</v>
      </c>
      <c r="T136" s="228">
        <f t="shared" si="43"/>
        <v>7</v>
      </c>
      <c r="U136" s="228">
        <f t="shared" si="43"/>
        <v>2</v>
      </c>
      <c r="V136" s="228">
        <f t="shared" si="43"/>
        <v>5</v>
      </c>
      <c r="W136" s="228">
        <f t="shared" si="43"/>
        <v>3</v>
      </c>
      <c r="X136" s="228">
        <f t="shared" si="43"/>
        <v>17</v>
      </c>
      <c r="Y136" s="228">
        <f t="shared" si="43"/>
        <v>7</v>
      </c>
      <c r="Z136" s="228">
        <f t="shared" si="43"/>
        <v>2</v>
      </c>
      <c r="AA136" s="228">
        <f t="shared" si="43"/>
        <v>0</v>
      </c>
      <c r="AB136" s="228">
        <f t="shared" si="43"/>
        <v>6</v>
      </c>
      <c r="AC136" s="228">
        <f t="shared" si="43"/>
        <v>2</v>
      </c>
      <c r="AD136" s="228">
        <f t="shared" si="43"/>
        <v>4</v>
      </c>
      <c r="AE136" s="228">
        <f t="shared" si="43"/>
        <v>6</v>
      </c>
      <c r="AF136" s="228">
        <f t="shared" si="43"/>
        <v>10</v>
      </c>
      <c r="AG136" s="228">
        <f t="shared" si="43"/>
        <v>15</v>
      </c>
      <c r="AH136" s="228">
        <f t="shared" si="43"/>
        <v>2</v>
      </c>
      <c r="AI136" s="228">
        <f t="shared" si="43"/>
        <v>5</v>
      </c>
      <c r="AJ136" s="228">
        <f t="shared" si="43"/>
        <v>13</v>
      </c>
      <c r="AK136" s="228">
        <f t="shared" si="43"/>
        <v>3</v>
      </c>
      <c r="AL136" s="228">
        <f t="shared" si="43"/>
        <v>1</v>
      </c>
      <c r="AM136" s="228">
        <f t="shared" si="43"/>
        <v>5</v>
      </c>
      <c r="AN136" s="228">
        <f t="shared" si="43"/>
        <v>11</v>
      </c>
      <c r="AO136" s="228">
        <f t="shared" si="43"/>
        <v>7</v>
      </c>
      <c r="AP136" s="228">
        <f t="shared" si="43"/>
        <v>6</v>
      </c>
      <c r="AQ136" s="228">
        <f t="shared" si="43"/>
        <v>0</v>
      </c>
      <c r="AR136" s="228">
        <f t="shared" si="43"/>
        <v>18</v>
      </c>
      <c r="AS136" s="228">
        <f t="shared" si="43"/>
        <v>4</v>
      </c>
      <c r="AT136" s="228">
        <f t="shared" si="43"/>
        <v>4</v>
      </c>
      <c r="AU136" s="228">
        <f t="shared" si="43"/>
        <v>13</v>
      </c>
      <c r="AV136" s="228">
        <f t="shared" si="43"/>
        <v>2</v>
      </c>
      <c r="AW136" s="228">
        <f t="shared" si="43"/>
        <v>2</v>
      </c>
      <c r="AX136" s="228">
        <f t="shared" si="43"/>
        <v>11</v>
      </c>
      <c r="AY136" s="228">
        <f t="shared" si="43"/>
        <v>8</v>
      </c>
      <c r="AZ136" s="228">
        <f t="shared" si="43"/>
        <v>4</v>
      </c>
      <c r="BA136" s="228">
        <f t="shared" si="43"/>
        <v>11</v>
      </c>
      <c r="BB136" s="228">
        <f t="shared" si="43"/>
        <v>402</v>
      </c>
      <c r="BC136" s="228">
        <f t="shared" si="43"/>
        <v>106</v>
      </c>
      <c r="BD136" s="228">
        <f t="shared" si="43"/>
        <v>7</v>
      </c>
      <c r="BE136" s="228">
        <f t="shared" si="43"/>
        <v>26</v>
      </c>
      <c r="BF136" s="228">
        <f t="shared" si="43"/>
        <v>35</v>
      </c>
      <c r="BG136" s="228">
        <f t="shared" si="43"/>
        <v>18</v>
      </c>
      <c r="BH136" s="228">
        <f t="shared" si="43"/>
        <v>13</v>
      </c>
      <c r="BI136" s="228">
        <f t="shared" si="43"/>
        <v>8</v>
      </c>
      <c r="BJ136" s="228">
        <f t="shared" si="43"/>
        <v>30</v>
      </c>
      <c r="BK136" s="228">
        <f t="shared" si="43"/>
        <v>26</v>
      </c>
      <c r="BL136" s="228">
        <f t="shared" si="43"/>
        <v>37</v>
      </c>
      <c r="BM136" s="228">
        <f t="shared" si="43"/>
        <v>25</v>
      </c>
      <c r="BN136" s="228">
        <f t="shared" si="43"/>
        <v>11</v>
      </c>
      <c r="BO136" s="228">
        <f t="shared" si="43"/>
        <v>0</v>
      </c>
      <c r="BP136" s="228">
        <f t="shared" ref="BP136:DP136" si="44">BP12</f>
        <v>0</v>
      </c>
      <c r="BQ136" s="228">
        <f t="shared" si="44"/>
        <v>0</v>
      </c>
      <c r="BR136" s="228">
        <f t="shared" si="44"/>
        <v>5</v>
      </c>
      <c r="BS136" s="228">
        <f t="shared" si="44"/>
        <v>27</v>
      </c>
      <c r="BT136" s="228">
        <f t="shared" si="44"/>
        <v>20</v>
      </c>
      <c r="BU136" s="228">
        <f t="shared" si="44"/>
        <v>2</v>
      </c>
      <c r="BV136" s="228">
        <f t="shared" si="44"/>
        <v>11</v>
      </c>
      <c r="BW136" s="228">
        <f t="shared" si="44"/>
        <v>23</v>
      </c>
      <c r="BX136" s="228">
        <f t="shared" si="44"/>
        <v>6</v>
      </c>
      <c r="BY136" s="228">
        <f t="shared" si="44"/>
        <v>48</v>
      </c>
      <c r="BZ136" s="228">
        <f t="shared" si="44"/>
        <v>384</v>
      </c>
      <c r="CA136" s="228">
        <f t="shared" si="44"/>
        <v>233</v>
      </c>
      <c r="CB136" s="228">
        <f t="shared" si="44"/>
        <v>2</v>
      </c>
      <c r="CC136" s="228">
        <f t="shared" si="44"/>
        <v>3</v>
      </c>
      <c r="CD136" s="228">
        <f t="shared" si="44"/>
        <v>1</v>
      </c>
      <c r="CE136" s="228">
        <f t="shared" si="44"/>
        <v>2</v>
      </c>
      <c r="CF136" s="228">
        <f t="shared" si="44"/>
        <v>77</v>
      </c>
      <c r="CG136" s="228">
        <f t="shared" si="44"/>
        <v>21</v>
      </c>
      <c r="CH136" s="228">
        <f t="shared" si="44"/>
        <v>0</v>
      </c>
      <c r="CI136" s="228">
        <f t="shared" si="44"/>
        <v>4</v>
      </c>
      <c r="CJ136" s="228">
        <f t="shared" si="44"/>
        <v>28</v>
      </c>
      <c r="CK136" s="228">
        <f t="shared" si="44"/>
        <v>19</v>
      </c>
      <c r="CL136" s="228">
        <f t="shared" si="44"/>
        <v>2</v>
      </c>
      <c r="CM136" s="228">
        <f t="shared" si="44"/>
        <v>13</v>
      </c>
      <c r="CN136" s="228">
        <f t="shared" si="44"/>
        <v>60</v>
      </c>
      <c r="CO136" s="228">
        <f t="shared" si="44"/>
        <v>72</v>
      </c>
      <c r="CP136" s="228">
        <f t="shared" si="44"/>
        <v>104</v>
      </c>
      <c r="CQ136" s="228">
        <f t="shared" si="44"/>
        <v>78</v>
      </c>
      <c r="CR136" s="228">
        <f t="shared" si="44"/>
        <v>52</v>
      </c>
      <c r="CS136" s="228">
        <f t="shared" si="44"/>
        <v>34</v>
      </c>
      <c r="CT136" s="228">
        <f t="shared" si="44"/>
        <v>40</v>
      </c>
      <c r="CU136" s="228">
        <f t="shared" si="44"/>
        <v>18</v>
      </c>
      <c r="CV136" s="228">
        <f t="shared" si="44"/>
        <v>13</v>
      </c>
      <c r="CW136" s="228">
        <f t="shared" si="44"/>
        <v>243</v>
      </c>
      <c r="CX136" s="228">
        <f t="shared" si="44"/>
        <v>2</v>
      </c>
      <c r="CY136" s="228">
        <f t="shared" si="44"/>
        <v>240</v>
      </c>
      <c r="CZ136" s="228">
        <f t="shared" si="44"/>
        <v>0</v>
      </c>
      <c r="DA136" s="228">
        <f t="shared" si="44"/>
        <v>7854</v>
      </c>
      <c r="DB136" s="228">
        <f t="shared" si="44"/>
        <v>74</v>
      </c>
      <c r="DC136" s="228">
        <f t="shared" si="44"/>
        <v>312</v>
      </c>
      <c r="DD136" s="228">
        <f t="shared" si="44"/>
        <v>174</v>
      </c>
      <c r="DE136" s="228">
        <f t="shared" si="44"/>
        <v>42</v>
      </c>
      <c r="DF136" s="228">
        <f t="shared" si="44"/>
        <v>0</v>
      </c>
      <c r="DG136" s="228">
        <f t="shared" si="44"/>
        <v>368</v>
      </c>
      <c r="DH136" s="228">
        <f t="shared" si="44"/>
        <v>534</v>
      </c>
      <c r="DI136" s="228">
        <f t="shared" si="44"/>
        <v>554</v>
      </c>
      <c r="DJ136" s="228">
        <f t="shared" si="44"/>
        <v>4</v>
      </c>
      <c r="DK136" s="228">
        <f t="shared" si="44"/>
        <v>5</v>
      </c>
      <c r="DL136" s="228">
        <f t="shared" si="44"/>
        <v>425</v>
      </c>
      <c r="DM136" s="228">
        <f t="shared" si="44"/>
        <v>279</v>
      </c>
      <c r="DN136" s="228">
        <f t="shared" si="44"/>
        <v>347</v>
      </c>
      <c r="DO136" s="228">
        <f t="shared" si="44"/>
        <v>57</v>
      </c>
      <c r="DP136" s="232">
        <f t="shared" si="44"/>
        <v>25057</v>
      </c>
      <c r="DQ136" s="228">
        <f t="shared" si="17"/>
        <v>366</v>
      </c>
      <c r="DR136" s="228">
        <f t="shared" si="18"/>
        <v>10296</v>
      </c>
      <c r="DS136" s="230">
        <f>SUM(X136:Y136)+(1-TRP!$AK$253)*AC136</f>
        <v>25.4</v>
      </c>
      <c r="DT136" s="228">
        <f t="shared" si="19"/>
        <v>4</v>
      </c>
      <c r="DU136" s="228">
        <f t="shared" si="20"/>
        <v>4</v>
      </c>
      <c r="DV136" s="228">
        <f t="shared" si="21"/>
        <v>12</v>
      </c>
      <c r="DW136" s="228">
        <f t="shared" si="22"/>
        <v>11</v>
      </c>
      <c r="DX136" s="228">
        <f t="shared" si="23"/>
        <v>402</v>
      </c>
      <c r="DY136" s="228">
        <f t="shared" si="24"/>
        <v>35</v>
      </c>
      <c r="DZ136" s="228">
        <f t="shared" si="25"/>
        <v>18</v>
      </c>
      <c r="EA136" s="228">
        <f t="shared" si="26"/>
        <v>13</v>
      </c>
      <c r="EB136" s="230">
        <f>TRP!$AK$253*$AC136+SUM(M136:W136,Z136:AB136,AD136:AR136,AU136:AX136,BC136:BE136,BI136:BN136,BQ136:BR136,BV136)</f>
        <v>970.6</v>
      </c>
      <c r="EC136" s="228">
        <f t="shared" si="27"/>
        <v>29</v>
      </c>
      <c r="ED136" s="230">
        <f>CB136+$CI136*TRP!$AV$248</f>
        <v>2.1240170010060981</v>
      </c>
      <c r="EE136" s="228">
        <f t="shared" si="28"/>
        <v>3</v>
      </c>
      <c r="EF136" s="230">
        <f>CD136+$CI136*TRP!$AV$249</f>
        <v>3.7727831374423988</v>
      </c>
      <c r="EG136" s="230">
        <f>CE136+$CI136*TRP!$AV$250</f>
        <v>2.808773880165786</v>
      </c>
      <c r="EH136" s="230">
        <f>CF136+$CI136*TRP!$AV$251</f>
        <v>77.294425981385714</v>
      </c>
      <c r="EI136" s="228">
        <f t="shared" si="29"/>
        <v>11512</v>
      </c>
      <c r="EJ136" s="228">
        <f t="shared" si="30"/>
        <v>1221</v>
      </c>
      <c r="EK136" s="228">
        <f t="shared" si="31"/>
        <v>0</v>
      </c>
      <c r="EL136" s="230">
        <f>BS136+$BP136*TRP!$AN$246</f>
        <v>27</v>
      </c>
      <c r="EM136" s="228">
        <f t="shared" si="32"/>
        <v>20</v>
      </c>
      <c r="EN136" s="230">
        <f>BU136+$BP136*TRP!$AN$247</f>
        <v>2</v>
      </c>
    </row>
    <row r="137" spans="1:144" s="228" customFormat="1" ht="10.5" x14ac:dyDescent="0.25">
      <c r="A137" s="228" t="str">
        <f>TRP!C135</f>
        <v xml:space="preserve">GB06 </v>
      </c>
      <c r="B137" s="228" t="str">
        <f>TRP!B135</f>
        <v>INDUSTRIE DU TABAC</v>
      </c>
      <c r="C137" s="233">
        <f>TRP!A135</f>
        <v>2</v>
      </c>
      <c r="D137" s="228">
        <f t="shared" ref="D137:BO137" si="45">D13</f>
        <v>0</v>
      </c>
      <c r="E137" s="228">
        <f t="shared" si="45"/>
        <v>0</v>
      </c>
      <c r="F137" s="228">
        <f t="shared" si="45"/>
        <v>0</v>
      </c>
      <c r="G137" s="228">
        <f t="shared" si="45"/>
        <v>0</v>
      </c>
      <c r="H137" s="228">
        <f t="shared" si="45"/>
        <v>0</v>
      </c>
      <c r="I137" s="228">
        <f t="shared" si="45"/>
        <v>0</v>
      </c>
      <c r="J137" s="228">
        <f t="shared" si="45"/>
        <v>0</v>
      </c>
      <c r="K137" s="228">
        <f t="shared" si="45"/>
        <v>5</v>
      </c>
      <c r="L137" s="228">
        <f t="shared" si="45"/>
        <v>16</v>
      </c>
      <c r="M137" s="228">
        <f t="shared" si="45"/>
        <v>0</v>
      </c>
      <c r="N137" s="228">
        <f t="shared" si="45"/>
        <v>0</v>
      </c>
      <c r="O137" s="228">
        <f t="shared" si="45"/>
        <v>0</v>
      </c>
      <c r="P137" s="228">
        <f t="shared" si="45"/>
        <v>5</v>
      </c>
      <c r="Q137" s="228">
        <f t="shared" si="45"/>
        <v>0</v>
      </c>
      <c r="R137" s="228">
        <f t="shared" si="45"/>
        <v>0</v>
      </c>
      <c r="S137" s="228">
        <f t="shared" si="45"/>
        <v>0</v>
      </c>
      <c r="T137" s="228">
        <f t="shared" si="45"/>
        <v>0</v>
      </c>
      <c r="U137" s="228">
        <f t="shared" si="45"/>
        <v>0</v>
      </c>
      <c r="V137" s="228">
        <f t="shared" si="45"/>
        <v>0</v>
      </c>
      <c r="W137" s="228">
        <f t="shared" si="45"/>
        <v>0</v>
      </c>
      <c r="X137" s="228">
        <f t="shared" si="45"/>
        <v>5</v>
      </c>
      <c r="Y137" s="228">
        <f t="shared" si="45"/>
        <v>0</v>
      </c>
      <c r="Z137" s="228">
        <f t="shared" si="45"/>
        <v>0</v>
      </c>
      <c r="AA137" s="228">
        <f t="shared" si="45"/>
        <v>0</v>
      </c>
      <c r="AB137" s="228">
        <f t="shared" si="45"/>
        <v>0</v>
      </c>
      <c r="AC137" s="228">
        <f t="shared" si="45"/>
        <v>0</v>
      </c>
      <c r="AD137" s="228">
        <f t="shared" si="45"/>
        <v>0</v>
      </c>
      <c r="AE137" s="228">
        <f t="shared" si="45"/>
        <v>0</v>
      </c>
      <c r="AF137" s="228">
        <f t="shared" si="45"/>
        <v>0</v>
      </c>
      <c r="AG137" s="228">
        <f t="shared" si="45"/>
        <v>5</v>
      </c>
      <c r="AH137" s="228">
        <f t="shared" si="45"/>
        <v>0</v>
      </c>
      <c r="AI137" s="228">
        <f t="shared" si="45"/>
        <v>0</v>
      </c>
      <c r="AJ137" s="228">
        <f t="shared" si="45"/>
        <v>0</v>
      </c>
      <c r="AK137" s="228">
        <f t="shared" si="45"/>
        <v>0</v>
      </c>
      <c r="AL137" s="228">
        <f t="shared" si="45"/>
        <v>0</v>
      </c>
      <c r="AM137" s="228">
        <f t="shared" si="45"/>
        <v>0</v>
      </c>
      <c r="AN137" s="228">
        <f t="shared" si="45"/>
        <v>5</v>
      </c>
      <c r="AO137" s="228">
        <f t="shared" si="45"/>
        <v>0</v>
      </c>
      <c r="AP137" s="228">
        <f t="shared" si="45"/>
        <v>0</v>
      </c>
      <c r="AQ137" s="228">
        <f t="shared" si="45"/>
        <v>0</v>
      </c>
      <c r="AR137" s="228">
        <f t="shared" si="45"/>
        <v>0</v>
      </c>
      <c r="AS137" s="228">
        <f t="shared" si="45"/>
        <v>0</v>
      </c>
      <c r="AT137" s="228">
        <f t="shared" si="45"/>
        <v>0</v>
      </c>
      <c r="AU137" s="228">
        <f t="shared" si="45"/>
        <v>0</v>
      </c>
      <c r="AV137" s="228">
        <f t="shared" si="45"/>
        <v>0</v>
      </c>
      <c r="AW137" s="228">
        <f t="shared" si="45"/>
        <v>0</v>
      </c>
      <c r="AX137" s="228">
        <f t="shared" si="45"/>
        <v>0</v>
      </c>
      <c r="AY137" s="228">
        <f t="shared" si="45"/>
        <v>0</v>
      </c>
      <c r="AZ137" s="228">
        <f t="shared" si="45"/>
        <v>0</v>
      </c>
      <c r="BA137" s="228">
        <f t="shared" si="45"/>
        <v>0</v>
      </c>
      <c r="BB137" s="228">
        <f t="shared" si="45"/>
        <v>12</v>
      </c>
      <c r="BC137" s="228">
        <f t="shared" si="45"/>
        <v>0</v>
      </c>
      <c r="BD137" s="228">
        <f t="shared" si="45"/>
        <v>0</v>
      </c>
      <c r="BE137" s="228">
        <f t="shared" si="45"/>
        <v>0</v>
      </c>
      <c r="BF137" s="228">
        <f t="shared" si="45"/>
        <v>0</v>
      </c>
      <c r="BG137" s="228">
        <f t="shared" si="45"/>
        <v>5</v>
      </c>
      <c r="BH137" s="228">
        <f t="shared" si="45"/>
        <v>0</v>
      </c>
      <c r="BI137" s="228">
        <f t="shared" si="45"/>
        <v>0</v>
      </c>
      <c r="BJ137" s="228">
        <f t="shared" si="45"/>
        <v>0</v>
      </c>
      <c r="BK137" s="228">
        <f t="shared" si="45"/>
        <v>0</v>
      </c>
      <c r="BL137" s="228">
        <f t="shared" si="45"/>
        <v>0</v>
      </c>
      <c r="BM137" s="228">
        <f t="shared" si="45"/>
        <v>0</v>
      </c>
      <c r="BN137" s="228">
        <f t="shared" si="45"/>
        <v>0</v>
      </c>
      <c r="BO137" s="228">
        <f t="shared" si="45"/>
        <v>0</v>
      </c>
      <c r="BP137" s="228">
        <f t="shared" ref="BP137:DP137" si="46">BP13</f>
        <v>0</v>
      </c>
      <c r="BQ137" s="228">
        <f t="shared" si="46"/>
        <v>0</v>
      </c>
      <c r="BR137" s="228">
        <f t="shared" si="46"/>
        <v>0</v>
      </c>
      <c r="BS137" s="228">
        <f t="shared" si="46"/>
        <v>0</v>
      </c>
      <c r="BT137" s="228">
        <f t="shared" si="46"/>
        <v>0</v>
      </c>
      <c r="BU137" s="228">
        <f t="shared" si="46"/>
        <v>0</v>
      </c>
      <c r="BV137" s="228">
        <f t="shared" si="46"/>
        <v>0</v>
      </c>
      <c r="BW137" s="228">
        <f t="shared" si="46"/>
        <v>0</v>
      </c>
      <c r="BX137" s="228">
        <f t="shared" si="46"/>
        <v>0</v>
      </c>
      <c r="BY137" s="228">
        <f t="shared" si="46"/>
        <v>0</v>
      </c>
      <c r="BZ137" s="228">
        <f t="shared" si="46"/>
        <v>0</v>
      </c>
      <c r="CA137" s="228">
        <f t="shared" si="46"/>
        <v>0</v>
      </c>
      <c r="CB137" s="228">
        <f t="shared" si="46"/>
        <v>0</v>
      </c>
      <c r="CC137" s="228">
        <f t="shared" si="46"/>
        <v>0</v>
      </c>
      <c r="CD137" s="228">
        <f t="shared" si="46"/>
        <v>0</v>
      </c>
      <c r="CE137" s="228">
        <f t="shared" si="46"/>
        <v>0</v>
      </c>
      <c r="CF137" s="228">
        <f t="shared" si="46"/>
        <v>5</v>
      </c>
      <c r="CG137" s="228">
        <f t="shared" si="46"/>
        <v>0</v>
      </c>
      <c r="CH137" s="228">
        <f t="shared" si="46"/>
        <v>0</v>
      </c>
      <c r="CI137" s="228">
        <f t="shared" si="46"/>
        <v>0</v>
      </c>
      <c r="CJ137" s="228">
        <f t="shared" si="46"/>
        <v>0</v>
      </c>
      <c r="CK137" s="228">
        <f t="shared" si="46"/>
        <v>0</v>
      </c>
      <c r="CL137" s="228">
        <f t="shared" si="46"/>
        <v>0</v>
      </c>
      <c r="CM137" s="228">
        <f t="shared" si="46"/>
        <v>0</v>
      </c>
      <c r="CN137" s="228">
        <f t="shared" si="46"/>
        <v>0</v>
      </c>
      <c r="CO137" s="228">
        <f t="shared" si="46"/>
        <v>13</v>
      </c>
      <c r="CP137" s="228">
        <f t="shared" si="46"/>
        <v>5</v>
      </c>
      <c r="CQ137" s="228">
        <f t="shared" si="46"/>
        <v>0</v>
      </c>
      <c r="CR137" s="228">
        <f t="shared" si="46"/>
        <v>0</v>
      </c>
      <c r="CS137" s="228">
        <f t="shared" si="46"/>
        <v>0</v>
      </c>
      <c r="CT137" s="228">
        <f t="shared" si="46"/>
        <v>5</v>
      </c>
      <c r="CU137" s="228">
        <f t="shared" si="46"/>
        <v>0</v>
      </c>
      <c r="CV137" s="228">
        <f t="shared" si="46"/>
        <v>0</v>
      </c>
      <c r="CW137" s="228">
        <f t="shared" si="46"/>
        <v>5</v>
      </c>
      <c r="CX137" s="228">
        <f t="shared" si="46"/>
        <v>0</v>
      </c>
      <c r="CY137" s="228">
        <f t="shared" si="46"/>
        <v>0</v>
      </c>
      <c r="CZ137" s="228">
        <f t="shared" si="46"/>
        <v>0</v>
      </c>
      <c r="DA137" s="228">
        <f t="shared" si="46"/>
        <v>5</v>
      </c>
      <c r="DB137" s="228">
        <f t="shared" si="46"/>
        <v>5</v>
      </c>
      <c r="DC137" s="228">
        <f t="shared" si="46"/>
        <v>0</v>
      </c>
      <c r="DD137" s="228">
        <f t="shared" si="46"/>
        <v>0</v>
      </c>
      <c r="DE137" s="228">
        <f t="shared" si="46"/>
        <v>12</v>
      </c>
      <c r="DF137" s="228">
        <f t="shared" si="46"/>
        <v>0</v>
      </c>
      <c r="DG137" s="228">
        <f t="shared" si="46"/>
        <v>0</v>
      </c>
      <c r="DH137" s="228">
        <f t="shared" si="46"/>
        <v>0</v>
      </c>
      <c r="DI137" s="228">
        <f t="shared" si="46"/>
        <v>0</v>
      </c>
      <c r="DJ137" s="228">
        <f t="shared" si="46"/>
        <v>0</v>
      </c>
      <c r="DK137" s="228">
        <f t="shared" si="46"/>
        <v>0</v>
      </c>
      <c r="DL137" s="228">
        <f t="shared" si="46"/>
        <v>0</v>
      </c>
      <c r="DM137" s="228">
        <f t="shared" si="46"/>
        <v>0</v>
      </c>
      <c r="DN137" s="228">
        <f t="shared" si="46"/>
        <v>0</v>
      </c>
      <c r="DO137" s="228">
        <f t="shared" si="46"/>
        <v>0</v>
      </c>
      <c r="DP137" s="232">
        <f t="shared" si="46"/>
        <v>113</v>
      </c>
      <c r="DQ137" s="228">
        <f t="shared" si="17"/>
        <v>0</v>
      </c>
      <c r="DR137" s="228">
        <f t="shared" si="18"/>
        <v>21</v>
      </c>
      <c r="DS137" s="230">
        <f>SUM(X137:Y137)+(1-TRP!$AK$253)*AC137</f>
        <v>5</v>
      </c>
      <c r="DT137" s="228">
        <f t="shared" si="19"/>
        <v>0</v>
      </c>
      <c r="DU137" s="228">
        <f t="shared" si="20"/>
        <v>0</v>
      </c>
      <c r="DV137" s="228">
        <f t="shared" si="21"/>
        <v>0</v>
      </c>
      <c r="DW137" s="228">
        <f t="shared" si="22"/>
        <v>0</v>
      </c>
      <c r="DX137" s="228">
        <f t="shared" si="23"/>
        <v>12</v>
      </c>
      <c r="DY137" s="228">
        <f t="shared" si="24"/>
        <v>0</v>
      </c>
      <c r="DZ137" s="228">
        <f t="shared" si="25"/>
        <v>5</v>
      </c>
      <c r="EA137" s="228">
        <f t="shared" si="26"/>
        <v>0</v>
      </c>
      <c r="EB137" s="230">
        <f>TRP!$AK$253*$AC137+SUM(M137:W137,Z137:AB137,AD137:AR137,AU137:AX137,BC137:BE137,BI137:BN137,BQ137:BR137,BV137)</f>
        <v>15</v>
      </c>
      <c r="EC137" s="228">
        <f t="shared" si="27"/>
        <v>0</v>
      </c>
      <c r="ED137" s="230">
        <f>CB137+$CI137*TRP!$AV$248</f>
        <v>0</v>
      </c>
      <c r="EE137" s="228">
        <f t="shared" si="28"/>
        <v>0</v>
      </c>
      <c r="EF137" s="230">
        <f>CD137+$CI137*TRP!$AV$249</f>
        <v>0</v>
      </c>
      <c r="EG137" s="230">
        <f>CE137+$CI137*TRP!$AV$250</f>
        <v>0</v>
      </c>
      <c r="EH137" s="230">
        <f>CF137+$CI137*TRP!$AV$251</f>
        <v>5</v>
      </c>
      <c r="EI137" s="228">
        <f t="shared" si="29"/>
        <v>50</v>
      </c>
      <c r="EJ137" s="228">
        <f t="shared" si="30"/>
        <v>0</v>
      </c>
      <c r="EK137" s="228">
        <f t="shared" si="31"/>
        <v>0</v>
      </c>
      <c r="EL137" s="230">
        <f>BS137+$BP137*TRP!$AN$246</f>
        <v>0</v>
      </c>
      <c r="EM137" s="228">
        <f t="shared" si="32"/>
        <v>0</v>
      </c>
      <c r="EN137" s="230">
        <f>BU137+$BP137*TRP!$AN$247</f>
        <v>0</v>
      </c>
    </row>
    <row r="138" spans="1:144" s="228" customFormat="1" ht="10.5" x14ac:dyDescent="0.25">
      <c r="A138" s="228" t="str">
        <f>TRP!C136</f>
        <v xml:space="preserve">GC11 </v>
      </c>
      <c r="B138" s="228" t="str">
        <f>TRP!B136</f>
        <v>INDUSTRIE DE L HABILLEMENT ET DES FOURRU</v>
      </c>
      <c r="C138" s="233">
        <f>TRP!A136</f>
        <v>12</v>
      </c>
      <c r="D138" s="228">
        <f t="shared" ref="D138:BO138" si="47">D14</f>
        <v>21</v>
      </c>
      <c r="E138" s="228">
        <f t="shared" si="47"/>
        <v>6</v>
      </c>
      <c r="F138" s="228">
        <f t="shared" si="47"/>
        <v>2</v>
      </c>
      <c r="G138" s="228">
        <f t="shared" si="47"/>
        <v>7</v>
      </c>
      <c r="H138" s="228">
        <f t="shared" si="47"/>
        <v>2</v>
      </c>
      <c r="I138" s="228">
        <f t="shared" si="47"/>
        <v>8</v>
      </c>
      <c r="J138" s="228">
        <f t="shared" si="47"/>
        <v>6</v>
      </c>
      <c r="K138" s="228">
        <f t="shared" si="47"/>
        <v>11</v>
      </c>
      <c r="L138" s="228">
        <f t="shared" si="47"/>
        <v>0</v>
      </c>
      <c r="M138" s="228">
        <f t="shared" si="47"/>
        <v>1582</v>
      </c>
      <c r="N138" s="228">
        <f t="shared" si="47"/>
        <v>10</v>
      </c>
      <c r="O138" s="228">
        <f t="shared" si="47"/>
        <v>6</v>
      </c>
      <c r="P138" s="228">
        <f t="shared" si="47"/>
        <v>2</v>
      </c>
      <c r="Q138" s="228">
        <f t="shared" si="47"/>
        <v>2</v>
      </c>
      <c r="R138" s="228">
        <f t="shared" si="47"/>
        <v>6</v>
      </c>
      <c r="S138" s="228">
        <f t="shared" si="47"/>
        <v>1</v>
      </c>
      <c r="T138" s="228">
        <f t="shared" si="47"/>
        <v>2</v>
      </c>
      <c r="U138" s="228">
        <f t="shared" si="47"/>
        <v>2</v>
      </c>
      <c r="V138" s="228">
        <f t="shared" si="47"/>
        <v>4</v>
      </c>
      <c r="W138" s="228">
        <f t="shared" si="47"/>
        <v>2</v>
      </c>
      <c r="X138" s="228">
        <f t="shared" si="47"/>
        <v>116</v>
      </c>
      <c r="Y138" s="228">
        <f t="shared" si="47"/>
        <v>29</v>
      </c>
      <c r="Z138" s="228">
        <f t="shared" si="47"/>
        <v>5</v>
      </c>
      <c r="AA138" s="228">
        <f t="shared" si="47"/>
        <v>8</v>
      </c>
      <c r="AB138" s="228">
        <f t="shared" si="47"/>
        <v>0</v>
      </c>
      <c r="AC138" s="228">
        <f t="shared" si="47"/>
        <v>2</v>
      </c>
      <c r="AD138" s="228">
        <f t="shared" si="47"/>
        <v>8</v>
      </c>
      <c r="AE138" s="228">
        <f t="shared" si="47"/>
        <v>5</v>
      </c>
      <c r="AF138" s="228">
        <f t="shared" si="47"/>
        <v>9</v>
      </c>
      <c r="AG138" s="228">
        <f t="shared" si="47"/>
        <v>9</v>
      </c>
      <c r="AH138" s="228">
        <f t="shared" si="47"/>
        <v>2</v>
      </c>
      <c r="AI138" s="228">
        <f t="shared" si="47"/>
        <v>2</v>
      </c>
      <c r="AJ138" s="228">
        <f t="shared" si="47"/>
        <v>3</v>
      </c>
      <c r="AK138" s="228">
        <f t="shared" si="47"/>
        <v>2</v>
      </c>
      <c r="AL138" s="228">
        <f t="shared" si="47"/>
        <v>1</v>
      </c>
      <c r="AM138" s="228">
        <f t="shared" si="47"/>
        <v>2</v>
      </c>
      <c r="AN138" s="228">
        <f t="shared" si="47"/>
        <v>5</v>
      </c>
      <c r="AO138" s="228">
        <f t="shared" si="47"/>
        <v>1</v>
      </c>
      <c r="AP138" s="228">
        <f t="shared" si="47"/>
        <v>2</v>
      </c>
      <c r="AQ138" s="228">
        <f t="shared" si="47"/>
        <v>0</v>
      </c>
      <c r="AR138" s="228">
        <f t="shared" si="47"/>
        <v>0</v>
      </c>
      <c r="AS138" s="228">
        <f t="shared" si="47"/>
        <v>0</v>
      </c>
      <c r="AT138" s="228">
        <f t="shared" si="47"/>
        <v>0</v>
      </c>
      <c r="AU138" s="228">
        <f t="shared" si="47"/>
        <v>0</v>
      </c>
      <c r="AV138" s="228">
        <f t="shared" si="47"/>
        <v>0</v>
      </c>
      <c r="AW138" s="228">
        <f t="shared" si="47"/>
        <v>0</v>
      </c>
      <c r="AX138" s="228">
        <f t="shared" si="47"/>
        <v>1</v>
      </c>
      <c r="AY138" s="228">
        <f t="shared" si="47"/>
        <v>3</v>
      </c>
      <c r="AZ138" s="228">
        <f t="shared" si="47"/>
        <v>2</v>
      </c>
      <c r="BA138" s="228">
        <f t="shared" si="47"/>
        <v>1</v>
      </c>
      <c r="BB138" s="228">
        <f t="shared" si="47"/>
        <v>5</v>
      </c>
      <c r="BC138" s="228">
        <f t="shared" si="47"/>
        <v>1</v>
      </c>
      <c r="BD138" s="228">
        <f t="shared" si="47"/>
        <v>1</v>
      </c>
      <c r="BE138" s="228">
        <f t="shared" si="47"/>
        <v>1</v>
      </c>
      <c r="BF138" s="228">
        <f t="shared" si="47"/>
        <v>2</v>
      </c>
      <c r="BG138" s="228">
        <f t="shared" si="47"/>
        <v>2</v>
      </c>
      <c r="BH138" s="228">
        <f t="shared" si="47"/>
        <v>0</v>
      </c>
      <c r="BI138" s="228">
        <f t="shared" si="47"/>
        <v>3</v>
      </c>
      <c r="BJ138" s="228">
        <f t="shared" si="47"/>
        <v>6</v>
      </c>
      <c r="BK138" s="228">
        <f t="shared" si="47"/>
        <v>6</v>
      </c>
      <c r="BL138" s="228">
        <f t="shared" si="47"/>
        <v>7</v>
      </c>
      <c r="BM138" s="228">
        <f t="shared" si="47"/>
        <v>8</v>
      </c>
      <c r="BN138" s="228">
        <f t="shared" si="47"/>
        <v>3</v>
      </c>
      <c r="BO138" s="228">
        <f t="shared" si="47"/>
        <v>0</v>
      </c>
      <c r="BP138" s="228">
        <f t="shared" ref="BP138:DP138" si="48">BP14</f>
        <v>0</v>
      </c>
      <c r="BQ138" s="228">
        <f t="shared" si="48"/>
        <v>0</v>
      </c>
      <c r="BR138" s="228">
        <f t="shared" si="48"/>
        <v>8</v>
      </c>
      <c r="BS138" s="228">
        <f t="shared" si="48"/>
        <v>6</v>
      </c>
      <c r="BT138" s="228">
        <f t="shared" si="48"/>
        <v>6</v>
      </c>
      <c r="BU138" s="228">
        <f t="shared" si="48"/>
        <v>1</v>
      </c>
      <c r="BV138" s="228">
        <f t="shared" si="48"/>
        <v>4</v>
      </c>
      <c r="BW138" s="228">
        <f t="shared" si="48"/>
        <v>39</v>
      </c>
      <c r="BX138" s="228">
        <f t="shared" si="48"/>
        <v>15</v>
      </c>
      <c r="BY138" s="228">
        <f t="shared" si="48"/>
        <v>32</v>
      </c>
      <c r="BZ138" s="228">
        <f t="shared" si="48"/>
        <v>83</v>
      </c>
      <c r="CA138" s="228">
        <f t="shared" si="48"/>
        <v>65</v>
      </c>
      <c r="CB138" s="228">
        <f t="shared" si="48"/>
        <v>2</v>
      </c>
      <c r="CC138" s="228">
        <f t="shared" si="48"/>
        <v>1</v>
      </c>
      <c r="CD138" s="228">
        <f t="shared" si="48"/>
        <v>0</v>
      </c>
      <c r="CE138" s="228">
        <f t="shared" si="48"/>
        <v>11</v>
      </c>
      <c r="CF138" s="228">
        <f t="shared" si="48"/>
        <v>7</v>
      </c>
      <c r="CG138" s="228">
        <f t="shared" si="48"/>
        <v>6</v>
      </c>
      <c r="CH138" s="228">
        <f t="shared" si="48"/>
        <v>3</v>
      </c>
      <c r="CI138" s="228">
        <f t="shared" si="48"/>
        <v>2</v>
      </c>
      <c r="CJ138" s="228">
        <f t="shared" si="48"/>
        <v>28</v>
      </c>
      <c r="CK138" s="228">
        <f t="shared" si="48"/>
        <v>13</v>
      </c>
      <c r="CL138" s="228">
        <f t="shared" si="48"/>
        <v>2</v>
      </c>
      <c r="CM138" s="228">
        <f t="shared" si="48"/>
        <v>1</v>
      </c>
      <c r="CN138" s="228">
        <f t="shared" si="48"/>
        <v>1</v>
      </c>
      <c r="CO138" s="228">
        <f t="shared" si="48"/>
        <v>15</v>
      </c>
      <c r="CP138" s="228">
        <f t="shared" si="48"/>
        <v>3</v>
      </c>
      <c r="CQ138" s="228">
        <f t="shared" si="48"/>
        <v>1</v>
      </c>
      <c r="CR138" s="228">
        <f t="shared" si="48"/>
        <v>2</v>
      </c>
      <c r="CS138" s="228">
        <f t="shared" si="48"/>
        <v>0</v>
      </c>
      <c r="CT138" s="228">
        <f t="shared" si="48"/>
        <v>1</v>
      </c>
      <c r="CU138" s="228">
        <f t="shared" si="48"/>
        <v>1</v>
      </c>
      <c r="CV138" s="228">
        <f t="shared" si="48"/>
        <v>1</v>
      </c>
      <c r="CW138" s="228">
        <f t="shared" si="48"/>
        <v>37</v>
      </c>
      <c r="CX138" s="228">
        <f t="shared" si="48"/>
        <v>0</v>
      </c>
      <c r="CY138" s="228">
        <f t="shared" si="48"/>
        <v>5</v>
      </c>
      <c r="CZ138" s="228">
        <f t="shared" si="48"/>
        <v>1</v>
      </c>
      <c r="DA138" s="228">
        <f t="shared" si="48"/>
        <v>62</v>
      </c>
      <c r="DB138" s="228">
        <f t="shared" si="48"/>
        <v>20</v>
      </c>
      <c r="DC138" s="228">
        <f t="shared" si="48"/>
        <v>76</v>
      </c>
      <c r="DD138" s="228">
        <f t="shared" si="48"/>
        <v>198</v>
      </c>
      <c r="DE138" s="228">
        <f t="shared" si="48"/>
        <v>44</v>
      </c>
      <c r="DF138" s="228">
        <f t="shared" si="48"/>
        <v>0</v>
      </c>
      <c r="DG138" s="228">
        <f t="shared" si="48"/>
        <v>81</v>
      </c>
      <c r="DH138" s="228">
        <f t="shared" si="48"/>
        <v>127</v>
      </c>
      <c r="DI138" s="228">
        <f t="shared" si="48"/>
        <v>17</v>
      </c>
      <c r="DJ138" s="228">
        <f t="shared" si="48"/>
        <v>0</v>
      </c>
      <c r="DK138" s="228">
        <f t="shared" si="48"/>
        <v>6</v>
      </c>
      <c r="DL138" s="228">
        <f t="shared" si="48"/>
        <v>21</v>
      </c>
      <c r="DM138" s="228">
        <f t="shared" si="48"/>
        <v>5</v>
      </c>
      <c r="DN138" s="228">
        <f t="shared" si="48"/>
        <v>449</v>
      </c>
      <c r="DO138" s="228">
        <f t="shared" si="48"/>
        <v>1</v>
      </c>
      <c r="DP138" s="232">
        <f t="shared" si="48"/>
        <v>3455</v>
      </c>
      <c r="DQ138" s="228">
        <f t="shared" si="17"/>
        <v>29</v>
      </c>
      <c r="DR138" s="228">
        <f t="shared" si="18"/>
        <v>34</v>
      </c>
      <c r="DS138" s="230">
        <f>SUM(X138:Y138)+(1-TRP!$AK$253)*AC138</f>
        <v>146.4</v>
      </c>
      <c r="DT138" s="228">
        <f t="shared" si="19"/>
        <v>0</v>
      </c>
      <c r="DU138" s="228">
        <f t="shared" si="20"/>
        <v>0</v>
      </c>
      <c r="DV138" s="228">
        <f t="shared" si="21"/>
        <v>5</v>
      </c>
      <c r="DW138" s="228">
        <f t="shared" si="22"/>
        <v>1</v>
      </c>
      <c r="DX138" s="228">
        <f t="shared" si="23"/>
        <v>5</v>
      </c>
      <c r="DY138" s="228">
        <f t="shared" si="24"/>
        <v>2</v>
      </c>
      <c r="DZ138" s="228">
        <f t="shared" si="25"/>
        <v>2</v>
      </c>
      <c r="EA138" s="228">
        <f t="shared" si="26"/>
        <v>0</v>
      </c>
      <c r="EB138" s="230">
        <f>TRP!$AK$253*$AC138+SUM(M138:W138,Z138:AB138,AD138:AR138,AU138:AX138,BC138:BE138,BI138:BN138,BQ138:BR138,BV138)</f>
        <v>1732.6</v>
      </c>
      <c r="EC138" s="228">
        <f t="shared" si="27"/>
        <v>54</v>
      </c>
      <c r="ED138" s="230">
        <f>CB138+$CI138*TRP!$AV$248</f>
        <v>2.0620085005030493</v>
      </c>
      <c r="EE138" s="228">
        <f t="shared" si="28"/>
        <v>1</v>
      </c>
      <c r="EF138" s="230">
        <f>CD138+$CI138*TRP!$AV$249</f>
        <v>1.3863915687211994</v>
      </c>
      <c r="EG138" s="230">
        <f>CE138+$CI138*TRP!$AV$250</f>
        <v>11.404386940082894</v>
      </c>
      <c r="EH138" s="230">
        <f>CF138+$CI138*TRP!$AV$251</f>
        <v>7.1472129906928581</v>
      </c>
      <c r="EI138" s="228">
        <f t="shared" si="29"/>
        <v>825</v>
      </c>
      <c r="EJ138" s="228">
        <f t="shared" si="30"/>
        <v>583</v>
      </c>
      <c r="EK138" s="228">
        <f t="shared" si="31"/>
        <v>0</v>
      </c>
      <c r="EL138" s="230">
        <f>BS138+$BP138*TRP!$AN$246</f>
        <v>6</v>
      </c>
      <c r="EM138" s="228">
        <f t="shared" si="32"/>
        <v>6</v>
      </c>
      <c r="EN138" s="230">
        <f>BU138+$BP138*TRP!$AN$247</f>
        <v>1</v>
      </c>
    </row>
    <row r="139" spans="1:144" s="228" customFormat="1" ht="10.5" x14ac:dyDescent="0.25">
      <c r="A139" s="228" t="str">
        <f>TRP!C137</f>
        <v xml:space="preserve">GC12 </v>
      </c>
      <c r="B139" s="228" t="str">
        <f>TRP!B137</f>
        <v>INDUSTRIE DU CUIR ET DE LA CHAUSSURE</v>
      </c>
      <c r="C139" s="233">
        <f>TRP!A137</f>
        <v>12</v>
      </c>
      <c r="D139" s="228">
        <f t="shared" ref="D139:BO139" si="49">D15</f>
        <v>34</v>
      </c>
      <c r="E139" s="228">
        <f t="shared" si="49"/>
        <v>0</v>
      </c>
      <c r="F139" s="228">
        <f t="shared" si="49"/>
        <v>0</v>
      </c>
      <c r="G139" s="228">
        <f t="shared" si="49"/>
        <v>23</v>
      </c>
      <c r="H139" s="228">
        <f t="shared" si="49"/>
        <v>11</v>
      </c>
      <c r="I139" s="228">
        <f t="shared" si="49"/>
        <v>11</v>
      </c>
      <c r="J139" s="228">
        <f t="shared" si="49"/>
        <v>0</v>
      </c>
      <c r="K139" s="228">
        <f t="shared" si="49"/>
        <v>30</v>
      </c>
      <c r="L139" s="228">
        <f t="shared" si="49"/>
        <v>0</v>
      </c>
      <c r="M139" s="228">
        <f t="shared" si="49"/>
        <v>77</v>
      </c>
      <c r="N139" s="228">
        <f t="shared" si="49"/>
        <v>475</v>
      </c>
      <c r="O139" s="228">
        <f t="shared" si="49"/>
        <v>8</v>
      </c>
      <c r="P139" s="228">
        <f t="shared" si="49"/>
        <v>0</v>
      </c>
      <c r="Q139" s="228">
        <f t="shared" si="49"/>
        <v>0</v>
      </c>
      <c r="R139" s="228">
        <f t="shared" si="49"/>
        <v>122</v>
      </c>
      <c r="S139" s="228">
        <f t="shared" si="49"/>
        <v>2</v>
      </c>
      <c r="T139" s="228">
        <f t="shared" si="49"/>
        <v>23</v>
      </c>
      <c r="U139" s="228">
        <f t="shared" si="49"/>
        <v>1</v>
      </c>
      <c r="V139" s="228">
        <f t="shared" si="49"/>
        <v>1</v>
      </c>
      <c r="W139" s="228">
        <f t="shared" si="49"/>
        <v>12</v>
      </c>
      <c r="X139" s="228">
        <f t="shared" si="49"/>
        <v>50</v>
      </c>
      <c r="Y139" s="228">
        <f t="shared" si="49"/>
        <v>2</v>
      </c>
      <c r="Z139" s="228">
        <f t="shared" si="49"/>
        <v>2</v>
      </c>
      <c r="AA139" s="228">
        <f t="shared" si="49"/>
        <v>0</v>
      </c>
      <c r="AB139" s="228">
        <f t="shared" si="49"/>
        <v>0</v>
      </c>
      <c r="AC139" s="228">
        <f t="shared" si="49"/>
        <v>0</v>
      </c>
      <c r="AD139" s="228">
        <f t="shared" si="49"/>
        <v>0</v>
      </c>
      <c r="AE139" s="228">
        <f t="shared" si="49"/>
        <v>0</v>
      </c>
      <c r="AF139" s="228">
        <f t="shared" si="49"/>
        <v>6</v>
      </c>
      <c r="AG139" s="228">
        <f t="shared" si="49"/>
        <v>6</v>
      </c>
      <c r="AH139" s="228">
        <f t="shared" si="49"/>
        <v>0</v>
      </c>
      <c r="AI139" s="228">
        <f t="shared" si="49"/>
        <v>0</v>
      </c>
      <c r="AJ139" s="228">
        <f t="shared" si="49"/>
        <v>1</v>
      </c>
      <c r="AK139" s="228">
        <f t="shared" si="49"/>
        <v>0</v>
      </c>
      <c r="AL139" s="228">
        <f t="shared" si="49"/>
        <v>1</v>
      </c>
      <c r="AM139" s="228">
        <f t="shared" si="49"/>
        <v>0</v>
      </c>
      <c r="AN139" s="228">
        <f t="shared" si="49"/>
        <v>4</v>
      </c>
      <c r="AO139" s="228">
        <f t="shared" si="49"/>
        <v>0</v>
      </c>
      <c r="AP139" s="228">
        <f t="shared" si="49"/>
        <v>7</v>
      </c>
      <c r="AQ139" s="228">
        <f t="shared" si="49"/>
        <v>0</v>
      </c>
      <c r="AR139" s="228">
        <f t="shared" si="49"/>
        <v>0</v>
      </c>
      <c r="AS139" s="228">
        <f t="shared" si="49"/>
        <v>0</v>
      </c>
      <c r="AT139" s="228">
        <f t="shared" si="49"/>
        <v>0</v>
      </c>
      <c r="AU139" s="228">
        <f t="shared" si="49"/>
        <v>0</v>
      </c>
      <c r="AV139" s="228">
        <f t="shared" si="49"/>
        <v>1</v>
      </c>
      <c r="AW139" s="228">
        <f t="shared" si="49"/>
        <v>1</v>
      </c>
      <c r="AX139" s="228">
        <f t="shared" si="49"/>
        <v>0</v>
      </c>
      <c r="AY139" s="228">
        <f t="shared" si="49"/>
        <v>1</v>
      </c>
      <c r="AZ139" s="228">
        <f t="shared" si="49"/>
        <v>1</v>
      </c>
      <c r="BA139" s="228">
        <f t="shared" si="49"/>
        <v>0</v>
      </c>
      <c r="BB139" s="228">
        <f t="shared" si="49"/>
        <v>0</v>
      </c>
      <c r="BC139" s="228">
        <f t="shared" si="49"/>
        <v>0</v>
      </c>
      <c r="BD139" s="228">
        <f t="shared" si="49"/>
        <v>0</v>
      </c>
      <c r="BE139" s="228">
        <f t="shared" si="49"/>
        <v>0</v>
      </c>
      <c r="BF139" s="228">
        <f t="shared" si="49"/>
        <v>0</v>
      </c>
      <c r="BG139" s="228">
        <f t="shared" si="49"/>
        <v>2</v>
      </c>
      <c r="BH139" s="228">
        <f t="shared" si="49"/>
        <v>0</v>
      </c>
      <c r="BI139" s="228">
        <f t="shared" si="49"/>
        <v>0</v>
      </c>
      <c r="BJ139" s="228">
        <f t="shared" si="49"/>
        <v>3</v>
      </c>
      <c r="BK139" s="228">
        <f t="shared" si="49"/>
        <v>0</v>
      </c>
      <c r="BL139" s="228">
        <f t="shared" si="49"/>
        <v>0</v>
      </c>
      <c r="BM139" s="228">
        <f t="shared" si="49"/>
        <v>3</v>
      </c>
      <c r="BN139" s="228">
        <f t="shared" si="49"/>
        <v>1</v>
      </c>
      <c r="BO139" s="228">
        <f t="shared" si="49"/>
        <v>0</v>
      </c>
      <c r="BP139" s="228">
        <f t="shared" ref="BP139:DP139" si="50">BP15</f>
        <v>0</v>
      </c>
      <c r="BQ139" s="228">
        <f t="shared" si="50"/>
        <v>0</v>
      </c>
      <c r="BR139" s="228">
        <f t="shared" si="50"/>
        <v>5</v>
      </c>
      <c r="BS139" s="228">
        <f t="shared" si="50"/>
        <v>0</v>
      </c>
      <c r="BT139" s="228">
        <f t="shared" si="50"/>
        <v>0</v>
      </c>
      <c r="BU139" s="228">
        <f t="shared" si="50"/>
        <v>0</v>
      </c>
      <c r="BV139" s="228">
        <f t="shared" si="50"/>
        <v>0</v>
      </c>
      <c r="BW139" s="228">
        <f t="shared" si="50"/>
        <v>13</v>
      </c>
      <c r="BX139" s="228">
        <f t="shared" si="50"/>
        <v>1</v>
      </c>
      <c r="BY139" s="228">
        <f t="shared" si="50"/>
        <v>42</v>
      </c>
      <c r="BZ139" s="228">
        <f t="shared" si="50"/>
        <v>20</v>
      </c>
      <c r="CA139" s="228">
        <f t="shared" si="50"/>
        <v>24</v>
      </c>
      <c r="CB139" s="228">
        <f t="shared" si="50"/>
        <v>0</v>
      </c>
      <c r="CC139" s="228">
        <f t="shared" si="50"/>
        <v>0</v>
      </c>
      <c r="CD139" s="228">
        <f t="shared" si="50"/>
        <v>0</v>
      </c>
      <c r="CE139" s="228">
        <f t="shared" si="50"/>
        <v>0</v>
      </c>
      <c r="CF139" s="228">
        <f t="shared" si="50"/>
        <v>0</v>
      </c>
      <c r="CG139" s="228">
        <f t="shared" si="50"/>
        <v>4</v>
      </c>
      <c r="CH139" s="228">
        <f t="shared" si="50"/>
        <v>0</v>
      </c>
      <c r="CI139" s="228">
        <f t="shared" si="50"/>
        <v>0</v>
      </c>
      <c r="CJ139" s="228">
        <f t="shared" si="50"/>
        <v>3</v>
      </c>
      <c r="CK139" s="228">
        <f t="shared" si="50"/>
        <v>2</v>
      </c>
      <c r="CL139" s="228">
        <f t="shared" si="50"/>
        <v>1</v>
      </c>
      <c r="CM139" s="228">
        <f t="shared" si="50"/>
        <v>0</v>
      </c>
      <c r="CN139" s="228">
        <f t="shared" si="50"/>
        <v>0</v>
      </c>
      <c r="CO139" s="228">
        <f t="shared" si="50"/>
        <v>0</v>
      </c>
      <c r="CP139" s="228">
        <f t="shared" si="50"/>
        <v>0</v>
      </c>
      <c r="CQ139" s="228">
        <f t="shared" si="50"/>
        <v>0</v>
      </c>
      <c r="CR139" s="228">
        <f t="shared" si="50"/>
        <v>0</v>
      </c>
      <c r="CS139" s="228">
        <f t="shared" si="50"/>
        <v>0</v>
      </c>
      <c r="CT139" s="228">
        <f t="shared" si="50"/>
        <v>0</v>
      </c>
      <c r="CU139" s="228">
        <f t="shared" si="50"/>
        <v>0</v>
      </c>
      <c r="CV139" s="228">
        <f t="shared" si="50"/>
        <v>0</v>
      </c>
      <c r="CW139" s="228">
        <f t="shared" si="50"/>
        <v>19</v>
      </c>
      <c r="CX139" s="228">
        <f t="shared" si="50"/>
        <v>0</v>
      </c>
      <c r="CY139" s="228">
        <f t="shared" si="50"/>
        <v>0</v>
      </c>
      <c r="CZ139" s="228">
        <f t="shared" si="50"/>
        <v>0</v>
      </c>
      <c r="DA139" s="228">
        <f t="shared" si="50"/>
        <v>9</v>
      </c>
      <c r="DB139" s="228">
        <f t="shared" si="50"/>
        <v>44</v>
      </c>
      <c r="DC139" s="228">
        <f t="shared" si="50"/>
        <v>0</v>
      </c>
      <c r="DD139" s="228">
        <f t="shared" si="50"/>
        <v>0</v>
      </c>
      <c r="DE139" s="228">
        <f t="shared" si="50"/>
        <v>1</v>
      </c>
      <c r="DF139" s="228">
        <f t="shared" si="50"/>
        <v>0</v>
      </c>
      <c r="DG139" s="228">
        <f t="shared" si="50"/>
        <v>0</v>
      </c>
      <c r="DH139" s="228">
        <f t="shared" si="50"/>
        <v>0</v>
      </c>
      <c r="DI139" s="228">
        <f t="shared" si="50"/>
        <v>2</v>
      </c>
      <c r="DJ139" s="228">
        <f t="shared" si="50"/>
        <v>0</v>
      </c>
      <c r="DK139" s="228">
        <f t="shared" si="50"/>
        <v>0</v>
      </c>
      <c r="DL139" s="228">
        <f t="shared" si="50"/>
        <v>1</v>
      </c>
      <c r="DM139" s="228">
        <f t="shared" si="50"/>
        <v>0</v>
      </c>
      <c r="DN139" s="228">
        <f t="shared" si="50"/>
        <v>0</v>
      </c>
      <c r="DO139" s="228">
        <f t="shared" si="50"/>
        <v>0</v>
      </c>
      <c r="DP139" s="232">
        <f t="shared" si="50"/>
        <v>1113</v>
      </c>
      <c r="DQ139" s="228">
        <f t="shared" si="17"/>
        <v>34</v>
      </c>
      <c r="DR139" s="228">
        <f t="shared" si="18"/>
        <v>75</v>
      </c>
      <c r="DS139" s="230">
        <f>SUM(X139:Y139)+(1-TRP!$AK$253)*AC139</f>
        <v>52</v>
      </c>
      <c r="DT139" s="228">
        <f t="shared" si="19"/>
        <v>0</v>
      </c>
      <c r="DU139" s="228">
        <f t="shared" si="20"/>
        <v>0</v>
      </c>
      <c r="DV139" s="228">
        <f t="shared" si="21"/>
        <v>2</v>
      </c>
      <c r="DW139" s="228">
        <f t="shared" si="22"/>
        <v>0</v>
      </c>
      <c r="DX139" s="228">
        <f t="shared" si="23"/>
        <v>0</v>
      </c>
      <c r="DY139" s="228">
        <f t="shared" si="24"/>
        <v>0</v>
      </c>
      <c r="DZ139" s="228">
        <f t="shared" si="25"/>
        <v>2</v>
      </c>
      <c r="EA139" s="228">
        <f t="shared" si="26"/>
        <v>0</v>
      </c>
      <c r="EB139" s="230">
        <f>TRP!$AK$253*$AC139+SUM(M139:W139,Z139:AB139,AD139:AR139,AU139:AX139,BC139:BE139,BI139:BN139,BQ139:BR139,BV139)</f>
        <v>762</v>
      </c>
      <c r="EC139" s="228">
        <f t="shared" si="27"/>
        <v>14</v>
      </c>
      <c r="ED139" s="230">
        <f>CB139+$CI139*TRP!$AV$248</f>
        <v>0</v>
      </c>
      <c r="EE139" s="228">
        <f t="shared" si="28"/>
        <v>0</v>
      </c>
      <c r="EF139" s="230">
        <f>CD139+$CI139*TRP!$AV$249</f>
        <v>0</v>
      </c>
      <c r="EG139" s="230">
        <f>CE139+$CI139*TRP!$AV$250</f>
        <v>0</v>
      </c>
      <c r="EH139" s="230">
        <f>CF139+$CI139*TRP!$AV$251</f>
        <v>0</v>
      </c>
      <c r="EI139" s="228">
        <f t="shared" si="29"/>
        <v>172</v>
      </c>
      <c r="EJ139" s="228">
        <f t="shared" si="30"/>
        <v>0</v>
      </c>
      <c r="EK139" s="228">
        <f t="shared" si="31"/>
        <v>0</v>
      </c>
      <c r="EL139" s="230">
        <f>BS139+$BP139*TRP!$AN$246</f>
        <v>0</v>
      </c>
      <c r="EM139" s="228">
        <f t="shared" si="32"/>
        <v>0</v>
      </c>
      <c r="EN139" s="230">
        <f>BU139+$BP139*TRP!$AN$247</f>
        <v>0</v>
      </c>
    </row>
    <row r="140" spans="1:144" s="228" customFormat="1" ht="10.5" x14ac:dyDescent="0.25">
      <c r="A140" s="228" t="str">
        <f>TRP!C138</f>
        <v xml:space="preserve">GC20 </v>
      </c>
      <c r="B140" s="228" t="str">
        <f>TRP!B138</f>
        <v>EDITION  IMPRIMERIE  REPRODUCTION</v>
      </c>
      <c r="C140" s="233">
        <f>TRP!A138</f>
        <v>12</v>
      </c>
      <c r="D140" s="228">
        <f t="shared" ref="D140:BO140" si="51">D16</f>
        <v>174</v>
      </c>
      <c r="E140" s="228">
        <f t="shared" si="51"/>
        <v>4</v>
      </c>
      <c r="F140" s="228">
        <f t="shared" si="51"/>
        <v>2</v>
      </c>
      <c r="G140" s="228">
        <f t="shared" si="51"/>
        <v>36</v>
      </c>
      <c r="H140" s="228">
        <f t="shared" si="51"/>
        <v>46</v>
      </c>
      <c r="I140" s="228">
        <f t="shared" si="51"/>
        <v>33</v>
      </c>
      <c r="J140" s="228">
        <f t="shared" si="51"/>
        <v>29</v>
      </c>
      <c r="K140" s="228">
        <f t="shared" si="51"/>
        <v>92</v>
      </c>
      <c r="L140" s="228">
        <f t="shared" si="51"/>
        <v>0</v>
      </c>
      <c r="M140" s="228">
        <f t="shared" si="51"/>
        <v>16</v>
      </c>
      <c r="N140" s="228">
        <f t="shared" si="51"/>
        <v>5</v>
      </c>
      <c r="O140" s="228">
        <f t="shared" si="51"/>
        <v>4122</v>
      </c>
      <c r="P140" s="228">
        <f t="shared" si="51"/>
        <v>61</v>
      </c>
      <c r="Q140" s="228">
        <f t="shared" si="51"/>
        <v>69</v>
      </c>
      <c r="R140" s="228">
        <f t="shared" si="51"/>
        <v>25</v>
      </c>
      <c r="S140" s="228">
        <f t="shared" si="51"/>
        <v>2</v>
      </c>
      <c r="T140" s="228">
        <f t="shared" si="51"/>
        <v>11</v>
      </c>
      <c r="U140" s="228">
        <f t="shared" si="51"/>
        <v>7</v>
      </c>
      <c r="V140" s="228">
        <f t="shared" si="51"/>
        <v>12</v>
      </c>
      <c r="W140" s="228">
        <f t="shared" si="51"/>
        <v>15</v>
      </c>
      <c r="X140" s="228">
        <f t="shared" si="51"/>
        <v>74</v>
      </c>
      <c r="Y140" s="228">
        <f t="shared" si="51"/>
        <v>50</v>
      </c>
      <c r="Z140" s="228">
        <f t="shared" si="51"/>
        <v>5</v>
      </c>
      <c r="AA140" s="228">
        <f t="shared" si="51"/>
        <v>7</v>
      </c>
      <c r="AB140" s="228">
        <f t="shared" si="51"/>
        <v>24</v>
      </c>
      <c r="AC140" s="228">
        <f t="shared" si="51"/>
        <v>9</v>
      </c>
      <c r="AD140" s="228">
        <f t="shared" si="51"/>
        <v>5</v>
      </c>
      <c r="AE140" s="228">
        <f t="shared" si="51"/>
        <v>6</v>
      </c>
      <c r="AF140" s="228">
        <f t="shared" si="51"/>
        <v>12</v>
      </c>
      <c r="AG140" s="228">
        <f t="shared" si="51"/>
        <v>20</v>
      </c>
      <c r="AH140" s="228">
        <f t="shared" si="51"/>
        <v>1</v>
      </c>
      <c r="AI140" s="228">
        <f t="shared" si="51"/>
        <v>4</v>
      </c>
      <c r="AJ140" s="228">
        <f t="shared" si="51"/>
        <v>12</v>
      </c>
      <c r="AK140" s="228">
        <f t="shared" si="51"/>
        <v>9</v>
      </c>
      <c r="AL140" s="228">
        <f t="shared" si="51"/>
        <v>3</v>
      </c>
      <c r="AM140" s="228">
        <f t="shared" si="51"/>
        <v>7</v>
      </c>
      <c r="AN140" s="228">
        <f t="shared" si="51"/>
        <v>34</v>
      </c>
      <c r="AO140" s="228">
        <f t="shared" si="51"/>
        <v>7</v>
      </c>
      <c r="AP140" s="228">
        <f t="shared" si="51"/>
        <v>26</v>
      </c>
      <c r="AQ140" s="228">
        <f t="shared" si="51"/>
        <v>0</v>
      </c>
      <c r="AR140" s="228">
        <f t="shared" si="51"/>
        <v>19</v>
      </c>
      <c r="AS140" s="228">
        <f t="shared" si="51"/>
        <v>20</v>
      </c>
      <c r="AT140" s="228">
        <f t="shared" si="51"/>
        <v>37</v>
      </c>
      <c r="AU140" s="228">
        <f t="shared" si="51"/>
        <v>12</v>
      </c>
      <c r="AV140" s="228">
        <f t="shared" si="51"/>
        <v>9</v>
      </c>
      <c r="AW140" s="228">
        <f t="shared" si="51"/>
        <v>6</v>
      </c>
      <c r="AX140" s="228">
        <f t="shared" si="51"/>
        <v>19</v>
      </c>
      <c r="AY140" s="228">
        <f t="shared" si="51"/>
        <v>11</v>
      </c>
      <c r="AZ140" s="228">
        <f t="shared" si="51"/>
        <v>14</v>
      </c>
      <c r="BA140" s="228">
        <f t="shared" si="51"/>
        <v>8</v>
      </c>
      <c r="BB140" s="228">
        <f t="shared" si="51"/>
        <v>27</v>
      </c>
      <c r="BC140" s="228">
        <f t="shared" si="51"/>
        <v>31</v>
      </c>
      <c r="BD140" s="228">
        <f t="shared" si="51"/>
        <v>9</v>
      </c>
      <c r="BE140" s="228">
        <f t="shared" si="51"/>
        <v>12</v>
      </c>
      <c r="BF140" s="228">
        <f t="shared" si="51"/>
        <v>37</v>
      </c>
      <c r="BG140" s="228">
        <f t="shared" si="51"/>
        <v>24</v>
      </c>
      <c r="BH140" s="228">
        <f t="shared" si="51"/>
        <v>11</v>
      </c>
      <c r="BI140" s="228">
        <f t="shared" si="51"/>
        <v>7</v>
      </c>
      <c r="BJ140" s="228">
        <f t="shared" si="51"/>
        <v>29</v>
      </c>
      <c r="BK140" s="228">
        <f t="shared" si="51"/>
        <v>18</v>
      </c>
      <c r="BL140" s="228">
        <f t="shared" si="51"/>
        <v>9</v>
      </c>
      <c r="BM140" s="228">
        <f t="shared" si="51"/>
        <v>29</v>
      </c>
      <c r="BN140" s="228">
        <f t="shared" si="51"/>
        <v>19</v>
      </c>
      <c r="BO140" s="228">
        <f t="shared" si="51"/>
        <v>0</v>
      </c>
      <c r="BP140" s="228">
        <f t="shared" ref="BP140:DP140" si="52">BP16</f>
        <v>0</v>
      </c>
      <c r="BQ140" s="228">
        <f t="shared" si="52"/>
        <v>0</v>
      </c>
      <c r="BR140" s="228">
        <f t="shared" si="52"/>
        <v>5</v>
      </c>
      <c r="BS140" s="228">
        <f t="shared" si="52"/>
        <v>8</v>
      </c>
      <c r="BT140" s="228">
        <f t="shared" si="52"/>
        <v>23</v>
      </c>
      <c r="BU140" s="228">
        <f t="shared" si="52"/>
        <v>2</v>
      </c>
      <c r="BV140" s="228">
        <f t="shared" si="52"/>
        <v>7</v>
      </c>
      <c r="BW140" s="228">
        <f t="shared" si="52"/>
        <v>56</v>
      </c>
      <c r="BX140" s="228">
        <f t="shared" si="52"/>
        <v>22</v>
      </c>
      <c r="BY140" s="228">
        <f t="shared" si="52"/>
        <v>201</v>
      </c>
      <c r="BZ140" s="228">
        <f t="shared" si="52"/>
        <v>2129</v>
      </c>
      <c r="CA140" s="228">
        <f t="shared" si="52"/>
        <v>611</v>
      </c>
      <c r="CB140" s="228">
        <f t="shared" si="52"/>
        <v>3</v>
      </c>
      <c r="CC140" s="228">
        <f t="shared" si="52"/>
        <v>14</v>
      </c>
      <c r="CD140" s="228">
        <f t="shared" si="52"/>
        <v>6</v>
      </c>
      <c r="CE140" s="228">
        <f t="shared" si="52"/>
        <v>9</v>
      </c>
      <c r="CF140" s="228">
        <f t="shared" si="52"/>
        <v>21</v>
      </c>
      <c r="CG140" s="228">
        <f t="shared" si="52"/>
        <v>108</v>
      </c>
      <c r="CH140" s="228">
        <f t="shared" si="52"/>
        <v>40</v>
      </c>
      <c r="CI140" s="228">
        <f t="shared" si="52"/>
        <v>54</v>
      </c>
      <c r="CJ140" s="228">
        <f t="shared" si="52"/>
        <v>1347</v>
      </c>
      <c r="CK140" s="228">
        <f t="shared" si="52"/>
        <v>486</v>
      </c>
      <c r="CL140" s="228">
        <f t="shared" si="52"/>
        <v>563</v>
      </c>
      <c r="CM140" s="228">
        <f t="shared" si="52"/>
        <v>160</v>
      </c>
      <c r="CN140" s="228">
        <f t="shared" si="52"/>
        <v>200</v>
      </c>
      <c r="CO140" s="228">
        <f t="shared" si="52"/>
        <v>724</v>
      </c>
      <c r="CP140" s="228">
        <f t="shared" si="52"/>
        <v>954</v>
      </c>
      <c r="CQ140" s="228">
        <f t="shared" si="52"/>
        <v>933</v>
      </c>
      <c r="CR140" s="228">
        <f t="shared" si="52"/>
        <v>1162</v>
      </c>
      <c r="CS140" s="228">
        <f t="shared" si="52"/>
        <v>40</v>
      </c>
      <c r="CT140" s="228">
        <f t="shared" si="52"/>
        <v>1199</v>
      </c>
      <c r="CU140" s="228">
        <f t="shared" si="52"/>
        <v>488</v>
      </c>
      <c r="CV140" s="228">
        <f t="shared" si="52"/>
        <v>65</v>
      </c>
      <c r="CW140" s="228">
        <f t="shared" si="52"/>
        <v>2200</v>
      </c>
      <c r="CX140" s="228">
        <f t="shared" si="52"/>
        <v>8</v>
      </c>
      <c r="CY140" s="228">
        <f t="shared" si="52"/>
        <v>869</v>
      </c>
      <c r="CZ140" s="228">
        <f t="shared" si="52"/>
        <v>242</v>
      </c>
      <c r="DA140" s="228">
        <f t="shared" si="52"/>
        <v>134</v>
      </c>
      <c r="DB140" s="228">
        <f t="shared" si="52"/>
        <v>371</v>
      </c>
      <c r="DC140" s="228">
        <f t="shared" si="52"/>
        <v>323</v>
      </c>
      <c r="DD140" s="228">
        <f t="shared" si="52"/>
        <v>1259</v>
      </c>
      <c r="DE140" s="228">
        <f t="shared" si="52"/>
        <v>199</v>
      </c>
      <c r="DF140" s="228">
        <f t="shared" si="52"/>
        <v>0</v>
      </c>
      <c r="DG140" s="228">
        <f t="shared" si="52"/>
        <v>256</v>
      </c>
      <c r="DH140" s="228">
        <f t="shared" si="52"/>
        <v>883</v>
      </c>
      <c r="DI140" s="228">
        <f t="shared" si="52"/>
        <v>251</v>
      </c>
      <c r="DJ140" s="228">
        <f t="shared" si="52"/>
        <v>120</v>
      </c>
      <c r="DK140" s="228">
        <f t="shared" si="52"/>
        <v>4</v>
      </c>
      <c r="DL140" s="228">
        <f t="shared" si="52"/>
        <v>142</v>
      </c>
      <c r="DM140" s="228">
        <f t="shared" si="52"/>
        <v>171</v>
      </c>
      <c r="DN140" s="228">
        <f t="shared" si="52"/>
        <v>1316</v>
      </c>
      <c r="DO140" s="228">
        <f t="shared" si="52"/>
        <v>582</v>
      </c>
      <c r="DP140" s="232">
        <f t="shared" si="52"/>
        <v>26463</v>
      </c>
      <c r="DQ140" s="228">
        <f t="shared" si="17"/>
        <v>180</v>
      </c>
      <c r="DR140" s="228">
        <f t="shared" si="18"/>
        <v>236</v>
      </c>
      <c r="DS140" s="230">
        <f>SUM(X140:Y140)+(1-TRP!$AK$253)*AC140</f>
        <v>130.30000000000001</v>
      </c>
      <c r="DT140" s="228">
        <f t="shared" si="19"/>
        <v>20</v>
      </c>
      <c r="DU140" s="228">
        <f t="shared" si="20"/>
        <v>37</v>
      </c>
      <c r="DV140" s="228">
        <f t="shared" si="21"/>
        <v>25</v>
      </c>
      <c r="DW140" s="228">
        <f t="shared" si="22"/>
        <v>8</v>
      </c>
      <c r="DX140" s="228">
        <f t="shared" si="23"/>
        <v>27</v>
      </c>
      <c r="DY140" s="228">
        <f t="shared" si="24"/>
        <v>37</v>
      </c>
      <c r="DZ140" s="228">
        <f t="shared" si="25"/>
        <v>24</v>
      </c>
      <c r="EA140" s="228">
        <f t="shared" si="26"/>
        <v>11</v>
      </c>
      <c r="EB140" s="230">
        <f>TRP!$AK$253*$AC140+SUM(M140:W140,Z140:AB140,AD140:AR140,AU140:AX140,BC140:BE140,BI140:BN140,BQ140:BR140,BV140)</f>
        <v>4769.7</v>
      </c>
      <c r="EC140" s="228">
        <f t="shared" si="27"/>
        <v>78</v>
      </c>
      <c r="ED140" s="230">
        <f>CB140+$CI140*TRP!$AV$248</f>
        <v>4.6742295135823255</v>
      </c>
      <c r="EE140" s="228">
        <f t="shared" si="28"/>
        <v>14</v>
      </c>
      <c r="EF140" s="230">
        <f>CD140+$CI140*TRP!$AV$249</f>
        <v>43.432572355472381</v>
      </c>
      <c r="EG140" s="230">
        <f>CE140+$CI140*TRP!$AV$250</f>
        <v>19.918447382238114</v>
      </c>
      <c r="EH140" s="230">
        <f>CF140+$CI140*TRP!$AV$251</f>
        <v>24.97475074870718</v>
      </c>
      <c r="EI140" s="228">
        <f t="shared" si="29"/>
        <v>17426</v>
      </c>
      <c r="EJ140" s="228">
        <f t="shared" si="30"/>
        <v>3314</v>
      </c>
      <c r="EK140" s="228">
        <f t="shared" si="31"/>
        <v>0</v>
      </c>
      <c r="EL140" s="230">
        <f>BS140+$BP140*TRP!$AN$246</f>
        <v>8</v>
      </c>
      <c r="EM140" s="228">
        <f t="shared" si="32"/>
        <v>23</v>
      </c>
      <c r="EN140" s="230">
        <f>BU140+$BP140*TRP!$AN$247</f>
        <v>2</v>
      </c>
    </row>
    <row r="141" spans="1:144" s="228" customFormat="1" ht="10.5" x14ac:dyDescent="0.25">
      <c r="A141" s="228" t="str">
        <f>TRP!C139</f>
        <v xml:space="preserve">GC31 </v>
      </c>
      <c r="B141" s="228" t="str">
        <f>TRP!B139</f>
        <v>INDUSTRIE PHARMACEUTIQUE</v>
      </c>
      <c r="C141" s="233">
        <f>TRP!A139</f>
        <v>12</v>
      </c>
      <c r="D141" s="228">
        <f t="shared" ref="D141:BO141" si="53">D17</f>
        <v>942</v>
      </c>
      <c r="E141" s="228">
        <f t="shared" si="53"/>
        <v>0</v>
      </c>
      <c r="F141" s="228">
        <f t="shared" si="53"/>
        <v>0</v>
      </c>
      <c r="G141" s="228">
        <f t="shared" si="53"/>
        <v>51</v>
      </c>
      <c r="H141" s="228">
        <f t="shared" si="53"/>
        <v>9</v>
      </c>
      <c r="I141" s="228">
        <f t="shared" si="53"/>
        <v>19</v>
      </c>
      <c r="J141" s="228">
        <f t="shared" si="53"/>
        <v>56</v>
      </c>
      <c r="K141" s="228">
        <f t="shared" si="53"/>
        <v>64</v>
      </c>
      <c r="L141" s="228">
        <f t="shared" si="53"/>
        <v>1</v>
      </c>
      <c r="M141" s="228">
        <f t="shared" si="53"/>
        <v>8</v>
      </c>
      <c r="N141" s="228">
        <f t="shared" si="53"/>
        <v>1</v>
      </c>
      <c r="O141" s="228">
        <f t="shared" si="53"/>
        <v>1</v>
      </c>
      <c r="P141" s="228">
        <f t="shared" si="53"/>
        <v>10186</v>
      </c>
      <c r="Q141" s="228">
        <f t="shared" si="53"/>
        <v>215</v>
      </c>
      <c r="R141" s="228">
        <f t="shared" si="53"/>
        <v>1</v>
      </c>
      <c r="S141" s="228">
        <f t="shared" si="53"/>
        <v>0</v>
      </c>
      <c r="T141" s="228">
        <f t="shared" si="53"/>
        <v>0</v>
      </c>
      <c r="U141" s="228">
        <f t="shared" si="53"/>
        <v>0</v>
      </c>
      <c r="V141" s="228">
        <f t="shared" si="53"/>
        <v>0</v>
      </c>
      <c r="W141" s="228">
        <f t="shared" si="53"/>
        <v>0</v>
      </c>
      <c r="X141" s="228">
        <f t="shared" si="53"/>
        <v>2</v>
      </c>
      <c r="Y141" s="228">
        <f t="shared" si="53"/>
        <v>1</v>
      </c>
      <c r="Z141" s="228">
        <f t="shared" si="53"/>
        <v>1</v>
      </c>
      <c r="AA141" s="228">
        <f t="shared" si="53"/>
        <v>0</v>
      </c>
      <c r="AB141" s="228">
        <f t="shared" si="53"/>
        <v>1</v>
      </c>
      <c r="AC141" s="228">
        <f t="shared" si="53"/>
        <v>0</v>
      </c>
      <c r="AD141" s="228">
        <f t="shared" si="53"/>
        <v>0</v>
      </c>
      <c r="AE141" s="228">
        <f t="shared" si="53"/>
        <v>0</v>
      </c>
      <c r="AF141" s="228">
        <f t="shared" si="53"/>
        <v>0</v>
      </c>
      <c r="AG141" s="228">
        <f t="shared" si="53"/>
        <v>0</v>
      </c>
      <c r="AH141" s="228">
        <f t="shared" si="53"/>
        <v>0</v>
      </c>
      <c r="AI141" s="228">
        <f t="shared" si="53"/>
        <v>0</v>
      </c>
      <c r="AJ141" s="228">
        <f t="shared" si="53"/>
        <v>1</v>
      </c>
      <c r="AK141" s="228">
        <f t="shared" si="53"/>
        <v>0</v>
      </c>
      <c r="AL141" s="228">
        <f t="shared" si="53"/>
        <v>0</v>
      </c>
      <c r="AM141" s="228">
        <f t="shared" si="53"/>
        <v>1</v>
      </c>
      <c r="AN141" s="228">
        <f t="shared" si="53"/>
        <v>2</v>
      </c>
      <c r="AO141" s="228">
        <f t="shared" si="53"/>
        <v>1</v>
      </c>
      <c r="AP141" s="228">
        <f t="shared" si="53"/>
        <v>1</v>
      </c>
      <c r="AQ141" s="228">
        <f t="shared" si="53"/>
        <v>0</v>
      </c>
      <c r="AR141" s="228">
        <f t="shared" si="53"/>
        <v>0</v>
      </c>
      <c r="AS141" s="228">
        <f t="shared" si="53"/>
        <v>1</v>
      </c>
      <c r="AT141" s="228">
        <f t="shared" si="53"/>
        <v>1</v>
      </c>
      <c r="AU141" s="228">
        <f t="shared" si="53"/>
        <v>1</v>
      </c>
      <c r="AV141" s="228">
        <f t="shared" si="53"/>
        <v>1</v>
      </c>
      <c r="AW141" s="228">
        <f t="shared" si="53"/>
        <v>1</v>
      </c>
      <c r="AX141" s="228">
        <f t="shared" si="53"/>
        <v>2</v>
      </c>
      <c r="AY141" s="228">
        <f t="shared" si="53"/>
        <v>1</v>
      </c>
      <c r="AZ141" s="228">
        <f t="shared" si="53"/>
        <v>0</v>
      </c>
      <c r="BA141" s="228">
        <f t="shared" si="53"/>
        <v>43</v>
      </c>
      <c r="BB141" s="228">
        <f t="shared" si="53"/>
        <v>204</v>
      </c>
      <c r="BC141" s="228">
        <f t="shared" si="53"/>
        <v>182</v>
      </c>
      <c r="BD141" s="228">
        <f t="shared" si="53"/>
        <v>0</v>
      </c>
      <c r="BE141" s="228">
        <f t="shared" si="53"/>
        <v>5</v>
      </c>
      <c r="BF141" s="228">
        <f t="shared" si="53"/>
        <v>17</v>
      </c>
      <c r="BG141" s="228">
        <f t="shared" si="53"/>
        <v>1</v>
      </c>
      <c r="BH141" s="228">
        <f t="shared" si="53"/>
        <v>0</v>
      </c>
      <c r="BI141" s="228">
        <f t="shared" si="53"/>
        <v>1</v>
      </c>
      <c r="BJ141" s="228">
        <f t="shared" si="53"/>
        <v>1</v>
      </c>
      <c r="BK141" s="228">
        <f t="shared" si="53"/>
        <v>0</v>
      </c>
      <c r="BL141" s="228">
        <f t="shared" si="53"/>
        <v>0</v>
      </c>
      <c r="BM141" s="228">
        <f t="shared" si="53"/>
        <v>2</v>
      </c>
      <c r="BN141" s="228">
        <f t="shared" si="53"/>
        <v>0</v>
      </c>
      <c r="BO141" s="228">
        <f t="shared" si="53"/>
        <v>0</v>
      </c>
      <c r="BP141" s="228">
        <f t="shared" ref="BP141:DP141" si="54">BP17</f>
        <v>0</v>
      </c>
      <c r="BQ141" s="228">
        <f t="shared" si="54"/>
        <v>0</v>
      </c>
      <c r="BR141" s="228">
        <f t="shared" si="54"/>
        <v>5</v>
      </c>
      <c r="BS141" s="228">
        <f t="shared" si="54"/>
        <v>1</v>
      </c>
      <c r="BT141" s="228">
        <f t="shared" si="54"/>
        <v>2</v>
      </c>
      <c r="BU141" s="228">
        <f t="shared" si="54"/>
        <v>1</v>
      </c>
      <c r="BV141" s="228">
        <f t="shared" si="54"/>
        <v>1</v>
      </c>
      <c r="BW141" s="228">
        <f t="shared" si="54"/>
        <v>1</v>
      </c>
      <c r="BX141" s="228">
        <f t="shared" si="54"/>
        <v>0</v>
      </c>
      <c r="BY141" s="228">
        <f t="shared" si="54"/>
        <v>2</v>
      </c>
      <c r="BZ141" s="228">
        <f t="shared" si="54"/>
        <v>28</v>
      </c>
      <c r="CA141" s="228">
        <f t="shared" si="54"/>
        <v>5</v>
      </c>
      <c r="CB141" s="228">
        <f t="shared" si="54"/>
        <v>1</v>
      </c>
      <c r="CC141" s="228">
        <f t="shared" si="54"/>
        <v>1</v>
      </c>
      <c r="CD141" s="228">
        <f t="shared" si="54"/>
        <v>0</v>
      </c>
      <c r="CE141" s="228">
        <f t="shared" si="54"/>
        <v>1</v>
      </c>
      <c r="CF141" s="228">
        <f t="shared" si="54"/>
        <v>1</v>
      </c>
      <c r="CG141" s="228">
        <f t="shared" si="54"/>
        <v>7</v>
      </c>
      <c r="CH141" s="228">
        <f t="shared" si="54"/>
        <v>0</v>
      </c>
      <c r="CI141" s="228">
        <f t="shared" si="54"/>
        <v>5</v>
      </c>
      <c r="CJ141" s="228">
        <f t="shared" si="54"/>
        <v>9</v>
      </c>
      <c r="CK141" s="228">
        <f t="shared" si="54"/>
        <v>6</v>
      </c>
      <c r="CL141" s="228">
        <f t="shared" si="54"/>
        <v>1</v>
      </c>
      <c r="CM141" s="228">
        <f t="shared" si="54"/>
        <v>1</v>
      </c>
      <c r="CN141" s="228">
        <f t="shared" si="54"/>
        <v>1</v>
      </c>
      <c r="CO141" s="228">
        <f t="shared" si="54"/>
        <v>3</v>
      </c>
      <c r="CP141" s="228">
        <f t="shared" si="54"/>
        <v>11</v>
      </c>
      <c r="CQ141" s="228">
        <f t="shared" si="54"/>
        <v>11</v>
      </c>
      <c r="CR141" s="228">
        <f t="shared" si="54"/>
        <v>2</v>
      </c>
      <c r="CS141" s="228">
        <f t="shared" si="54"/>
        <v>0</v>
      </c>
      <c r="CT141" s="228">
        <f t="shared" si="54"/>
        <v>6</v>
      </c>
      <c r="CU141" s="228">
        <f t="shared" si="54"/>
        <v>1</v>
      </c>
      <c r="CV141" s="228">
        <f t="shared" si="54"/>
        <v>7</v>
      </c>
      <c r="CW141" s="228">
        <f t="shared" si="54"/>
        <v>86</v>
      </c>
      <c r="CX141" s="228">
        <f t="shared" si="54"/>
        <v>1</v>
      </c>
      <c r="CY141" s="228">
        <f t="shared" si="54"/>
        <v>412</v>
      </c>
      <c r="CZ141" s="228">
        <f t="shared" si="54"/>
        <v>0</v>
      </c>
      <c r="DA141" s="228">
        <f t="shared" si="54"/>
        <v>5</v>
      </c>
      <c r="DB141" s="228">
        <f t="shared" si="54"/>
        <v>25</v>
      </c>
      <c r="DC141" s="228">
        <f t="shared" si="54"/>
        <v>8</v>
      </c>
      <c r="DD141" s="228">
        <f t="shared" si="54"/>
        <v>0</v>
      </c>
      <c r="DE141" s="228">
        <f t="shared" si="54"/>
        <v>67</v>
      </c>
      <c r="DF141" s="228">
        <f t="shared" si="54"/>
        <v>0</v>
      </c>
      <c r="DG141" s="228">
        <f t="shared" si="54"/>
        <v>29</v>
      </c>
      <c r="DH141" s="228">
        <f t="shared" si="54"/>
        <v>7</v>
      </c>
      <c r="DI141" s="228">
        <f t="shared" si="54"/>
        <v>2170</v>
      </c>
      <c r="DJ141" s="228">
        <f t="shared" si="54"/>
        <v>3079</v>
      </c>
      <c r="DK141" s="228">
        <f t="shared" si="54"/>
        <v>556</v>
      </c>
      <c r="DL141" s="228">
        <f t="shared" si="54"/>
        <v>400</v>
      </c>
      <c r="DM141" s="228">
        <f t="shared" si="54"/>
        <v>32</v>
      </c>
      <c r="DN141" s="228">
        <f t="shared" si="54"/>
        <v>20</v>
      </c>
      <c r="DO141" s="228">
        <f t="shared" si="54"/>
        <v>0</v>
      </c>
      <c r="DP141" s="232">
        <f t="shared" si="54"/>
        <v>19047</v>
      </c>
      <c r="DQ141" s="228">
        <f t="shared" si="17"/>
        <v>942</v>
      </c>
      <c r="DR141" s="228">
        <f t="shared" si="18"/>
        <v>200</v>
      </c>
      <c r="DS141" s="230">
        <f>SUM(X141:Y141)+(1-TRP!$AK$253)*AC141</f>
        <v>3</v>
      </c>
      <c r="DT141" s="228">
        <f t="shared" si="19"/>
        <v>1</v>
      </c>
      <c r="DU141" s="228">
        <f t="shared" si="20"/>
        <v>1</v>
      </c>
      <c r="DV141" s="228">
        <f t="shared" si="21"/>
        <v>1</v>
      </c>
      <c r="DW141" s="228">
        <f t="shared" si="22"/>
        <v>43</v>
      </c>
      <c r="DX141" s="228">
        <f t="shared" si="23"/>
        <v>204</v>
      </c>
      <c r="DY141" s="228">
        <f t="shared" si="24"/>
        <v>17</v>
      </c>
      <c r="DZ141" s="228">
        <f t="shared" si="25"/>
        <v>1</v>
      </c>
      <c r="EA141" s="228">
        <f t="shared" si="26"/>
        <v>0</v>
      </c>
      <c r="EB141" s="230">
        <f>TRP!$AK$253*$AC141+SUM(M141:W141,Z141:AB141,AD141:AR141,AU141:AX141,BC141:BE141,BI141:BN141,BQ141:BR141,BV141)</f>
        <v>10622</v>
      </c>
      <c r="EC141" s="228">
        <f t="shared" si="27"/>
        <v>1</v>
      </c>
      <c r="ED141" s="230">
        <f>CB141+$CI141*TRP!$AV$248</f>
        <v>1.1550212512576228</v>
      </c>
      <c r="EE141" s="228">
        <f t="shared" si="28"/>
        <v>1</v>
      </c>
      <c r="EF141" s="230">
        <f>CD141+$CI141*TRP!$AV$249</f>
        <v>3.4659789218029986</v>
      </c>
      <c r="EG141" s="230">
        <f>CE141+$CI141*TRP!$AV$250</f>
        <v>2.0109673502072329</v>
      </c>
      <c r="EH141" s="230">
        <f>CF141+$CI141*TRP!$AV$251</f>
        <v>1.3680324767321461</v>
      </c>
      <c r="EI141" s="228">
        <f t="shared" si="29"/>
        <v>3860</v>
      </c>
      <c r="EJ141" s="228">
        <f t="shared" si="30"/>
        <v>3138</v>
      </c>
      <c r="EK141" s="228">
        <f t="shared" si="31"/>
        <v>0</v>
      </c>
      <c r="EL141" s="230">
        <f>BS141+$BP141*TRP!$AN$246</f>
        <v>1</v>
      </c>
      <c r="EM141" s="228">
        <f t="shared" si="32"/>
        <v>2</v>
      </c>
      <c r="EN141" s="230">
        <f>BU141+$BP141*TRP!$AN$247</f>
        <v>1</v>
      </c>
    </row>
    <row r="142" spans="1:144" s="228" customFormat="1" ht="10.5" x14ac:dyDescent="0.25">
      <c r="A142" s="228" t="str">
        <f>TRP!C140</f>
        <v xml:space="preserve">GC32 </v>
      </c>
      <c r="B142" s="228" t="str">
        <f>TRP!B140</f>
        <v>FABRICATION DE SAVONS  DE PARFUM ET DE P</v>
      </c>
      <c r="C142" s="233">
        <f>TRP!A140</f>
        <v>12</v>
      </c>
      <c r="D142" s="228">
        <f t="shared" ref="D142:BO142" si="55">D18</f>
        <v>211</v>
      </c>
      <c r="E142" s="228">
        <f t="shared" si="55"/>
        <v>4</v>
      </c>
      <c r="F142" s="228">
        <f t="shared" si="55"/>
        <v>0</v>
      </c>
      <c r="G142" s="228">
        <f t="shared" si="55"/>
        <v>26</v>
      </c>
      <c r="H142" s="228">
        <f t="shared" si="55"/>
        <v>18</v>
      </c>
      <c r="I142" s="228">
        <f t="shared" si="55"/>
        <v>9</v>
      </c>
      <c r="J142" s="228">
        <f t="shared" si="55"/>
        <v>30</v>
      </c>
      <c r="K142" s="228">
        <f t="shared" si="55"/>
        <v>36</v>
      </c>
      <c r="L142" s="228">
        <f t="shared" si="55"/>
        <v>0</v>
      </c>
      <c r="M142" s="228">
        <f t="shared" si="55"/>
        <v>0</v>
      </c>
      <c r="N142" s="228">
        <f t="shared" si="55"/>
        <v>0</v>
      </c>
      <c r="O142" s="228">
        <f t="shared" si="55"/>
        <v>6</v>
      </c>
      <c r="P142" s="228">
        <f t="shared" si="55"/>
        <v>27</v>
      </c>
      <c r="Q142" s="228">
        <f t="shared" si="55"/>
        <v>1905</v>
      </c>
      <c r="R142" s="228">
        <f t="shared" si="55"/>
        <v>6</v>
      </c>
      <c r="S142" s="228">
        <f t="shared" si="55"/>
        <v>0</v>
      </c>
      <c r="T142" s="228">
        <f t="shared" si="55"/>
        <v>2</v>
      </c>
      <c r="U142" s="228">
        <f t="shared" si="55"/>
        <v>2</v>
      </c>
      <c r="V142" s="228">
        <f t="shared" si="55"/>
        <v>2</v>
      </c>
      <c r="W142" s="228">
        <f t="shared" si="55"/>
        <v>3</v>
      </c>
      <c r="X142" s="228">
        <f t="shared" si="55"/>
        <v>7</v>
      </c>
      <c r="Y142" s="228">
        <f t="shared" si="55"/>
        <v>20</v>
      </c>
      <c r="Z142" s="228">
        <f t="shared" si="55"/>
        <v>2</v>
      </c>
      <c r="AA142" s="228">
        <f t="shared" si="55"/>
        <v>0</v>
      </c>
      <c r="AB142" s="228">
        <f t="shared" si="55"/>
        <v>0</v>
      </c>
      <c r="AC142" s="228">
        <f t="shared" si="55"/>
        <v>2</v>
      </c>
      <c r="AD142" s="228">
        <f t="shared" si="55"/>
        <v>5</v>
      </c>
      <c r="AE142" s="228">
        <f t="shared" si="55"/>
        <v>0</v>
      </c>
      <c r="AF142" s="228">
        <f t="shared" si="55"/>
        <v>18</v>
      </c>
      <c r="AG142" s="228">
        <f t="shared" si="55"/>
        <v>1</v>
      </c>
      <c r="AH142" s="228">
        <f t="shared" si="55"/>
        <v>4</v>
      </c>
      <c r="AI142" s="228">
        <f t="shared" si="55"/>
        <v>0</v>
      </c>
      <c r="AJ142" s="228">
        <f t="shared" si="55"/>
        <v>1</v>
      </c>
      <c r="AK142" s="228">
        <f t="shared" si="55"/>
        <v>2</v>
      </c>
      <c r="AL142" s="228">
        <f t="shared" si="55"/>
        <v>3</v>
      </c>
      <c r="AM142" s="228">
        <f t="shared" si="55"/>
        <v>6</v>
      </c>
      <c r="AN142" s="228">
        <f t="shared" si="55"/>
        <v>11</v>
      </c>
      <c r="AO142" s="228">
        <f t="shared" si="55"/>
        <v>4</v>
      </c>
      <c r="AP142" s="228">
        <f t="shared" si="55"/>
        <v>20</v>
      </c>
      <c r="AQ142" s="228">
        <f t="shared" si="55"/>
        <v>0</v>
      </c>
      <c r="AR142" s="228">
        <f t="shared" si="55"/>
        <v>0</v>
      </c>
      <c r="AS142" s="228">
        <f t="shared" si="55"/>
        <v>1</v>
      </c>
      <c r="AT142" s="228">
        <f t="shared" si="55"/>
        <v>9</v>
      </c>
      <c r="AU142" s="228">
        <f t="shared" si="55"/>
        <v>7</v>
      </c>
      <c r="AV142" s="228">
        <f t="shared" si="55"/>
        <v>18</v>
      </c>
      <c r="AW142" s="228">
        <f t="shared" si="55"/>
        <v>14</v>
      </c>
      <c r="AX142" s="228">
        <f t="shared" si="55"/>
        <v>7</v>
      </c>
      <c r="AY142" s="228">
        <f t="shared" si="55"/>
        <v>10</v>
      </c>
      <c r="AZ142" s="228">
        <f t="shared" si="55"/>
        <v>7</v>
      </c>
      <c r="BA142" s="228">
        <f t="shared" si="55"/>
        <v>4</v>
      </c>
      <c r="BB142" s="228">
        <f t="shared" si="55"/>
        <v>12</v>
      </c>
      <c r="BC142" s="228">
        <f t="shared" si="55"/>
        <v>19</v>
      </c>
      <c r="BD142" s="228">
        <f t="shared" si="55"/>
        <v>2</v>
      </c>
      <c r="BE142" s="228">
        <f t="shared" si="55"/>
        <v>42</v>
      </c>
      <c r="BF142" s="228">
        <f t="shared" si="55"/>
        <v>44</v>
      </c>
      <c r="BG142" s="228">
        <f t="shared" si="55"/>
        <v>13</v>
      </c>
      <c r="BH142" s="228">
        <f t="shared" si="55"/>
        <v>1</v>
      </c>
      <c r="BI142" s="228">
        <f t="shared" si="55"/>
        <v>8</v>
      </c>
      <c r="BJ142" s="228">
        <f t="shared" si="55"/>
        <v>20</v>
      </c>
      <c r="BK142" s="228">
        <f t="shared" si="55"/>
        <v>17</v>
      </c>
      <c r="BL142" s="228">
        <f t="shared" si="55"/>
        <v>0</v>
      </c>
      <c r="BM142" s="228">
        <f t="shared" si="55"/>
        <v>30</v>
      </c>
      <c r="BN142" s="228">
        <f t="shared" si="55"/>
        <v>6</v>
      </c>
      <c r="BO142" s="228">
        <f t="shared" si="55"/>
        <v>0</v>
      </c>
      <c r="BP142" s="228">
        <f t="shared" ref="BP142:DP142" si="56">BP18</f>
        <v>0</v>
      </c>
      <c r="BQ142" s="228">
        <f t="shared" si="56"/>
        <v>0</v>
      </c>
      <c r="BR142" s="228">
        <f t="shared" si="56"/>
        <v>5</v>
      </c>
      <c r="BS142" s="228">
        <f t="shared" si="56"/>
        <v>9</v>
      </c>
      <c r="BT142" s="228">
        <f t="shared" si="56"/>
        <v>3</v>
      </c>
      <c r="BU142" s="228">
        <f t="shared" si="56"/>
        <v>0</v>
      </c>
      <c r="BV142" s="228">
        <f t="shared" si="56"/>
        <v>1</v>
      </c>
      <c r="BW142" s="228">
        <f t="shared" si="56"/>
        <v>0</v>
      </c>
      <c r="BX142" s="228">
        <f t="shared" si="56"/>
        <v>0</v>
      </c>
      <c r="BY142" s="228">
        <f t="shared" si="56"/>
        <v>7</v>
      </c>
      <c r="BZ142" s="228">
        <f t="shared" si="56"/>
        <v>8</v>
      </c>
      <c r="CA142" s="228">
        <f t="shared" si="56"/>
        <v>28</v>
      </c>
      <c r="CB142" s="228">
        <f t="shared" si="56"/>
        <v>1</v>
      </c>
      <c r="CC142" s="228">
        <f t="shared" si="56"/>
        <v>1</v>
      </c>
      <c r="CD142" s="228">
        <f t="shared" si="56"/>
        <v>1</v>
      </c>
      <c r="CE142" s="228">
        <f t="shared" si="56"/>
        <v>1</v>
      </c>
      <c r="CF142" s="228">
        <f t="shared" si="56"/>
        <v>1</v>
      </c>
      <c r="CG142" s="228">
        <f t="shared" si="56"/>
        <v>0</v>
      </c>
      <c r="CH142" s="228">
        <f t="shared" si="56"/>
        <v>0</v>
      </c>
      <c r="CI142" s="228">
        <f t="shared" si="56"/>
        <v>6</v>
      </c>
      <c r="CJ142" s="228">
        <f t="shared" si="56"/>
        <v>2</v>
      </c>
      <c r="CK142" s="228">
        <f t="shared" si="56"/>
        <v>2</v>
      </c>
      <c r="CL142" s="228">
        <f t="shared" si="56"/>
        <v>0</v>
      </c>
      <c r="CM142" s="228">
        <f t="shared" si="56"/>
        <v>3</v>
      </c>
      <c r="CN142" s="228">
        <f t="shared" si="56"/>
        <v>1</v>
      </c>
      <c r="CO142" s="228">
        <f t="shared" si="56"/>
        <v>8</v>
      </c>
      <c r="CP142" s="228">
        <f t="shared" si="56"/>
        <v>66</v>
      </c>
      <c r="CQ142" s="228">
        <f t="shared" si="56"/>
        <v>28</v>
      </c>
      <c r="CR142" s="228">
        <f t="shared" si="56"/>
        <v>4</v>
      </c>
      <c r="CS142" s="228">
        <f t="shared" si="56"/>
        <v>0</v>
      </c>
      <c r="CT142" s="228">
        <f t="shared" si="56"/>
        <v>3</v>
      </c>
      <c r="CU142" s="228">
        <f t="shared" si="56"/>
        <v>3</v>
      </c>
      <c r="CV142" s="228">
        <f t="shared" si="56"/>
        <v>2</v>
      </c>
      <c r="CW142" s="228">
        <f t="shared" si="56"/>
        <v>78</v>
      </c>
      <c r="CX142" s="228">
        <f t="shared" si="56"/>
        <v>3</v>
      </c>
      <c r="CY142" s="228">
        <f t="shared" si="56"/>
        <v>25</v>
      </c>
      <c r="CZ142" s="228">
        <f t="shared" si="56"/>
        <v>6</v>
      </c>
      <c r="DA142" s="228">
        <f t="shared" si="56"/>
        <v>87</v>
      </c>
      <c r="DB142" s="228">
        <f t="shared" si="56"/>
        <v>48</v>
      </c>
      <c r="DC142" s="228">
        <f t="shared" si="56"/>
        <v>9</v>
      </c>
      <c r="DD142" s="228">
        <f t="shared" si="56"/>
        <v>56</v>
      </c>
      <c r="DE142" s="228">
        <f t="shared" si="56"/>
        <v>285</v>
      </c>
      <c r="DF142" s="228">
        <f t="shared" si="56"/>
        <v>0</v>
      </c>
      <c r="DG142" s="228">
        <f t="shared" si="56"/>
        <v>39</v>
      </c>
      <c r="DH142" s="228">
        <f t="shared" si="56"/>
        <v>173</v>
      </c>
      <c r="DI142" s="228">
        <f t="shared" si="56"/>
        <v>86</v>
      </c>
      <c r="DJ142" s="228">
        <f t="shared" si="56"/>
        <v>84</v>
      </c>
      <c r="DK142" s="228">
        <f t="shared" si="56"/>
        <v>18</v>
      </c>
      <c r="DL142" s="228">
        <f t="shared" si="56"/>
        <v>22</v>
      </c>
      <c r="DM142" s="228">
        <f t="shared" si="56"/>
        <v>18</v>
      </c>
      <c r="DN142" s="228">
        <f t="shared" si="56"/>
        <v>222</v>
      </c>
      <c r="DO142" s="228">
        <f t="shared" si="56"/>
        <v>3</v>
      </c>
      <c r="DP142" s="232">
        <f t="shared" si="56"/>
        <v>4140</v>
      </c>
      <c r="DQ142" s="228">
        <f t="shared" si="17"/>
        <v>215</v>
      </c>
      <c r="DR142" s="228">
        <f t="shared" si="18"/>
        <v>119</v>
      </c>
      <c r="DS142" s="230">
        <f>SUM(X142:Y142)+(1-TRP!$AK$253)*AC142</f>
        <v>28.4</v>
      </c>
      <c r="DT142" s="228">
        <f t="shared" si="19"/>
        <v>1</v>
      </c>
      <c r="DU142" s="228">
        <f t="shared" si="20"/>
        <v>9</v>
      </c>
      <c r="DV142" s="228">
        <f t="shared" si="21"/>
        <v>17</v>
      </c>
      <c r="DW142" s="228">
        <f t="shared" si="22"/>
        <v>4</v>
      </c>
      <c r="DX142" s="228">
        <f t="shared" si="23"/>
        <v>12</v>
      </c>
      <c r="DY142" s="228">
        <f t="shared" si="24"/>
        <v>44</v>
      </c>
      <c r="DZ142" s="228">
        <f t="shared" si="25"/>
        <v>13</v>
      </c>
      <c r="EA142" s="228">
        <f t="shared" si="26"/>
        <v>1</v>
      </c>
      <c r="EB142" s="230">
        <f>TRP!$AK$253*$AC142+SUM(M142:W142,Z142:AB142,AD142:AR142,AU142:AX142,BC142:BE142,BI142:BN142,BQ142:BR142,BV142)</f>
        <v>2226.6</v>
      </c>
      <c r="EC142" s="228">
        <f t="shared" si="27"/>
        <v>0</v>
      </c>
      <c r="ED142" s="230">
        <f>CB142+$CI142*TRP!$AV$248</f>
        <v>1.1860255015091472</v>
      </c>
      <c r="EE142" s="228">
        <f t="shared" si="28"/>
        <v>1</v>
      </c>
      <c r="EF142" s="230">
        <f>CD142+$CI142*TRP!$AV$249</f>
        <v>5.159174706163598</v>
      </c>
      <c r="EG142" s="230">
        <f>CE142+$CI142*TRP!$AV$250</f>
        <v>2.2131608202486794</v>
      </c>
      <c r="EH142" s="230">
        <f>CF142+$CI142*TRP!$AV$251</f>
        <v>1.4416389720785754</v>
      </c>
      <c r="EI142" s="228">
        <f t="shared" si="29"/>
        <v>921</v>
      </c>
      <c r="EJ142" s="228">
        <f t="shared" si="30"/>
        <v>506</v>
      </c>
      <c r="EK142" s="228">
        <f t="shared" si="31"/>
        <v>0</v>
      </c>
      <c r="EL142" s="230">
        <f>BS142+$BP142*TRP!$AN$246</f>
        <v>9</v>
      </c>
      <c r="EM142" s="228">
        <f t="shared" si="32"/>
        <v>3</v>
      </c>
      <c r="EN142" s="230">
        <f>BU142+$BP142*TRP!$AN$247</f>
        <v>0</v>
      </c>
    </row>
    <row r="143" spans="1:144" s="228" customFormat="1" ht="10.5" x14ac:dyDescent="0.25">
      <c r="A143" s="228" t="str">
        <f>TRP!C141</f>
        <v xml:space="preserve">GC41 </v>
      </c>
      <c r="B143" s="228" t="str">
        <f>TRP!B141</f>
        <v>FABRICATION DE MEUBLES</v>
      </c>
      <c r="C143" s="233">
        <f>TRP!A141</f>
        <v>12</v>
      </c>
      <c r="D143" s="228">
        <f t="shared" ref="D143:BO143" si="57">D19</f>
        <v>0</v>
      </c>
      <c r="E143" s="228">
        <f t="shared" si="57"/>
        <v>0</v>
      </c>
      <c r="F143" s="228">
        <f t="shared" si="57"/>
        <v>0</v>
      </c>
      <c r="G143" s="228">
        <f t="shared" si="57"/>
        <v>4</v>
      </c>
      <c r="H143" s="228">
        <f t="shared" si="57"/>
        <v>6</v>
      </c>
      <c r="I143" s="228">
        <f t="shared" si="57"/>
        <v>1</v>
      </c>
      <c r="J143" s="228">
        <f t="shared" si="57"/>
        <v>6</v>
      </c>
      <c r="K143" s="228">
        <f t="shared" si="57"/>
        <v>35</v>
      </c>
      <c r="L143" s="228">
        <f t="shared" si="57"/>
        <v>0</v>
      </c>
      <c r="M143" s="228">
        <f t="shared" si="57"/>
        <v>20</v>
      </c>
      <c r="N143" s="228">
        <f t="shared" si="57"/>
        <v>0</v>
      </c>
      <c r="O143" s="228">
        <f t="shared" si="57"/>
        <v>20</v>
      </c>
      <c r="P143" s="228">
        <f t="shared" si="57"/>
        <v>45</v>
      </c>
      <c r="Q143" s="228">
        <f t="shared" si="57"/>
        <v>3</v>
      </c>
      <c r="R143" s="228">
        <f t="shared" si="57"/>
        <v>583</v>
      </c>
      <c r="S143" s="228">
        <f t="shared" si="57"/>
        <v>3</v>
      </c>
      <c r="T143" s="228">
        <f t="shared" si="57"/>
        <v>12</v>
      </c>
      <c r="U143" s="228">
        <f t="shared" si="57"/>
        <v>4</v>
      </c>
      <c r="V143" s="228">
        <f t="shared" si="57"/>
        <v>6</v>
      </c>
      <c r="W143" s="228">
        <f t="shared" si="57"/>
        <v>9</v>
      </c>
      <c r="X143" s="228">
        <f t="shared" si="57"/>
        <v>1580</v>
      </c>
      <c r="Y143" s="228">
        <f t="shared" si="57"/>
        <v>268</v>
      </c>
      <c r="Z143" s="228">
        <f t="shared" si="57"/>
        <v>10</v>
      </c>
      <c r="AA143" s="228">
        <f t="shared" si="57"/>
        <v>17</v>
      </c>
      <c r="AB143" s="228">
        <f t="shared" si="57"/>
        <v>109</v>
      </c>
      <c r="AC143" s="228">
        <f t="shared" si="57"/>
        <v>9</v>
      </c>
      <c r="AD143" s="228">
        <f t="shared" si="57"/>
        <v>19</v>
      </c>
      <c r="AE143" s="228">
        <f t="shared" si="57"/>
        <v>11</v>
      </c>
      <c r="AF143" s="228">
        <f t="shared" si="57"/>
        <v>32</v>
      </c>
      <c r="AG143" s="228">
        <f t="shared" si="57"/>
        <v>57</v>
      </c>
      <c r="AH143" s="228">
        <f t="shared" si="57"/>
        <v>11</v>
      </c>
      <c r="AI143" s="228">
        <f t="shared" si="57"/>
        <v>6</v>
      </c>
      <c r="AJ143" s="228">
        <f t="shared" si="57"/>
        <v>32</v>
      </c>
      <c r="AK143" s="228">
        <f t="shared" si="57"/>
        <v>2</v>
      </c>
      <c r="AL143" s="228">
        <f t="shared" si="57"/>
        <v>3</v>
      </c>
      <c r="AM143" s="228">
        <f t="shared" si="57"/>
        <v>2</v>
      </c>
      <c r="AN143" s="228">
        <f t="shared" si="57"/>
        <v>22</v>
      </c>
      <c r="AO143" s="228">
        <f t="shared" si="57"/>
        <v>5</v>
      </c>
      <c r="AP143" s="228">
        <f t="shared" si="57"/>
        <v>24</v>
      </c>
      <c r="AQ143" s="228">
        <f t="shared" si="57"/>
        <v>0</v>
      </c>
      <c r="AR143" s="228">
        <f t="shared" si="57"/>
        <v>2</v>
      </c>
      <c r="AS143" s="228">
        <f t="shared" si="57"/>
        <v>8</v>
      </c>
      <c r="AT143" s="228">
        <f t="shared" si="57"/>
        <v>34</v>
      </c>
      <c r="AU143" s="228">
        <f t="shared" si="57"/>
        <v>8</v>
      </c>
      <c r="AV143" s="228">
        <f t="shared" si="57"/>
        <v>4</v>
      </c>
      <c r="AW143" s="228">
        <f t="shared" si="57"/>
        <v>3</v>
      </c>
      <c r="AX143" s="228">
        <f t="shared" si="57"/>
        <v>25</v>
      </c>
      <c r="AY143" s="228">
        <f t="shared" si="57"/>
        <v>16</v>
      </c>
      <c r="AZ143" s="228">
        <f t="shared" si="57"/>
        <v>11</v>
      </c>
      <c r="BA143" s="228">
        <f t="shared" si="57"/>
        <v>13</v>
      </c>
      <c r="BB143" s="228">
        <f t="shared" si="57"/>
        <v>0</v>
      </c>
      <c r="BC143" s="228">
        <f t="shared" si="57"/>
        <v>13</v>
      </c>
      <c r="BD143" s="228">
        <f t="shared" si="57"/>
        <v>0</v>
      </c>
      <c r="BE143" s="228">
        <f t="shared" si="57"/>
        <v>2</v>
      </c>
      <c r="BF143" s="228">
        <f t="shared" si="57"/>
        <v>8</v>
      </c>
      <c r="BG143" s="228">
        <f t="shared" si="57"/>
        <v>2</v>
      </c>
      <c r="BH143" s="228">
        <f t="shared" si="57"/>
        <v>2</v>
      </c>
      <c r="BI143" s="228">
        <f t="shared" si="57"/>
        <v>1</v>
      </c>
      <c r="BJ143" s="228">
        <f t="shared" si="57"/>
        <v>2</v>
      </c>
      <c r="BK143" s="228">
        <f t="shared" si="57"/>
        <v>4</v>
      </c>
      <c r="BL143" s="228">
        <f t="shared" si="57"/>
        <v>0</v>
      </c>
      <c r="BM143" s="228">
        <f t="shared" si="57"/>
        <v>71</v>
      </c>
      <c r="BN143" s="228">
        <f t="shared" si="57"/>
        <v>10</v>
      </c>
      <c r="BO143" s="228">
        <f t="shared" si="57"/>
        <v>0</v>
      </c>
      <c r="BP143" s="228">
        <f t="shared" ref="BP143:DP143" si="58">BP19</f>
        <v>0</v>
      </c>
      <c r="BQ143" s="228">
        <f t="shared" si="58"/>
        <v>0</v>
      </c>
      <c r="BR143" s="228">
        <f t="shared" si="58"/>
        <v>0</v>
      </c>
      <c r="BS143" s="228">
        <f t="shared" si="58"/>
        <v>12</v>
      </c>
      <c r="BT143" s="228">
        <f t="shared" si="58"/>
        <v>5</v>
      </c>
      <c r="BU143" s="228">
        <f t="shared" si="58"/>
        <v>1</v>
      </c>
      <c r="BV143" s="228">
        <f t="shared" si="58"/>
        <v>2</v>
      </c>
      <c r="BW143" s="228">
        <f t="shared" si="58"/>
        <v>76</v>
      </c>
      <c r="BX143" s="228">
        <f t="shared" si="58"/>
        <v>27</v>
      </c>
      <c r="BY143" s="228">
        <f t="shared" si="58"/>
        <v>30</v>
      </c>
      <c r="BZ143" s="228">
        <f t="shared" si="58"/>
        <v>75</v>
      </c>
      <c r="CA143" s="228">
        <f t="shared" si="58"/>
        <v>177</v>
      </c>
      <c r="CB143" s="228">
        <f t="shared" si="58"/>
        <v>1</v>
      </c>
      <c r="CC143" s="228">
        <f t="shared" si="58"/>
        <v>2</v>
      </c>
      <c r="CD143" s="228">
        <f t="shared" si="58"/>
        <v>1</v>
      </c>
      <c r="CE143" s="228">
        <f t="shared" si="58"/>
        <v>0</v>
      </c>
      <c r="CF143" s="228">
        <f t="shared" si="58"/>
        <v>0</v>
      </c>
      <c r="CG143" s="228">
        <f t="shared" si="58"/>
        <v>21</v>
      </c>
      <c r="CH143" s="228">
        <f t="shared" si="58"/>
        <v>0</v>
      </c>
      <c r="CI143" s="228">
        <f t="shared" si="58"/>
        <v>8</v>
      </c>
      <c r="CJ143" s="228">
        <f t="shared" si="58"/>
        <v>97</v>
      </c>
      <c r="CK143" s="228">
        <f t="shared" si="58"/>
        <v>26</v>
      </c>
      <c r="CL143" s="228">
        <f t="shared" si="58"/>
        <v>15</v>
      </c>
      <c r="CM143" s="228">
        <f t="shared" si="58"/>
        <v>4</v>
      </c>
      <c r="CN143" s="228">
        <f t="shared" si="58"/>
        <v>12</v>
      </c>
      <c r="CO143" s="228">
        <f t="shared" si="58"/>
        <v>24</v>
      </c>
      <c r="CP143" s="228">
        <f t="shared" si="58"/>
        <v>34</v>
      </c>
      <c r="CQ143" s="228">
        <f t="shared" si="58"/>
        <v>24</v>
      </c>
      <c r="CR143" s="228">
        <f t="shared" si="58"/>
        <v>23</v>
      </c>
      <c r="CS143" s="228">
        <f t="shared" si="58"/>
        <v>6</v>
      </c>
      <c r="CT143" s="228">
        <f t="shared" si="58"/>
        <v>36</v>
      </c>
      <c r="CU143" s="228">
        <f t="shared" si="58"/>
        <v>10</v>
      </c>
      <c r="CV143" s="228">
        <f t="shared" si="58"/>
        <v>2</v>
      </c>
      <c r="CW143" s="228">
        <f t="shared" si="58"/>
        <v>101</v>
      </c>
      <c r="CX143" s="228">
        <f t="shared" si="58"/>
        <v>3</v>
      </c>
      <c r="CY143" s="228">
        <f t="shared" si="58"/>
        <v>27</v>
      </c>
      <c r="CZ143" s="228">
        <f t="shared" si="58"/>
        <v>1</v>
      </c>
      <c r="DA143" s="228">
        <f t="shared" si="58"/>
        <v>207</v>
      </c>
      <c r="DB143" s="228">
        <f t="shared" si="58"/>
        <v>112</v>
      </c>
      <c r="DC143" s="228">
        <f t="shared" si="58"/>
        <v>110</v>
      </c>
      <c r="DD143" s="228">
        <f t="shared" si="58"/>
        <v>111</v>
      </c>
      <c r="DE143" s="228">
        <f t="shared" si="58"/>
        <v>30</v>
      </c>
      <c r="DF143" s="228">
        <f t="shared" si="58"/>
        <v>0</v>
      </c>
      <c r="DG143" s="228">
        <f t="shared" si="58"/>
        <v>36</v>
      </c>
      <c r="DH143" s="228">
        <f t="shared" si="58"/>
        <v>28</v>
      </c>
      <c r="DI143" s="228">
        <f t="shared" si="58"/>
        <v>181</v>
      </c>
      <c r="DJ143" s="228">
        <f t="shared" si="58"/>
        <v>255</v>
      </c>
      <c r="DK143" s="228">
        <f t="shared" si="58"/>
        <v>2</v>
      </c>
      <c r="DL143" s="228">
        <f t="shared" si="58"/>
        <v>106</v>
      </c>
      <c r="DM143" s="228">
        <f t="shared" si="58"/>
        <v>42</v>
      </c>
      <c r="DN143" s="228">
        <f t="shared" si="58"/>
        <v>384</v>
      </c>
      <c r="DO143" s="228">
        <f t="shared" si="58"/>
        <v>6</v>
      </c>
      <c r="DP143" s="232">
        <f t="shared" si="58"/>
        <v>5708</v>
      </c>
      <c r="DQ143" s="228">
        <f t="shared" si="17"/>
        <v>0</v>
      </c>
      <c r="DR143" s="228">
        <f t="shared" si="18"/>
        <v>52</v>
      </c>
      <c r="DS143" s="230">
        <f>SUM(X143:Y143)+(1-TRP!$AK$253)*AC143</f>
        <v>1854.3</v>
      </c>
      <c r="DT143" s="228">
        <f t="shared" si="19"/>
        <v>8</v>
      </c>
      <c r="DU143" s="228">
        <f t="shared" si="20"/>
        <v>34</v>
      </c>
      <c r="DV143" s="228">
        <f t="shared" si="21"/>
        <v>27</v>
      </c>
      <c r="DW143" s="228">
        <f t="shared" si="22"/>
        <v>13</v>
      </c>
      <c r="DX143" s="228">
        <f t="shared" si="23"/>
        <v>0</v>
      </c>
      <c r="DY143" s="228">
        <f t="shared" si="24"/>
        <v>8</v>
      </c>
      <c r="DZ143" s="228">
        <f t="shared" si="25"/>
        <v>2</v>
      </c>
      <c r="EA143" s="228">
        <f t="shared" si="26"/>
        <v>2</v>
      </c>
      <c r="EB143" s="230">
        <f>TRP!$AK$253*$AC143+SUM(M143:W143,Z143:AB143,AD143:AR143,AU143:AX143,BC143:BE143,BI143:BN143,BQ143:BR143,BV143)</f>
        <v>1216.7</v>
      </c>
      <c r="EC143" s="228">
        <f t="shared" si="27"/>
        <v>103</v>
      </c>
      <c r="ED143" s="230">
        <f>CB143+$CI143*TRP!$AV$248</f>
        <v>1.2480340020121963</v>
      </c>
      <c r="EE143" s="228">
        <f t="shared" si="28"/>
        <v>2</v>
      </c>
      <c r="EF143" s="230">
        <f>CD143+$CI143*TRP!$AV$249</f>
        <v>6.5455662748847976</v>
      </c>
      <c r="EG143" s="230">
        <f>CE143+$CI143*TRP!$AV$250</f>
        <v>1.6175477603315724</v>
      </c>
      <c r="EH143" s="230">
        <f>CF143+$CI143*TRP!$AV$251</f>
        <v>0.58885196277143392</v>
      </c>
      <c r="EI143" s="228">
        <f t="shared" si="29"/>
        <v>1642</v>
      </c>
      <c r="EJ143" s="228">
        <f t="shared" si="30"/>
        <v>716</v>
      </c>
      <c r="EK143" s="228">
        <f t="shared" si="31"/>
        <v>0</v>
      </c>
      <c r="EL143" s="230">
        <f>BS143+$BP143*TRP!$AN$246</f>
        <v>12</v>
      </c>
      <c r="EM143" s="228">
        <f t="shared" si="32"/>
        <v>5</v>
      </c>
      <c r="EN143" s="230">
        <f>BU143+$BP143*TRP!$AN$247</f>
        <v>1</v>
      </c>
    </row>
    <row r="144" spans="1:144" s="228" customFormat="1" ht="10.5" x14ac:dyDescent="0.25">
      <c r="A144" s="228" t="str">
        <f>TRP!C142</f>
        <v xml:space="preserve">GC42 </v>
      </c>
      <c r="B144" s="228" t="str">
        <f>TRP!B142</f>
        <v xml:space="preserve">BIJOUTERIE ET FABRICATION D INSTRUMENTS </v>
      </c>
      <c r="C144" s="233">
        <f>TRP!A142</f>
        <v>12</v>
      </c>
      <c r="D144" s="228">
        <f t="shared" ref="D144:BO144" si="59">D20</f>
        <v>0</v>
      </c>
      <c r="E144" s="228">
        <f t="shared" si="59"/>
        <v>0</v>
      </c>
      <c r="F144" s="228">
        <f t="shared" si="59"/>
        <v>0</v>
      </c>
      <c r="G144" s="228">
        <f t="shared" si="59"/>
        <v>0</v>
      </c>
      <c r="H144" s="228">
        <f t="shared" si="59"/>
        <v>0</v>
      </c>
      <c r="I144" s="228">
        <f t="shared" si="59"/>
        <v>0</v>
      </c>
      <c r="J144" s="228">
        <f t="shared" si="59"/>
        <v>0</v>
      </c>
      <c r="K144" s="228">
        <f t="shared" si="59"/>
        <v>0</v>
      </c>
      <c r="L144" s="228">
        <f t="shared" si="59"/>
        <v>0</v>
      </c>
      <c r="M144" s="228">
        <f t="shared" si="59"/>
        <v>0</v>
      </c>
      <c r="N144" s="228">
        <f t="shared" si="59"/>
        <v>0</v>
      </c>
      <c r="O144" s="228">
        <f t="shared" si="59"/>
        <v>0</v>
      </c>
      <c r="P144" s="228">
        <f t="shared" si="59"/>
        <v>0</v>
      </c>
      <c r="Q144" s="228">
        <f t="shared" si="59"/>
        <v>0</v>
      </c>
      <c r="R144" s="228">
        <f t="shared" si="59"/>
        <v>0</v>
      </c>
      <c r="S144" s="228">
        <f t="shared" si="59"/>
        <v>376</v>
      </c>
      <c r="T144" s="228">
        <f t="shared" si="59"/>
        <v>0</v>
      </c>
      <c r="U144" s="228">
        <f t="shared" si="59"/>
        <v>0</v>
      </c>
      <c r="V144" s="228">
        <f t="shared" si="59"/>
        <v>0</v>
      </c>
      <c r="W144" s="228">
        <f t="shared" si="59"/>
        <v>0</v>
      </c>
      <c r="X144" s="228">
        <f t="shared" si="59"/>
        <v>0</v>
      </c>
      <c r="Y144" s="228">
        <f t="shared" si="59"/>
        <v>0</v>
      </c>
      <c r="Z144" s="228">
        <f t="shared" si="59"/>
        <v>0</v>
      </c>
      <c r="AA144" s="228">
        <f t="shared" si="59"/>
        <v>0</v>
      </c>
      <c r="AB144" s="228">
        <f t="shared" si="59"/>
        <v>1</v>
      </c>
      <c r="AC144" s="228">
        <f t="shared" si="59"/>
        <v>0</v>
      </c>
      <c r="AD144" s="228">
        <f t="shared" si="59"/>
        <v>0</v>
      </c>
      <c r="AE144" s="228">
        <f t="shared" si="59"/>
        <v>0</v>
      </c>
      <c r="AF144" s="228">
        <f t="shared" si="59"/>
        <v>0</v>
      </c>
      <c r="AG144" s="228">
        <f t="shared" si="59"/>
        <v>0</v>
      </c>
      <c r="AH144" s="228">
        <f t="shared" si="59"/>
        <v>0</v>
      </c>
      <c r="AI144" s="228">
        <f t="shared" si="59"/>
        <v>0</v>
      </c>
      <c r="AJ144" s="228">
        <f t="shared" si="59"/>
        <v>0</v>
      </c>
      <c r="AK144" s="228">
        <f t="shared" si="59"/>
        <v>0</v>
      </c>
      <c r="AL144" s="228">
        <f t="shared" si="59"/>
        <v>0</v>
      </c>
      <c r="AM144" s="228">
        <f t="shared" si="59"/>
        <v>0</v>
      </c>
      <c r="AN144" s="228">
        <f t="shared" si="59"/>
        <v>0</v>
      </c>
      <c r="AO144" s="228">
        <f t="shared" si="59"/>
        <v>0</v>
      </c>
      <c r="AP144" s="228">
        <f t="shared" si="59"/>
        <v>0</v>
      </c>
      <c r="AQ144" s="228">
        <f t="shared" si="59"/>
        <v>0</v>
      </c>
      <c r="AR144" s="228">
        <f t="shared" si="59"/>
        <v>0</v>
      </c>
      <c r="AS144" s="228">
        <f t="shared" si="59"/>
        <v>0</v>
      </c>
      <c r="AT144" s="228">
        <f t="shared" si="59"/>
        <v>0</v>
      </c>
      <c r="AU144" s="228">
        <f t="shared" si="59"/>
        <v>0</v>
      </c>
      <c r="AV144" s="228">
        <f t="shared" si="59"/>
        <v>0</v>
      </c>
      <c r="AW144" s="228">
        <f t="shared" si="59"/>
        <v>0</v>
      </c>
      <c r="AX144" s="228">
        <f t="shared" si="59"/>
        <v>0</v>
      </c>
      <c r="AY144" s="228">
        <f t="shared" si="59"/>
        <v>0</v>
      </c>
      <c r="AZ144" s="228">
        <f t="shared" si="59"/>
        <v>0</v>
      </c>
      <c r="BA144" s="228">
        <f t="shared" si="59"/>
        <v>0</v>
      </c>
      <c r="BB144" s="228">
        <f t="shared" si="59"/>
        <v>0</v>
      </c>
      <c r="BC144" s="228">
        <f t="shared" si="59"/>
        <v>0</v>
      </c>
      <c r="BD144" s="228">
        <f t="shared" si="59"/>
        <v>0</v>
      </c>
      <c r="BE144" s="228">
        <f t="shared" si="59"/>
        <v>0</v>
      </c>
      <c r="BF144" s="228">
        <f t="shared" si="59"/>
        <v>0</v>
      </c>
      <c r="BG144" s="228">
        <f t="shared" si="59"/>
        <v>0</v>
      </c>
      <c r="BH144" s="228">
        <f t="shared" si="59"/>
        <v>0</v>
      </c>
      <c r="BI144" s="228">
        <f t="shared" si="59"/>
        <v>0</v>
      </c>
      <c r="BJ144" s="228">
        <f t="shared" si="59"/>
        <v>0</v>
      </c>
      <c r="BK144" s="228">
        <f t="shared" si="59"/>
        <v>0</v>
      </c>
      <c r="BL144" s="228">
        <f t="shared" si="59"/>
        <v>0</v>
      </c>
      <c r="BM144" s="228">
        <f t="shared" si="59"/>
        <v>0</v>
      </c>
      <c r="BN144" s="228">
        <f t="shared" si="59"/>
        <v>0</v>
      </c>
      <c r="BO144" s="228">
        <f t="shared" si="59"/>
        <v>0</v>
      </c>
      <c r="BP144" s="228">
        <f t="shared" ref="BP144:DP144" si="60">BP20</f>
        <v>0</v>
      </c>
      <c r="BQ144" s="228">
        <f t="shared" si="60"/>
        <v>0</v>
      </c>
      <c r="BR144" s="228">
        <f t="shared" si="60"/>
        <v>0</v>
      </c>
      <c r="BS144" s="228">
        <f t="shared" si="60"/>
        <v>0</v>
      </c>
      <c r="BT144" s="228">
        <f t="shared" si="60"/>
        <v>0</v>
      </c>
      <c r="BU144" s="228">
        <f t="shared" si="60"/>
        <v>0</v>
      </c>
      <c r="BV144" s="228">
        <f t="shared" si="60"/>
        <v>0</v>
      </c>
      <c r="BW144" s="228">
        <f t="shared" si="60"/>
        <v>0</v>
      </c>
      <c r="BX144" s="228">
        <f t="shared" si="60"/>
        <v>0</v>
      </c>
      <c r="BY144" s="228">
        <f t="shared" si="60"/>
        <v>0</v>
      </c>
      <c r="BZ144" s="228">
        <f t="shared" si="60"/>
        <v>0</v>
      </c>
      <c r="CA144" s="228">
        <f t="shared" si="60"/>
        <v>0</v>
      </c>
      <c r="CB144" s="228">
        <f t="shared" si="60"/>
        <v>0</v>
      </c>
      <c r="CC144" s="228">
        <f t="shared" si="60"/>
        <v>0</v>
      </c>
      <c r="CD144" s="228">
        <f t="shared" si="60"/>
        <v>0</v>
      </c>
      <c r="CE144" s="228">
        <f t="shared" si="60"/>
        <v>0</v>
      </c>
      <c r="CF144" s="228">
        <f t="shared" si="60"/>
        <v>0</v>
      </c>
      <c r="CG144" s="228">
        <f t="shared" si="60"/>
        <v>0</v>
      </c>
      <c r="CH144" s="228">
        <f t="shared" si="60"/>
        <v>0</v>
      </c>
      <c r="CI144" s="228">
        <f t="shared" si="60"/>
        <v>0</v>
      </c>
      <c r="CJ144" s="228">
        <f t="shared" si="60"/>
        <v>0</v>
      </c>
      <c r="CK144" s="228">
        <f t="shared" si="60"/>
        <v>0</v>
      </c>
      <c r="CL144" s="228">
        <f t="shared" si="60"/>
        <v>0</v>
      </c>
      <c r="CM144" s="228">
        <f t="shared" si="60"/>
        <v>0</v>
      </c>
      <c r="CN144" s="228">
        <f t="shared" si="60"/>
        <v>0</v>
      </c>
      <c r="CO144" s="228">
        <f t="shared" si="60"/>
        <v>0</v>
      </c>
      <c r="CP144" s="228">
        <f t="shared" si="60"/>
        <v>0</v>
      </c>
      <c r="CQ144" s="228">
        <f t="shared" si="60"/>
        <v>0</v>
      </c>
      <c r="CR144" s="228">
        <f t="shared" si="60"/>
        <v>0</v>
      </c>
      <c r="CS144" s="228">
        <f t="shared" si="60"/>
        <v>0</v>
      </c>
      <c r="CT144" s="228">
        <f t="shared" si="60"/>
        <v>0</v>
      </c>
      <c r="CU144" s="228">
        <f t="shared" si="60"/>
        <v>0</v>
      </c>
      <c r="CV144" s="228">
        <f t="shared" si="60"/>
        <v>0</v>
      </c>
      <c r="CW144" s="228">
        <f t="shared" si="60"/>
        <v>0</v>
      </c>
      <c r="CX144" s="228">
        <f t="shared" si="60"/>
        <v>0</v>
      </c>
      <c r="CY144" s="228">
        <f t="shared" si="60"/>
        <v>0</v>
      </c>
      <c r="CZ144" s="228">
        <f t="shared" si="60"/>
        <v>0</v>
      </c>
      <c r="DA144" s="228">
        <f t="shared" si="60"/>
        <v>0</v>
      </c>
      <c r="DB144" s="228">
        <f t="shared" si="60"/>
        <v>0</v>
      </c>
      <c r="DC144" s="228">
        <f t="shared" si="60"/>
        <v>0</v>
      </c>
      <c r="DD144" s="228">
        <f t="shared" si="60"/>
        <v>0</v>
      </c>
      <c r="DE144" s="228">
        <f t="shared" si="60"/>
        <v>0</v>
      </c>
      <c r="DF144" s="228">
        <f t="shared" si="60"/>
        <v>0</v>
      </c>
      <c r="DG144" s="228">
        <f t="shared" si="60"/>
        <v>0</v>
      </c>
      <c r="DH144" s="228">
        <f t="shared" si="60"/>
        <v>0</v>
      </c>
      <c r="DI144" s="228">
        <f t="shared" si="60"/>
        <v>0</v>
      </c>
      <c r="DJ144" s="228">
        <f t="shared" si="60"/>
        <v>0</v>
      </c>
      <c r="DK144" s="228">
        <f t="shared" si="60"/>
        <v>0</v>
      </c>
      <c r="DL144" s="228">
        <f t="shared" si="60"/>
        <v>0</v>
      </c>
      <c r="DM144" s="228">
        <f t="shared" si="60"/>
        <v>0</v>
      </c>
      <c r="DN144" s="228">
        <f t="shared" si="60"/>
        <v>91</v>
      </c>
      <c r="DO144" s="228">
        <f t="shared" si="60"/>
        <v>0</v>
      </c>
      <c r="DP144" s="232">
        <f t="shared" si="60"/>
        <v>468</v>
      </c>
      <c r="DQ144" s="228">
        <f t="shared" si="17"/>
        <v>0</v>
      </c>
      <c r="DR144" s="228">
        <f t="shared" si="18"/>
        <v>0</v>
      </c>
      <c r="DS144" s="230">
        <f>SUM(X144:Y144)+(1-TRP!$AK$253)*AC144</f>
        <v>0</v>
      </c>
      <c r="DT144" s="228">
        <f t="shared" si="19"/>
        <v>0</v>
      </c>
      <c r="DU144" s="228">
        <f t="shared" si="20"/>
        <v>0</v>
      </c>
      <c r="DV144" s="228">
        <f t="shared" si="21"/>
        <v>0</v>
      </c>
      <c r="DW144" s="228">
        <f t="shared" si="22"/>
        <v>0</v>
      </c>
      <c r="DX144" s="228">
        <f t="shared" si="23"/>
        <v>0</v>
      </c>
      <c r="DY144" s="228">
        <f t="shared" si="24"/>
        <v>0</v>
      </c>
      <c r="DZ144" s="228">
        <f t="shared" si="25"/>
        <v>0</v>
      </c>
      <c r="EA144" s="228">
        <f t="shared" si="26"/>
        <v>0</v>
      </c>
      <c r="EB144" s="230">
        <f>TRP!$AK$253*$AC144+SUM(M144:W144,Z144:AB144,AD144:AR144,AU144:AX144,BC144:BE144,BI144:BN144,BQ144:BR144,BV144)</f>
        <v>377</v>
      </c>
      <c r="EC144" s="228">
        <f t="shared" si="27"/>
        <v>0</v>
      </c>
      <c r="ED144" s="230">
        <f>CB144+$CI144*TRP!$AV$248</f>
        <v>0</v>
      </c>
      <c r="EE144" s="228">
        <f t="shared" si="28"/>
        <v>0</v>
      </c>
      <c r="EF144" s="230">
        <f>CD144+$CI144*TRP!$AV$249</f>
        <v>0</v>
      </c>
      <c r="EG144" s="230">
        <f>CE144+$CI144*TRP!$AV$250</f>
        <v>0</v>
      </c>
      <c r="EH144" s="230">
        <f>CF144+$CI144*TRP!$AV$251</f>
        <v>0</v>
      </c>
      <c r="EI144" s="228">
        <f t="shared" si="29"/>
        <v>0</v>
      </c>
      <c r="EJ144" s="228">
        <f t="shared" si="30"/>
        <v>91</v>
      </c>
      <c r="EK144" s="228">
        <f t="shared" si="31"/>
        <v>0</v>
      </c>
      <c r="EL144" s="230">
        <f>BS144+$BP144*TRP!$AN$246</f>
        <v>0</v>
      </c>
      <c r="EM144" s="228">
        <f t="shared" si="32"/>
        <v>0</v>
      </c>
      <c r="EN144" s="230">
        <f>BU144+$BP144*TRP!$AN$247</f>
        <v>0</v>
      </c>
    </row>
    <row r="145" spans="1:144" s="228" customFormat="1" ht="10.5" x14ac:dyDescent="0.25">
      <c r="A145" s="228" t="str">
        <f>TRP!C143</f>
        <v xml:space="preserve">GC43 </v>
      </c>
      <c r="B145" s="228" t="str">
        <f>TRP!B143</f>
        <v>FABRICATION D ARTICLES DE SPORTS  JEUX E</v>
      </c>
      <c r="C145" s="233">
        <f>TRP!A143</f>
        <v>12</v>
      </c>
      <c r="D145" s="228">
        <f t="shared" ref="D145:BO145" si="61">D21</f>
        <v>0</v>
      </c>
      <c r="E145" s="228">
        <f t="shared" si="61"/>
        <v>4</v>
      </c>
      <c r="F145" s="228">
        <f t="shared" si="61"/>
        <v>8</v>
      </c>
      <c r="G145" s="228">
        <f t="shared" si="61"/>
        <v>9</v>
      </c>
      <c r="H145" s="228">
        <f t="shared" si="61"/>
        <v>4</v>
      </c>
      <c r="I145" s="228">
        <f t="shared" si="61"/>
        <v>4</v>
      </c>
      <c r="J145" s="228">
        <f t="shared" si="61"/>
        <v>22</v>
      </c>
      <c r="K145" s="228">
        <f t="shared" si="61"/>
        <v>60</v>
      </c>
      <c r="L145" s="228">
        <f t="shared" si="61"/>
        <v>0</v>
      </c>
      <c r="M145" s="228">
        <f t="shared" si="61"/>
        <v>18</v>
      </c>
      <c r="N145" s="228">
        <f t="shared" si="61"/>
        <v>6</v>
      </c>
      <c r="O145" s="228">
        <f t="shared" si="61"/>
        <v>17</v>
      </c>
      <c r="P145" s="228">
        <f t="shared" si="61"/>
        <v>7</v>
      </c>
      <c r="Q145" s="228">
        <f t="shared" si="61"/>
        <v>4</v>
      </c>
      <c r="R145" s="228">
        <f t="shared" si="61"/>
        <v>21</v>
      </c>
      <c r="S145" s="228">
        <f t="shared" si="61"/>
        <v>5</v>
      </c>
      <c r="T145" s="228">
        <f t="shared" si="61"/>
        <v>305</v>
      </c>
      <c r="U145" s="228">
        <f t="shared" si="61"/>
        <v>4</v>
      </c>
      <c r="V145" s="228">
        <f t="shared" si="61"/>
        <v>6</v>
      </c>
      <c r="W145" s="228">
        <f t="shared" si="61"/>
        <v>1</v>
      </c>
      <c r="X145" s="228">
        <f t="shared" si="61"/>
        <v>117</v>
      </c>
      <c r="Y145" s="228">
        <f t="shared" si="61"/>
        <v>45</v>
      </c>
      <c r="Z145" s="228">
        <f t="shared" si="61"/>
        <v>2</v>
      </c>
      <c r="AA145" s="228">
        <f t="shared" si="61"/>
        <v>1</v>
      </c>
      <c r="AB145" s="228">
        <f t="shared" si="61"/>
        <v>7</v>
      </c>
      <c r="AC145" s="228">
        <f t="shared" si="61"/>
        <v>1</v>
      </c>
      <c r="AD145" s="228">
        <f t="shared" si="61"/>
        <v>5</v>
      </c>
      <c r="AE145" s="228">
        <f t="shared" si="61"/>
        <v>6</v>
      </c>
      <c r="AF145" s="228">
        <f t="shared" si="61"/>
        <v>9</v>
      </c>
      <c r="AG145" s="228">
        <f t="shared" si="61"/>
        <v>29</v>
      </c>
      <c r="AH145" s="228">
        <f t="shared" si="61"/>
        <v>1</v>
      </c>
      <c r="AI145" s="228">
        <f t="shared" si="61"/>
        <v>0</v>
      </c>
      <c r="AJ145" s="228">
        <f t="shared" si="61"/>
        <v>9</v>
      </c>
      <c r="AK145" s="228">
        <f t="shared" si="61"/>
        <v>6</v>
      </c>
      <c r="AL145" s="228">
        <f t="shared" si="61"/>
        <v>4</v>
      </c>
      <c r="AM145" s="228">
        <f t="shared" si="61"/>
        <v>2</v>
      </c>
      <c r="AN145" s="228">
        <f t="shared" si="61"/>
        <v>8</v>
      </c>
      <c r="AO145" s="228">
        <f t="shared" si="61"/>
        <v>13</v>
      </c>
      <c r="AP145" s="228">
        <f t="shared" si="61"/>
        <v>8</v>
      </c>
      <c r="AQ145" s="228">
        <f t="shared" si="61"/>
        <v>0</v>
      </c>
      <c r="AR145" s="228">
        <f t="shared" si="61"/>
        <v>4</v>
      </c>
      <c r="AS145" s="228">
        <f t="shared" si="61"/>
        <v>4</v>
      </c>
      <c r="AT145" s="228">
        <f t="shared" si="61"/>
        <v>5</v>
      </c>
      <c r="AU145" s="228">
        <f t="shared" si="61"/>
        <v>4</v>
      </c>
      <c r="AV145" s="228">
        <f t="shared" si="61"/>
        <v>6</v>
      </c>
      <c r="AW145" s="228">
        <f t="shared" si="61"/>
        <v>1</v>
      </c>
      <c r="AX145" s="228">
        <f t="shared" si="61"/>
        <v>4</v>
      </c>
      <c r="AY145" s="228">
        <f t="shared" si="61"/>
        <v>8</v>
      </c>
      <c r="AZ145" s="228">
        <f t="shared" si="61"/>
        <v>6</v>
      </c>
      <c r="BA145" s="228">
        <f t="shared" si="61"/>
        <v>5</v>
      </c>
      <c r="BB145" s="228">
        <f t="shared" si="61"/>
        <v>5</v>
      </c>
      <c r="BC145" s="228">
        <f t="shared" si="61"/>
        <v>6</v>
      </c>
      <c r="BD145" s="228">
        <f t="shared" si="61"/>
        <v>2</v>
      </c>
      <c r="BE145" s="228">
        <f t="shared" si="61"/>
        <v>9</v>
      </c>
      <c r="BF145" s="228">
        <f t="shared" si="61"/>
        <v>12</v>
      </c>
      <c r="BG145" s="228">
        <f t="shared" si="61"/>
        <v>6</v>
      </c>
      <c r="BH145" s="228">
        <f t="shared" si="61"/>
        <v>0</v>
      </c>
      <c r="BI145" s="228">
        <f t="shared" si="61"/>
        <v>8</v>
      </c>
      <c r="BJ145" s="228">
        <f t="shared" si="61"/>
        <v>8</v>
      </c>
      <c r="BK145" s="228">
        <f t="shared" si="61"/>
        <v>6</v>
      </c>
      <c r="BL145" s="228">
        <f t="shared" si="61"/>
        <v>0</v>
      </c>
      <c r="BM145" s="228">
        <f t="shared" si="61"/>
        <v>8</v>
      </c>
      <c r="BN145" s="228">
        <f t="shared" si="61"/>
        <v>6</v>
      </c>
      <c r="BO145" s="228">
        <f t="shared" si="61"/>
        <v>0</v>
      </c>
      <c r="BP145" s="228">
        <f t="shared" ref="BP145:DP145" si="62">BP21</f>
        <v>0</v>
      </c>
      <c r="BQ145" s="228">
        <f t="shared" si="62"/>
        <v>0</v>
      </c>
      <c r="BR145" s="228">
        <f t="shared" si="62"/>
        <v>6</v>
      </c>
      <c r="BS145" s="228">
        <f t="shared" si="62"/>
        <v>0</v>
      </c>
      <c r="BT145" s="228">
        <f t="shared" si="62"/>
        <v>7</v>
      </c>
      <c r="BU145" s="228">
        <f t="shared" si="62"/>
        <v>1</v>
      </c>
      <c r="BV145" s="228">
        <f t="shared" si="62"/>
        <v>0</v>
      </c>
      <c r="BW145" s="228">
        <f t="shared" si="62"/>
        <v>60</v>
      </c>
      <c r="BX145" s="228">
        <f t="shared" si="62"/>
        <v>16</v>
      </c>
      <c r="BY145" s="228">
        <f t="shared" si="62"/>
        <v>68</v>
      </c>
      <c r="BZ145" s="228">
        <f t="shared" si="62"/>
        <v>178</v>
      </c>
      <c r="CA145" s="228">
        <f t="shared" si="62"/>
        <v>182</v>
      </c>
      <c r="CB145" s="228">
        <f t="shared" si="62"/>
        <v>0</v>
      </c>
      <c r="CC145" s="228">
        <f t="shared" si="62"/>
        <v>2</v>
      </c>
      <c r="CD145" s="228">
        <f t="shared" si="62"/>
        <v>1</v>
      </c>
      <c r="CE145" s="228">
        <f t="shared" si="62"/>
        <v>0</v>
      </c>
      <c r="CF145" s="228">
        <f t="shared" si="62"/>
        <v>5</v>
      </c>
      <c r="CG145" s="228">
        <f t="shared" si="62"/>
        <v>5</v>
      </c>
      <c r="CH145" s="228">
        <f t="shared" si="62"/>
        <v>0</v>
      </c>
      <c r="CI145" s="228">
        <f t="shared" si="62"/>
        <v>4</v>
      </c>
      <c r="CJ145" s="228">
        <f t="shared" si="62"/>
        <v>106</v>
      </c>
      <c r="CK145" s="228">
        <f t="shared" si="62"/>
        <v>2</v>
      </c>
      <c r="CL145" s="228">
        <f t="shared" si="62"/>
        <v>0</v>
      </c>
      <c r="CM145" s="228">
        <f t="shared" si="62"/>
        <v>13</v>
      </c>
      <c r="CN145" s="228">
        <f t="shared" si="62"/>
        <v>17</v>
      </c>
      <c r="CO145" s="228">
        <f t="shared" si="62"/>
        <v>33</v>
      </c>
      <c r="CP145" s="228">
        <f t="shared" si="62"/>
        <v>43</v>
      </c>
      <c r="CQ145" s="228">
        <f t="shared" si="62"/>
        <v>47</v>
      </c>
      <c r="CR145" s="228">
        <f t="shared" si="62"/>
        <v>30</v>
      </c>
      <c r="CS145" s="228">
        <f t="shared" si="62"/>
        <v>18</v>
      </c>
      <c r="CT145" s="228">
        <f t="shared" si="62"/>
        <v>69</v>
      </c>
      <c r="CU145" s="228">
        <f t="shared" si="62"/>
        <v>63</v>
      </c>
      <c r="CV145" s="228">
        <f t="shared" si="62"/>
        <v>26</v>
      </c>
      <c r="CW145" s="228">
        <f t="shared" si="62"/>
        <v>103</v>
      </c>
      <c r="CX145" s="228">
        <f t="shared" si="62"/>
        <v>8</v>
      </c>
      <c r="CY145" s="228">
        <f t="shared" si="62"/>
        <v>135</v>
      </c>
      <c r="CZ145" s="228">
        <f t="shared" si="62"/>
        <v>34</v>
      </c>
      <c r="DA145" s="228">
        <f t="shared" si="62"/>
        <v>21</v>
      </c>
      <c r="DB145" s="228">
        <f t="shared" si="62"/>
        <v>88</v>
      </c>
      <c r="DC145" s="228">
        <f t="shared" si="62"/>
        <v>60</v>
      </c>
      <c r="DD145" s="228">
        <f t="shared" si="62"/>
        <v>287</v>
      </c>
      <c r="DE145" s="228">
        <f t="shared" si="62"/>
        <v>76</v>
      </c>
      <c r="DF145" s="228">
        <f t="shared" si="62"/>
        <v>0</v>
      </c>
      <c r="DG145" s="228">
        <f t="shared" si="62"/>
        <v>17</v>
      </c>
      <c r="DH145" s="228">
        <f t="shared" si="62"/>
        <v>0</v>
      </c>
      <c r="DI145" s="228">
        <f t="shared" si="62"/>
        <v>25</v>
      </c>
      <c r="DJ145" s="228">
        <f t="shared" si="62"/>
        <v>5</v>
      </c>
      <c r="DK145" s="228">
        <f t="shared" si="62"/>
        <v>6</v>
      </c>
      <c r="DL145" s="228">
        <f t="shared" si="62"/>
        <v>152</v>
      </c>
      <c r="DM145" s="228">
        <f t="shared" si="62"/>
        <v>52</v>
      </c>
      <c r="DN145" s="228">
        <f t="shared" si="62"/>
        <v>0</v>
      </c>
      <c r="DO145" s="228">
        <f t="shared" si="62"/>
        <v>0</v>
      </c>
      <c r="DP145" s="232">
        <f t="shared" si="62"/>
        <v>2972</v>
      </c>
      <c r="DQ145" s="228">
        <f t="shared" si="17"/>
        <v>12</v>
      </c>
      <c r="DR145" s="228">
        <f t="shared" si="18"/>
        <v>99</v>
      </c>
      <c r="DS145" s="230">
        <f>SUM(X145:Y145)+(1-TRP!$AK$253)*AC145</f>
        <v>162.69999999999999</v>
      </c>
      <c r="DT145" s="228">
        <f t="shared" si="19"/>
        <v>4</v>
      </c>
      <c r="DU145" s="228">
        <f t="shared" si="20"/>
        <v>5</v>
      </c>
      <c r="DV145" s="228">
        <f t="shared" si="21"/>
        <v>14</v>
      </c>
      <c r="DW145" s="228">
        <f t="shared" si="22"/>
        <v>5</v>
      </c>
      <c r="DX145" s="228">
        <f t="shared" si="23"/>
        <v>5</v>
      </c>
      <c r="DY145" s="228">
        <f t="shared" si="24"/>
        <v>12</v>
      </c>
      <c r="DZ145" s="228">
        <f t="shared" si="25"/>
        <v>6</v>
      </c>
      <c r="EA145" s="228">
        <f t="shared" si="26"/>
        <v>0</v>
      </c>
      <c r="EB145" s="230">
        <f>TRP!$AK$253*$AC145+SUM(M145:W145,Z145:AB145,AD145:AR145,AU145:AX145,BC145:BE145,BI145:BN145,BQ145:BR145,BV145)</f>
        <v>582.29999999999995</v>
      </c>
      <c r="EC145" s="228">
        <f t="shared" si="27"/>
        <v>76</v>
      </c>
      <c r="ED145" s="230">
        <f>CB145+$CI145*TRP!$AV$248</f>
        <v>0.12401700100609819</v>
      </c>
      <c r="EE145" s="228">
        <f t="shared" si="28"/>
        <v>2</v>
      </c>
      <c r="EF145" s="230">
        <f>CD145+$CI145*TRP!$AV$249</f>
        <v>3.7727831374423988</v>
      </c>
      <c r="EG145" s="230">
        <f>CE145+$CI145*TRP!$AV$250</f>
        <v>0.80877388016578622</v>
      </c>
      <c r="EH145" s="230">
        <f>CF145+$CI145*TRP!$AV$251</f>
        <v>5.2944259813857171</v>
      </c>
      <c r="EI145" s="228">
        <f t="shared" si="29"/>
        <v>1878</v>
      </c>
      <c r="EJ145" s="228">
        <f t="shared" si="30"/>
        <v>91</v>
      </c>
      <c r="EK145" s="228">
        <f t="shared" si="31"/>
        <v>0</v>
      </c>
      <c r="EL145" s="230">
        <f>BS145+$BP145*TRP!$AN$246</f>
        <v>0</v>
      </c>
      <c r="EM145" s="228">
        <f t="shared" si="32"/>
        <v>7</v>
      </c>
      <c r="EN145" s="230">
        <f>BU145+$BP145*TRP!$AN$247</f>
        <v>1</v>
      </c>
    </row>
    <row r="146" spans="1:144" s="228" customFormat="1" ht="10.5" x14ac:dyDescent="0.25">
      <c r="A146" s="228" t="str">
        <f>TRP!C144</f>
        <v xml:space="preserve">GC44 </v>
      </c>
      <c r="B146" s="228" t="str">
        <f>TRP!B144</f>
        <v>FABRICATION D APPAREILS DOMESTIQUES</v>
      </c>
      <c r="C146" s="233">
        <f>TRP!A144</f>
        <v>12</v>
      </c>
      <c r="D146" s="228">
        <f t="shared" ref="D146:BO146" si="63">D22</f>
        <v>0</v>
      </c>
      <c r="E146" s="228">
        <f t="shared" si="63"/>
        <v>0</v>
      </c>
      <c r="F146" s="228">
        <f t="shared" si="63"/>
        <v>0</v>
      </c>
      <c r="G146" s="228">
        <f t="shared" si="63"/>
        <v>2</v>
      </c>
      <c r="H146" s="228">
        <f t="shared" si="63"/>
        <v>2</v>
      </c>
      <c r="I146" s="228">
        <f t="shared" si="63"/>
        <v>13</v>
      </c>
      <c r="J146" s="228">
        <f t="shared" si="63"/>
        <v>0</v>
      </c>
      <c r="K146" s="228">
        <f t="shared" si="63"/>
        <v>4</v>
      </c>
      <c r="L146" s="228">
        <f t="shared" si="63"/>
        <v>0</v>
      </c>
      <c r="M146" s="228">
        <f t="shared" si="63"/>
        <v>0</v>
      </c>
      <c r="N146" s="228">
        <f t="shared" si="63"/>
        <v>0</v>
      </c>
      <c r="O146" s="228">
        <f t="shared" si="63"/>
        <v>8</v>
      </c>
      <c r="P146" s="228">
        <f t="shared" si="63"/>
        <v>0</v>
      </c>
      <c r="Q146" s="228">
        <f t="shared" si="63"/>
        <v>0</v>
      </c>
      <c r="R146" s="228">
        <f t="shared" si="63"/>
        <v>43</v>
      </c>
      <c r="S146" s="228">
        <f t="shared" si="63"/>
        <v>0</v>
      </c>
      <c r="T146" s="228">
        <f t="shared" si="63"/>
        <v>51</v>
      </c>
      <c r="U146" s="228">
        <f t="shared" si="63"/>
        <v>295</v>
      </c>
      <c r="V146" s="228">
        <f t="shared" si="63"/>
        <v>7</v>
      </c>
      <c r="W146" s="228">
        <f t="shared" si="63"/>
        <v>0</v>
      </c>
      <c r="X146" s="228">
        <f t="shared" si="63"/>
        <v>41</v>
      </c>
      <c r="Y146" s="228">
        <f t="shared" si="63"/>
        <v>17</v>
      </c>
      <c r="Z146" s="228">
        <f t="shared" si="63"/>
        <v>2</v>
      </c>
      <c r="AA146" s="228">
        <f t="shared" si="63"/>
        <v>0</v>
      </c>
      <c r="AB146" s="228">
        <f t="shared" si="63"/>
        <v>14</v>
      </c>
      <c r="AC146" s="228">
        <f t="shared" si="63"/>
        <v>0</v>
      </c>
      <c r="AD146" s="228">
        <f t="shared" si="63"/>
        <v>2</v>
      </c>
      <c r="AE146" s="228">
        <f t="shared" si="63"/>
        <v>1</v>
      </c>
      <c r="AF146" s="228">
        <f t="shared" si="63"/>
        <v>5</v>
      </c>
      <c r="AG146" s="228">
        <f t="shared" si="63"/>
        <v>15</v>
      </c>
      <c r="AH146" s="228">
        <f t="shared" si="63"/>
        <v>0</v>
      </c>
      <c r="AI146" s="228">
        <f t="shared" si="63"/>
        <v>0</v>
      </c>
      <c r="AJ146" s="228">
        <f t="shared" si="63"/>
        <v>5</v>
      </c>
      <c r="AK146" s="228">
        <f t="shared" si="63"/>
        <v>0</v>
      </c>
      <c r="AL146" s="228">
        <f t="shared" si="63"/>
        <v>1</v>
      </c>
      <c r="AM146" s="228">
        <f t="shared" si="63"/>
        <v>0</v>
      </c>
      <c r="AN146" s="228">
        <f t="shared" si="63"/>
        <v>4</v>
      </c>
      <c r="AO146" s="228">
        <f t="shared" si="63"/>
        <v>0</v>
      </c>
      <c r="AP146" s="228">
        <f t="shared" si="63"/>
        <v>5</v>
      </c>
      <c r="AQ146" s="228">
        <f t="shared" si="63"/>
        <v>0</v>
      </c>
      <c r="AR146" s="228">
        <f t="shared" si="63"/>
        <v>0</v>
      </c>
      <c r="AS146" s="228">
        <f t="shared" si="63"/>
        <v>0</v>
      </c>
      <c r="AT146" s="228">
        <f t="shared" si="63"/>
        <v>0</v>
      </c>
      <c r="AU146" s="228">
        <f t="shared" si="63"/>
        <v>0</v>
      </c>
      <c r="AV146" s="228">
        <f t="shared" si="63"/>
        <v>0</v>
      </c>
      <c r="AW146" s="228">
        <f t="shared" si="63"/>
        <v>0</v>
      </c>
      <c r="AX146" s="228">
        <f t="shared" si="63"/>
        <v>2</v>
      </c>
      <c r="AY146" s="228">
        <f t="shared" si="63"/>
        <v>0</v>
      </c>
      <c r="AZ146" s="228">
        <f t="shared" si="63"/>
        <v>1</v>
      </c>
      <c r="BA146" s="228">
        <f t="shared" si="63"/>
        <v>0</v>
      </c>
      <c r="BB146" s="228">
        <f t="shared" si="63"/>
        <v>0</v>
      </c>
      <c r="BC146" s="228">
        <f t="shared" si="63"/>
        <v>0</v>
      </c>
      <c r="BD146" s="228">
        <f t="shared" si="63"/>
        <v>0</v>
      </c>
      <c r="BE146" s="228">
        <f t="shared" si="63"/>
        <v>1</v>
      </c>
      <c r="BF146" s="228">
        <f t="shared" si="63"/>
        <v>1</v>
      </c>
      <c r="BG146" s="228">
        <f t="shared" si="63"/>
        <v>11</v>
      </c>
      <c r="BH146" s="228">
        <f t="shared" si="63"/>
        <v>10</v>
      </c>
      <c r="BI146" s="228">
        <f t="shared" si="63"/>
        <v>0</v>
      </c>
      <c r="BJ146" s="228">
        <f t="shared" si="63"/>
        <v>5</v>
      </c>
      <c r="BK146" s="228">
        <f t="shared" si="63"/>
        <v>5</v>
      </c>
      <c r="BL146" s="228">
        <f t="shared" si="63"/>
        <v>0</v>
      </c>
      <c r="BM146" s="228">
        <f t="shared" si="63"/>
        <v>4</v>
      </c>
      <c r="BN146" s="228">
        <f t="shared" si="63"/>
        <v>2</v>
      </c>
      <c r="BO146" s="228">
        <f t="shared" si="63"/>
        <v>0</v>
      </c>
      <c r="BP146" s="228">
        <f t="shared" ref="BP146:DP146" si="64">BP22</f>
        <v>0</v>
      </c>
      <c r="BQ146" s="228">
        <f t="shared" si="64"/>
        <v>0</v>
      </c>
      <c r="BR146" s="228">
        <f t="shared" si="64"/>
        <v>0</v>
      </c>
      <c r="BS146" s="228">
        <f t="shared" si="64"/>
        <v>2</v>
      </c>
      <c r="BT146" s="228">
        <f t="shared" si="64"/>
        <v>0</v>
      </c>
      <c r="BU146" s="228">
        <f t="shared" si="64"/>
        <v>0</v>
      </c>
      <c r="BV146" s="228">
        <f t="shared" si="64"/>
        <v>0</v>
      </c>
      <c r="BW146" s="228">
        <f t="shared" si="64"/>
        <v>169</v>
      </c>
      <c r="BX146" s="228">
        <f t="shared" si="64"/>
        <v>90</v>
      </c>
      <c r="BY146" s="228">
        <f t="shared" si="64"/>
        <v>18</v>
      </c>
      <c r="BZ146" s="228">
        <f t="shared" si="64"/>
        <v>12</v>
      </c>
      <c r="CA146" s="228">
        <f t="shared" si="64"/>
        <v>62</v>
      </c>
      <c r="CB146" s="228">
        <f t="shared" si="64"/>
        <v>0</v>
      </c>
      <c r="CC146" s="228">
        <f t="shared" si="64"/>
        <v>39</v>
      </c>
      <c r="CD146" s="228">
        <f t="shared" si="64"/>
        <v>0</v>
      </c>
      <c r="CE146" s="228">
        <f t="shared" si="64"/>
        <v>0</v>
      </c>
      <c r="CF146" s="228">
        <f t="shared" si="64"/>
        <v>0</v>
      </c>
      <c r="CG146" s="228">
        <f t="shared" si="64"/>
        <v>0</v>
      </c>
      <c r="CH146" s="228">
        <f t="shared" si="64"/>
        <v>0</v>
      </c>
      <c r="CI146" s="228">
        <f t="shared" si="64"/>
        <v>0</v>
      </c>
      <c r="CJ146" s="228">
        <f t="shared" si="64"/>
        <v>1</v>
      </c>
      <c r="CK146" s="228">
        <f t="shared" si="64"/>
        <v>2</v>
      </c>
      <c r="CL146" s="228">
        <f t="shared" si="64"/>
        <v>0</v>
      </c>
      <c r="CM146" s="228">
        <f t="shared" si="64"/>
        <v>1</v>
      </c>
      <c r="CN146" s="228">
        <f t="shared" si="64"/>
        <v>1</v>
      </c>
      <c r="CO146" s="228">
        <f t="shared" si="64"/>
        <v>43</v>
      </c>
      <c r="CP146" s="228">
        <f t="shared" si="64"/>
        <v>1</v>
      </c>
      <c r="CQ146" s="228">
        <f t="shared" si="64"/>
        <v>1</v>
      </c>
      <c r="CR146" s="228">
        <f t="shared" si="64"/>
        <v>62</v>
      </c>
      <c r="CS146" s="228">
        <f t="shared" si="64"/>
        <v>5</v>
      </c>
      <c r="CT146" s="228">
        <f t="shared" si="64"/>
        <v>14</v>
      </c>
      <c r="CU146" s="228">
        <f t="shared" si="64"/>
        <v>95</v>
      </c>
      <c r="CV146" s="228">
        <f t="shared" si="64"/>
        <v>9</v>
      </c>
      <c r="CW146" s="228">
        <f t="shared" si="64"/>
        <v>49</v>
      </c>
      <c r="CX146" s="228">
        <f t="shared" si="64"/>
        <v>1</v>
      </c>
      <c r="CY146" s="228">
        <f t="shared" si="64"/>
        <v>8</v>
      </c>
      <c r="CZ146" s="228">
        <f t="shared" si="64"/>
        <v>0</v>
      </c>
      <c r="DA146" s="228">
        <f t="shared" si="64"/>
        <v>96</v>
      </c>
      <c r="DB146" s="228">
        <f t="shared" si="64"/>
        <v>0</v>
      </c>
      <c r="DC146" s="228">
        <f t="shared" si="64"/>
        <v>19</v>
      </c>
      <c r="DD146" s="228">
        <f t="shared" si="64"/>
        <v>0</v>
      </c>
      <c r="DE146" s="228">
        <f t="shared" si="64"/>
        <v>36</v>
      </c>
      <c r="DF146" s="228">
        <f t="shared" si="64"/>
        <v>0</v>
      </c>
      <c r="DG146" s="228">
        <f t="shared" si="64"/>
        <v>0</v>
      </c>
      <c r="DH146" s="228">
        <f t="shared" si="64"/>
        <v>0</v>
      </c>
      <c r="DI146" s="228">
        <f t="shared" si="64"/>
        <v>2</v>
      </c>
      <c r="DJ146" s="228">
        <f t="shared" si="64"/>
        <v>0</v>
      </c>
      <c r="DK146" s="228">
        <f t="shared" si="64"/>
        <v>0</v>
      </c>
      <c r="DL146" s="228">
        <f t="shared" si="64"/>
        <v>0</v>
      </c>
      <c r="DM146" s="228">
        <f t="shared" si="64"/>
        <v>0</v>
      </c>
      <c r="DN146" s="228">
        <f t="shared" si="64"/>
        <v>0</v>
      </c>
      <c r="DO146" s="228">
        <f t="shared" si="64"/>
        <v>0</v>
      </c>
      <c r="DP146" s="232">
        <f t="shared" si="64"/>
        <v>1417</v>
      </c>
      <c r="DQ146" s="228">
        <f t="shared" si="17"/>
        <v>0</v>
      </c>
      <c r="DR146" s="228">
        <f t="shared" si="18"/>
        <v>21</v>
      </c>
      <c r="DS146" s="230">
        <f>SUM(X146:Y146)+(1-TRP!$AK$253)*AC146</f>
        <v>58</v>
      </c>
      <c r="DT146" s="228">
        <f t="shared" si="19"/>
        <v>0</v>
      </c>
      <c r="DU146" s="228">
        <f t="shared" si="20"/>
        <v>0</v>
      </c>
      <c r="DV146" s="228">
        <f t="shared" si="21"/>
        <v>1</v>
      </c>
      <c r="DW146" s="228">
        <f t="shared" si="22"/>
        <v>0</v>
      </c>
      <c r="DX146" s="228">
        <f t="shared" si="23"/>
        <v>0</v>
      </c>
      <c r="DY146" s="228">
        <f t="shared" si="24"/>
        <v>1</v>
      </c>
      <c r="DZ146" s="228">
        <f t="shared" si="25"/>
        <v>11</v>
      </c>
      <c r="EA146" s="228">
        <f t="shared" si="26"/>
        <v>10</v>
      </c>
      <c r="EB146" s="230">
        <f>TRP!$AK$253*$AC146+SUM(M146:W146,Z146:AB146,AD146:AR146,AU146:AX146,BC146:BE146,BI146:BN146,BQ146:BR146,BV146)</f>
        <v>477</v>
      </c>
      <c r="EC146" s="228">
        <f t="shared" si="27"/>
        <v>259</v>
      </c>
      <c r="ED146" s="230">
        <f>CB146+$CI146*TRP!$AV$248</f>
        <v>0</v>
      </c>
      <c r="EE146" s="228">
        <f t="shared" si="28"/>
        <v>39</v>
      </c>
      <c r="EF146" s="230">
        <f>CD146+$CI146*TRP!$AV$249</f>
        <v>0</v>
      </c>
      <c r="EG146" s="230">
        <f>CE146+$CI146*TRP!$AV$250</f>
        <v>0</v>
      </c>
      <c r="EH146" s="230">
        <f>CF146+$CI146*TRP!$AV$251</f>
        <v>0</v>
      </c>
      <c r="EI146" s="228">
        <f t="shared" si="29"/>
        <v>538</v>
      </c>
      <c r="EJ146" s="228">
        <f t="shared" si="30"/>
        <v>0</v>
      </c>
      <c r="EK146" s="228">
        <f t="shared" si="31"/>
        <v>0</v>
      </c>
      <c r="EL146" s="230">
        <f>BS146+$BP146*TRP!$AN$246</f>
        <v>2</v>
      </c>
      <c r="EM146" s="228">
        <f t="shared" si="32"/>
        <v>0</v>
      </c>
      <c r="EN146" s="230">
        <f>BU146+$BP146*TRP!$AN$247</f>
        <v>0</v>
      </c>
    </row>
    <row r="147" spans="1:144" s="228" customFormat="1" ht="10.5" x14ac:dyDescent="0.25">
      <c r="A147" s="228" t="str">
        <f>TRP!C145</f>
        <v xml:space="preserve">GC45 </v>
      </c>
      <c r="B147" s="228" t="str">
        <f>TRP!B145</f>
        <v>FABRICATION D APPAREILS DE RECEPTION  EN</v>
      </c>
      <c r="C147" s="233">
        <f>TRP!A145</f>
        <v>12</v>
      </c>
      <c r="D147" s="228">
        <f t="shared" ref="D147:BO147" si="65">D23</f>
        <v>0</v>
      </c>
      <c r="E147" s="228">
        <f t="shared" si="65"/>
        <v>0</v>
      </c>
      <c r="F147" s="228">
        <f t="shared" si="65"/>
        <v>0</v>
      </c>
      <c r="G147" s="228">
        <f t="shared" si="65"/>
        <v>0</v>
      </c>
      <c r="H147" s="228">
        <f t="shared" si="65"/>
        <v>0</v>
      </c>
      <c r="I147" s="228">
        <f t="shared" si="65"/>
        <v>0</v>
      </c>
      <c r="J147" s="228">
        <f t="shared" si="65"/>
        <v>0</v>
      </c>
      <c r="K147" s="228">
        <f t="shared" si="65"/>
        <v>1</v>
      </c>
      <c r="L147" s="228">
        <f t="shared" si="65"/>
        <v>0</v>
      </c>
      <c r="M147" s="228">
        <f t="shared" si="65"/>
        <v>0</v>
      </c>
      <c r="N147" s="228">
        <f t="shared" si="65"/>
        <v>0</v>
      </c>
      <c r="O147" s="228">
        <f t="shared" si="65"/>
        <v>40</v>
      </c>
      <c r="P147" s="228">
        <f t="shared" si="65"/>
        <v>1</v>
      </c>
      <c r="Q147" s="228">
        <f t="shared" si="65"/>
        <v>1</v>
      </c>
      <c r="R147" s="228">
        <f t="shared" si="65"/>
        <v>28</v>
      </c>
      <c r="S147" s="228">
        <f t="shared" si="65"/>
        <v>0</v>
      </c>
      <c r="T147" s="228">
        <f t="shared" si="65"/>
        <v>0</v>
      </c>
      <c r="U147" s="228">
        <f t="shared" si="65"/>
        <v>22</v>
      </c>
      <c r="V147" s="228">
        <f t="shared" si="65"/>
        <v>105</v>
      </c>
      <c r="W147" s="228">
        <f t="shared" si="65"/>
        <v>0</v>
      </c>
      <c r="X147" s="228">
        <f t="shared" si="65"/>
        <v>107</v>
      </c>
      <c r="Y147" s="228">
        <f t="shared" si="65"/>
        <v>9</v>
      </c>
      <c r="Z147" s="228">
        <f t="shared" si="65"/>
        <v>3</v>
      </c>
      <c r="AA147" s="228">
        <f t="shared" si="65"/>
        <v>0</v>
      </c>
      <c r="AB147" s="228">
        <f t="shared" si="65"/>
        <v>10</v>
      </c>
      <c r="AC147" s="228">
        <f t="shared" si="65"/>
        <v>1</v>
      </c>
      <c r="AD147" s="228">
        <f t="shared" si="65"/>
        <v>4</v>
      </c>
      <c r="AE147" s="228">
        <f t="shared" si="65"/>
        <v>4</v>
      </c>
      <c r="AF147" s="228">
        <f t="shared" si="65"/>
        <v>4</v>
      </c>
      <c r="AG147" s="228">
        <f t="shared" si="65"/>
        <v>17</v>
      </c>
      <c r="AH147" s="228">
        <f t="shared" si="65"/>
        <v>1</v>
      </c>
      <c r="AI147" s="228">
        <f t="shared" si="65"/>
        <v>9</v>
      </c>
      <c r="AJ147" s="228">
        <f t="shared" si="65"/>
        <v>22</v>
      </c>
      <c r="AK147" s="228">
        <f t="shared" si="65"/>
        <v>0</v>
      </c>
      <c r="AL147" s="228">
        <f t="shared" si="65"/>
        <v>8</v>
      </c>
      <c r="AM147" s="228">
        <f t="shared" si="65"/>
        <v>0</v>
      </c>
      <c r="AN147" s="228">
        <f t="shared" si="65"/>
        <v>113</v>
      </c>
      <c r="AO147" s="228">
        <f t="shared" si="65"/>
        <v>4</v>
      </c>
      <c r="AP147" s="228">
        <f t="shared" si="65"/>
        <v>178</v>
      </c>
      <c r="AQ147" s="228">
        <f t="shared" si="65"/>
        <v>0</v>
      </c>
      <c r="AR147" s="228">
        <f t="shared" si="65"/>
        <v>0</v>
      </c>
      <c r="AS147" s="228">
        <f t="shared" si="65"/>
        <v>0</v>
      </c>
      <c r="AT147" s="228">
        <f t="shared" si="65"/>
        <v>0</v>
      </c>
      <c r="AU147" s="228">
        <f t="shared" si="65"/>
        <v>0</v>
      </c>
      <c r="AV147" s="228">
        <f t="shared" si="65"/>
        <v>0</v>
      </c>
      <c r="AW147" s="228">
        <f t="shared" si="65"/>
        <v>0</v>
      </c>
      <c r="AX147" s="228">
        <f t="shared" si="65"/>
        <v>0</v>
      </c>
      <c r="AY147" s="228">
        <f t="shared" si="65"/>
        <v>0</v>
      </c>
      <c r="AZ147" s="228">
        <f t="shared" si="65"/>
        <v>0</v>
      </c>
      <c r="BA147" s="228">
        <f t="shared" si="65"/>
        <v>0</v>
      </c>
      <c r="BB147" s="228">
        <f t="shared" si="65"/>
        <v>0</v>
      </c>
      <c r="BC147" s="228">
        <f t="shared" si="65"/>
        <v>0</v>
      </c>
      <c r="BD147" s="228">
        <f t="shared" si="65"/>
        <v>0</v>
      </c>
      <c r="BE147" s="228">
        <f t="shared" si="65"/>
        <v>1</v>
      </c>
      <c r="BF147" s="228">
        <f t="shared" si="65"/>
        <v>4</v>
      </c>
      <c r="BG147" s="228">
        <f t="shared" si="65"/>
        <v>1</v>
      </c>
      <c r="BH147" s="228">
        <f t="shared" si="65"/>
        <v>7</v>
      </c>
      <c r="BI147" s="228">
        <f t="shared" si="65"/>
        <v>11</v>
      </c>
      <c r="BJ147" s="228">
        <f t="shared" si="65"/>
        <v>16</v>
      </c>
      <c r="BK147" s="228">
        <f t="shared" si="65"/>
        <v>24</v>
      </c>
      <c r="BL147" s="228">
        <f t="shared" si="65"/>
        <v>0</v>
      </c>
      <c r="BM147" s="228">
        <f t="shared" si="65"/>
        <v>14</v>
      </c>
      <c r="BN147" s="228">
        <f t="shared" si="65"/>
        <v>23</v>
      </c>
      <c r="BO147" s="228">
        <f t="shared" si="65"/>
        <v>0</v>
      </c>
      <c r="BP147" s="228">
        <f t="shared" ref="BP147:DP147" si="66">BP23</f>
        <v>0</v>
      </c>
      <c r="BQ147" s="228">
        <f t="shared" si="66"/>
        <v>0</v>
      </c>
      <c r="BR147" s="228">
        <f t="shared" si="66"/>
        <v>0</v>
      </c>
      <c r="BS147" s="228">
        <f t="shared" si="66"/>
        <v>0</v>
      </c>
      <c r="BT147" s="228">
        <f t="shared" si="66"/>
        <v>6</v>
      </c>
      <c r="BU147" s="228">
        <f t="shared" si="66"/>
        <v>0</v>
      </c>
      <c r="BV147" s="228">
        <f t="shared" si="66"/>
        <v>0</v>
      </c>
      <c r="BW147" s="228">
        <f t="shared" si="66"/>
        <v>53</v>
      </c>
      <c r="BX147" s="228">
        <f t="shared" si="66"/>
        <v>36</v>
      </c>
      <c r="BY147" s="228">
        <f t="shared" si="66"/>
        <v>10</v>
      </c>
      <c r="BZ147" s="228">
        <f t="shared" si="66"/>
        <v>14</v>
      </c>
      <c r="CA147" s="228">
        <f t="shared" si="66"/>
        <v>44</v>
      </c>
      <c r="CB147" s="228">
        <f t="shared" si="66"/>
        <v>1</v>
      </c>
      <c r="CC147" s="228">
        <f t="shared" si="66"/>
        <v>9</v>
      </c>
      <c r="CD147" s="228">
        <f t="shared" si="66"/>
        <v>0</v>
      </c>
      <c r="CE147" s="228">
        <f t="shared" si="66"/>
        <v>18</v>
      </c>
      <c r="CF147" s="228">
        <f t="shared" si="66"/>
        <v>4</v>
      </c>
      <c r="CG147" s="228">
        <f t="shared" si="66"/>
        <v>39</v>
      </c>
      <c r="CH147" s="228">
        <f t="shared" si="66"/>
        <v>0</v>
      </c>
      <c r="CI147" s="228">
        <f t="shared" si="66"/>
        <v>12</v>
      </c>
      <c r="CJ147" s="228">
        <f t="shared" si="66"/>
        <v>2</v>
      </c>
      <c r="CK147" s="228">
        <f t="shared" si="66"/>
        <v>2</v>
      </c>
      <c r="CL147" s="228">
        <f t="shared" si="66"/>
        <v>1</v>
      </c>
      <c r="CM147" s="228">
        <f t="shared" si="66"/>
        <v>4</v>
      </c>
      <c r="CN147" s="228">
        <f t="shared" si="66"/>
        <v>7</v>
      </c>
      <c r="CO147" s="228">
        <f t="shared" si="66"/>
        <v>105</v>
      </c>
      <c r="CP147" s="228">
        <f t="shared" si="66"/>
        <v>272</v>
      </c>
      <c r="CQ147" s="228">
        <f t="shared" si="66"/>
        <v>7</v>
      </c>
      <c r="CR147" s="228">
        <f t="shared" si="66"/>
        <v>9</v>
      </c>
      <c r="CS147" s="228">
        <f t="shared" si="66"/>
        <v>0</v>
      </c>
      <c r="CT147" s="228">
        <f t="shared" si="66"/>
        <v>4</v>
      </c>
      <c r="CU147" s="228">
        <f t="shared" si="66"/>
        <v>9</v>
      </c>
      <c r="CV147" s="228">
        <f t="shared" si="66"/>
        <v>21</v>
      </c>
      <c r="CW147" s="228">
        <f t="shared" si="66"/>
        <v>39</v>
      </c>
      <c r="CX147" s="228">
        <f t="shared" si="66"/>
        <v>1</v>
      </c>
      <c r="CY147" s="228">
        <f t="shared" si="66"/>
        <v>17</v>
      </c>
      <c r="CZ147" s="228">
        <f t="shared" si="66"/>
        <v>0</v>
      </c>
      <c r="DA147" s="228">
        <f t="shared" si="66"/>
        <v>4</v>
      </c>
      <c r="DB147" s="228">
        <f t="shared" si="66"/>
        <v>74</v>
      </c>
      <c r="DC147" s="228">
        <f t="shared" si="66"/>
        <v>14</v>
      </c>
      <c r="DD147" s="228">
        <f t="shared" si="66"/>
        <v>0</v>
      </c>
      <c r="DE147" s="228">
        <f t="shared" si="66"/>
        <v>0</v>
      </c>
      <c r="DF147" s="228">
        <f t="shared" si="66"/>
        <v>0</v>
      </c>
      <c r="DG147" s="228">
        <f t="shared" si="66"/>
        <v>0</v>
      </c>
      <c r="DH147" s="228">
        <f t="shared" si="66"/>
        <v>0</v>
      </c>
      <c r="DI147" s="228">
        <f t="shared" si="66"/>
        <v>49</v>
      </c>
      <c r="DJ147" s="228">
        <f t="shared" si="66"/>
        <v>0</v>
      </c>
      <c r="DK147" s="228">
        <f t="shared" si="66"/>
        <v>0</v>
      </c>
      <c r="DL147" s="228">
        <f t="shared" si="66"/>
        <v>38</v>
      </c>
      <c r="DM147" s="228">
        <f t="shared" si="66"/>
        <v>0</v>
      </c>
      <c r="DN147" s="228">
        <f t="shared" si="66"/>
        <v>1</v>
      </c>
      <c r="DO147" s="228">
        <f t="shared" si="66"/>
        <v>0</v>
      </c>
      <c r="DP147" s="232">
        <f t="shared" si="66"/>
        <v>1719</v>
      </c>
      <c r="DQ147" s="228">
        <f t="shared" si="17"/>
        <v>0</v>
      </c>
      <c r="DR147" s="228">
        <f t="shared" si="18"/>
        <v>1</v>
      </c>
      <c r="DS147" s="230">
        <f>SUM(X147:Y147)+(1-TRP!$AK$253)*AC147</f>
        <v>116.7</v>
      </c>
      <c r="DT147" s="228">
        <f t="shared" si="19"/>
        <v>0</v>
      </c>
      <c r="DU147" s="228">
        <f t="shared" si="20"/>
        <v>0</v>
      </c>
      <c r="DV147" s="228">
        <f t="shared" si="21"/>
        <v>0</v>
      </c>
      <c r="DW147" s="228">
        <f t="shared" si="22"/>
        <v>0</v>
      </c>
      <c r="DX147" s="228">
        <f t="shared" si="23"/>
        <v>0</v>
      </c>
      <c r="DY147" s="228">
        <f t="shared" si="24"/>
        <v>4</v>
      </c>
      <c r="DZ147" s="228">
        <f t="shared" si="25"/>
        <v>1</v>
      </c>
      <c r="EA147" s="228">
        <f t="shared" si="26"/>
        <v>7</v>
      </c>
      <c r="EB147" s="230">
        <f>TRP!$AK$253*$AC147+SUM(M147:W147,Z147:AB147,AD147:AR147,AU147:AX147,BC147:BE147,BI147:BN147,BQ147:BR147,BV147)</f>
        <v>663.3</v>
      </c>
      <c r="EC147" s="228">
        <f t="shared" si="27"/>
        <v>89</v>
      </c>
      <c r="ED147" s="230">
        <f>CB147+$CI147*TRP!$AV$248</f>
        <v>1.3720510030182946</v>
      </c>
      <c r="EE147" s="228">
        <f t="shared" si="28"/>
        <v>9</v>
      </c>
      <c r="EF147" s="230">
        <f>CD147+$CI147*TRP!$AV$249</f>
        <v>8.3183494123271959</v>
      </c>
      <c r="EG147" s="230">
        <f>CE147+$CI147*TRP!$AV$250</f>
        <v>20.42632164049736</v>
      </c>
      <c r="EH147" s="230">
        <f>CF147+$CI147*TRP!$AV$251</f>
        <v>4.8832779441571512</v>
      </c>
      <c r="EI147" s="228">
        <f t="shared" si="29"/>
        <v>786</v>
      </c>
      <c r="EJ147" s="228">
        <f t="shared" si="30"/>
        <v>1</v>
      </c>
      <c r="EK147" s="228">
        <f t="shared" si="31"/>
        <v>0</v>
      </c>
      <c r="EL147" s="230">
        <f>BS147+$BP147*TRP!$AN$246</f>
        <v>0</v>
      </c>
      <c r="EM147" s="228">
        <f t="shared" si="32"/>
        <v>6</v>
      </c>
      <c r="EN147" s="230">
        <f>BU147+$BP147*TRP!$AN$247</f>
        <v>0</v>
      </c>
    </row>
    <row r="148" spans="1:144" s="228" customFormat="1" ht="10.5" x14ac:dyDescent="0.25">
      <c r="A148" s="228" t="str">
        <f>TRP!C146</f>
        <v xml:space="preserve">GC46 </v>
      </c>
      <c r="B148" s="228" t="str">
        <f>TRP!B146</f>
        <v>FABRICATION DE MATERIEL OPTIQUE ET PHOTO</v>
      </c>
      <c r="C148" s="233">
        <f>TRP!A146</f>
        <v>12</v>
      </c>
      <c r="D148" s="228">
        <f t="shared" ref="D148:BO148" si="67">D24</f>
        <v>0</v>
      </c>
      <c r="E148" s="228">
        <f t="shared" si="67"/>
        <v>0</v>
      </c>
      <c r="F148" s="228">
        <f t="shared" si="67"/>
        <v>0</v>
      </c>
      <c r="G148" s="228">
        <f t="shared" si="67"/>
        <v>0</v>
      </c>
      <c r="H148" s="228">
        <f t="shared" si="67"/>
        <v>0</v>
      </c>
      <c r="I148" s="228">
        <f t="shared" si="67"/>
        <v>0</v>
      </c>
      <c r="J148" s="228">
        <f t="shared" si="67"/>
        <v>0</v>
      </c>
      <c r="K148" s="228">
        <f t="shared" si="67"/>
        <v>0</v>
      </c>
      <c r="L148" s="228">
        <f t="shared" si="67"/>
        <v>0</v>
      </c>
      <c r="M148" s="228">
        <f t="shared" si="67"/>
        <v>0</v>
      </c>
      <c r="N148" s="228">
        <f t="shared" si="67"/>
        <v>0</v>
      </c>
      <c r="O148" s="228">
        <f t="shared" si="67"/>
        <v>1</v>
      </c>
      <c r="P148" s="228">
        <f t="shared" si="67"/>
        <v>0</v>
      </c>
      <c r="Q148" s="228">
        <f t="shared" si="67"/>
        <v>0</v>
      </c>
      <c r="R148" s="228">
        <f t="shared" si="67"/>
        <v>23</v>
      </c>
      <c r="S148" s="228">
        <f t="shared" si="67"/>
        <v>0</v>
      </c>
      <c r="T148" s="228">
        <f t="shared" si="67"/>
        <v>19</v>
      </c>
      <c r="U148" s="228">
        <f t="shared" si="67"/>
        <v>15</v>
      </c>
      <c r="V148" s="228">
        <f t="shared" si="67"/>
        <v>22</v>
      </c>
      <c r="W148" s="228">
        <f t="shared" si="67"/>
        <v>114</v>
      </c>
      <c r="X148" s="228">
        <f t="shared" si="67"/>
        <v>53</v>
      </c>
      <c r="Y148" s="228">
        <f t="shared" si="67"/>
        <v>21</v>
      </c>
      <c r="Z148" s="228">
        <f t="shared" si="67"/>
        <v>2</v>
      </c>
      <c r="AA148" s="228">
        <f t="shared" si="67"/>
        <v>1</v>
      </c>
      <c r="AB148" s="228">
        <f t="shared" si="67"/>
        <v>1</v>
      </c>
      <c r="AC148" s="228">
        <f t="shared" si="67"/>
        <v>1</v>
      </c>
      <c r="AD148" s="228">
        <f t="shared" si="67"/>
        <v>1</v>
      </c>
      <c r="AE148" s="228">
        <f t="shared" si="67"/>
        <v>2</v>
      </c>
      <c r="AF148" s="228">
        <f t="shared" si="67"/>
        <v>41</v>
      </c>
      <c r="AG148" s="228">
        <f t="shared" si="67"/>
        <v>30</v>
      </c>
      <c r="AH148" s="228">
        <f t="shared" si="67"/>
        <v>2</v>
      </c>
      <c r="AI148" s="228">
        <f t="shared" si="67"/>
        <v>0</v>
      </c>
      <c r="AJ148" s="228">
        <f t="shared" si="67"/>
        <v>6</v>
      </c>
      <c r="AK148" s="228">
        <f t="shared" si="67"/>
        <v>1</v>
      </c>
      <c r="AL148" s="228">
        <f t="shared" si="67"/>
        <v>1</v>
      </c>
      <c r="AM148" s="228">
        <f t="shared" si="67"/>
        <v>4</v>
      </c>
      <c r="AN148" s="228">
        <f t="shared" si="67"/>
        <v>25</v>
      </c>
      <c r="AO148" s="228">
        <f t="shared" si="67"/>
        <v>93</v>
      </c>
      <c r="AP148" s="228">
        <f t="shared" si="67"/>
        <v>41</v>
      </c>
      <c r="AQ148" s="228">
        <f t="shared" si="67"/>
        <v>0</v>
      </c>
      <c r="AR148" s="228">
        <f t="shared" si="67"/>
        <v>0</v>
      </c>
      <c r="AS148" s="228">
        <f t="shared" si="67"/>
        <v>1</v>
      </c>
      <c r="AT148" s="228">
        <f t="shared" si="67"/>
        <v>0</v>
      </c>
      <c r="AU148" s="228">
        <f t="shared" si="67"/>
        <v>0</v>
      </c>
      <c r="AV148" s="228">
        <f t="shared" si="67"/>
        <v>2</v>
      </c>
      <c r="AW148" s="228">
        <f t="shared" si="67"/>
        <v>0</v>
      </c>
      <c r="AX148" s="228">
        <f t="shared" si="67"/>
        <v>0</v>
      </c>
      <c r="AY148" s="228">
        <f t="shared" si="67"/>
        <v>0</v>
      </c>
      <c r="AZ148" s="228">
        <f t="shared" si="67"/>
        <v>0</v>
      </c>
      <c r="BA148" s="228">
        <f t="shared" si="67"/>
        <v>0</v>
      </c>
      <c r="BB148" s="228">
        <f t="shared" si="67"/>
        <v>0</v>
      </c>
      <c r="BC148" s="228">
        <f t="shared" si="67"/>
        <v>0</v>
      </c>
      <c r="BD148" s="228">
        <f t="shared" si="67"/>
        <v>0</v>
      </c>
      <c r="BE148" s="228">
        <f t="shared" si="67"/>
        <v>0</v>
      </c>
      <c r="BF148" s="228">
        <f t="shared" si="67"/>
        <v>0</v>
      </c>
      <c r="BG148" s="228">
        <f t="shared" si="67"/>
        <v>1</v>
      </c>
      <c r="BH148" s="228">
        <f t="shared" si="67"/>
        <v>0</v>
      </c>
      <c r="BI148" s="228">
        <f t="shared" si="67"/>
        <v>0</v>
      </c>
      <c r="BJ148" s="228">
        <f t="shared" si="67"/>
        <v>1</v>
      </c>
      <c r="BK148" s="228">
        <f t="shared" si="67"/>
        <v>1</v>
      </c>
      <c r="BL148" s="228">
        <f t="shared" si="67"/>
        <v>0</v>
      </c>
      <c r="BM148" s="228">
        <f t="shared" si="67"/>
        <v>26</v>
      </c>
      <c r="BN148" s="228">
        <f t="shared" si="67"/>
        <v>26</v>
      </c>
      <c r="BO148" s="228">
        <f t="shared" si="67"/>
        <v>0</v>
      </c>
      <c r="BP148" s="228">
        <f t="shared" ref="BP148:DP148" si="68">BP24</f>
        <v>0</v>
      </c>
      <c r="BQ148" s="228">
        <f t="shared" si="68"/>
        <v>0</v>
      </c>
      <c r="BR148" s="228">
        <f t="shared" si="68"/>
        <v>0</v>
      </c>
      <c r="BS148" s="228">
        <f t="shared" si="68"/>
        <v>9</v>
      </c>
      <c r="BT148" s="228">
        <f t="shared" si="68"/>
        <v>6</v>
      </c>
      <c r="BU148" s="228">
        <f t="shared" si="68"/>
        <v>2</v>
      </c>
      <c r="BV148" s="228">
        <f t="shared" si="68"/>
        <v>4</v>
      </c>
      <c r="BW148" s="228">
        <f t="shared" si="68"/>
        <v>23</v>
      </c>
      <c r="BX148" s="228">
        <f t="shared" si="68"/>
        <v>24</v>
      </c>
      <c r="BY148" s="228">
        <f t="shared" si="68"/>
        <v>13</v>
      </c>
      <c r="BZ148" s="228">
        <f t="shared" si="68"/>
        <v>68</v>
      </c>
      <c r="CA148" s="228">
        <f t="shared" si="68"/>
        <v>44</v>
      </c>
      <c r="CB148" s="228">
        <f t="shared" si="68"/>
        <v>0</v>
      </c>
      <c r="CC148" s="228">
        <f t="shared" si="68"/>
        <v>0</v>
      </c>
      <c r="CD148" s="228">
        <f t="shared" si="68"/>
        <v>0</v>
      </c>
      <c r="CE148" s="228">
        <f t="shared" si="68"/>
        <v>0</v>
      </c>
      <c r="CF148" s="228">
        <f t="shared" si="68"/>
        <v>0</v>
      </c>
      <c r="CG148" s="228">
        <f t="shared" si="68"/>
        <v>0</v>
      </c>
      <c r="CH148" s="228">
        <f t="shared" si="68"/>
        <v>0</v>
      </c>
      <c r="CI148" s="228">
        <f t="shared" si="68"/>
        <v>0</v>
      </c>
      <c r="CJ148" s="228">
        <f t="shared" si="68"/>
        <v>1</v>
      </c>
      <c r="CK148" s="228">
        <f t="shared" si="68"/>
        <v>2</v>
      </c>
      <c r="CL148" s="228">
        <f t="shared" si="68"/>
        <v>0</v>
      </c>
      <c r="CM148" s="228">
        <f t="shared" si="68"/>
        <v>6</v>
      </c>
      <c r="CN148" s="228">
        <f t="shared" si="68"/>
        <v>6</v>
      </c>
      <c r="CO148" s="228">
        <f t="shared" si="68"/>
        <v>0</v>
      </c>
      <c r="CP148" s="228">
        <f t="shared" si="68"/>
        <v>3</v>
      </c>
      <c r="CQ148" s="228">
        <f t="shared" si="68"/>
        <v>2</v>
      </c>
      <c r="CR148" s="228">
        <f t="shared" si="68"/>
        <v>2</v>
      </c>
      <c r="CS148" s="228">
        <f t="shared" si="68"/>
        <v>1</v>
      </c>
      <c r="CT148" s="228">
        <f t="shared" si="68"/>
        <v>2</v>
      </c>
      <c r="CU148" s="228">
        <f t="shared" si="68"/>
        <v>0</v>
      </c>
      <c r="CV148" s="228">
        <f t="shared" si="68"/>
        <v>2</v>
      </c>
      <c r="CW148" s="228">
        <f t="shared" si="68"/>
        <v>15</v>
      </c>
      <c r="CX148" s="228">
        <f t="shared" si="68"/>
        <v>0</v>
      </c>
      <c r="CY148" s="228">
        <f t="shared" si="68"/>
        <v>29</v>
      </c>
      <c r="CZ148" s="228">
        <f t="shared" si="68"/>
        <v>0</v>
      </c>
      <c r="DA148" s="228">
        <f t="shared" si="68"/>
        <v>49</v>
      </c>
      <c r="DB148" s="228">
        <f t="shared" si="68"/>
        <v>0</v>
      </c>
      <c r="DC148" s="228">
        <f t="shared" si="68"/>
        <v>0</v>
      </c>
      <c r="DD148" s="228">
        <f t="shared" si="68"/>
        <v>0</v>
      </c>
      <c r="DE148" s="228">
        <f t="shared" si="68"/>
        <v>0</v>
      </c>
      <c r="DF148" s="228">
        <f t="shared" si="68"/>
        <v>0</v>
      </c>
      <c r="DG148" s="228">
        <f t="shared" si="68"/>
        <v>0</v>
      </c>
      <c r="DH148" s="228">
        <f t="shared" si="68"/>
        <v>0</v>
      </c>
      <c r="DI148" s="228">
        <f t="shared" si="68"/>
        <v>0</v>
      </c>
      <c r="DJ148" s="228">
        <f t="shared" si="68"/>
        <v>0</v>
      </c>
      <c r="DK148" s="228">
        <f t="shared" si="68"/>
        <v>0</v>
      </c>
      <c r="DL148" s="228">
        <f t="shared" si="68"/>
        <v>1</v>
      </c>
      <c r="DM148" s="228">
        <f t="shared" si="68"/>
        <v>0</v>
      </c>
      <c r="DN148" s="228">
        <f t="shared" si="68"/>
        <v>0</v>
      </c>
      <c r="DO148" s="228">
        <f t="shared" si="68"/>
        <v>0</v>
      </c>
      <c r="DP148" s="232">
        <f t="shared" si="68"/>
        <v>892</v>
      </c>
      <c r="DQ148" s="228">
        <f t="shared" si="17"/>
        <v>0</v>
      </c>
      <c r="DR148" s="228">
        <f t="shared" si="18"/>
        <v>0</v>
      </c>
      <c r="DS148" s="230">
        <f>SUM(X148:Y148)+(1-TRP!$AK$253)*AC148</f>
        <v>74.7</v>
      </c>
      <c r="DT148" s="228">
        <f t="shared" si="19"/>
        <v>1</v>
      </c>
      <c r="DU148" s="228">
        <f t="shared" si="20"/>
        <v>0</v>
      </c>
      <c r="DV148" s="228">
        <f t="shared" si="21"/>
        <v>0</v>
      </c>
      <c r="DW148" s="228">
        <f t="shared" si="22"/>
        <v>0</v>
      </c>
      <c r="DX148" s="228">
        <f t="shared" si="23"/>
        <v>0</v>
      </c>
      <c r="DY148" s="228">
        <f t="shared" si="24"/>
        <v>0</v>
      </c>
      <c r="DZ148" s="228">
        <f t="shared" si="25"/>
        <v>1</v>
      </c>
      <c r="EA148" s="228">
        <f t="shared" si="26"/>
        <v>0</v>
      </c>
      <c r="EB148" s="230">
        <f>TRP!$AK$253*$AC148+SUM(M148:W148,Z148:AB148,AD148:AR148,AU148:AX148,BC148:BE148,BI148:BN148,BQ148:BR148,BV148)</f>
        <v>505.3</v>
      </c>
      <c r="EC148" s="228">
        <f t="shared" si="27"/>
        <v>47</v>
      </c>
      <c r="ED148" s="230">
        <f>CB148+$CI148*TRP!$AV$248</f>
        <v>0</v>
      </c>
      <c r="EE148" s="228">
        <f t="shared" si="28"/>
        <v>0</v>
      </c>
      <c r="EF148" s="230">
        <f>CD148+$CI148*TRP!$AV$249</f>
        <v>0</v>
      </c>
      <c r="EG148" s="230">
        <f>CE148+$CI148*TRP!$AV$250</f>
        <v>0</v>
      </c>
      <c r="EH148" s="230">
        <f>CF148+$CI148*TRP!$AV$251</f>
        <v>0</v>
      </c>
      <c r="EI148" s="228">
        <f t="shared" si="29"/>
        <v>246</v>
      </c>
      <c r="EJ148" s="228">
        <f t="shared" si="30"/>
        <v>0</v>
      </c>
      <c r="EK148" s="228">
        <f t="shared" si="31"/>
        <v>0</v>
      </c>
      <c r="EL148" s="230">
        <f>BS148+$BP148*TRP!$AN$246</f>
        <v>9</v>
      </c>
      <c r="EM148" s="228">
        <f t="shared" si="32"/>
        <v>6</v>
      </c>
      <c r="EN148" s="230">
        <f>BU148+$BP148*TRP!$AN$247</f>
        <v>2</v>
      </c>
    </row>
    <row r="149" spans="1:144" s="228" customFormat="1" ht="10.5" x14ac:dyDescent="0.25">
      <c r="A149" s="228" t="str">
        <f>TRP!C147</f>
        <v xml:space="preserve">GD01 </v>
      </c>
      <c r="B149" s="228" t="str">
        <f>TRP!B147</f>
        <v>CONSTRUCTION AUTOMOBILE</v>
      </c>
      <c r="C149" s="233">
        <f>TRP!A147</f>
        <v>103</v>
      </c>
      <c r="D149" s="228">
        <f t="shared" ref="D149:BO149" si="69">D25</f>
        <v>0</v>
      </c>
      <c r="E149" s="228">
        <f t="shared" si="69"/>
        <v>14</v>
      </c>
      <c r="F149" s="228">
        <f t="shared" si="69"/>
        <v>0</v>
      </c>
      <c r="G149" s="228">
        <f t="shared" si="69"/>
        <v>15</v>
      </c>
      <c r="H149" s="228">
        <f t="shared" si="69"/>
        <v>5</v>
      </c>
      <c r="I149" s="228">
        <f t="shared" si="69"/>
        <v>160</v>
      </c>
      <c r="J149" s="228">
        <f t="shared" si="69"/>
        <v>8</v>
      </c>
      <c r="K149" s="228">
        <f t="shared" si="69"/>
        <v>21</v>
      </c>
      <c r="L149" s="228">
        <f t="shared" si="69"/>
        <v>0</v>
      </c>
      <c r="M149" s="228">
        <f t="shared" si="69"/>
        <v>1</v>
      </c>
      <c r="N149" s="228">
        <f t="shared" si="69"/>
        <v>3</v>
      </c>
      <c r="O149" s="228">
        <f t="shared" si="69"/>
        <v>6</v>
      </c>
      <c r="P149" s="228">
        <f t="shared" si="69"/>
        <v>1</v>
      </c>
      <c r="Q149" s="228">
        <f t="shared" si="69"/>
        <v>8</v>
      </c>
      <c r="R149" s="228">
        <f t="shared" si="69"/>
        <v>6</v>
      </c>
      <c r="S149" s="228">
        <f t="shared" si="69"/>
        <v>1</v>
      </c>
      <c r="T149" s="228">
        <f t="shared" si="69"/>
        <v>2</v>
      </c>
      <c r="U149" s="228">
        <f t="shared" si="69"/>
        <v>4</v>
      </c>
      <c r="V149" s="228">
        <f t="shared" si="69"/>
        <v>6</v>
      </c>
      <c r="W149" s="228">
        <f t="shared" si="69"/>
        <v>3</v>
      </c>
      <c r="X149" s="228">
        <f t="shared" si="69"/>
        <v>15378</v>
      </c>
      <c r="Y149" s="228">
        <f t="shared" si="69"/>
        <v>341</v>
      </c>
      <c r="Z149" s="228">
        <f t="shared" si="69"/>
        <v>5</v>
      </c>
      <c r="AA149" s="228">
        <f t="shared" si="69"/>
        <v>10</v>
      </c>
      <c r="AB149" s="228">
        <f t="shared" si="69"/>
        <v>20</v>
      </c>
      <c r="AC149" s="228">
        <f t="shared" si="69"/>
        <v>10</v>
      </c>
      <c r="AD149" s="228">
        <f t="shared" si="69"/>
        <v>17</v>
      </c>
      <c r="AE149" s="228">
        <f t="shared" si="69"/>
        <v>6</v>
      </c>
      <c r="AF149" s="228">
        <f t="shared" si="69"/>
        <v>11</v>
      </c>
      <c r="AG149" s="228">
        <f t="shared" si="69"/>
        <v>78</v>
      </c>
      <c r="AH149" s="228">
        <f t="shared" si="69"/>
        <v>2</v>
      </c>
      <c r="AI149" s="228">
        <f t="shared" si="69"/>
        <v>5</v>
      </c>
      <c r="AJ149" s="228">
        <f t="shared" si="69"/>
        <v>10</v>
      </c>
      <c r="AK149" s="228">
        <f t="shared" si="69"/>
        <v>6</v>
      </c>
      <c r="AL149" s="228">
        <f t="shared" si="69"/>
        <v>1</v>
      </c>
      <c r="AM149" s="228">
        <f t="shared" si="69"/>
        <v>7</v>
      </c>
      <c r="AN149" s="228">
        <f t="shared" si="69"/>
        <v>3</v>
      </c>
      <c r="AO149" s="228">
        <f t="shared" si="69"/>
        <v>5</v>
      </c>
      <c r="AP149" s="228">
        <f t="shared" si="69"/>
        <v>6</v>
      </c>
      <c r="AQ149" s="228">
        <f t="shared" si="69"/>
        <v>0</v>
      </c>
      <c r="AR149" s="228">
        <f t="shared" si="69"/>
        <v>9</v>
      </c>
      <c r="AS149" s="228">
        <f t="shared" si="69"/>
        <v>2</v>
      </c>
      <c r="AT149" s="228">
        <f t="shared" si="69"/>
        <v>40</v>
      </c>
      <c r="AU149" s="228">
        <f t="shared" si="69"/>
        <v>4</v>
      </c>
      <c r="AV149" s="228">
        <f t="shared" si="69"/>
        <v>5</v>
      </c>
      <c r="AW149" s="228">
        <f t="shared" si="69"/>
        <v>3</v>
      </c>
      <c r="AX149" s="228">
        <f t="shared" si="69"/>
        <v>3</v>
      </c>
      <c r="AY149" s="228">
        <f t="shared" si="69"/>
        <v>8</v>
      </c>
      <c r="AZ149" s="228">
        <f t="shared" si="69"/>
        <v>7</v>
      </c>
      <c r="BA149" s="228">
        <f t="shared" si="69"/>
        <v>3</v>
      </c>
      <c r="BB149" s="228">
        <f t="shared" si="69"/>
        <v>13</v>
      </c>
      <c r="BC149" s="228">
        <f t="shared" si="69"/>
        <v>2</v>
      </c>
      <c r="BD149" s="228">
        <f t="shared" si="69"/>
        <v>1</v>
      </c>
      <c r="BE149" s="228">
        <f t="shared" si="69"/>
        <v>2</v>
      </c>
      <c r="BF149" s="228">
        <f t="shared" si="69"/>
        <v>5</v>
      </c>
      <c r="BG149" s="228">
        <f t="shared" si="69"/>
        <v>2</v>
      </c>
      <c r="BH149" s="228">
        <f t="shared" si="69"/>
        <v>7</v>
      </c>
      <c r="BI149" s="228">
        <f t="shared" si="69"/>
        <v>4</v>
      </c>
      <c r="BJ149" s="228">
        <f t="shared" si="69"/>
        <v>3</v>
      </c>
      <c r="BK149" s="228">
        <f t="shared" si="69"/>
        <v>6</v>
      </c>
      <c r="BL149" s="228">
        <f t="shared" si="69"/>
        <v>7</v>
      </c>
      <c r="BM149" s="228">
        <f t="shared" si="69"/>
        <v>4</v>
      </c>
      <c r="BN149" s="228">
        <f t="shared" si="69"/>
        <v>2</v>
      </c>
      <c r="BO149" s="228">
        <f t="shared" si="69"/>
        <v>0</v>
      </c>
      <c r="BP149" s="228">
        <f t="shared" ref="BP149:DP149" si="70">BP25</f>
        <v>0</v>
      </c>
      <c r="BQ149" s="228">
        <f t="shared" si="70"/>
        <v>0</v>
      </c>
      <c r="BR149" s="228">
        <f t="shared" si="70"/>
        <v>3</v>
      </c>
      <c r="BS149" s="228">
        <f t="shared" si="70"/>
        <v>8</v>
      </c>
      <c r="BT149" s="228">
        <f t="shared" si="70"/>
        <v>8</v>
      </c>
      <c r="BU149" s="228">
        <f t="shared" si="70"/>
        <v>2</v>
      </c>
      <c r="BV149" s="228">
        <f t="shared" si="70"/>
        <v>3</v>
      </c>
      <c r="BW149" s="228">
        <f t="shared" si="70"/>
        <v>43</v>
      </c>
      <c r="BX149" s="228">
        <f t="shared" si="70"/>
        <v>20</v>
      </c>
      <c r="BY149" s="228">
        <f t="shared" si="70"/>
        <v>2851</v>
      </c>
      <c r="BZ149" s="228">
        <f t="shared" si="70"/>
        <v>757</v>
      </c>
      <c r="CA149" s="228">
        <f t="shared" si="70"/>
        <v>104</v>
      </c>
      <c r="CB149" s="228">
        <f t="shared" si="70"/>
        <v>2</v>
      </c>
      <c r="CC149" s="228">
        <f t="shared" si="70"/>
        <v>31</v>
      </c>
      <c r="CD149" s="228">
        <f t="shared" si="70"/>
        <v>333</v>
      </c>
      <c r="CE149" s="228">
        <f t="shared" si="70"/>
        <v>40</v>
      </c>
      <c r="CF149" s="228">
        <f t="shared" si="70"/>
        <v>53</v>
      </c>
      <c r="CG149" s="228">
        <f t="shared" si="70"/>
        <v>444</v>
      </c>
      <c r="CH149" s="228">
        <f t="shared" si="70"/>
        <v>38</v>
      </c>
      <c r="CI149" s="228">
        <f t="shared" si="70"/>
        <v>38</v>
      </c>
      <c r="CJ149" s="228">
        <f t="shared" si="70"/>
        <v>0</v>
      </c>
      <c r="CK149" s="228">
        <f t="shared" si="70"/>
        <v>0</v>
      </c>
      <c r="CL149" s="228">
        <f t="shared" si="70"/>
        <v>0</v>
      </c>
      <c r="CM149" s="228">
        <f t="shared" si="70"/>
        <v>2</v>
      </c>
      <c r="CN149" s="228">
        <f t="shared" si="70"/>
        <v>7</v>
      </c>
      <c r="CO149" s="228">
        <f t="shared" si="70"/>
        <v>75</v>
      </c>
      <c r="CP149" s="228">
        <f t="shared" si="70"/>
        <v>37</v>
      </c>
      <c r="CQ149" s="228">
        <f t="shared" si="70"/>
        <v>35</v>
      </c>
      <c r="CR149" s="228">
        <f t="shared" si="70"/>
        <v>44</v>
      </c>
      <c r="CS149" s="228">
        <f t="shared" si="70"/>
        <v>9</v>
      </c>
      <c r="CT149" s="228">
        <f t="shared" si="70"/>
        <v>36</v>
      </c>
      <c r="CU149" s="228">
        <f t="shared" si="70"/>
        <v>33</v>
      </c>
      <c r="CV149" s="228">
        <f t="shared" si="70"/>
        <v>11</v>
      </c>
      <c r="CW149" s="228">
        <f t="shared" si="70"/>
        <v>111</v>
      </c>
      <c r="CX149" s="228">
        <f t="shared" si="70"/>
        <v>1</v>
      </c>
      <c r="CY149" s="228">
        <f t="shared" si="70"/>
        <v>56</v>
      </c>
      <c r="CZ149" s="228">
        <f t="shared" si="70"/>
        <v>0</v>
      </c>
      <c r="DA149" s="228">
        <f t="shared" si="70"/>
        <v>15</v>
      </c>
      <c r="DB149" s="228">
        <f t="shared" si="70"/>
        <v>24</v>
      </c>
      <c r="DC149" s="228">
        <f t="shared" si="70"/>
        <v>32</v>
      </c>
      <c r="DD149" s="228">
        <f t="shared" si="70"/>
        <v>4</v>
      </c>
      <c r="DE149" s="228">
        <f t="shared" si="70"/>
        <v>6</v>
      </c>
      <c r="DF149" s="228">
        <f t="shared" si="70"/>
        <v>0</v>
      </c>
      <c r="DG149" s="228">
        <f t="shared" si="70"/>
        <v>9</v>
      </c>
      <c r="DH149" s="228">
        <f t="shared" si="70"/>
        <v>2</v>
      </c>
      <c r="DI149" s="228">
        <f t="shared" si="70"/>
        <v>18</v>
      </c>
      <c r="DJ149" s="228">
        <f t="shared" si="70"/>
        <v>0</v>
      </c>
      <c r="DK149" s="228">
        <f t="shared" si="70"/>
        <v>2</v>
      </c>
      <c r="DL149" s="228">
        <f t="shared" si="70"/>
        <v>13</v>
      </c>
      <c r="DM149" s="228">
        <f t="shared" si="70"/>
        <v>3</v>
      </c>
      <c r="DN149" s="228">
        <f t="shared" si="70"/>
        <v>101</v>
      </c>
      <c r="DO149" s="228">
        <f t="shared" si="70"/>
        <v>0</v>
      </c>
      <c r="DP149" s="232">
        <f t="shared" si="70"/>
        <v>21791</v>
      </c>
      <c r="DQ149" s="228">
        <f t="shared" si="17"/>
        <v>14</v>
      </c>
      <c r="DR149" s="228">
        <f t="shared" si="18"/>
        <v>209</v>
      </c>
      <c r="DS149" s="230">
        <f>SUM(X149:Y149)+(1-TRP!$AK$253)*AC149</f>
        <v>15726</v>
      </c>
      <c r="DT149" s="228">
        <f t="shared" si="19"/>
        <v>2</v>
      </c>
      <c r="DU149" s="228">
        <f t="shared" si="20"/>
        <v>40</v>
      </c>
      <c r="DV149" s="228">
        <f t="shared" si="21"/>
        <v>15</v>
      </c>
      <c r="DW149" s="228">
        <f t="shared" si="22"/>
        <v>3</v>
      </c>
      <c r="DX149" s="228">
        <f t="shared" si="23"/>
        <v>13</v>
      </c>
      <c r="DY149" s="228">
        <f t="shared" si="24"/>
        <v>5</v>
      </c>
      <c r="DZ149" s="228">
        <f t="shared" si="25"/>
        <v>2</v>
      </c>
      <c r="EA149" s="228">
        <f t="shared" si="26"/>
        <v>7</v>
      </c>
      <c r="EB149" s="230">
        <f>TRP!$AK$253*$AC149+SUM(M149:W149,Z149:AB149,AD149:AR149,AU149:AX149,BC149:BE149,BI149:BN149,BQ149:BR149,BV149)</f>
        <v>297</v>
      </c>
      <c r="EC149" s="228">
        <f t="shared" si="27"/>
        <v>63</v>
      </c>
      <c r="ED149" s="230">
        <f>CB149+$CI149*TRP!$AV$248</f>
        <v>3.178161509557933</v>
      </c>
      <c r="EE149" s="228">
        <f t="shared" si="28"/>
        <v>31</v>
      </c>
      <c r="EF149" s="230">
        <f>CD149+$CI149*TRP!$AV$249</f>
        <v>359.34143980570281</v>
      </c>
      <c r="EG149" s="230">
        <f>CE149+$CI149*TRP!$AV$250</f>
        <v>47.68335186157497</v>
      </c>
      <c r="EH149" s="230">
        <f>CF149+$CI149*TRP!$AV$251</f>
        <v>55.797046823164308</v>
      </c>
      <c r="EI149" s="228">
        <f t="shared" si="29"/>
        <v>4774</v>
      </c>
      <c r="EJ149" s="228">
        <f t="shared" si="30"/>
        <v>106</v>
      </c>
      <c r="EK149" s="228">
        <f t="shared" si="31"/>
        <v>0</v>
      </c>
      <c r="EL149" s="230">
        <f>BS149+$BP149*TRP!$AN$246</f>
        <v>8</v>
      </c>
      <c r="EM149" s="228">
        <f t="shared" si="32"/>
        <v>8</v>
      </c>
      <c r="EN149" s="230">
        <f>BU149+$BP149*TRP!$AN$247</f>
        <v>2</v>
      </c>
    </row>
    <row r="150" spans="1:144" s="228" customFormat="1" ht="10.5" x14ac:dyDescent="0.25">
      <c r="A150" s="228" t="str">
        <f>TRP!C148</f>
        <v xml:space="preserve">GD02 </v>
      </c>
      <c r="B150" s="228" t="str">
        <f>TRP!B148</f>
        <v>FABRICATION D EQUIPEMENTS AUTOMOBILES</v>
      </c>
      <c r="C150" s="233">
        <f>TRP!A148</f>
        <v>103</v>
      </c>
      <c r="D150" s="228">
        <f t="shared" ref="D150:BO150" si="71">D26</f>
        <v>158</v>
      </c>
      <c r="E150" s="228">
        <f t="shared" si="71"/>
        <v>6</v>
      </c>
      <c r="F150" s="228">
        <f t="shared" si="71"/>
        <v>0</v>
      </c>
      <c r="G150" s="228">
        <f t="shared" si="71"/>
        <v>2</v>
      </c>
      <c r="H150" s="228">
        <f t="shared" si="71"/>
        <v>2</v>
      </c>
      <c r="I150" s="228">
        <f t="shared" si="71"/>
        <v>1</v>
      </c>
      <c r="J150" s="228">
        <f t="shared" si="71"/>
        <v>8</v>
      </c>
      <c r="K150" s="228">
        <f t="shared" si="71"/>
        <v>1</v>
      </c>
      <c r="L150" s="228">
        <f t="shared" si="71"/>
        <v>0</v>
      </c>
      <c r="M150" s="228">
        <f t="shared" si="71"/>
        <v>1</v>
      </c>
      <c r="N150" s="228">
        <f t="shared" si="71"/>
        <v>1</v>
      </c>
      <c r="O150" s="228">
        <f t="shared" si="71"/>
        <v>4</v>
      </c>
      <c r="P150" s="228">
        <f t="shared" si="71"/>
        <v>2</v>
      </c>
      <c r="Q150" s="228">
        <f t="shared" si="71"/>
        <v>2</v>
      </c>
      <c r="R150" s="228">
        <f t="shared" si="71"/>
        <v>8</v>
      </c>
      <c r="S150" s="228">
        <f t="shared" si="71"/>
        <v>2</v>
      </c>
      <c r="T150" s="228">
        <f t="shared" si="71"/>
        <v>1</v>
      </c>
      <c r="U150" s="228">
        <f t="shared" si="71"/>
        <v>1</v>
      </c>
      <c r="V150" s="228">
        <f t="shared" si="71"/>
        <v>1</v>
      </c>
      <c r="W150" s="228">
        <f t="shared" si="71"/>
        <v>0</v>
      </c>
      <c r="X150" s="228">
        <f t="shared" si="71"/>
        <v>6474</v>
      </c>
      <c r="Y150" s="228">
        <f t="shared" si="71"/>
        <v>3389</v>
      </c>
      <c r="Z150" s="228">
        <f t="shared" si="71"/>
        <v>1</v>
      </c>
      <c r="AA150" s="228">
        <f t="shared" si="71"/>
        <v>0</v>
      </c>
      <c r="AB150" s="228">
        <f t="shared" si="71"/>
        <v>0</v>
      </c>
      <c r="AC150" s="228">
        <f t="shared" si="71"/>
        <v>3</v>
      </c>
      <c r="AD150" s="228">
        <f t="shared" si="71"/>
        <v>1</v>
      </c>
      <c r="AE150" s="228">
        <f t="shared" si="71"/>
        <v>13</v>
      </c>
      <c r="AF150" s="228">
        <f t="shared" si="71"/>
        <v>32</v>
      </c>
      <c r="AG150" s="228">
        <f t="shared" si="71"/>
        <v>32</v>
      </c>
      <c r="AH150" s="228">
        <f t="shared" si="71"/>
        <v>28</v>
      </c>
      <c r="AI150" s="228">
        <f t="shared" si="71"/>
        <v>9</v>
      </c>
      <c r="AJ150" s="228">
        <f t="shared" si="71"/>
        <v>37</v>
      </c>
      <c r="AK150" s="228">
        <f t="shared" si="71"/>
        <v>18</v>
      </c>
      <c r="AL150" s="228">
        <f t="shared" si="71"/>
        <v>1</v>
      </c>
      <c r="AM150" s="228">
        <f t="shared" si="71"/>
        <v>12</v>
      </c>
      <c r="AN150" s="228">
        <f t="shared" si="71"/>
        <v>11</v>
      </c>
      <c r="AO150" s="228">
        <f t="shared" si="71"/>
        <v>11</v>
      </c>
      <c r="AP150" s="228">
        <f t="shared" si="71"/>
        <v>8</v>
      </c>
      <c r="AQ150" s="228">
        <f t="shared" si="71"/>
        <v>0</v>
      </c>
      <c r="AR150" s="228">
        <f t="shared" si="71"/>
        <v>10</v>
      </c>
      <c r="AS150" s="228">
        <f t="shared" si="71"/>
        <v>10</v>
      </c>
      <c r="AT150" s="228">
        <f t="shared" si="71"/>
        <v>27</v>
      </c>
      <c r="AU150" s="228">
        <f t="shared" si="71"/>
        <v>4</v>
      </c>
      <c r="AV150" s="228">
        <f t="shared" si="71"/>
        <v>0</v>
      </c>
      <c r="AW150" s="228">
        <f t="shared" si="71"/>
        <v>2</v>
      </c>
      <c r="AX150" s="228">
        <f t="shared" si="71"/>
        <v>12</v>
      </c>
      <c r="AY150" s="228">
        <f t="shared" si="71"/>
        <v>2</v>
      </c>
      <c r="AZ150" s="228">
        <f t="shared" si="71"/>
        <v>1</v>
      </c>
      <c r="BA150" s="228">
        <f t="shared" si="71"/>
        <v>3</v>
      </c>
      <c r="BB150" s="228">
        <f t="shared" si="71"/>
        <v>4</v>
      </c>
      <c r="BC150" s="228">
        <f t="shared" si="71"/>
        <v>10</v>
      </c>
      <c r="BD150" s="228">
        <f t="shared" si="71"/>
        <v>0</v>
      </c>
      <c r="BE150" s="228">
        <f t="shared" si="71"/>
        <v>2</v>
      </c>
      <c r="BF150" s="228">
        <f t="shared" si="71"/>
        <v>3</v>
      </c>
      <c r="BG150" s="228">
        <f t="shared" si="71"/>
        <v>17</v>
      </c>
      <c r="BH150" s="228">
        <f t="shared" si="71"/>
        <v>9</v>
      </c>
      <c r="BI150" s="228">
        <f t="shared" si="71"/>
        <v>11</v>
      </c>
      <c r="BJ150" s="228">
        <f t="shared" si="71"/>
        <v>22</v>
      </c>
      <c r="BK150" s="228">
        <f t="shared" si="71"/>
        <v>16</v>
      </c>
      <c r="BL150" s="228">
        <f t="shared" si="71"/>
        <v>46</v>
      </c>
      <c r="BM150" s="228">
        <f t="shared" si="71"/>
        <v>27</v>
      </c>
      <c r="BN150" s="228">
        <f t="shared" si="71"/>
        <v>15</v>
      </c>
      <c r="BO150" s="228">
        <f t="shared" si="71"/>
        <v>0</v>
      </c>
      <c r="BP150" s="228">
        <f t="shared" ref="BP150:DP150" si="72">BP26</f>
        <v>0</v>
      </c>
      <c r="BQ150" s="228">
        <f t="shared" si="72"/>
        <v>0</v>
      </c>
      <c r="BR150" s="228">
        <f t="shared" si="72"/>
        <v>7</v>
      </c>
      <c r="BS150" s="228">
        <f t="shared" si="72"/>
        <v>52</v>
      </c>
      <c r="BT150" s="228">
        <f t="shared" si="72"/>
        <v>57</v>
      </c>
      <c r="BU150" s="228">
        <f t="shared" si="72"/>
        <v>1</v>
      </c>
      <c r="BV150" s="228">
        <f t="shared" si="72"/>
        <v>10</v>
      </c>
      <c r="BW150" s="228">
        <f t="shared" si="72"/>
        <v>10</v>
      </c>
      <c r="BX150" s="228">
        <f t="shared" si="72"/>
        <v>9</v>
      </c>
      <c r="BY150" s="228">
        <f t="shared" si="72"/>
        <v>1695</v>
      </c>
      <c r="BZ150" s="228">
        <f t="shared" si="72"/>
        <v>388</v>
      </c>
      <c r="CA150" s="228">
        <f t="shared" si="72"/>
        <v>69</v>
      </c>
      <c r="CB150" s="228">
        <f t="shared" si="72"/>
        <v>1</v>
      </c>
      <c r="CC150" s="228">
        <f t="shared" si="72"/>
        <v>18</v>
      </c>
      <c r="CD150" s="228">
        <f t="shared" si="72"/>
        <v>110</v>
      </c>
      <c r="CE150" s="228">
        <f t="shared" si="72"/>
        <v>1</v>
      </c>
      <c r="CF150" s="228">
        <f t="shared" si="72"/>
        <v>16</v>
      </c>
      <c r="CG150" s="228">
        <f t="shared" si="72"/>
        <v>49</v>
      </c>
      <c r="CH150" s="228">
        <f t="shared" si="72"/>
        <v>1</v>
      </c>
      <c r="CI150" s="228">
        <f t="shared" si="72"/>
        <v>16</v>
      </c>
      <c r="CJ150" s="228">
        <f t="shared" si="72"/>
        <v>7</v>
      </c>
      <c r="CK150" s="228">
        <f t="shared" si="72"/>
        <v>0</v>
      </c>
      <c r="CL150" s="228">
        <f t="shared" si="72"/>
        <v>0</v>
      </c>
      <c r="CM150" s="228">
        <f t="shared" si="72"/>
        <v>16</v>
      </c>
      <c r="CN150" s="228">
        <f t="shared" si="72"/>
        <v>16</v>
      </c>
      <c r="CO150" s="228">
        <f t="shared" si="72"/>
        <v>54</v>
      </c>
      <c r="CP150" s="228">
        <f t="shared" si="72"/>
        <v>15</v>
      </c>
      <c r="CQ150" s="228">
        <f t="shared" si="72"/>
        <v>3</v>
      </c>
      <c r="CR150" s="228">
        <f t="shared" si="72"/>
        <v>19</v>
      </c>
      <c r="CS150" s="228">
        <f t="shared" si="72"/>
        <v>2</v>
      </c>
      <c r="CT150" s="228">
        <f t="shared" si="72"/>
        <v>3</v>
      </c>
      <c r="CU150" s="228">
        <f t="shared" si="72"/>
        <v>7</v>
      </c>
      <c r="CV150" s="228">
        <f t="shared" si="72"/>
        <v>6</v>
      </c>
      <c r="CW150" s="228">
        <f t="shared" si="72"/>
        <v>175</v>
      </c>
      <c r="CX150" s="228">
        <f t="shared" si="72"/>
        <v>2</v>
      </c>
      <c r="CY150" s="228">
        <f t="shared" si="72"/>
        <v>18</v>
      </c>
      <c r="CZ150" s="228">
        <f t="shared" si="72"/>
        <v>0</v>
      </c>
      <c r="DA150" s="228">
        <f t="shared" si="72"/>
        <v>13</v>
      </c>
      <c r="DB150" s="228">
        <f t="shared" si="72"/>
        <v>14</v>
      </c>
      <c r="DC150" s="228">
        <f t="shared" si="72"/>
        <v>32</v>
      </c>
      <c r="DD150" s="228">
        <f t="shared" si="72"/>
        <v>129</v>
      </c>
      <c r="DE150" s="228">
        <f t="shared" si="72"/>
        <v>5</v>
      </c>
      <c r="DF150" s="228">
        <f t="shared" si="72"/>
        <v>0</v>
      </c>
      <c r="DG150" s="228">
        <f t="shared" si="72"/>
        <v>9</v>
      </c>
      <c r="DH150" s="228">
        <f t="shared" si="72"/>
        <v>0</v>
      </c>
      <c r="DI150" s="228">
        <f t="shared" si="72"/>
        <v>8</v>
      </c>
      <c r="DJ150" s="228">
        <f t="shared" si="72"/>
        <v>0</v>
      </c>
      <c r="DK150" s="228">
        <f t="shared" si="72"/>
        <v>0</v>
      </c>
      <c r="DL150" s="228">
        <f t="shared" si="72"/>
        <v>8</v>
      </c>
      <c r="DM150" s="228">
        <f t="shared" si="72"/>
        <v>69</v>
      </c>
      <c r="DN150" s="228">
        <f t="shared" si="72"/>
        <v>0</v>
      </c>
      <c r="DO150" s="228">
        <f t="shared" si="72"/>
        <v>120</v>
      </c>
      <c r="DP150" s="232">
        <f t="shared" si="72"/>
        <v>13794</v>
      </c>
      <c r="DQ150" s="228">
        <f t="shared" si="17"/>
        <v>164</v>
      </c>
      <c r="DR150" s="228">
        <f t="shared" si="18"/>
        <v>14</v>
      </c>
      <c r="DS150" s="230">
        <f>SUM(X150:Y150)+(1-TRP!$AK$253)*AC150</f>
        <v>9865.1</v>
      </c>
      <c r="DT150" s="228">
        <f t="shared" si="19"/>
        <v>10</v>
      </c>
      <c r="DU150" s="228">
        <f t="shared" si="20"/>
        <v>27</v>
      </c>
      <c r="DV150" s="228">
        <f t="shared" si="21"/>
        <v>3</v>
      </c>
      <c r="DW150" s="228">
        <f t="shared" si="22"/>
        <v>3</v>
      </c>
      <c r="DX150" s="228">
        <f t="shared" si="23"/>
        <v>4</v>
      </c>
      <c r="DY150" s="228">
        <f t="shared" si="24"/>
        <v>3</v>
      </c>
      <c r="DZ150" s="228">
        <f t="shared" si="25"/>
        <v>17</v>
      </c>
      <c r="EA150" s="228">
        <f t="shared" si="26"/>
        <v>9</v>
      </c>
      <c r="EB150" s="230">
        <f>TRP!$AK$253*$AC150+SUM(M150:W150,Z150:AB150,AD150:AR150,AU150:AX150,BC150:BE150,BI150:BN150,BQ150:BR150,BV150)</f>
        <v>431.9</v>
      </c>
      <c r="EC150" s="228">
        <f t="shared" si="27"/>
        <v>19</v>
      </c>
      <c r="ED150" s="230">
        <f>CB150+$CI150*TRP!$AV$248</f>
        <v>1.4960680040243928</v>
      </c>
      <c r="EE150" s="228">
        <f t="shared" si="28"/>
        <v>18</v>
      </c>
      <c r="EF150" s="230">
        <f>CD150+$CI150*TRP!$AV$249</f>
        <v>121.0911325497696</v>
      </c>
      <c r="EG150" s="230">
        <f>CE150+$CI150*TRP!$AV$250</f>
        <v>4.2350955206631449</v>
      </c>
      <c r="EH150" s="230">
        <f>CF150+$CI150*TRP!$AV$251</f>
        <v>17.177703925542868</v>
      </c>
      <c r="EI150" s="228">
        <f t="shared" si="29"/>
        <v>2763</v>
      </c>
      <c r="EJ150" s="228">
        <f t="shared" si="30"/>
        <v>189</v>
      </c>
      <c r="EK150" s="228">
        <f t="shared" si="31"/>
        <v>0</v>
      </c>
      <c r="EL150" s="230">
        <f>BS150+$BP150*TRP!$AN$246</f>
        <v>52</v>
      </c>
      <c r="EM150" s="228">
        <f t="shared" si="32"/>
        <v>57</v>
      </c>
      <c r="EN150" s="230">
        <f>BU150+$BP150*TRP!$AN$247</f>
        <v>1</v>
      </c>
    </row>
    <row r="151" spans="1:144" s="228" customFormat="1" ht="10.5" x14ac:dyDescent="0.25">
      <c r="A151" s="228" t="str">
        <f>TRP!C149</f>
        <v xml:space="preserve">GE11 </v>
      </c>
      <c r="B151" s="228" t="str">
        <f>TRP!B149</f>
        <v>CONSTRUCTION NAVALE</v>
      </c>
      <c r="C151" s="233">
        <f>TRP!A149</f>
        <v>12</v>
      </c>
      <c r="D151" s="228">
        <f t="shared" ref="D151:BO151" si="73">D27</f>
        <v>0</v>
      </c>
      <c r="E151" s="228">
        <f t="shared" si="73"/>
        <v>0</v>
      </c>
      <c r="F151" s="228">
        <f t="shared" si="73"/>
        <v>1</v>
      </c>
      <c r="G151" s="228">
        <f t="shared" si="73"/>
        <v>0</v>
      </c>
      <c r="H151" s="228">
        <f t="shared" si="73"/>
        <v>0</v>
      </c>
      <c r="I151" s="228">
        <f t="shared" si="73"/>
        <v>0</v>
      </c>
      <c r="J151" s="228">
        <f t="shared" si="73"/>
        <v>0</v>
      </c>
      <c r="K151" s="228">
        <f t="shared" si="73"/>
        <v>0</v>
      </c>
      <c r="L151" s="228">
        <f t="shared" si="73"/>
        <v>0</v>
      </c>
      <c r="M151" s="228">
        <f t="shared" si="73"/>
        <v>0</v>
      </c>
      <c r="N151" s="228">
        <f t="shared" si="73"/>
        <v>0</v>
      </c>
      <c r="O151" s="228">
        <f t="shared" si="73"/>
        <v>0</v>
      </c>
      <c r="P151" s="228">
        <f t="shared" si="73"/>
        <v>1</v>
      </c>
      <c r="Q151" s="228">
        <f t="shared" si="73"/>
        <v>1</v>
      </c>
      <c r="R151" s="228">
        <f t="shared" si="73"/>
        <v>0</v>
      </c>
      <c r="S151" s="228">
        <f t="shared" si="73"/>
        <v>0</v>
      </c>
      <c r="T151" s="228">
        <f t="shared" si="73"/>
        <v>0</v>
      </c>
      <c r="U151" s="228">
        <f t="shared" si="73"/>
        <v>0</v>
      </c>
      <c r="V151" s="228">
        <f t="shared" si="73"/>
        <v>0</v>
      </c>
      <c r="W151" s="228">
        <f t="shared" si="73"/>
        <v>0</v>
      </c>
      <c r="X151" s="228">
        <f t="shared" si="73"/>
        <v>0</v>
      </c>
      <c r="Y151" s="228">
        <f t="shared" si="73"/>
        <v>0</v>
      </c>
      <c r="Z151" s="228">
        <f t="shared" si="73"/>
        <v>676</v>
      </c>
      <c r="AA151" s="228">
        <f t="shared" si="73"/>
        <v>0</v>
      </c>
      <c r="AB151" s="228">
        <f t="shared" si="73"/>
        <v>0</v>
      </c>
      <c r="AC151" s="228">
        <f t="shared" si="73"/>
        <v>0</v>
      </c>
      <c r="AD151" s="228">
        <f t="shared" si="73"/>
        <v>0</v>
      </c>
      <c r="AE151" s="228">
        <f t="shared" si="73"/>
        <v>0</v>
      </c>
      <c r="AF151" s="228">
        <f t="shared" si="73"/>
        <v>0</v>
      </c>
      <c r="AG151" s="228">
        <f t="shared" si="73"/>
        <v>0</v>
      </c>
      <c r="AH151" s="228">
        <f t="shared" si="73"/>
        <v>0</v>
      </c>
      <c r="AI151" s="228">
        <f t="shared" si="73"/>
        <v>0</v>
      </c>
      <c r="AJ151" s="228">
        <f t="shared" si="73"/>
        <v>0</v>
      </c>
      <c r="AK151" s="228">
        <f t="shared" si="73"/>
        <v>0</v>
      </c>
      <c r="AL151" s="228">
        <f t="shared" si="73"/>
        <v>0</v>
      </c>
      <c r="AM151" s="228">
        <f t="shared" si="73"/>
        <v>0</v>
      </c>
      <c r="AN151" s="228">
        <f t="shared" si="73"/>
        <v>0</v>
      </c>
      <c r="AO151" s="228">
        <f t="shared" si="73"/>
        <v>0</v>
      </c>
      <c r="AP151" s="228">
        <f t="shared" si="73"/>
        <v>0</v>
      </c>
      <c r="AQ151" s="228">
        <f t="shared" si="73"/>
        <v>0</v>
      </c>
      <c r="AR151" s="228">
        <f t="shared" si="73"/>
        <v>0</v>
      </c>
      <c r="AS151" s="228">
        <f t="shared" si="73"/>
        <v>0</v>
      </c>
      <c r="AT151" s="228">
        <f t="shared" si="73"/>
        <v>0</v>
      </c>
      <c r="AU151" s="228">
        <f t="shared" si="73"/>
        <v>0</v>
      </c>
      <c r="AV151" s="228">
        <f t="shared" si="73"/>
        <v>0</v>
      </c>
      <c r="AW151" s="228">
        <f t="shared" si="73"/>
        <v>0</v>
      </c>
      <c r="AX151" s="228">
        <f t="shared" si="73"/>
        <v>0</v>
      </c>
      <c r="AY151" s="228">
        <f t="shared" si="73"/>
        <v>0</v>
      </c>
      <c r="AZ151" s="228">
        <f t="shared" si="73"/>
        <v>0</v>
      </c>
      <c r="BA151" s="228">
        <f t="shared" si="73"/>
        <v>0</v>
      </c>
      <c r="BB151" s="228">
        <f t="shared" si="73"/>
        <v>0</v>
      </c>
      <c r="BC151" s="228">
        <f t="shared" si="73"/>
        <v>0</v>
      </c>
      <c r="BD151" s="228">
        <f t="shared" si="73"/>
        <v>0</v>
      </c>
      <c r="BE151" s="228">
        <f t="shared" si="73"/>
        <v>0</v>
      </c>
      <c r="BF151" s="228">
        <f t="shared" si="73"/>
        <v>0</v>
      </c>
      <c r="BG151" s="228">
        <f t="shared" si="73"/>
        <v>1</v>
      </c>
      <c r="BH151" s="228">
        <f t="shared" si="73"/>
        <v>0</v>
      </c>
      <c r="BI151" s="228">
        <f t="shared" si="73"/>
        <v>0</v>
      </c>
      <c r="BJ151" s="228">
        <f t="shared" si="73"/>
        <v>0</v>
      </c>
      <c r="BK151" s="228">
        <f t="shared" si="73"/>
        <v>0</v>
      </c>
      <c r="BL151" s="228">
        <f t="shared" si="73"/>
        <v>0</v>
      </c>
      <c r="BM151" s="228">
        <f t="shared" si="73"/>
        <v>1</v>
      </c>
      <c r="BN151" s="228">
        <f t="shared" si="73"/>
        <v>0</v>
      </c>
      <c r="BO151" s="228">
        <f t="shared" si="73"/>
        <v>0</v>
      </c>
      <c r="BP151" s="228">
        <f t="shared" ref="BP151:DP151" si="74">BP27</f>
        <v>0</v>
      </c>
      <c r="BQ151" s="228">
        <f t="shared" si="74"/>
        <v>0</v>
      </c>
      <c r="BR151" s="228">
        <f t="shared" si="74"/>
        <v>0</v>
      </c>
      <c r="BS151" s="228">
        <f t="shared" si="74"/>
        <v>0</v>
      </c>
      <c r="BT151" s="228">
        <f t="shared" si="74"/>
        <v>0</v>
      </c>
      <c r="BU151" s="228">
        <f t="shared" si="74"/>
        <v>0</v>
      </c>
      <c r="BV151" s="228">
        <f t="shared" si="74"/>
        <v>0</v>
      </c>
      <c r="BW151" s="228">
        <f t="shared" si="74"/>
        <v>3</v>
      </c>
      <c r="BX151" s="228">
        <f t="shared" si="74"/>
        <v>0</v>
      </c>
      <c r="BY151" s="228">
        <f t="shared" si="74"/>
        <v>0</v>
      </c>
      <c r="BZ151" s="228">
        <f t="shared" si="74"/>
        <v>0</v>
      </c>
      <c r="CA151" s="228">
        <f t="shared" si="74"/>
        <v>0</v>
      </c>
      <c r="CB151" s="228">
        <f t="shared" si="74"/>
        <v>0</v>
      </c>
      <c r="CC151" s="228">
        <f t="shared" si="74"/>
        <v>0</v>
      </c>
      <c r="CD151" s="228">
        <f t="shared" si="74"/>
        <v>0</v>
      </c>
      <c r="CE151" s="228">
        <f t="shared" si="74"/>
        <v>553</v>
      </c>
      <c r="CF151" s="228">
        <f t="shared" si="74"/>
        <v>0</v>
      </c>
      <c r="CG151" s="228">
        <f t="shared" si="74"/>
        <v>0</v>
      </c>
      <c r="CH151" s="228">
        <f t="shared" si="74"/>
        <v>0</v>
      </c>
      <c r="CI151" s="228">
        <f t="shared" si="74"/>
        <v>0</v>
      </c>
      <c r="CJ151" s="228">
        <f t="shared" si="74"/>
        <v>0</v>
      </c>
      <c r="CK151" s="228">
        <f t="shared" si="74"/>
        <v>0</v>
      </c>
      <c r="CL151" s="228">
        <f t="shared" si="74"/>
        <v>0</v>
      </c>
      <c r="CM151" s="228">
        <f t="shared" si="74"/>
        <v>0</v>
      </c>
      <c r="CN151" s="228">
        <f t="shared" si="74"/>
        <v>0</v>
      </c>
      <c r="CO151" s="228">
        <f t="shared" si="74"/>
        <v>0</v>
      </c>
      <c r="CP151" s="228">
        <f t="shared" si="74"/>
        <v>0</v>
      </c>
      <c r="CQ151" s="228">
        <f t="shared" si="74"/>
        <v>0</v>
      </c>
      <c r="CR151" s="228">
        <f t="shared" si="74"/>
        <v>0</v>
      </c>
      <c r="CS151" s="228">
        <f t="shared" si="74"/>
        <v>0</v>
      </c>
      <c r="CT151" s="228">
        <f t="shared" si="74"/>
        <v>0</v>
      </c>
      <c r="CU151" s="228">
        <f t="shared" si="74"/>
        <v>0</v>
      </c>
      <c r="CV151" s="228">
        <f t="shared" si="74"/>
        <v>0</v>
      </c>
      <c r="CW151" s="228">
        <f t="shared" si="74"/>
        <v>0</v>
      </c>
      <c r="CX151" s="228">
        <f t="shared" si="74"/>
        <v>0</v>
      </c>
      <c r="CY151" s="228">
        <f t="shared" si="74"/>
        <v>1</v>
      </c>
      <c r="CZ151" s="228">
        <f t="shared" si="74"/>
        <v>0</v>
      </c>
      <c r="DA151" s="228">
        <f t="shared" si="74"/>
        <v>0</v>
      </c>
      <c r="DB151" s="228">
        <f t="shared" si="74"/>
        <v>0</v>
      </c>
      <c r="DC151" s="228">
        <f t="shared" si="74"/>
        <v>0</v>
      </c>
      <c r="DD151" s="228">
        <f t="shared" si="74"/>
        <v>0</v>
      </c>
      <c r="DE151" s="228">
        <f t="shared" si="74"/>
        <v>0</v>
      </c>
      <c r="DF151" s="228">
        <f t="shared" si="74"/>
        <v>0</v>
      </c>
      <c r="DG151" s="228">
        <f t="shared" si="74"/>
        <v>0</v>
      </c>
      <c r="DH151" s="228">
        <f t="shared" si="74"/>
        <v>0</v>
      </c>
      <c r="DI151" s="228">
        <f t="shared" si="74"/>
        <v>0</v>
      </c>
      <c r="DJ151" s="228">
        <f t="shared" si="74"/>
        <v>0</v>
      </c>
      <c r="DK151" s="228">
        <f t="shared" si="74"/>
        <v>0</v>
      </c>
      <c r="DL151" s="228">
        <f t="shared" si="74"/>
        <v>0</v>
      </c>
      <c r="DM151" s="228">
        <f t="shared" si="74"/>
        <v>0</v>
      </c>
      <c r="DN151" s="228">
        <f t="shared" si="74"/>
        <v>1285</v>
      </c>
      <c r="DO151" s="228">
        <f t="shared" si="74"/>
        <v>0</v>
      </c>
      <c r="DP151" s="232">
        <f t="shared" si="74"/>
        <v>2523</v>
      </c>
      <c r="DQ151" s="228">
        <f t="shared" si="17"/>
        <v>1</v>
      </c>
      <c r="DR151" s="228">
        <f t="shared" si="18"/>
        <v>0</v>
      </c>
      <c r="DS151" s="230">
        <f>SUM(X151:Y151)+(1-TRP!$AK$253)*AC151</f>
        <v>0</v>
      </c>
      <c r="DT151" s="228">
        <f t="shared" si="19"/>
        <v>0</v>
      </c>
      <c r="DU151" s="228">
        <f t="shared" si="20"/>
        <v>0</v>
      </c>
      <c r="DV151" s="228">
        <f t="shared" si="21"/>
        <v>0</v>
      </c>
      <c r="DW151" s="228">
        <f t="shared" si="22"/>
        <v>0</v>
      </c>
      <c r="DX151" s="228">
        <f t="shared" si="23"/>
        <v>0</v>
      </c>
      <c r="DY151" s="228">
        <f t="shared" si="24"/>
        <v>0</v>
      </c>
      <c r="DZ151" s="228">
        <f t="shared" si="25"/>
        <v>1</v>
      </c>
      <c r="EA151" s="228">
        <f t="shared" si="26"/>
        <v>0</v>
      </c>
      <c r="EB151" s="230">
        <f>TRP!$AK$253*$AC151+SUM(M151:W151,Z151:AB151,AD151:AR151,AU151:AX151,BC151:BE151,BI151:BN151,BQ151:BR151,BV151)</f>
        <v>679</v>
      </c>
      <c r="EC151" s="228">
        <f t="shared" si="27"/>
        <v>3</v>
      </c>
      <c r="ED151" s="230">
        <f>CB151+$CI151*TRP!$AV$248</f>
        <v>0</v>
      </c>
      <c r="EE151" s="228">
        <f t="shared" si="28"/>
        <v>0</v>
      </c>
      <c r="EF151" s="230">
        <f>CD151+$CI151*TRP!$AV$249</f>
        <v>0</v>
      </c>
      <c r="EG151" s="230">
        <f>CE151+$CI151*TRP!$AV$250</f>
        <v>553</v>
      </c>
      <c r="EH151" s="230">
        <f>CF151+$CI151*TRP!$AV$251</f>
        <v>0</v>
      </c>
      <c r="EI151" s="228">
        <f t="shared" si="29"/>
        <v>1</v>
      </c>
      <c r="EJ151" s="228">
        <f t="shared" si="30"/>
        <v>1285</v>
      </c>
      <c r="EK151" s="228">
        <f t="shared" si="31"/>
        <v>0</v>
      </c>
      <c r="EL151" s="230">
        <f>BS151+$BP151*TRP!$AN$246</f>
        <v>0</v>
      </c>
      <c r="EM151" s="228">
        <f t="shared" si="32"/>
        <v>0</v>
      </c>
      <c r="EN151" s="230">
        <f>BU151+$BP151*TRP!$AN$247</f>
        <v>0</v>
      </c>
    </row>
    <row r="152" spans="1:144" s="228" customFormat="1" ht="10.5" x14ac:dyDescent="0.25">
      <c r="A152" s="228" t="str">
        <f>TRP!C150</f>
        <v xml:space="preserve">GE12 </v>
      </c>
      <c r="B152" s="228" t="str">
        <f>TRP!B150</f>
        <v>CONSTRUCTION DE MATERIEL FERROVIAIRE ROU</v>
      </c>
      <c r="C152" s="233">
        <f>TRP!A150</f>
        <v>12</v>
      </c>
      <c r="D152" s="228">
        <f t="shared" ref="D152:BO152" si="75">D28</f>
        <v>0</v>
      </c>
      <c r="E152" s="228">
        <f t="shared" si="75"/>
        <v>0</v>
      </c>
      <c r="F152" s="228">
        <f t="shared" si="75"/>
        <v>0</v>
      </c>
      <c r="G152" s="228">
        <f t="shared" si="75"/>
        <v>0</v>
      </c>
      <c r="H152" s="228">
        <f t="shared" si="75"/>
        <v>0</v>
      </c>
      <c r="I152" s="228">
        <f t="shared" si="75"/>
        <v>0</v>
      </c>
      <c r="J152" s="228">
        <f t="shared" si="75"/>
        <v>0</v>
      </c>
      <c r="K152" s="228">
        <f t="shared" si="75"/>
        <v>0</v>
      </c>
      <c r="L152" s="228">
        <f t="shared" si="75"/>
        <v>0</v>
      </c>
      <c r="M152" s="228">
        <f t="shared" si="75"/>
        <v>0</v>
      </c>
      <c r="N152" s="228">
        <f t="shared" si="75"/>
        <v>0</v>
      </c>
      <c r="O152" s="228">
        <f t="shared" si="75"/>
        <v>0</v>
      </c>
      <c r="P152" s="228">
        <f t="shared" si="75"/>
        <v>0</v>
      </c>
      <c r="Q152" s="228">
        <f t="shared" si="75"/>
        <v>0</v>
      </c>
      <c r="R152" s="228">
        <f t="shared" si="75"/>
        <v>0</v>
      </c>
      <c r="S152" s="228">
        <f t="shared" si="75"/>
        <v>0</v>
      </c>
      <c r="T152" s="228">
        <f t="shared" si="75"/>
        <v>0</v>
      </c>
      <c r="U152" s="228">
        <f t="shared" si="75"/>
        <v>0</v>
      </c>
      <c r="V152" s="228">
        <f t="shared" si="75"/>
        <v>0</v>
      </c>
      <c r="W152" s="228">
        <f t="shared" si="75"/>
        <v>0</v>
      </c>
      <c r="X152" s="228">
        <f t="shared" si="75"/>
        <v>0</v>
      </c>
      <c r="Y152" s="228">
        <f t="shared" si="75"/>
        <v>0</v>
      </c>
      <c r="Z152" s="228">
        <f t="shared" si="75"/>
        <v>0</v>
      </c>
      <c r="AA152" s="228">
        <f t="shared" si="75"/>
        <v>718</v>
      </c>
      <c r="AB152" s="228">
        <f t="shared" si="75"/>
        <v>0</v>
      </c>
      <c r="AC152" s="228">
        <f t="shared" si="75"/>
        <v>0</v>
      </c>
      <c r="AD152" s="228">
        <f t="shared" si="75"/>
        <v>0</v>
      </c>
      <c r="AE152" s="228">
        <f t="shared" si="75"/>
        <v>0</v>
      </c>
      <c r="AF152" s="228">
        <f t="shared" si="75"/>
        <v>0</v>
      </c>
      <c r="AG152" s="228">
        <f t="shared" si="75"/>
        <v>0</v>
      </c>
      <c r="AH152" s="228">
        <f t="shared" si="75"/>
        <v>0</v>
      </c>
      <c r="AI152" s="228">
        <f t="shared" si="75"/>
        <v>0</v>
      </c>
      <c r="AJ152" s="228">
        <f t="shared" si="75"/>
        <v>0</v>
      </c>
      <c r="AK152" s="228">
        <f t="shared" si="75"/>
        <v>0</v>
      </c>
      <c r="AL152" s="228">
        <f t="shared" si="75"/>
        <v>0</v>
      </c>
      <c r="AM152" s="228">
        <f t="shared" si="75"/>
        <v>0</v>
      </c>
      <c r="AN152" s="228">
        <f t="shared" si="75"/>
        <v>0</v>
      </c>
      <c r="AO152" s="228">
        <f t="shared" si="75"/>
        <v>0</v>
      </c>
      <c r="AP152" s="228">
        <f t="shared" si="75"/>
        <v>0</v>
      </c>
      <c r="AQ152" s="228">
        <f t="shared" si="75"/>
        <v>0</v>
      </c>
      <c r="AR152" s="228">
        <f t="shared" si="75"/>
        <v>0</v>
      </c>
      <c r="AS152" s="228">
        <f t="shared" si="75"/>
        <v>0</v>
      </c>
      <c r="AT152" s="228">
        <f t="shared" si="75"/>
        <v>0</v>
      </c>
      <c r="AU152" s="228">
        <f t="shared" si="75"/>
        <v>0</v>
      </c>
      <c r="AV152" s="228">
        <f t="shared" si="75"/>
        <v>0</v>
      </c>
      <c r="AW152" s="228">
        <f t="shared" si="75"/>
        <v>0</v>
      </c>
      <c r="AX152" s="228">
        <f t="shared" si="75"/>
        <v>0</v>
      </c>
      <c r="AY152" s="228">
        <f t="shared" si="75"/>
        <v>0</v>
      </c>
      <c r="AZ152" s="228">
        <f t="shared" si="75"/>
        <v>0</v>
      </c>
      <c r="BA152" s="228">
        <f t="shared" si="75"/>
        <v>0</v>
      </c>
      <c r="BB152" s="228">
        <f t="shared" si="75"/>
        <v>0</v>
      </c>
      <c r="BC152" s="228">
        <f t="shared" si="75"/>
        <v>0</v>
      </c>
      <c r="BD152" s="228">
        <f t="shared" si="75"/>
        <v>0</v>
      </c>
      <c r="BE152" s="228">
        <f t="shared" si="75"/>
        <v>0</v>
      </c>
      <c r="BF152" s="228">
        <f t="shared" si="75"/>
        <v>0</v>
      </c>
      <c r="BG152" s="228">
        <f t="shared" si="75"/>
        <v>10</v>
      </c>
      <c r="BH152" s="228">
        <f t="shared" si="75"/>
        <v>0</v>
      </c>
      <c r="BI152" s="228">
        <f t="shared" si="75"/>
        <v>0</v>
      </c>
      <c r="BJ152" s="228">
        <f t="shared" si="75"/>
        <v>0</v>
      </c>
      <c r="BK152" s="228">
        <f t="shared" si="75"/>
        <v>0</v>
      </c>
      <c r="BL152" s="228">
        <f t="shared" si="75"/>
        <v>0</v>
      </c>
      <c r="BM152" s="228">
        <f t="shared" si="75"/>
        <v>0</v>
      </c>
      <c r="BN152" s="228">
        <f t="shared" si="75"/>
        <v>0</v>
      </c>
      <c r="BO152" s="228">
        <f t="shared" si="75"/>
        <v>0</v>
      </c>
      <c r="BP152" s="228">
        <f t="shared" ref="BP152:DP152" si="76">BP28</f>
        <v>0</v>
      </c>
      <c r="BQ152" s="228">
        <f t="shared" si="76"/>
        <v>0</v>
      </c>
      <c r="BR152" s="228">
        <f t="shared" si="76"/>
        <v>0</v>
      </c>
      <c r="BS152" s="228">
        <f t="shared" si="76"/>
        <v>0</v>
      </c>
      <c r="BT152" s="228">
        <f t="shared" si="76"/>
        <v>0</v>
      </c>
      <c r="BU152" s="228">
        <f t="shared" si="76"/>
        <v>0</v>
      </c>
      <c r="BV152" s="228">
        <f t="shared" si="76"/>
        <v>0</v>
      </c>
      <c r="BW152" s="228">
        <f t="shared" si="76"/>
        <v>0</v>
      </c>
      <c r="BX152" s="228">
        <f t="shared" si="76"/>
        <v>0</v>
      </c>
      <c r="BY152" s="228">
        <f t="shared" si="76"/>
        <v>0</v>
      </c>
      <c r="BZ152" s="228">
        <f t="shared" si="76"/>
        <v>0</v>
      </c>
      <c r="CA152" s="228">
        <f t="shared" si="76"/>
        <v>0</v>
      </c>
      <c r="CB152" s="228">
        <f t="shared" si="76"/>
        <v>3</v>
      </c>
      <c r="CC152" s="228">
        <f t="shared" si="76"/>
        <v>3</v>
      </c>
      <c r="CD152" s="228">
        <f t="shared" si="76"/>
        <v>1</v>
      </c>
      <c r="CE152" s="228">
        <f t="shared" si="76"/>
        <v>0</v>
      </c>
      <c r="CF152" s="228">
        <f t="shared" si="76"/>
        <v>0</v>
      </c>
      <c r="CG152" s="228">
        <f t="shared" si="76"/>
        <v>0</v>
      </c>
      <c r="CH152" s="228">
        <f t="shared" si="76"/>
        <v>0</v>
      </c>
      <c r="CI152" s="228">
        <f t="shared" si="76"/>
        <v>0</v>
      </c>
      <c r="CJ152" s="228">
        <f t="shared" si="76"/>
        <v>0</v>
      </c>
      <c r="CK152" s="228">
        <f t="shared" si="76"/>
        <v>0</v>
      </c>
      <c r="CL152" s="228">
        <f t="shared" si="76"/>
        <v>0</v>
      </c>
      <c r="CM152" s="228">
        <f t="shared" si="76"/>
        <v>0</v>
      </c>
      <c r="CN152" s="228">
        <f t="shared" si="76"/>
        <v>0</v>
      </c>
      <c r="CO152" s="228">
        <f t="shared" si="76"/>
        <v>0</v>
      </c>
      <c r="CP152" s="228">
        <f t="shared" si="76"/>
        <v>0</v>
      </c>
      <c r="CQ152" s="228">
        <f t="shared" si="76"/>
        <v>0</v>
      </c>
      <c r="CR152" s="228">
        <f t="shared" si="76"/>
        <v>0</v>
      </c>
      <c r="CS152" s="228">
        <f t="shared" si="76"/>
        <v>0</v>
      </c>
      <c r="CT152" s="228">
        <f t="shared" si="76"/>
        <v>0</v>
      </c>
      <c r="CU152" s="228">
        <f t="shared" si="76"/>
        <v>19</v>
      </c>
      <c r="CV152" s="228">
        <f t="shared" si="76"/>
        <v>0</v>
      </c>
      <c r="CW152" s="228">
        <f t="shared" si="76"/>
        <v>0</v>
      </c>
      <c r="CX152" s="228">
        <f t="shared" si="76"/>
        <v>0</v>
      </c>
      <c r="CY152" s="228">
        <f t="shared" si="76"/>
        <v>0</v>
      </c>
      <c r="CZ152" s="228">
        <f t="shared" si="76"/>
        <v>0</v>
      </c>
      <c r="DA152" s="228">
        <f t="shared" si="76"/>
        <v>0</v>
      </c>
      <c r="DB152" s="228">
        <f t="shared" si="76"/>
        <v>0</v>
      </c>
      <c r="DC152" s="228">
        <f t="shared" si="76"/>
        <v>0</v>
      </c>
      <c r="DD152" s="228">
        <f t="shared" si="76"/>
        <v>0</v>
      </c>
      <c r="DE152" s="228">
        <f t="shared" si="76"/>
        <v>0</v>
      </c>
      <c r="DF152" s="228">
        <f t="shared" si="76"/>
        <v>0</v>
      </c>
      <c r="DG152" s="228">
        <f t="shared" si="76"/>
        <v>0</v>
      </c>
      <c r="DH152" s="228">
        <f t="shared" si="76"/>
        <v>0</v>
      </c>
      <c r="DI152" s="228">
        <f t="shared" si="76"/>
        <v>0</v>
      </c>
      <c r="DJ152" s="228">
        <f t="shared" si="76"/>
        <v>0</v>
      </c>
      <c r="DK152" s="228">
        <f t="shared" si="76"/>
        <v>0</v>
      </c>
      <c r="DL152" s="228">
        <f t="shared" si="76"/>
        <v>0</v>
      </c>
      <c r="DM152" s="228">
        <f t="shared" si="76"/>
        <v>0</v>
      </c>
      <c r="DN152" s="228">
        <f t="shared" si="76"/>
        <v>0</v>
      </c>
      <c r="DO152" s="228">
        <f t="shared" si="76"/>
        <v>0</v>
      </c>
      <c r="DP152" s="232">
        <f t="shared" si="76"/>
        <v>754</v>
      </c>
      <c r="DQ152" s="228">
        <f t="shared" si="17"/>
        <v>0</v>
      </c>
      <c r="DR152" s="228">
        <f t="shared" si="18"/>
        <v>0</v>
      </c>
      <c r="DS152" s="230">
        <f>SUM(X152:Y152)+(1-TRP!$AK$253)*AC152</f>
        <v>0</v>
      </c>
      <c r="DT152" s="228">
        <f t="shared" si="19"/>
        <v>0</v>
      </c>
      <c r="DU152" s="228">
        <f t="shared" si="20"/>
        <v>0</v>
      </c>
      <c r="DV152" s="228">
        <f t="shared" si="21"/>
        <v>0</v>
      </c>
      <c r="DW152" s="228">
        <f t="shared" si="22"/>
        <v>0</v>
      </c>
      <c r="DX152" s="228">
        <f t="shared" si="23"/>
        <v>0</v>
      </c>
      <c r="DY152" s="228">
        <f t="shared" si="24"/>
        <v>0</v>
      </c>
      <c r="DZ152" s="228">
        <f t="shared" si="25"/>
        <v>10</v>
      </c>
      <c r="EA152" s="228">
        <f t="shared" si="26"/>
        <v>0</v>
      </c>
      <c r="EB152" s="230">
        <f>TRP!$AK$253*$AC152+SUM(M152:W152,Z152:AB152,AD152:AR152,AU152:AX152,BC152:BE152,BI152:BN152,BQ152:BR152,BV152)</f>
        <v>718</v>
      </c>
      <c r="EC152" s="228">
        <f t="shared" si="27"/>
        <v>0</v>
      </c>
      <c r="ED152" s="230">
        <f>CB152+$CI152*TRP!$AV$248</f>
        <v>3</v>
      </c>
      <c r="EE152" s="228">
        <f t="shared" si="28"/>
        <v>3</v>
      </c>
      <c r="EF152" s="230">
        <f>CD152+$CI152*TRP!$AV$249</f>
        <v>1</v>
      </c>
      <c r="EG152" s="230">
        <f>CE152+$CI152*TRP!$AV$250</f>
        <v>0</v>
      </c>
      <c r="EH152" s="230">
        <f>CF152+$CI152*TRP!$AV$251</f>
        <v>0</v>
      </c>
      <c r="EI152" s="228">
        <f t="shared" si="29"/>
        <v>19</v>
      </c>
      <c r="EJ152" s="228">
        <f t="shared" si="30"/>
        <v>0</v>
      </c>
      <c r="EK152" s="228">
        <f t="shared" si="31"/>
        <v>0</v>
      </c>
      <c r="EL152" s="230">
        <f>BS152+$BP152*TRP!$AN$246</f>
        <v>0</v>
      </c>
      <c r="EM152" s="228">
        <f t="shared" si="32"/>
        <v>0</v>
      </c>
      <c r="EN152" s="230">
        <f>BU152+$BP152*TRP!$AN$247</f>
        <v>0</v>
      </c>
    </row>
    <row r="153" spans="1:144" s="228" customFormat="1" ht="10.5" x14ac:dyDescent="0.25">
      <c r="A153" s="228" t="str">
        <f>TRP!C151</f>
        <v xml:space="preserve">GE13 </v>
      </c>
      <c r="B153" s="228" t="str">
        <f>TRP!B151</f>
        <v>CONSTRUCTION AERONAUTIQUE ET SPATIALE</v>
      </c>
      <c r="C153" s="233">
        <f>TRP!A151</f>
        <v>12</v>
      </c>
      <c r="D153" s="228">
        <f t="shared" ref="D153:BO153" si="77">D29</f>
        <v>0</v>
      </c>
      <c r="E153" s="228">
        <f t="shared" si="77"/>
        <v>0</v>
      </c>
      <c r="F153" s="228">
        <f t="shared" si="77"/>
        <v>0</v>
      </c>
      <c r="G153" s="228">
        <f t="shared" si="77"/>
        <v>0</v>
      </c>
      <c r="H153" s="228">
        <f t="shared" si="77"/>
        <v>0</v>
      </c>
      <c r="I153" s="228">
        <f t="shared" si="77"/>
        <v>0</v>
      </c>
      <c r="J153" s="228">
        <f t="shared" si="77"/>
        <v>0</v>
      </c>
      <c r="K153" s="228">
        <f t="shared" si="77"/>
        <v>0</v>
      </c>
      <c r="L153" s="228">
        <f t="shared" si="77"/>
        <v>0</v>
      </c>
      <c r="M153" s="228">
        <f t="shared" si="77"/>
        <v>0</v>
      </c>
      <c r="N153" s="228">
        <f t="shared" si="77"/>
        <v>0</v>
      </c>
      <c r="O153" s="228">
        <f t="shared" si="77"/>
        <v>0</v>
      </c>
      <c r="P153" s="228">
        <f t="shared" si="77"/>
        <v>0</v>
      </c>
      <c r="Q153" s="228">
        <f t="shared" si="77"/>
        <v>0</v>
      </c>
      <c r="R153" s="228">
        <f t="shared" si="77"/>
        <v>0</v>
      </c>
      <c r="S153" s="228">
        <f t="shared" si="77"/>
        <v>0</v>
      </c>
      <c r="T153" s="228">
        <f t="shared" si="77"/>
        <v>0</v>
      </c>
      <c r="U153" s="228">
        <f t="shared" si="77"/>
        <v>0</v>
      </c>
      <c r="V153" s="228">
        <f t="shared" si="77"/>
        <v>0</v>
      </c>
      <c r="W153" s="228">
        <f t="shared" si="77"/>
        <v>0</v>
      </c>
      <c r="X153" s="228">
        <f t="shared" si="77"/>
        <v>16</v>
      </c>
      <c r="Y153" s="228">
        <f t="shared" si="77"/>
        <v>0</v>
      </c>
      <c r="Z153" s="228">
        <f t="shared" si="77"/>
        <v>0</v>
      </c>
      <c r="AA153" s="228">
        <f t="shared" si="77"/>
        <v>0</v>
      </c>
      <c r="AB153" s="228">
        <f t="shared" si="77"/>
        <v>22326</v>
      </c>
      <c r="AC153" s="228">
        <f t="shared" si="77"/>
        <v>0</v>
      </c>
      <c r="AD153" s="228">
        <f t="shared" si="77"/>
        <v>0</v>
      </c>
      <c r="AE153" s="228">
        <f t="shared" si="77"/>
        <v>0</v>
      </c>
      <c r="AF153" s="228">
        <f t="shared" si="77"/>
        <v>0</v>
      </c>
      <c r="AG153" s="228">
        <f t="shared" si="77"/>
        <v>0</v>
      </c>
      <c r="AH153" s="228">
        <f t="shared" si="77"/>
        <v>0</v>
      </c>
      <c r="AI153" s="228">
        <f t="shared" si="77"/>
        <v>0</v>
      </c>
      <c r="AJ153" s="228">
        <f t="shared" si="77"/>
        <v>0</v>
      </c>
      <c r="AK153" s="228">
        <f t="shared" si="77"/>
        <v>0</v>
      </c>
      <c r="AL153" s="228">
        <f t="shared" si="77"/>
        <v>0</v>
      </c>
      <c r="AM153" s="228">
        <f t="shared" si="77"/>
        <v>0</v>
      </c>
      <c r="AN153" s="228">
        <f t="shared" si="77"/>
        <v>0</v>
      </c>
      <c r="AO153" s="228">
        <f t="shared" si="77"/>
        <v>0</v>
      </c>
      <c r="AP153" s="228">
        <f t="shared" si="77"/>
        <v>0</v>
      </c>
      <c r="AQ153" s="228">
        <f t="shared" si="77"/>
        <v>0</v>
      </c>
      <c r="AR153" s="228">
        <f t="shared" si="77"/>
        <v>0</v>
      </c>
      <c r="AS153" s="228">
        <f t="shared" si="77"/>
        <v>0</v>
      </c>
      <c r="AT153" s="228">
        <f t="shared" si="77"/>
        <v>0</v>
      </c>
      <c r="AU153" s="228">
        <f t="shared" si="77"/>
        <v>0</v>
      </c>
      <c r="AV153" s="228">
        <f t="shared" si="77"/>
        <v>0</v>
      </c>
      <c r="AW153" s="228">
        <f t="shared" si="77"/>
        <v>0</v>
      </c>
      <c r="AX153" s="228">
        <f t="shared" si="77"/>
        <v>0</v>
      </c>
      <c r="AY153" s="228">
        <f t="shared" si="77"/>
        <v>0</v>
      </c>
      <c r="AZ153" s="228">
        <f t="shared" si="77"/>
        <v>0</v>
      </c>
      <c r="BA153" s="228">
        <f t="shared" si="77"/>
        <v>0</v>
      </c>
      <c r="BB153" s="228">
        <f t="shared" si="77"/>
        <v>0</v>
      </c>
      <c r="BC153" s="228">
        <f t="shared" si="77"/>
        <v>0</v>
      </c>
      <c r="BD153" s="228">
        <f t="shared" si="77"/>
        <v>0</v>
      </c>
      <c r="BE153" s="228">
        <f t="shared" si="77"/>
        <v>1</v>
      </c>
      <c r="BF153" s="228">
        <f t="shared" si="77"/>
        <v>0</v>
      </c>
      <c r="BG153" s="228">
        <f t="shared" si="77"/>
        <v>0</v>
      </c>
      <c r="BH153" s="228">
        <f t="shared" si="77"/>
        <v>0</v>
      </c>
      <c r="BI153" s="228">
        <f t="shared" si="77"/>
        <v>0</v>
      </c>
      <c r="BJ153" s="228">
        <f t="shared" si="77"/>
        <v>0</v>
      </c>
      <c r="BK153" s="228">
        <f t="shared" si="77"/>
        <v>0</v>
      </c>
      <c r="BL153" s="228">
        <f t="shared" si="77"/>
        <v>0</v>
      </c>
      <c r="BM153" s="228">
        <f t="shared" si="77"/>
        <v>0</v>
      </c>
      <c r="BN153" s="228">
        <f t="shared" si="77"/>
        <v>0</v>
      </c>
      <c r="BO153" s="228">
        <f t="shared" si="77"/>
        <v>0</v>
      </c>
      <c r="BP153" s="228">
        <f t="shared" ref="BP153:DP153" si="78">BP29</f>
        <v>0</v>
      </c>
      <c r="BQ153" s="228">
        <f t="shared" si="78"/>
        <v>0</v>
      </c>
      <c r="BR153" s="228">
        <f t="shared" si="78"/>
        <v>0</v>
      </c>
      <c r="BS153" s="228">
        <f t="shared" si="78"/>
        <v>0</v>
      </c>
      <c r="BT153" s="228">
        <f t="shared" si="78"/>
        <v>0</v>
      </c>
      <c r="BU153" s="228">
        <f t="shared" si="78"/>
        <v>0</v>
      </c>
      <c r="BV153" s="228">
        <f t="shared" si="78"/>
        <v>0</v>
      </c>
      <c r="BW153" s="228">
        <f t="shared" si="78"/>
        <v>0</v>
      </c>
      <c r="BX153" s="228">
        <f t="shared" si="78"/>
        <v>0</v>
      </c>
      <c r="BY153" s="228">
        <f t="shared" si="78"/>
        <v>0</v>
      </c>
      <c r="BZ153" s="228">
        <f t="shared" si="78"/>
        <v>0</v>
      </c>
      <c r="CA153" s="228">
        <f t="shared" si="78"/>
        <v>0</v>
      </c>
      <c r="CB153" s="228">
        <f t="shared" si="78"/>
        <v>0</v>
      </c>
      <c r="CC153" s="228">
        <f t="shared" si="78"/>
        <v>0</v>
      </c>
      <c r="CD153" s="228">
        <f t="shared" si="78"/>
        <v>0</v>
      </c>
      <c r="CE153" s="228">
        <f t="shared" si="78"/>
        <v>0</v>
      </c>
      <c r="CF153" s="228">
        <f t="shared" si="78"/>
        <v>1425</v>
      </c>
      <c r="CG153" s="228">
        <f t="shared" si="78"/>
        <v>0</v>
      </c>
      <c r="CH153" s="228">
        <f t="shared" si="78"/>
        <v>0</v>
      </c>
      <c r="CI153" s="228">
        <f t="shared" si="78"/>
        <v>253</v>
      </c>
      <c r="CJ153" s="228">
        <f t="shared" si="78"/>
        <v>0</v>
      </c>
      <c r="CK153" s="228">
        <f t="shared" si="78"/>
        <v>0</v>
      </c>
      <c r="CL153" s="228">
        <f t="shared" si="78"/>
        <v>0</v>
      </c>
      <c r="CM153" s="228">
        <f t="shared" si="78"/>
        <v>0</v>
      </c>
      <c r="CN153" s="228">
        <f t="shared" si="78"/>
        <v>0</v>
      </c>
      <c r="CO153" s="228">
        <f t="shared" si="78"/>
        <v>0</v>
      </c>
      <c r="CP153" s="228">
        <f t="shared" si="78"/>
        <v>0</v>
      </c>
      <c r="CQ153" s="228">
        <f t="shared" si="78"/>
        <v>0</v>
      </c>
      <c r="CR153" s="228">
        <f t="shared" si="78"/>
        <v>0</v>
      </c>
      <c r="CS153" s="228">
        <f t="shared" si="78"/>
        <v>0</v>
      </c>
      <c r="CT153" s="228">
        <f t="shared" si="78"/>
        <v>0</v>
      </c>
      <c r="CU153" s="228">
        <f t="shared" si="78"/>
        <v>0</v>
      </c>
      <c r="CV153" s="228">
        <f t="shared" si="78"/>
        <v>0</v>
      </c>
      <c r="CW153" s="228">
        <f t="shared" si="78"/>
        <v>0</v>
      </c>
      <c r="CX153" s="228">
        <f t="shared" si="78"/>
        <v>0</v>
      </c>
      <c r="CY153" s="228">
        <f t="shared" si="78"/>
        <v>652</v>
      </c>
      <c r="CZ153" s="228">
        <f t="shared" si="78"/>
        <v>345</v>
      </c>
      <c r="DA153" s="228">
        <f t="shared" si="78"/>
        <v>0</v>
      </c>
      <c r="DB153" s="228">
        <f t="shared" si="78"/>
        <v>0</v>
      </c>
      <c r="DC153" s="228">
        <f t="shared" si="78"/>
        <v>0</v>
      </c>
      <c r="DD153" s="228">
        <f t="shared" si="78"/>
        <v>0</v>
      </c>
      <c r="DE153" s="228">
        <f t="shared" si="78"/>
        <v>0</v>
      </c>
      <c r="DF153" s="228">
        <f t="shared" si="78"/>
        <v>0</v>
      </c>
      <c r="DG153" s="228">
        <f t="shared" si="78"/>
        <v>0</v>
      </c>
      <c r="DH153" s="228">
        <f t="shared" si="78"/>
        <v>0</v>
      </c>
      <c r="DI153" s="228">
        <f t="shared" si="78"/>
        <v>0</v>
      </c>
      <c r="DJ153" s="228">
        <f t="shared" si="78"/>
        <v>0</v>
      </c>
      <c r="DK153" s="228">
        <f t="shared" si="78"/>
        <v>0</v>
      </c>
      <c r="DL153" s="228">
        <f t="shared" si="78"/>
        <v>0</v>
      </c>
      <c r="DM153" s="228">
        <f t="shared" si="78"/>
        <v>0</v>
      </c>
      <c r="DN153" s="228">
        <f t="shared" si="78"/>
        <v>3471</v>
      </c>
      <c r="DO153" s="228">
        <f t="shared" si="78"/>
        <v>0</v>
      </c>
      <c r="DP153" s="232">
        <f t="shared" si="78"/>
        <v>28489</v>
      </c>
      <c r="DQ153" s="228">
        <f t="shared" si="17"/>
        <v>0</v>
      </c>
      <c r="DR153" s="228">
        <f t="shared" si="18"/>
        <v>0</v>
      </c>
      <c r="DS153" s="230">
        <f>SUM(X153:Y153)+(1-TRP!$AK$253)*AC153</f>
        <v>16</v>
      </c>
      <c r="DT153" s="228">
        <f t="shared" si="19"/>
        <v>0</v>
      </c>
      <c r="DU153" s="228">
        <f t="shared" si="20"/>
        <v>0</v>
      </c>
      <c r="DV153" s="228">
        <f t="shared" si="21"/>
        <v>0</v>
      </c>
      <c r="DW153" s="228">
        <f t="shared" si="22"/>
        <v>0</v>
      </c>
      <c r="DX153" s="228">
        <f t="shared" si="23"/>
        <v>0</v>
      </c>
      <c r="DY153" s="228">
        <f t="shared" si="24"/>
        <v>0</v>
      </c>
      <c r="DZ153" s="228">
        <f t="shared" si="25"/>
        <v>0</v>
      </c>
      <c r="EA153" s="228">
        <f t="shared" si="26"/>
        <v>0</v>
      </c>
      <c r="EB153" s="230">
        <f>TRP!$AK$253*$AC153+SUM(M153:W153,Z153:AB153,AD153:AR153,AU153:AX153,BC153:BE153,BI153:BN153,BQ153:BR153,BV153)</f>
        <v>22327</v>
      </c>
      <c r="EC153" s="228">
        <f t="shared" si="27"/>
        <v>0</v>
      </c>
      <c r="ED153" s="230">
        <f>CB153+$CI153*TRP!$AV$248</f>
        <v>7.8440753136357104</v>
      </c>
      <c r="EE153" s="228">
        <f t="shared" si="28"/>
        <v>0</v>
      </c>
      <c r="EF153" s="230">
        <f>CD153+$CI153*TRP!$AV$249</f>
        <v>175.37853344323173</v>
      </c>
      <c r="EG153" s="230">
        <f>CE153+$CI153*TRP!$AV$250</f>
        <v>51.154947920485981</v>
      </c>
      <c r="EH153" s="230">
        <f>CF153+$CI153*TRP!$AV$251</f>
        <v>1443.6224433226466</v>
      </c>
      <c r="EI153" s="228">
        <f t="shared" si="29"/>
        <v>652</v>
      </c>
      <c r="EJ153" s="228">
        <f t="shared" si="30"/>
        <v>3816</v>
      </c>
      <c r="EK153" s="228">
        <f t="shared" si="31"/>
        <v>0</v>
      </c>
      <c r="EL153" s="230">
        <f>BS153+$BP153*TRP!$AN$246</f>
        <v>0</v>
      </c>
      <c r="EM153" s="228">
        <f t="shared" si="32"/>
        <v>0</v>
      </c>
      <c r="EN153" s="230">
        <f>BU153+$BP153*TRP!$AN$247</f>
        <v>0</v>
      </c>
    </row>
    <row r="154" spans="1:144" s="228" customFormat="1" ht="10.5" x14ac:dyDescent="0.25">
      <c r="A154" s="228" t="str">
        <f>TRP!C152</f>
        <v xml:space="preserve">GE14 </v>
      </c>
      <c r="B154" s="228" t="str">
        <f>TRP!B152</f>
        <v>FABRICATION DE CYCLES  MOTOCYCLES  MATERriel de transport non classé ailleurs</v>
      </c>
      <c r="C154" s="233" t="str">
        <f>TRP!A152</f>
        <v>112-3</v>
      </c>
      <c r="D154" s="228">
        <f t="shared" ref="D154:BO154" si="79">D30</f>
        <v>0</v>
      </c>
      <c r="E154" s="228">
        <f t="shared" si="79"/>
        <v>0</v>
      </c>
      <c r="F154" s="228">
        <f t="shared" si="79"/>
        <v>0</v>
      </c>
      <c r="G154" s="228">
        <f t="shared" si="79"/>
        <v>2</v>
      </c>
      <c r="H154" s="228">
        <f t="shared" si="79"/>
        <v>0</v>
      </c>
      <c r="I154" s="228">
        <f t="shared" si="79"/>
        <v>0</v>
      </c>
      <c r="J154" s="228">
        <f t="shared" si="79"/>
        <v>0</v>
      </c>
      <c r="K154" s="228">
        <f t="shared" si="79"/>
        <v>1</v>
      </c>
      <c r="L154" s="228">
        <f t="shared" si="79"/>
        <v>0</v>
      </c>
      <c r="M154" s="228">
        <f t="shared" si="79"/>
        <v>1</v>
      </c>
      <c r="N154" s="228">
        <f t="shared" si="79"/>
        <v>0</v>
      </c>
      <c r="O154" s="228">
        <f t="shared" si="79"/>
        <v>1</v>
      </c>
      <c r="P154" s="228">
        <f t="shared" si="79"/>
        <v>1</v>
      </c>
      <c r="Q154" s="228">
        <f t="shared" si="79"/>
        <v>1</v>
      </c>
      <c r="R154" s="228">
        <f t="shared" si="79"/>
        <v>1</v>
      </c>
      <c r="S154" s="228">
        <f t="shared" si="79"/>
        <v>0</v>
      </c>
      <c r="T154" s="228">
        <f t="shared" si="79"/>
        <v>1</v>
      </c>
      <c r="U154" s="228">
        <f t="shared" si="79"/>
        <v>0</v>
      </c>
      <c r="V154" s="228">
        <f t="shared" si="79"/>
        <v>0</v>
      </c>
      <c r="W154" s="228">
        <f t="shared" si="79"/>
        <v>0</v>
      </c>
      <c r="X154" s="228">
        <f t="shared" si="79"/>
        <v>30</v>
      </c>
      <c r="Y154" s="228">
        <f t="shared" si="79"/>
        <v>11</v>
      </c>
      <c r="Z154" s="228">
        <f t="shared" si="79"/>
        <v>1</v>
      </c>
      <c r="AA154" s="228">
        <f t="shared" si="79"/>
        <v>0</v>
      </c>
      <c r="AB154" s="228">
        <f t="shared" si="79"/>
        <v>1</v>
      </c>
      <c r="AC154" s="228">
        <f t="shared" si="79"/>
        <v>49</v>
      </c>
      <c r="AD154" s="228">
        <f t="shared" si="79"/>
        <v>1</v>
      </c>
      <c r="AE154" s="228">
        <f t="shared" si="79"/>
        <v>2</v>
      </c>
      <c r="AF154" s="228">
        <f t="shared" si="79"/>
        <v>1</v>
      </c>
      <c r="AG154" s="228">
        <f t="shared" si="79"/>
        <v>1</v>
      </c>
      <c r="AH154" s="228">
        <f t="shared" si="79"/>
        <v>1</v>
      </c>
      <c r="AI154" s="228">
        <f t="shared" si="79"/>
        <v>0</v>
      </c>
      <c r="AJ154" s="228">
        <f t="shared" si="79"/>
        <v>1</v>
      </c>
      <c r="AK154" s="228">
        <f t="shared" si="79"/>
        <v>0</v>
      </c>
      <c r="AL154" s="228">
        <f t="shared" si="79"/>
        <v>1</v>
      </c>
      <c r="AM154" s="228">
        <f t="shared" si="79"/>
        <v>0</v>
      </c>
      <c r="AN154" s="228">
        <f t="shared" si="79"/>
        <v>1</v>
      </c>
      <c r="AO154" s="228">
        <f t="shared" si="79"/>
        <v>1</v>
      </c>
      <c r="AP154" s="228">
        <f t="shared" si="79"/>
        <v>1</v>
      </c>
      <c r="AQ154" s="228">
        <f t="shared" si="79"/>
        <v>0</v>
      </c>
      <c r="AR154" s="228">
        <f t="shared" si="79"/>
        <v>0</v>
      </c>
      <c r="AS154" s="228">
        <f t="shared" si="79"/>
        <v>1</v>
      </c>
      <c r="AT154" s="228">
        <f t="shared" si="79"/>
        <v>4</v>
      </c>
      <c r="AU154" s="228">
        <f t="shared" si="79"/>
        <v>1</v>
      </c>
      <c r="AV154" s="228">
        <f t="shared" si="79"/>
        <v>0</v>
      </c>
      <c r="AW154" s="228">
        <f t="shared" si="79"/>
        <v>0</v>
      </c>
      <c r="AX154" s="228">
        <f t="shared" si="79"/>
        <v>1</v>
      </c>
      <c r="AY154" s="228">
        <f t="shared" si="79"/>
        <v>1</v>
      </c>
      <c r="AZ154" s="228">
        <f t="shared" si="79"/>
        <v>1</v>
      </c>
      <c r="BA154" s="228">
        <f t="shared" si="79"/>
        <v>0</v>
      </c>
      <c r="BB154" s="228">
        <f t="shared" si="79"/>
        <v>2</v>
      </c>
      <c r="BC154" s="228">
        <f t="shared" si="79"/>
        <v>1</v>
      </c>
      <c r="BD154" s="228">
        <f t="shared" si="79"/>
        <v>0</v>
      </c>
      <c r="BE154" s="228">
        <f t="shared" si="79"/>
        <v>1</v>
      </c>
      <c r="BF154" s="228">
        <f t="shared" si="79"/>
        <v>3</v>
      </c>
      <c r="BG154" s="228">
        <f t="shared" si="79"/>
        <v>2</v>
      </c>
      <c r="BH154" s="228">
        <f t="shared" si="79"/>
        <v>0</v>
      </c>
      <c r="BI154" s="228">
        <f t="shared" si="79"/>
        <v>0</v>
      </c>
      <c r="BJ154" s="228">
        <f t="shared" si="79"/>
        <v>1</v>
      </c>
      <c r="BK154" s="228">
        <f t="shared" si="79"/>
        <v>1</v>
      </c>
      <c r="BL154" s="228">
        <f t="shared" si="79"/>
        <v>3</v>
      </c>
      <c r="BM154" s="228">
        <f t="shared" si="79"/>
        <v>1</v>
      </c>
      <c r="BN154" s="228">
        <f t="shared" si="79"/>
        <v>1</v>
      </c>
      <c r="BO154" s="228">
        <f t="shared" si="79"/>
        <v>0</v>
      </c>
      <c r="BP154" s="228">
        <f t="shared" ref="BP154:DP154" si="80">BP30</f>
        <v>0</v>
      </c>
      <c r="BQ154" s="228">
        <f t="shared" si="80"/>
        <v>0</v>
      </c>
      <c r="BR154" s="228">
        <f t="shared" si="80"/>
        <v>0</v>
      </c>
      <c r="BS154" s="228">
        <f t="shared" si="80"/>
        <v>1</v>
      </c>
      <c r="BT154" s="228">
        <f t="shared" si="80"/>
        <v>1</v>
      </c>
      <c r="BU154" s="228">
        <f t="shared" si="80"/>
        <v>1</v>
      </c>
      <c r="BV154" s="228">
        <f t="shared" si="80"/>
        <v>1</v>
      </c>
      <c r="BW154" s="228">
        <f t="shared" si="80"/>
        <v>4</v>
      </c>
      <c r="BX154" s="228">
        <f t="shared" si="80"/>
        <v>1</v>
      </c>
      <c r="BY154" s="228">
        <f t="shared" si="80"/>
        <v>34</v>
      </c>
      <c r="BZ154" s="228">
        <f t="shared" si="80"/>
        <v>4</v>
      </c>
      <c r="CA154" s="228">
        <f t="shared" si="80"/>
        <v>8</v>
      </c>
      <c r="CB154" s="228">
        <f t="shared" si="80"/>
        <v>0</v>
      </c>
      <c r="CC154" s="228">
        <f t="shared" si="80"/>
        <v>1</v>
      </c>
      <c r="CD154" s="228">
        <f t="shared" si="80"/>
        <v>4</v>
      </c>
      <c r="CE154" s="228">
        <f t="shared" si="80"/>
        <v>0</v>
      </c>
      <c r="CF154" s="228">
        <f t="shared" si="80"/>
        <v>0</v>
      </c>
      <c r="CG154" s="228">
        <f t="shared" si="80"/>
        <v>7</v>
      </c>
      <c r="CH154" s="228">
        <f t="shared" si="80"/>
        <v>0</v>
      </c>
      <c r="CI154" s="228">
        <f t="shared" si="80"/>
        <v>11</v>
      </c>
      <c r="CJ154" s="228">
        <f t="shared" si="80"/>
        <v>0</v>
      </c>
      <c r="CK154" s="228">
        <f t="shared" si="80"/>
        <v>0</v>
      </c>
      <c r="CL154" s="228">
        <f t="shared" si="80"/>
        <v>0</v>
      </c>
      <c r="CM154" s="228">
        <f t="shared" si="80"/>
        <v>0</v>
      </c>
      <c r="CN154" s="228">
        <f t="shared" si="80"/>
        <v>0</v>
      </c>
      <c r="CO154" s="228">
        <f t="shared" si="80"/>
        <v>10</v>
      </c>
      <c r="CP154" s="228">
        <f t="shared" si="80"/>
        <v>1</v>
      </c>
      <c r="CQ154" s="228">
        <f t="shared" si="80"/>
        <v>1</v>
      </c>
      <c r="CR154" s="228">
        <f t="shared" si="80"/>
        <v>0</v>
      </c>
      <c r="CS154" s="228">
        <f t="shared" si="80"/>
        <v>0</v>
      </c>
      <c r="CT154" s="228">
        <f t="shared" si="80"/>
        <v>1</v>
      </c>
      <c r="CU154" s="228">
        <f t="shared" si="80"/>
        <v>1</v>
      </c>
      <c r="CV154" s="228">
        <f t="shared" si="80"/>
        <v>0</v>
      </c>
      <c r="CW154" s="228">
        <f t="shared" si="80"/>
        <v>4</v>
      </c>
      <c r="CX154" s="228">
        <f t="shared" si="80"/>
        <v>0</v>
      </c>
      <c r="CY154" s="228">
        <f t="shared" si="80"/>
        <v>3</v>
      </c>
      <c r="CZ154" s="228">
        <f t="shared" si="80"/>
        <v>0</v>
      </c>
      <c r="DA154" s="228">
        <f t="shared" si="80"/>
        <v>2</v>
      </c>
      <c r="DB154" s="228">
        <f t="shared" si="80"/>
        <v>2</v>
      </c>
      <c r="DC154" s="228">
        <f t="shared" si="80"/>
        <v>1</v>
      </c>
      <c r="DD154" s="228">
        <f t="shared" si="80"/>
        <v>0</v>
      </c>
      <c r="DE154" s="228">
        <f t="shared" si="80"/>
        <v>1</v>
      </c>
      <c r="DF154" s="228">
        <f t="shared" si="80"/>
        <v>0</v>
      </c>
      <c r="DG154" s="228">
        <f t="shared" si="80"/>
        <v>1</v>
      </c>
      <c r="DH154" s="228">
        <f t="shared" si="80"/>
        <v>0</v>
      </c>
      <c r="DI154" s="228">
        <f t="shared" si="80"/>
        <v>1</v>
      </c>
      <c r="DJ154" s="228">
        <f t="shared" si="80"/>
        <v>0</v>
      </c>
      <c r="DK154" s="228">
        <f t="shared" si="80"/>
        <v>0</v>
      </c>
      <c r="DL154" s="228">
        <f t="shared" si="80"/>
        <v>1</v>
      </c>
      <c r="DM154" s="228">
        <f t="shared" si="80"/>
        <v>0</v>
      </c>
      <c r="DN154" s="228">
        <f t="shared" si="80"/>
        <v>2</v>
      </c>
      <c r="DO154" s="228">
        <f t="shared" si="80"/>
        <v>0</v>
      </c>
      <c r="DP154" s="232">
        <f t="shared" si="80"/>
        <v>247</v>
      </c>
      <c r="DQ154" s="228">
        <f t="shared" si="17"/>
        <v>0</v>
      </c>
      <c r="DR154" s="228">
        <f t="shared" si="18"/>
        <v>3</v>
      </c>
      <c r="DS154" s="230">
        <f>SUM(X154:Y154)+(1-TRP!$AK$253)*AC154</f>
        <v>75.3</v>
      </c>
      <c r="DT154" s="228">
        <f t="shared" si="19"/>
        <v>1</v>
      </c>
      <c r="DU154" s="228">
        <f t="shared" si="20"/>
        <v>4</v>
      </c>
      <c r="DV154" s="228">
        <f t="shared" si="21"/>
        <v>2</v>
      </c>
      <c r="DW154" s="228">
        <f t="shared" si="22"/>
        <v>0</v>
      </c>
      <c r="DX154" s="228">
        <f t="shared" si="23"/>
        <v>2</v>
      </c>
      <c r="DY154" s="228">
        <f t="shared" si="24"/>
        <v>3</v>
      </c>
      <c r="DZ154" s="228">
        <f t="shared" si="25"/>
        <v>2</v>
      </c>
      <c r="EA154" s="228">
        <f t="shared" si="26"/>
        <v>0</v>
      </c>
      <c r="EB154" s="230">
        <f>TRP!$AK$253*$AC154+SUM(M154:W154,Z154:AB154,AD154:AR154,AU154:AX154,BC154:BE154,BI154:BN154,BQ154:BR154,BV154)</f>
        <v>45.7</v>
      </c>
      <c r="EC154" s="228">
        <f t="shared" si="27"/>
        <v>5</v>
      </c>
      <c r="ED154" s="230">
        <f>CB154+$CI154*TRP!$AV$248</f>
        <v>0.34104675276677004</v>
      </c>
      <c r="EE154" s="228">
        <f t="shared" si="28"/>
        <v>1</v>
      </c>
      <c r="EF154" s="230">
        <f>CD154+$CI154*TRP!$AV$249</f>
        <v>11.625153627966597</v>
      </c>
      <c r="EG154" s="230">
        <f>CE154+$CI154*TRP!$AV$250</f>
        <v>2.2241281704559119</v>
      </c>
      <c r="EH154" s="230">
        <f>CF154+$CI154*TRP!$AV$251</f>
        <v>0.80967144881072162</v>
      </c>
      <c r="EI154" s="228">
        <f t="shared" si="29"/>
        <v>83</v>
      </c>
      <c r="EJ154" s="228">
        <f t="shared" si="30"/>
        <v>2</v>
      </c>
      <c r="EK154" s="228">
        <f t="shared" si="31"/>
        <v>0</v>
      </c>
      <c r="EL154" s="230">
        <f>BS154+$BP154*TRP!$AN$246</f>
        <v>1</v>
      </c>
      <c r="EM154" s="228">
        <f t="shared" si="32"/>
        <v>1</v>
      </c>
      <c r="EN154" s="230">
        <f>BU154+$BP154*TRP!$AN$247</f>
        <v>1</v>
      </c>
    </row>
    <row r="155" spans="1:144" s="228" customFormat="1" ht="10.5" x14ac:dyDescent="0.25">
      <c r="A155" s="228" t="str">
        <f>TRP!C153</f>
        <v xml:space="preserve">GE21 </v>
      </c>
      <c r="B155" s="228" t="str">
        <f>TRP!B153</f>
        <v xml:space="preserve">FABRICATION D ELEMENTS EN METAL POUR LA </v>
      </c>
      <c r="C155" s="233">
        <f>TRP!A153</f>
        <v>12</v>
      </c>
      <c r="D155" s="228">
        <f t="shared" ref="D155:BO155" si="81">D31</f>
        <v>0</v>
      </c>
      <c r="E155" s="228">
        <f t="shared" si="81"/>
        <v>0</v>
      </c>
      <c r="F155" s="228">
        <f t="shared" si="81"/>
        <v>0</v>
      </c>
      <c r="G155" s="228">
        <f t="shared" si="81"/>
        <v>4</v>
      </c>
      <c r="H155" s="228">
        <f t="shared" si="81"/>
        <v>2</v>
      </c>
      <c r="I155" s="228">
        <f t="shared" si="81"/>
        <v>1</v>
      </c>
      <c r="J155" s="228">
        <f t="shared" si="81"/>
        <v>1</v>
      </c>
      <c r="K155" s="228">
        <f t="shared" si="81"/>
        <v>6</v>
      </c>
      <c r="L155" s="228">
        <f t="shared" si="81"/>
        <v>0</v>
      </c>
      <c r="M155" s="228">
        <f t="shared" si="81"/>
        <v>1</v>
      </c>
      <c r="N155" s="228">
        <f t="shared" si="81"/>
        <v>1</v>
      </c>
      <c r="O155" s="228">
        <f t="shared" si="81"/>
        <v>9</v>
      </c>
      <c r="P155" s="228">
        <f t="shared" si="81"/>
        <v>14</v>
      </c>
      <c r="Q155" s="228">
        <f t="shared" si="81"/>
        <v>23</v>
      </c>
      <c r="R155" s="228">
        <f t="shared" si="81"/>
        <v>42</v>
      </c>
      <c r="S155" s="228">
        <f t="shared" si="81"/>
        <v>0</v>
      </c>
      <c r="T155" s="228">
        <f t="shared" si="81"/>
        <v>2</v>
      </c>
      <c r="U155" s="228">
        <f t="shared" si="81"/>
        <v>1</v>
      </c>
      <c r="V155" s="228">
        <f t="shared" si="81"/>
        <v>1</v>
      </c>
      <c r="W155" s="228">
        <f t="shared" si="81"/>
        <v>0</v>
      </c>
      <c r="X155" s="228">
        <f t="shared" si="81"/>
        <v>215</v>
      </c>
      <c r="Y155" s="228">
        <f t="shared" si="81"/>
        <v>46</v>
      </c>
      <c r="Z155" s="228">
        <f t="shared" si="81"/>
        <v>6</v>
      </c>
      <c r="AA155" s="228">
        <f t="shared" si="81"/>
        <v>10</v>
      </c>
      <c r="AB155" s="228">
        <f t="shared" si="81"/>
        <v>39</v>
      </c>
      <c r="AC155" s="228">
        <f t="shared" si="81"/>
        <v>3</v>
      </c>
      <c r="AD155" s="228">
        <f t="shared" si="81"/>
        <v>422</v>
      </c>
      <c r="AE155" s="228">
        <f t="shared" si="81"/>
        <v>69</v>
      </c>
      <c r="AF155" s="228">
        <f t="shared" si="81"/>
        <v>12</v>
      </c>
      <c r="AG155" s="228">
        <f t="shared" si="81"/>
        <v>60</v>
      </c>
      <c r="AH155" s="228">
        <f t="shared" si="81"/>
        <v>9</v>
      </c>
      <c r="AI155" s="228">
        <f t="shared" si="81"/>
        <v>2</v>
      </c>
      <c r="AJ155" s="228">
        <f t="shared" si="81"/>
        <v>123</v>
      </c>
      <c r="AK155" s="228">
        <f t="shared" si="81"/>
        <v>3</v>
      </c>
      <c r="AL155" s="228">
        <f t="shared" si="81"/>
        <v>1</v>
      </c>
      <c r="AM155" s="228">
        <f t="shared" si="81"/>
        <v>7</v>
      </c>
      <c r="AN155" s="228">
        <f t="shared" si="81"/>
        <v>7</v>
      </c>
      <c r="AO155" s="228">
        <f t="shared" si="81"/>
        <v>4</v>
      </c>
      <c r="AP155" s="228">
        <f t="shared" si="81"/>
        <v>17</v>
      </c>
      <c r="AQ155" s="228">
        <f t="shared" si="81"/>
        <v>0</v>
      </c>
      <c r="AR155" s="228">
        <f t="shared" si="81"/>
        <v>0</v>
      </c>
      <c r="AS155" s="228">
        <f t="shared" si="81"/>
        <v>7</v>
      </c>
      <c r="AT155" s="228">
        <f t="shared" si="81"/>
        <v>35</v>
      </c>
      <c r="AU155" s="228">
        <f t="shared" si="81"/>
        <v>0</v>
      </c>
      <c r="AV155" s="228">
        <f t="shared" si="81"/>
        <v>1</v>
      </c>
      <c r="AW155" s="228">
        <f t="shared" si="81"/>
        <v>1</v>
      </c>
      <c r="AX155" s="228">
        <f t="shared" si="81"/>
        <v>7</v>
      </c>
      <c r="AY155" s="228">
        <f t="shared" si="81"/>
        <v>1</v>
      </c>
      <c r="AZ155" s="228">
        <f t="shared" si="81"/>
        <v>2</v>
      </c>
      <c r="BA155" s="228">
        <f t="shared" si="81"/>
        <v>14</v>
      </c>
      <c r="BB155" s="228">
        <f t="shared" si="81"/>
        <v>35</v>
      </c>
      <c r="BC155" s="228">
        <f t="shared" si="81"/>
        <v>14</v>
      </c>
      <c r="BD155" s="228">
        <f t="shared" si="81"/>
        <v>0</v>
      </c>
      <c r="BE155" s="228">
        <f t="shared" si="81"/>
        <v>7</v>
      </c>
      <c r="BF155" s="228">
        <f t="shared" si="81"/>
        <v>20</v>
      </c>
      <c r="BG155" s="228">
        <f t="shared" si="81"/>
        <v>27</v>
      </c>
      <c r="BH155" s="228">
        <f t="shared" si="81"/>
        <v>4</v>
      </c>
      <c r="BI155" s="228">
        <f t="shared" si="81"/>
        <v>9</v>
      </c>
      <c r="BJ155" s="228">
        <f t="shared" si="81"/>
        <v>46</v>
      </c>
      <c r="BK155" s="228">
        <f t="shared" si="81"/>
        <v>23</v>
      </c>
      <c r="BL155" s="228">
        <f t="shared" si="81"/>
        <v>0</v>
      </c>
      <c r="BM155" s="228">
        <f t="shared" si="81"/>
        <v>2</v>
      </c>
      <c r="BN155" s="228">
        <f t="shared" si="81"/>
        <v>3</v>
      </c>
      <c r="BO155" s="228">
        <f t="shared" si="81"/>
        <v>0</v>
      </c>
      <c r="BP155" s="228">
        <f t="shared" ref="BP155:DP155" si="82">BP31</f>
        <v>0</v>
      </c>
      <c r="BQ155" s="228">
        <f t="shared" si="82"/>
        <v>0</v>
      </c>
      <c r="BR155" s="228">
        <f t="shared" si="82"/>
        <v>42</v>
      </c>
      <c r="BS155" s="228">
        <f t="shared" si="82"/>
        <v>41</v>
      </c>
      <c r="BT155" s="228">
        <f t="shared" si="82"/>
        <v>24</v>
      </c>
      <c r="BU155" s="228">
        <f t="shared" si="82"/>
        <v>2</v>
      </c>
      <c r="BV155" s="228">
        <f t="shared" si="82"/>
        <v>12</v>
      </c>
      <c r="BW155" s="228">
        <f t="shared" si="82"/>
        <v>4114</v>
      </c>
      <c r="BX155" s="228">
        <f t="shared" si="82"/>
        <v>1599</v>
      </c>
      <c r="BY155" s="228">
        <f t="shared" si="82"/>
        <v>7</v>
      </c>
      <c r="BZ155" s="228">
        <f t="shared" si="82"/>
        <v>0</v>
      </c>
      <c r="CA155" s="228">
        <f t="shared" si="82"/>
        <v>2</v>
      </c>
      <c r="CB155" s="228">
        <f t="shared" si="82"/>
        <v>1</v>
      </c>
      <c r="CC155" s="228">
        <f t="shared" si="82"/>
        <v>1</v>
      </c>
      <c r="CD155" s="228">
        <f t="shared" si="82"/>
        <v>0</v>
      </c>
      <c r="CE155" s="228">
        <f t="shared" si="82"/>
        <v>1</v>
      </c>
      <c r="CF155" s="228">
        <f t="shared" si="82"/>
        <v>1</v>
      </c>
      <c r="CG155" s="228">
        <f t="shared" si="82"/>
        <v>11</v>
      </c>
      <c r="CH155" s="228">
        <f t="shared" si="82"/>
        <v>0</v>
      </c>
      <c r="CI155" s="228">
        <f t="shared" si="82"/>
        <v>6</v>
      </c>
      <c r="CJ155" s="228">
        <f t="shared" si="82"/>
        <v>0</v>
      </c>
      <c r="CK155" s="228">
        <f t="shared" si="82"/>
        <v>0</v>
      </c>
      <c r="CL155" s="228">
        <f t="shared" si="82"/>
        <v>0</v>
      </c>
      <c r="CM155" s="228">
        <f t="shared" si="82"/>
        <v>0</v>
      </c>
      <c r="CN155" s="228">
        <f t="shared" si="82"/>
        <v>0</v>
      </c>
      <c r="CO155" s="228">
        <f t="shared" si="82"/>
        <v>65</v>
      </c>
      <c r="CP155" s="228">
        <f t="shared" si="82"/>
        <v>1</v>
      </c>
      <c r="CQ155" s="228">
        <f t="shared" si="82"/>
        <v>1</v>
      </c>
      <c r="CR155" s="228">
        <f t="shared" si="82"/>
        <v>0</v>
      </c>
      <c r="CS155" s="228">
        <f t="shared" si="82"/>
        <v>1</v>
      </c>
      <c r="CT155" s="228">
        <f t="shared" si="82"/>
        <v>1</v>
      </c>
      <c r="CU155" s="228">
        <f t="shared" si="82"/>
        <v>4</v>
      </c>
      <c r="CV155" s="228">
        <f t="shared" si="82"/>
        <v>0</v>
      </c>
      <c r="CW155" s="228">
        <f t="shared" si="82"/>
        <v>10</v>
      </c>
      <c r="CX155" s="228">
        <f t="shared" si="82"/>
        <v>0</v>
      </c>
      <c r="CY155" s="228">
        <f t="shared" si="82"/>
        <v>0</v>
      </c>
      <c r="CZ155" s="228">
        <f t="shared" si="82"/>
        <v>0</v>
      </c>
      <c r="DA155" s="228">
        <f t="shared" si="82"/>
        <v>0</v>
      </c>
      <c r="DB155" s="228">
        <f t="shared" si="82"/>
        <v>3</v>
      </c>
      <c r="DC155" s="228">
        <f t="shared" si="82"/>
        <v>0</v>
      </c>
      <c r="DD155" s="228">
        <f t="shared" si="82"/>
        <v>0</v>
      </c>
      <c r="DE155" s="228">
        <f t="shared" si="82"/>
        <v>0</v>
      </c>
      <c r="DF155" s="228">
        <f t="shared" si="82"/>
        <v>0</v>
      </c>
      <c r="DG155" s="228">
        <f t="shared" si="82"/>
        <v>6</v>
      </c>
      <c r="DH155" s="228">
        <f t="shared" si="82"/>
        <v>0</v>
      </c>
      <c r="DI155" s="228">
        <f t="shared" si="82"/>
        <v>0</v>
      </c>
      <c r="DJ155" s="228">
        <f t="shared" si="82"/>
        <v>0</v>
      </c>
      <c r="DK155" s="228">
        <f t="shared" si="82"/>
        <v>0</v>
      </c>
      <c r="DL155" s="228">
        <f t="shared" si="82"/>
        <v>0</v>
      </c>
      <c r="DM155" s="228">
        <f t="shared" si="82"/>
        <v>0</v>
      </c>
      <c r="DN155" s="228">
        <f t="shared" si="82"/>
        <v>0</v>
      </c>
      <c r="DO155" s="228">
        <f t="shared" si="82"/>
        <v>0</v>
      </c>
      <c r="DP155" s="232">
        <f t="shared" si="82"/>
        <v>7377</v>
      </c>
      <c r="DQ155" s="228">
        <f t="shared" si="17"/>
        <v>0</v>
      </c>
      <c r="DR155" s="228">
        <f t="shared" si="18"/>
        <v>14</v>
      </c>
      <c r="DS155" s="230">
        <f>SUM(X155:Y155)+(1-TRP!$AK$253)*AC155</f>
        <v>263.10000000000002</v>
      </c>
      <c r="DT155" s="228">
        <f t="shared" si="19"/>
        <v>7</v>
      </c>
      <c r="DU155" s="228">
        <f t="shared" si="20"/>
        <v>35</v>
      </c>
      <c r="DV155" s="228">
        <f t="shared" si="21"/>
        <v>3</v>
      </c>
      <c r="DW155" s="228">
        <f t="shared" si="22"/>
        <v>14</v>
      </c>
      <c r="DX155" s="228">
        <f t="shared" si="23"/>
        <v>35</v>
      </c>
      <c r="DY155" s="228">
        <f t="shared" si="24"/>
        <v>20</v>
      </c>
      <c r="DZ155" s="228">
        <f t="shared" si="25"/>
        <v>27</v>
      </c>
      <c r="EA155" s="228">
        <f t="shared" si="26"/>
        <v>4</v>
      </c>
      <c r="EB155" s="230">
        <f>TRP!$AK$253*$AC155+SUM(M155:W155,Z155:AB155,AD155:AR155,AU155:AX155,BC155:BE155,BI155:BN155,BQ155:BR155,BV155)</f>
        <v>1052.9000000000001</v>
      </c>
      <c r="EC155" s="228">
        <f t="shared" si="27"/>
        <v>5713</v>
      </c>
      <c r="ED155" s="230">
        <f>CB155+$CI155*TRP!$AV$248</f>
        <v>1.1860255015091472</v>
      </c>
      <c r="EE155" s="228">
        <f t="shared" si="28"/>
        <v>1</v>
      </c>
      <c r="EF155" s="230">
        <f>CD155+$CI155*TRP!$AV$249</f>
        <v>4.159174706163598</v>
      </c>
      <c r="EG155" s="230">
        <f>CE155+$CI155*TRP!$AV$250</f>
        <v>2.2131608202486794</v>
      </c>
      <c r="EH155" s="230">
        <f>CF155+$CI155*TRP!$AV$251</f>
        <v>1.4416389720785754</v>
      </c>
      <c r="EI155" s="228">
        <f t="shared" si="29"/>
        <v>112</v>
      </c>
      <c r="EJ155" s="228">
        <f t="shared" si="30"/>
        <v>0</v>
      </c>
      <c r="EK155" s="228">
        <f t="shared" si="31"/>
        <v>0</v>
      </c>
      <c r="EL155" s="230">
        <f>BS155+$BP155*TRP!$AN$246</f>
        <v>41</v>
      </c>
      <c r="EM155" s="228">
        <f t="shared" si="32"/>
        <v>24</v>
      </c>
      <c r="EN155" s="230">
        <f>BU155+$BP155*TRP!$AN$247</f>
        <v>2</v>
      </c>
    </row>
    <row r="156" spans="1:144" s="228" customFormat="1" ht="10.5" x14ac:dyDescent="0.25">
      <c r="A156" s="228" t="str">
        <f>TRP!C154</f>
        <v xml:space="preserve">GE22 </v>
      </c>
      <c r="B156" s="228" t="str">
        <f>TRP!B154</f>
        <v>CHAUDRONNERIE  FABRICATION DE RESERVOIRS</v>
      </c>
      <c r="C156" s="233">
        <f>TRP!A154</f>
        <v>12</v>
      </c>
      <c r="D156" s="228">
        <f t="shared" ref="D156:BO156" si="83">D32</f>
        <v>0</v>
      </c>
      <c r="E156" s="228">
        <f t="shared" si="83"/>
        <v>12</v>
      </c>
      <c r="F156" s="228">
        <f t="shared" si="83"/>
        <v>0</v>
      </c>
      <c r="G156" s="228">
        <f t="shared" si="83"/>
        <v>17</v>
      </c>
      <c r="H156" s="228">
        <f t="shared" si="83"/>
        <v>14</v>
      </c>
      <c r="I156" s="228">
        <f t="shared" si="83"/>
        <v>33</v>
      </c>
      <c r="J156" s="228">
        <f t="shared" si="83"/>
        <v>5</v>
      </c>
      <c r="K156" s="228">
        <f t="shared" si="83"/>
        <v>14</v>
      </c>
      <c r="L156" s="228">
        <f t="shared" si="83"/>
        <v>0</v>
      </c>
      <c r="M156" s="228">
        <f t="shared" si="83"/>
        <v>3</v>
      </c>
      <c r="N156" s="228">
        <f t="shared" si="83"/>
        <v>2</v>
      </c>
      <c r="O156" s="228">
        <f t="shared" si="83"/>
        <v>3</v>
      </c>
      <c r="P156" s="228">
        <f t="shared" si="83"/>
        <v>21</v>
      </c>
      <c r="Q156" s="228">
        <f t="shared" si="83"/>
        <v>19</v>
      </c>
      <c r="R156" s="228">
        <f t="shared" si="83"/>
        <v>47</v>
      </c>
      <c r="S156" s="228">
        <f t="shared" si="83"/>
        <v>1</v>
      </c>
      <c r="T156" s="228">
        <f t="shared" si="83"/>
        <v>18</v>
      </c>
      <c r="U156" s="228">
        <f t="shared" si="83"/>
        <v>6</v>
      </c>
      <c r="V156" s="228">
        <f t="shared" si="83"/>
        <v>0</v>
      </c>
      <c r="W156" s="228">
        <f t="shared" si="83"/>
        <v>1</v>
      </c>
      <c r="X156" s="228">
        <f t="shared" si="83"/>
        <v>585</v>
      </c>
      <c r="Y156" s="228">
        <f t="shared" si="83"/>
        <v>237</v>
      </c>
      <c r="Z156" s="228">
        <f t="shared" si="83"/>
        <v>23</v>
      </c>
      <c r="AA156" s="228">
        <f t="shared" si="83"/>
        <v>41</v>
      </c>
      <c r="AB156" s="228">
        <f t="shared" si="83"/>
        <v>133</v>
      </c>
      <c r="AC156" s="228">
        <f t="shared" si="83"/>
        <v>3</v>
      </c>
      <c r="AD156" s="228">
        <f t="shared" si="83"/>
        <v>56</v>
      </c>
      <c r="AE156" s="228">
        <f t="shared" si="83"/>
        <v>1090</v>
      </c>
      <c r="AF156" s="228">
        <f t="shared" si="83"/>
        <v>366</v>
      </c>
      <c r="AG156" s="228">
        <f t="shared" si="83"/>
        <v>786</v>
      </c>
      <c r="AH156" s="228">
        <f t="shared" si="83"/>
        <v>96</v>
      </c>
      <c r="AI156" s="228">
        <f t="shared" si="83"/>
        <v>40</v>
      </c>
      <c r="AJ156" s="228">
        <f t="shared" si="83"/>
        <v>216</v>
      </c>
      <c r="AK156" s="228">
        <f t="shared" si="83"/>
        <v>40</v>
      </c>
      <c r="AL156" s="228">
        <f t="shared" si="83"/>
        <v>3</v>
      </c>
      <c r="AM156" s="228">
        <f t="shared" si="83"/>
        <v>69</v>
      </c>
      <c r="AN156" s="228">
        <f t="shared" si="83"/>
        <v>26</v>
      </c>
      <c r="AO156" s="228">
        <f t="shared" si="83"/>
        <v>18</v>
      </c>
      <c r="AP156" s="228">
        <f t="shared" si="83"/>
        <v>70</v>
      </c>
      <c r="AQ156" s="228">
        <f t="shared" si="83"/>
        <v>0</v>
      </c>
      <c r="AR156" s="228">
        <f t="shared" si="83"/>
        <v>141</v>
      </c>
      <c r="AS156" s="228">
        <f t="shared" si="83"/>
        <v>14</v>
      </c>
      <c r="AT156" s="228">
        <f t="shared" si="83"/>
        <v>23</v>
      </c>
      <c r="AU156" s="228">
        <f t="shared" si="83"/>
        <v>3</v>
      </c>
      <c r="AV156" s="228">
        <f t="shared" si="83"/>
        <v>4</v>
      </c>
      <c r="AW156" s="228">
        <f t="shared" si="83"/>
        <v>1</v>
      </c>
      <c r="AX156" s="228">
        <f t="shared" si="83"/>
        <v>7</v>
      </c>
      <c r="AY156" s="228">
        <f t="shared" si="83"/>
        <v>10</v>
      </c>
      <c r="AZ156" s="228">
        <f t="shared" si="83"/>
        <v>7</v>
      </c>
      <c r="BA156" s="228">
        <f t="shared" si="83"/>
        <v>1</v>
      </c>
      <c r="BB156" s="228">
        <f t="shared" si="83"/>
        <v>28</v>
      </c>
      <c r="BC156" s="228">
        <f t="shared" si="83"/>
        <v>142</v>
      </c>
      <c r="BD156" s="228">
        <f t="shared" si="83"/>
        <v>0</v>
      </c>
      <c r="BE156" s="228">
        <f t="shared" si="83"/>
        <v>8</v>
      </c>
      <c r="BF156" s="228">
        <f t="shared" si="83"/>
        <v>28</v>
      </c>
      <c r="BG156" s="228">
        <f t="shared" si="83"/>
        <v>89</v>
      </c>
      <c r="BH156" s="228">
        <f t="shared" si="83"/>
        <v>1</v>
      </c>
      <c r="BI156" s="228">
        <f t="shared" si="83"/>
        <v>99</v>
      </c>
      <c r="BJ156" s="228">
        <f t="shared" si="83"/>
        <v>170</v>
      </c>
      <c r="BK156" s="228">
        <f t="shared" si="83"/>
        <v>122</v>
      </c>
      <c r="BL156" s="228">
        <f t="shared" si="83"/>
        <v>34</v>
      </c>
      <c r="BM156" s="228">
        <f t="shared" si="83"/>
        <v>32</v>
      </c>
      <c r="BN156" s="228">
        <f t="shared" si="83"/>
        <v>6</v>
      </c>
      <c r="BO156" s="228">
        <f t="shared" si="83"/>
        <v>0</v>
      </c>
      <c r="BP156" s="228">
        <f t="shared" ref="BP156:DP156" si="84">BP32</f>
        <v>0</v>
      </c>
      <c r="BQ156" s="228">
        <f t="shared" si="84"/>
        <v>0</v>
      </c>
      <c r="BR156" s="228">
        <f t="shared" si="84"/>
        <v>0</v>
      </c>
      <c r="BS156" s="228">
        <f t="shared" si="84"/>
        <v>65</v>
      </c>
      <c r="BT156" s="228">
        <f t="shared" si="84"/>
        <v>27</v>
      </c>
      <c r="BU156" s="228">
        <f t="shared" si="84"/>
        <v>14</v>
      </c>
      <c r="BV156" s="228">
        <f t="shared" si="84"/>
        <v>24</v>
      </c>
      <c r="BW156" s="228">
        <f t="shared" si="84"/>
        <v>1387</v>
      </c>
      <c r="BX156" s="228">
        <f t="shared" si="84"/>
        <v>655</v>
      </c>
      <c r="BY156" s="228">
        <f t="shared" si="84"/>
        <v>62</v>
      </c>
      <c r="BZ156" s="228">
        <f t="shared" si="84"/>
        <v>14</v>
      </c>
      <c r="CA156" s="228">
        <f t="shared" si="84"/>
        <v>52</v>
      </c>
      <c r="CB156" s="228">
        <f t="shared" si="84"/>
        <v>1</v>
      </c>
      <c r="CC156" s="228">
        <f t="shared" si="84"/>
        <v>1</v>
      </c>
      <c r="CD156" s="228">
        <f t="shared" si="84"/>
        <v>1</v>
      </c>
      <c r="CE156" s="228">
        <f t="shared" si="84"/>
        <v>1</v>
      </c>
      <c r="CF156" s="228">
        <f t="shared" si="84"/>
        <v>1</v>
      </c>
      <c r="CG156" s="228">
        <f t="shared" si="84"/>
        <v>4</v>
      </c>
      <c r="CH156" s="228">
        <f t="shared" si="84"/>
        <v>7</v>
      </c>
      <c r="CI156" s="228">
        <f t="shared" si="84"/>
        <v>11</v>
      </c>
      <c r="CJ156" s="228">
        <f t="shared" si="84"/>
        <v>0</v>
      </c>
      <c r="CK156" s="228">
        <f t="shared" si="84"/>
        <v>0</v>
      </c>
      <c r="CL156" s="228">
        <f t="shared" si="84"/>
        <v>0</v>
      </c>
      <c r="CM156" s="228">
        <f t="shared" si="84"/>
        <v>0</v>
      </c>
      <c r="CN156" s="228">
        <f t="shared" si="84"/>
        <v>0</v>
      </c>
      <c r="CO156" s="228">
        <f t="shared" si="84"/>
        <v>251</v>
      </c>
      <c r="CP156" s="228">
        <f t="shared" si="84"/>
        <v>10</v>
      </c>
      <c r="CQ156" s="228">
        <f t="shared" si="84"/>
        <v>3</v>
      </c>
      <c r="CR156" s="228">
        <f t="shared" si="84"/>
        <v>6</v>
      </c>
      <c r="CS156" s="228">
        <f t="shared" si="84"/>
        <v>1</v>
      </c>
      <c r="CT156" s="228">
        <f t="shared" si="84"/>
        <v>2</v>
      </c>
      <c r="CU156" s="228">
        <f t="shared" si="84"/>
        <v>5</v>
      </c>
      <c r="CV156" s="228">
        <f t="shared" si="84"/>
        <v>0</v>
      </c>
      <c r="CW156" s="228">
        <f t="shared" si="84"/>
        <v>29</v>
      </c>
      <c r="CX156" s="228">
        <f t="shared" si="84"/>
        <v>0</v>
      </c>
      <c r="CY156" s="228">
        <f t="shared" si="84"/>
        <v>1</v>
      </c>
      <c r="CZ156" s="228">
        <f t="shared" si="84"/>
        <v>0</v>
      </c>
      <c r="DA156" s="228">
        <f t="shared" si="84"/>
        <v>5</v>
      </c>
      <c r="DB156" s="228">
        <f t="shared" si="84"/>
        <v>3</v>
      </c>
      <c r="DC156" s="228">
        <f t="shared" si="84"/>
        <v>0</v>
      </c>
      <c r="DD156" s="228">
        <f t="shared" si="84"/>
        <v>0</v>
      </c>
      <c r="DE156" s="228">
        <f t="shared" si="84"/>
        <v>7</v>
      </c>
      <c r="DF156" s="228">
        <f t="shared" si="84"/>
        <v>0</v>
      </c>
      <c r="DG156" s="228">
        <f t="shared" si="84"/>
        <v>3</v>
      </c>
      <c r="DH156" s="228">
        <f t="shared" si="84"/>
        <v>0</v>
      </c>
      <c r="DI156" s="228">
        <f t="shared" si="84"/>
        <v>47</v>
      </c>
      <c r="DJ156" s="228">
        <f t="shared" si="84"/>
        <v>0</v>
      </c>
      <c r="DK156" s="228">
        <f t="shared" si="84"/>
        <v>0</v>
      </c>
      <c r="DL156" s="228">
        <f t="shared" si="84"/>
        <v>38</v>
      </c>
      <c r="DM156" s="228">
        <f t="shared" si="84"/>
        <v>0</v>
      </c>
      <c r="DN156" s="228">
        <f t="shared" si="84"/>
        <v>0</v>
      </c>
      <c r="DO156" s="228">
        <f t="shared" si="84"/>
        <v>0</v>
      </c>
      <c r="DP156" s="232">
        <f t="shared" si="84"/>
        <v>7822</v>
      </c>
      <c r="DQ156" s="228">
        <f t="shared" si="17"/>
        <v>12</v>
      </c>
      <c r="DR156" s="228">
        <f t="shared" si="18"/>
        <v>83</v>
      </c>
      <c r="DS156" s="230">
        <f>SUM(X156:Y156)+(1-TRP!$AK$253)*AC156</f>
        <v>824.1</v>
      </c>
      <c r="DT156" s="228">
        <f t="shared" si="19"/>
        <v>14</v>
      </c>
      <c r="DU156" s="228">
        <f t="shared" si="20"/>
        <v>23</v>
      </c>
      <c r="DV156" s="228">
        <f t="shared" si="21"/>
        <v>17</v>
      </c>
      <c r="DW156" s="228">
        <f t="shared" si="22"/>
        <v>1</v>
      </c>
      <c r="DX156" s="228">
        <f t="shared" si="23"/>
        <v>28</v>
      </c>
      <c r="DY156" s="228">
        <f t="shared" si="24"/>
        <v>28</v>
      </c>
      <c r="DZ156" s="228">
        <f t="shared" si="25"/>
        <v>89</v>
      </c>
      <c r="EA156" s="228">
        <f t="shared" si="26"/>
        <v>1</v>
      </c>
      <c r="EB156" s="230">
        <f>TRP!$AK$253*$AC156+SUM(M156:W156,Z156:AB156,AD156:AR156,AU156:AX156,BC156:BE156,BI156:BN156,BQ156:BR156,BV156)</f>
        <v>3987.9</v>
      </c>
      <c r="EC156" s="228">
        <f t="shared" si="27"/>
        <v>2042</v>
      </c>
      <c r="ED156" s="230">
        <f>CB156+$CI156*TRP!$AV$248</f>
        <v>1.34104675276677</v>
      </c>
      <c r="EE156" s="228">
        <f t="shared" si="28"/>
        <v>1</v>
      </c>
      <c r="EF156" s="230">
        <f>CD156+$CI156*TRP!$AV$249</f>
        <v>8.625153627966597</v>
      </c>
      <c r="EG156" s="230">
        <f>CE156+$CI156*TRP!$AV$250</f>
        <v>3.2241281704559119</v>
      </c>
      <c r="EH156" s="230">
        <f>CF156+$CI156*TRP!$AV$251</f>
        <v>1.8096714488107217</v>
      </c>
      <c r="EI156" s="228">
        <f t="shared" si="29"/>
        <v>550</v>
      </c>
      <c r="EJ156" s="228">
        <f t="shared" si="30"/>
        <v>0</v>
      </c>
      <c r="EK156" s="228">
        <f t="shared" si="31"/>
        <v>0</v>
      </c>
      <c r="EL156" s="230">
        <f>BS156+$BP156*TRP!$AN$246</f>
        <v>65</v>
      </c>
      <c r="EM156" s="228">
        <f t="shared" si="32"/>
        <v>27</v>
      </c>
      <c r="EN156" s="230">
        <f>BU156+$BP156*TRP!$AN$247</f>
        <v>14</v>
      </c>
    </row>
    <row r="157" spans="1:144" s="228" customFormat="1" ht="10.5" x14ac:dyDescent="0.25">
      <c r="A157" s="228" t="str">
        <f>TRP!C155</f>
        <v xml:space="preserve">GE23 </v>
      </c>
      <c r="B157" s="228" t="str">
        <f>TRP!B155</f>
        <v>FABRICATION D EQUIPEMENTS MECANIQUES</v>
      </c>
      <c r="C157" s="233">
        <f>TRP!A155</f>
        <v>12</v>
      </c>
      <c r="D157" s="228">
        <f t="shared" ref="D157:BO157" si="85">D33</f>
        <v>132</v>
      </c>
      <c r="E157" s="228">
        <f t="shared" si="85"/>
        <v>4</v>
      </c>
      <c r="F157" s="228">
        <f t="shared" si="85"/>
        <v>0</v>
      </c>
      <c r="G157" s="228">
        <f t="shared" si="85"/>
        <v>29</v>
      </c>
      <c r="H157" s="228">
        <f t="shared" si="85"/>
        <v>20</v>
      </c>
      <c r="I157" s="228">
        <f t="shared" si="85"/>
        <v>29</v>
      </c>
      <c r="J157" s="228">
        <f t="shared" si="85"/>
        <v>8</v>
      </c>
      <c r="K157" s="228">
        <f t="shared" si="85"/>
        <v>60</v>
      </c>
      <c r="L157" s="228">
        <f t="shared" si="85"/>
        <v>0</v>
      </c>
      <c r="M157" s="228">
        <f t="shared" si="85"/>
        <v>9</v>
      </c>
      <c r="N157" s="228">
        <f t="shared" si="85"/>
        <v>3</v>
      </c>
      <c r="O157" s="228">
        <f t="shared" si="85"/>
        <v>8</v>
      </c>
      <c r="P157" s="228">
        <f t="shared" si="85"/>
        <v>19</v>
      </c>
      <c r="Q157" s="228">
        <f t="shared" si="85"/>
        <v>23</v>
      </c>
      <c r="R157" s="228">
        <f t="shared" si="85"/>
        <v>110</v>
      </c>
      <c r="S157" s="228">
        <f t="shared" si="85"/>
        <v>1</v>
      </c>
      <c r="T157" s="228">
        <f t="shared" si="85"/>
        <v>51</v>
      </c>
      <c r="U157" s="228">
        <f t="shared" si="85"/>
        <v>25</v>
      </c>
      <c r="V157" s="228">
        <f t="shared" si="85"/>
        <v>7</v>
      </c>
      <c r="W157" s="228">
        <f t="shared" si="85"/>
        <v>2</v>
      </c>
      <c r="X157" s="228">
        <f t="shared" si="85"/>
        <v>1531</v>
      </c>
      <c r="Y157" s="228">
        <f t="shared" si="85"/>
        <v>385</v>
      </c>
      <c r="Z157" s="228">
        <f t="shared" si="85"/>
        <v>52</v>
      </c>
      <c r="AA157" s="228">
        <f t="shared" si="85"/>
        <v>85</v>
      </c>
      <c r="AB157" s="228">
        <f t="shared" si="85"/>
        <v>351</v>
      </c>
      <c r="AC157" s="228">
        <f t="shared" si="85"/>
        <v>6</v>
      </c>
      <c r="AD157" s="228">
        <f t="shared" si="85"/>
        <v>136</v>
      </c>
      <c r="AE157" s="228">
        <f t="shared" si="85"/>
        <v>113</v>
      </c>
      <c r="AF157" s="228">
        <f t="shared" si="85"/>
        <v>1372</v>
      </c>
      <c r="AG157" s="228">
        <f t="shared" si="85"/>
        <v>338</v>
      </c>
      <c r="AH157" s="228">
        <f t="shared" si="85"/>
        <v>115</v>
      </c>
      <c r="AI157" s="228">
        <f t="shared" si="85"/>
        <v>88</v>
      </c>
      <c r="AJ157" s="228">
        <f t="shared" si="85"/>
        <v>120</v>
      </c>
      <c r="AK157" s="228">
        <f t="shared" si="85"/>
        <v>117</v>
      </c>
      <c r="AL157" s="228">
        <f t="shared" si="85"/>
        <v>3</v>
      </c>
      <c r="AM157" s="228">
        <f t="shared" si="85"/>
        <v>30</v>
      </c>
      <c r="AN157" s="228">
        <f t="shared" si="85"/>
        <v>84</v>
      </c>
      <c r="AO157" s="228">
        <f t="shared" si="85"/>
        <v>46</v>
      </c>
      <c r="AP157" s="228">
        <f t="shared" si="85"/>
        <v>177</v>
      </c>
      <c r="AQ157" s="228">
        <f t="shared" si="85"/>
        <v>0</v>
      </c>
      <c r="AR157" s="228">
        <f t="shared" si="85"/>
        <v>461</v>
      </c>
      <c r="AS157" s="228">
        <f t="shared" si="85"/>
        <v>6</v>
      </c>
      <c r="AT157" s="228">
        <f t="shared" si="85"/>
        <v>136</v>
      </c>
      <c r="AU157" s="228">
        <f t="shared" si="85"/>
        <v>24</v>
      </c>
      <c r="AV157" s="228">
        <f t="shared" si="85"/>
        <v>9</v>
      </c>
      <c r="AW157" s="228">
        <f t="shared" si="85"/>
        <v>7</v>
      </c>
      <c r="AX157" s="228">
        <f t="shared" si="85"/>
        <v>56</v>
      </c>
      <c r="AY157" s="228">
        <f t="shared" si="85"/>
        <v>11</v>
      </c>
      <c r="AZ157" s="228">
        <f t="shared" si="85"/>
        <v>11</v>
      </c>
      <c r="BA157" s="228">
        <f t="shared" si="85"/>
        <v>21</v>
      </c>
      <c r="BB157" s="228">
        <f t="shared" si="85"/>
        <v>82</v>
      </c>
      <c r="BC157" s="228">
        <f t="shared" si="85"/>
        <v>34</v>
      </c>
      <c r="BD157" s="228">
        <f t="shared" si="85"/>
        <v>0</v>
      </c>
      <c r="BE157" s="228">
        <f t="shared" si="85"/>
        <v>78</v>
      </c>
      <c r="BF157" s="228">
        <f t="shared" si="85"/>
        <v>244</v>
      </c>
      <c r="BG157" s="228">
        <f t="shared" si="85"/>
        <v>160</v>
      </c>
      <c r="BH157" s="228">
        <f t="shared" si="85"/>
        <v>105</v>
      </c>
      <c r="BI157" s="228">
        <f t="shared" si="85"/>
        <v>60</v>
      </c>
      <c r="BJ157" s="228">
        <f t="shared" si="85"/>
        <v>209</v>
      </c>
      <c r="BK157" s="228">
        <f t="shared" si="85"/>
        <v>139</v>
      </c>
      <c r="BL157" s="228">
        <f t="shared" si="85"/>
        <v>21</v>
      </c>
      <c r="BM157" s="228">
        <f t="shared" si="85"/>
        <v>267</v>
      </c>
      <c r="BN157" s="228">
        <f t="shared" si="85"/>
        <v>118</v>
      </c>
      <c r="BO157" s="228">
        <f t="shared" si="85"/>
        <v>0</v>
      </c>
      <c r="BP157" s="228">
        <f t="shared" ref="BP157:DP157" si="86">BP33</f>
        <v>0</v>
      </c>
      <c r="BQ157" s="228">
        <f t="shared" si="86"/>
        <v>0</v>
      </c>
      <c r="BR157" s="228">
        <f t="shared" si="86"/>
        <v>16</v>
      </c>
      <c r="BS157" s="228">
        <f t="shared" si="86"/>
        <v>93</v>
      </c>
      <c r="BT157" s="228">
        <f t="shared" si="86"/>
        <v>97</v>
      </c>
      <c r="BU157" s="228">
        <f t="shared" si="86"/>
        <v>19</v>
      </c>
      <c r="BV157" s="228">
        <f t="shared" si="86"/>
        <v>151</v>
      </c>
      <c r="BW157" s="228">
        <f t="shared" si="86"/>
        <v>2044</v>
      </c>
      <c r="BX157" s="228">
        <f t="shared" si="86"/>
        <v>502</v>
      </c>
      <c r="BY157" s="228">
        <f t="shared" si="86"/>
        <v>71</v>
      </c>
      <c r="BZ157" s="228">
        <f t="shared" si="86"/>
        <v>140</v>
      </c>
      <c r="CA157" s="228">
        <f t="shared" si="86"/>
        <v>101</v>
      </c>
      <c r="CB157" s="228">
        <f t="shared" si="86"/>
        <v>2</v>
      </c>
      <c r="CC157" s="228">
        <f t="shared" si="86"/>
        <v>6</v>
      </c>
      <c r="CD157" s="228">
        <f t="shared" si="86"/>
        <v>11</v>
      </c>
      <c r="CE157" s="228">
        <f t="shared" si="86"/>
        <v>14</v>
      </c>
      <c r="CF157" s="228">
        <f t="shared" si="86"/>
        <v>8</v>
      </c>
      <c r="CG157" s="228">
        <f t="shared" si="86"/>
        <v>188</v>
      </c>
      <c r="CH157" s="228">
        <f t="shared" si="86"/>
        <v>86</v>
      </c>
      <c r="CI157" s="228">
        <f t="shared" si="86"/>
        <v>123</v>
      </c>
      <c r="CJ157" s="228">
        <f t="shared" si="86"/>
        <v>22</v>
      </c>
      <c r="CK157" s="228">
        <f t="shared" si="86"/>
        <v>0</v>
      </c>
      <c r="CL157" s="228">
        <f t="shared" si="86"/>
        <v>0</v>
      </c>
      <c r="CM157" s="228">
        <f t="shared" si="86"/>
        <v>3</v>
      </c>
      <c r="CN157" s="228">
        <f t="shared" si="86"/>
        <v>5</v>
      </c>
      <c r="CO157" s="228">
        <f t="shared" si="86"/>
        <v>134</v>
      </c>
      <c r="CP157" s="228">
        <f t="shared" si="86"/>
        <v>25</v>
      </c>
      <c r="CQ157" s="228">
        <f t="shared" si="86"/>
        <v>33</v>
      </c>
      <c r="CR157" s="228">
        <f t="shared" si="86"/>
        <v>6</v>
      </c>
      <c r="CS157" s="228">
        <f t="shared" si="86"/>
        <v>1</v>
      </c>
      <c r="CT157" s="228">
        <f t="shared" si="86"/>
        <v>22</v>
      </c>
      <c r="CU157" s="228">
        <f t="shared" si="86"/>
        <v>22</v>
      </c>
      <c r="CV157" s="228">
        <f t="shared" si="86"/>
        <v>11</v>
      </c>
      <c r="CW157" s="228">
        <f t="shared" si="86"/>
        <v>150</v>
      </c>
      <c r="CX157" s="228">
        <f t="shared" si="86"/>
        <v>10</v>
      </c>
      <c r="CY157" s="228">
        <f t="shared" si="86"/>
        <v>99</v>
      </c>
      <c r="CZ157" s="228">
        <f t="shared" si="86"/>
        <v>0</v>
      </c>
      <c r="DA157" s="228">
        <f t="shared" si="86"/>
        <v>63</v>
      </c>
      <c r="DB157" s="228">
        <f t="shared" si="86"/>
        <v>61</v>
      </c>
      <c r="DC157" s="228">
        <f t="shared" si="86"/>
        <v>88</v>
      </c>
      <c r="DD157" s="228">
        <f t="shared" si="86"/>
        <v>0</v>
      </c>
      <c r="DE157" s="228">
        <f t="shared" si="86"/>
        <v>18</v>
      </c>
      <c r="DF157" s="228">
        <f t="shared" si="86"/>
        <v>0</v>
      </c>
      <c r="DG157" s="228">
        <f t="shared" si="86"/>
        <v>34</v>
      </c>
      <c r="DH157" s="228">
        <f t="shared" si="86"/>
        <v>0</v>
      </c>
      <c r="DI157" s="228">
        <f t="shared" si="86"/>
        <v>50</v>
      </c>
      <c r="DJ157" s="228">
        <f t="shared" si="86"/>
        <v>0</v>
      </c>
      <c r="DK157" s="228">
        <f t="shared" si="86"/>
        <v>5</v>
      </c>
      <c r="DL157" s="228">
        <f t="shared" si="86"/>
        <v>35</v>
      </c>
      <c r="DM157" s="228">
        <f t="shared" si="86"/>
        <v>0</v>
      </c>
      <c r="DN157" s="228">
        <f t="shared" si="86"/>
        <v>0</v>
      </c>
      <c r="DO157" s="228">
        <f t="shared" si="86"/>
        <v>0</v>
      </c>
      <c r="DP157" s="232">
        <f t="shared" si="86"/>
        <v>12517</v>
      </c>
      <c r="DQ157" s="228">
        <f t="shared" si="17"/>
        <v>136</v>
      </c>
      <c r="DR157" s="228">
        <f t="shared" si="18"/>
        <v>146</v>
      </c>
      <c r="DS157" s="230">
        <f>SUM(X157:Y157)+(1-TRP!$AK$253)*AC157</f>
        <v>1920.2</v>
      </c>
      <c r="DT157" s="228">
        <f t="shared" si="19"/>
        <v>6</v>
      </c>
      <c r="DU157" s="228">
        <f t="shared" si="20"/>
        <v>136</v>
      </c>
      <c r="DV157" s="228">
        <f t="shared" si="21"/>
        <v>22</v>
      </c>
      <c r="DW157" s="228">
        <f t="shared" si="22"/>
        <v>21</v>
      </c>
      <c r="DX157" s="228">
        <f t="shared" si="23"/>
        <v>82</v>
      </c>
      <c r="DY157" s="228">
        <f t="shared" si="24"/>
        <v>244</v>
      </c>
      <c r="DZ157" s="228">
        <f t="shared" si="25"/>
        <v>160</v>
      </c>
      <c r="EA157" s="228">
        <f t="shared" si="26"/>
        <v>105</v>
      </c>
      <c r="EB157" s="230">
        <f>TRP!$AK$253*$AC157+SUM(M157:W157,Z157:AB157,AD157:AR157,AU157:AX157,BC157:BE157,BI157:BN157,BQ157:BR157,BV157)</f>
        <v>5136.8</v>
      </c>
      <c r="EC157" s="228">
        <f t="shared" si="27"/>
        <v>2546</v>
      </c>
      <c r="ED157" s="230">
        <f>CB157+$CI157*TRP!$AV$248</f>
        <v>5.8135227809375198</v>
      </c>
      <c r="EE157" s="228">
        <f t="shared" si="28"/>
        <v>6</v>
      </c>
      <c r="EF157" s="230">
        <f>CD157+$CI157*TRP!$AV$249</f>
        <v>96.263081476353761</v>
      </c>
      <c r="EG157" s="230">
        <f>CE157+$CI157*TRP!$AV$250</f>
        <v>38.869796815097928</v>
      </c>
      <c r="EH157" s="230">
        <f>CF157+$CI157*TRP!$AV$251</f>
        <v>17.053598927610796</v>
      </c>
      <c r="EI157" s="228">
        <f t="shared" si="29"/>
        <v>1483</v>
      </c>
      <c r="EJ157" s="228">
        <f t="shared" si="30"/>
        <v>0</v>
      </c>
      <c r="EK157" s="228">
        <f t="shared" si="31"/>
        <v>0</v>
      </c>
      <c r="EL157" s="230">
        <f>BS157+$BP157*TRP!$AN$246</f>
        <v>93</v>
      </c>
      <c r="EM157" s="228">
        <f t="shared" si="32"/>
        <v>97</v>
      </c>
      <c r="EN157" s="230">
        <f>BU157+$BP157*TRP!$AN$247</f>
        <v>19</v>
      </c>
    </row>
    <row r="158" spans="1:144" s="228" customFormat="1" ht="10.5" x14ac:dyDescent="0.25">
      <c r="A158" s="228" t="str">
        <f>TRP!C156</f>
        <v xml:space="preserve">GE24 </v>
      </c>
      <c r="B158" s="228" t="str">
        <f>TRP!B156</f>
        <v>FABRICATION DE MACHINES D USAGE GENERAL</v>
      </c>
      <c r="C158" s="233">
        <f>TRP!A156</f>
        <v>12</v>
      </c>
      <c r="D158" s="228">
        <f t="shared" ref="D158:BO158" si="87">D34</f>
        <v>0</v>
      </c>
      <c r="E158" s="228">
        <f t="shared" si="87"/>
        <v>3</v>
      </c>
      <c r="F158" s="228">
        <f t="shared" si="87"/>
        <v>0</v>
      </c>
      <c r="G158" s="228">
        <f t="shared" si="87"/>
        <v>32</v>
      </c>
      <c r="H158" s="228">
        <f t="shared" si="87"/>
        <v>16</v>
      </c>
      <c r="I158" s="228">
        <f t="shared" si="87"/>
        <v>10</v>
      </c>
      <c r="J158" s="228">
        <f t="shared" si="87"/>
        <v>8</v>
      </c>
      <c r="K158" s="228">
        <f t="shared" si="87"/>
        <v>92</v>
      </c>
      <c r="L158" s="228">
        <f t="shared" si="87"/>
        <v>0</v>
      </c>
      <c r="M158" s="228">
        <f t="shared" si="87"/>
        <v>35</v>
      </c>
      <c r="N158" s="228">
        <f t="shared" si="87"/>
        <v>14</v>
      </c>
      <c r="O158" s="228">
        <f t="shared" si="87"/>
        <v>69</v>
      </c>
      <c r="P158" s="228">
        <f t="shared" si="87"/>
        <v>47</v>
      </c>
      <c r="Q158" s="228">
        <f t="shared" si="87"/>
        <v>37</v>
      </c>
      <c r="R158" s="228">
        <f t="shared" si="87"/>
        <v>75</v>
      </c>
      <c r="S158" s="228">
        <f t="shared" si="87"/>
        <v>1</v>
      </c>
      <c r="T158" s="228">
        <f t="shared" si="87"/>
        <v>31</v>
      </c>
      <c r="U158" s="228">
        <f t="shared" si="87"/>
        <v>24</v>
      </c>
      <c r="V158" s="228">
        <f t="shared" si="87"/>
        <v>7</v>
      </c>
      <c r="W158" s="228">
        <f t="shared" si="87"/>
        <v>5</v>
      </c>
      <c r="X158" s="228">
        <f t="shared" si="87"/>
        <v>690</v>
      </c>
      <c r="Y158" s="228">
        <f t="shared" si="87"/>
        <v>370</v>
      </c>
      <c r="Z158" s="228">
        <f t="shared" si="87"/>
        <v>70</v>
      </c>
      <c r="AA158" s="228">
        <f t="shared" si="87"/>
        <v>52</v>
      </c>
      <c r="AB158" s="228">
        <f t="shared" si="87"/>
        <v>687</v>
      </c>
      <c r="AC158" s="228">
        <f t="shared" si="87"/>
        <v>5</v>
      </c>
      <c r="AD158" s="228">
        <f t="shared" si="87"/>
        <v>54</v>
      </c>
      <c r="AE158" s="228">
        <f t="shared" si="87"/>
        <v>205</v>
      </c>
      <c r="AF158" s="228">
        <f t="shared" si="87"/>
        <v>1196</v>
      </c>
      <c r="AG158" s="228">
        <f t="shared" si="87"/>
        <v>2382</v>
      </c>
      <c r="AH158" s="228">
        <f t="shared" si="87"/>
        <v>95</v>
      </c>
      <c r="AI158" s="228">
        <f t="shared" si="87"/>
        <v>172</v>
      </c>
      <c r="AJ158" s="228">
        <f t="shared" si="87"/>
        <v>1677</v>
      </c>
      <c r="AK158" s="228">
        <f t="shared" si="87"/>
        <v>334</v>
      </c>
      <c r="AL158" s="228">
        <f t="shared" si="87"/>
        <v>4</v>
      </c>
      <c r="AM158" s="228">
        <f t="shared" si="87"/>
        <v>189</v>
      </c>
      <c r="AN158" s="228">
        <f t="shared" si="87"/>
        <v>100</v>
      </c>
      <c r="AO158" s="228">
        <f t="shared" si="87"/>
        <v>108</v>
      </c>
      <c r="AP158" s="228">
        <f t="shared" si="87"/>
        <v>280</v>
      </c>
      <c r="AQ158" s="228">
        <f t="shared" si="87"/>
        <v>0</v>
      </c>
      <c r="AR158" s="228">
        <f t="shared" si="87"/>
        <v>330</v>
      </c>
      <c r="AS158" s="228">
        <f t="shared" si="87"/>
        <v>37</v>
      </c>
      <c r="AT158" s="228">
        <f t="shared" si="87"/>
        <v>140</v>
      </c>
      <c r="AU158" s="228">
        <f t="shared" si="87"/>
        <v>49</v>
      </c>
      <c r="AV158" s="228">
        <f t="shared" si="87"/>
        <v>15</v>
      </c>
      <c r="AW158" s="228">
        <f t="shared" si="87"/>
        <v>14</v>
      </c>
      <c r="AX158" s="228">
        <f t="shared" si="87"/>
        <v>150</v>
      </c>
      <c r="AY158" s="228">
        <f t="shared" si="87"/>
        <v>103</v>
      </c>
      <c r="AZ158" s="228">
        <f t="shared" si="87"/>
        <v>37</v>
      </c>
      <c r="BA158" s="228">
        <f t="shared" si="87"/>
        <v>11</v>
      </c>
      <c r="BB158" s="228">
        <f t="shared" si="87"/>
        <v>162</v>
      </c>
      <c r="BC158" s="228">
        <f t="shared" si="87"/>
        <v>52</v>
      </c>
      <c r="BD158" s="228">
        <f t="shared" si="87"/>
        <v>4</v>
      </c>
      <c r="BE158" s="228">
        <f t="shared" si="87"/>
        <v>65</v>
      </c>
      <c r="BF158" s="228">
        <f t="shared" si="87"/>
        <v>284</v>
      </c>
      <c r="BG158" s="228">
        <f t="shared" si="87"/>
        <v>152</v>
      </c>
      <c r="BH158" s="228">
        <f t="shared" si="87"/>
        <v>131</v>
      </c>
      <c r="BI158" s="228">
        <f t="shared" si="87"/>
        <v>101</v>
      </c>
      <c r="BJ158" s="228">
        <f t="shared" si="87"/>
        <v>203</v>
      </c>
      <c r="BK158" s="228">
        <f t="shared" si="87"/>
        <v>118</v>
      </c>
      <c r="BL158" s="228">
        <f t="shared" si="87"/>
        <v>47</v>
      </c>
      <c r="BM158" s="228">
        <f t="shared" si="87"/>
        <v>138</v>
      </c>
      <c r="BN158" s="228">
        <f t="shared" si="87"/>
        <v>100</v>
      </c>
      <c r="BO158" s="228">
        <f t="shared" si="87"/>
        <v>0</v>
      </c>
      <c r="BP158" s="228">
        <f t="shared" ref="BP158:DP158" si="88">BP34</f>
        <v>0</v>
      </c>
      <c r="BQ158" s="228">
        <f t="shared" si="88"/>
        <v>0</v>
      </c>
      <c r="BR158" s="228">
        <f t="shared" si="88"/>
        <v>12</v>
      </c>
      <c r="BS158" s="228">
        <f t="shared" si="88"/>
        <v>124</v>
      </c>
      <c r="BT158" s="228">
        <f t="shared" si="88"/>
        <v>135</v>
      </c>
      <c r="BU158" s="228">
        <f t="shared" si="88"/>
        <v>7</v>
      </c>
      <c r="BV158" s="228">
        <f t="shared" si="88"/>
        <v>84</v>
      </c>
      <c r="BW158" s="228">
        <f t="shared" si="88"/>
        <v>718</v>
      </c>
      <c r="BX158" s="228">
        <f t="shared" si="88"/>
        <v>358</v>
      </c>
      <c r="BY158" s="228">
        <f t="shared" si="88"/>
        <v>206</v>
      </c>
      <c r="BZ158" s="228">
        <f t="shared" si="88"/>
        <v>179</v>
      </c>
      <c r="CA158" s="228">
        <f t="shared" si="88"/>
        <v>68</v>
      </c>
      <c r="CB158" s="228">
        <f t="shared" si="88"/>
        <v>2</v>
      </c>
      <c r="CC158" s="228">
        <f t="shared" si="88"/>
        <v>5</v>
      </c>
      <c r="CD158" s="228">
        <f t="shared" si="88"/>
        <v>9</v>
      </c>
      <c r="CE158" s="228">
        <f t="shared" si="88"/>
        <v>16</v>
      </c>
      <c r="CF158" s="228">
        <f t="shared" si="88"/>
        <v>9</v>
      </c>
      <c r="CG158" s="228">
        <f t="shared" si="88"/>
        <v>229</v>
      </c>
      <c r="CH158" s="228">
        <f t="shared" si="88"/>
        <v>13</v>
      </c>
      <c r="CI158" s="228">
        <f t="shared" si="88"/>
        <v>32</v>
      </c>
      <c r="CJ158" s="228">
        <f t="shared" si="88"/>
        <v>106</v>
      </c>
      <c r="CK158" s="228">
        <f t="shared" si="88"/>
        <v>0</v>
      </c>
      <c r="CL158" s="228">
        <f t="shared" si="88"/>
        <v>0</v>
      </c>
      <c r="CM158" s="228">
        <f t="shared" si="88"/>
        <v>8</v>
      </c>
      <c r="CN158" s="228">
        <f t="shared" si="88"/>
        <v>6</v>
      </c>
      <c r="CO158" s="228">
        <f t="shared" si="88"/>
        <v>14</v>
      </c>
      <c r="CP158" s="228">
        <f t="shared" si="88"/>
        <v>37</v>
      </c>
      <c r="CQ158" s="228">
        <f t="shared" si="88"/>
        <v>73</v>
      </c>
      <c r="CR158" s="228">
        <f t="shared" si="88"/>
        <v>6</v>
      </c>
      <c r="CS158" s="228">
        <f t="shared" si="88"/>
        <v>6</v>
      </c>
      <c r="CT158" s="228">
        <f t="shared" si="88"/>
        <v>42</v>
      </c>
      <c r="CU158" s="228">
        <f t="shared" si="88"/>
        <v>7</v>
      </c>
      <c r="CV158" s="228">
        <f t="shared" si="88"/>
        <v>0</v>
      </c>
      <c r="CW158" s="228">
        <f t="shared" si="88"/>
        <v>228</v>
      </c>
      <c r="CX158" s="228">
        <f t="shared" si="88"/>
        <v>7</v>
      </c>
      <c r="CY158" s="228">
        <f t="shared" si="88"/>
        <v>58</v>
      </c>
      <c r="CZ158" s="228">
        <f t="shared" si="88"/>
        <v>0</v>
      </c>
      <c r="DA158" s="228">
        <f t="shared" si="88"/>
        <v>148</v>
      </c>
      <c r="DB158" s="228">
        <f t="shared" si="88"/>
        <v>127</v>
      </c>
      <c r="DC158" s="228">
        <f t="shared" si="88"/>
        <v>60</v>
      </c>
      <c r="DD158" s="228">
        <f t="shared" si="88"/>
        <v>0</v>
      </c>
      <c r="DE158" s="228">
        <f t="shared" si="88"/>
        <v>6</v>
      </c>
      <c r="DF158" s="228">
        <f t="shared" si="88"/>
        <v>0</v>
      </c>
      <c r="DG158" s="228">
        <f t="shared" si="88"/>
        <v>22</v>
      </c>
      <c r="DH158" s="228">
        <f t="shared" si="88"/>
        <v>0</v>
      </c>
      <c r="DI158" s="228">
        <f t="shared" si="88"/>
        <v>49</v>
      </c>
      <c r="DJ158" s="228">
        <f t="shared" si="88"/>
        <v>0</v>
      </c>
      <c r="DK158" s="228">
        <f t="shared" si="88"/>
        <v>2</v>
      </c>
      <c r="DL158" s="228">
        <f t="shared" si="88"/>
        <v>42</v>
      </c>
      <c r="DM158" s="228">
        <f t="shared" si="88"/>
        <v>52</v>
      </c>
      <c r="DN158" s="228">
        <f t="shared" si="88"/>
        <v>26</v>
      </c>
      <c r="DO158" s="228">
        <f t="shared" si="88"/>
        <v>0</v>
      </c>
      <c r="DP158" s="232">
        <f t="shared" si="88"/>
        <v>14957</v>
      </c>
      <c r="DQ158" s="228">
        <f t="shared" si="17"/>
        <v>3</v>
      </c>
      <c r="DR158" s="228">
        <f t="shared" si="18"/>
        <v>158</v>
      </c>
      <c r="DS158" s="230">
        <f>SUM(X158:Y158)+(1-TRP!$AK$253)*AC158</f>
        <v>1063.5</v>
      </c>
      <c r="DT158" s="228">
        <f t="shared" si="19"/>
        <v>37</v>
      </c>
      <c r="DU158" s="228">
        <f t="shared" si="20"/>
        <v>140</v>
      </c>
      <c r="DV158" s="228">
        <f t="shared" si="21"/>
        <v>140</v>
      </c>
      <c r="DW158" s="228">
        <f t="shared" si="22"/>
        <v>11</v>
      </c>
      <c r="DX158" s="228">
        <f t="shared" si="23"/>
        <v>162</v>
      </c>
      <c r="DY158" s="228">
        <f t="shared" si="24"/>
        <v>284</v>
      </c>
      <c r="DZ158" s="228">
        <f t="shared" si="25"/>
        <v>152</v>
      </c>
      <c r="EA158" s="228">
        <f t="shared" si="26"/>
        <v>131</v>
      </c>
      <c r="EB158" s="230">
        <f>TRP!$AK$253*$AC158+SUM(M158:W158,Z158:AB158,AD158:AR158,AU158:AX158,BC158:BE158,BI158:BN158,BQ158:BR158,BV158)</f>
        <v>9433.5</v>
      </c>
      <c r="EC158" s="228">
        <f t="shared" si="27"/>
        <v>1076</v>
      </c>
      <c r="ED158" s="230">
        <f>CB158+$CI158*TRP!$AV$248</f>
        <v>2.9921360080487855</v>
      </c>
      <c r="EE158" s="228">
        <f t="shared" si="28"/>
        <v>5</v>
      </c>
      <c r="EF158" s="230">
        <f>CD158+$CI158*TRP!$AV$249</f>
        <v>31.18226509953919</v>
      </c>
      <c r="EG158" s="230">
        <f>CE158+$CI158*TRP!$AV$250</f>
        <v>22.470191041326288</v>
      </c>
      <c r="EH158" s="230">
        <f>CF158+$CI158*TRP!$AV$251</f>
        <v>11.355407851085737</v>
      </c>
      <c r="EI158" s="228">
        <f t="shared" si="29"/>
        <v>1749</v>
      </c>
      <c r="EJ158" s="228">
        <f t="shared" si="30"/>
        <v>78</v>
      </c>
      <c r="EK158" s="228">
        <f t="shared" si="31"/>
        <v>0</v>
      </c>
      <c r="EL158" s="230">
        <f>BS158+$BP158*TRP!$AN$246</f>
        <v>124</v>
      </c>
      <c r="EM158" s="228">
        <f t="shared" si="32"/>
        <v>135</v>
      </c>
      <c r="EN158" s="230">
        <f>BU158+$BP158*TRP!$AN$247</f>
        <v>7</v>
      </c>
    </row>
    <row r="159" spans="1:144" s="228" customFormat="1" ht="10.5" x14ac:dyDescent="0.25">
      <c r="A159" s="228" t="str">
        <f>TRP!C157</f>
        <v xml:space="preserve">GE25 </v>
      </c>
      <c r="B159" s="228" t="str">
        <f>TRP!B157</f>
        <v>FABRICATION DE MACHINES AGRICOLES</v>
      </c>
      <c r="C159" s="233">
        <f>TRP!A157</f>
        <v>12</v>
      </c>
      <c r="D159" s="228">
        <f t="shared" ref="D159:BO159" si="89">D35</f>
        <v>2339</v>
      </c>
      <c r="E159" s="228">
        <f t="shared" si="89"/>
        <v>88</v>
      </c>
      <c r="F159" s="228">
        <f t="shared" si="89"/>
        <v>0</v>
      </c>
      <c r="G159" s="228">
        <f t="shared" si="89"/>
        <v>0</v>
      </c>
      <c r="H159" s="228">
        <f t="shared" si="89"/>
        <v>0</v>
      </c>
      <c r="I159" s="228">
        <f t="shared" si="89"/>
        <v>0</v>
      </c>
      <c r="J159" s="228">
        <f t="shared" si="89"/>
        <v>0</v>
      </c>
      <c r="K159" s="228">
        <f t="shared" si="89"/>
        <v>0</v>
      </c>
      <c r="L159" s="228">
        <f t="shared" si="89"/>
        <v>0</v>
      </c>
      <c r="M159" s="228">
        <f t="shared" si="89"/>
        <v>0</v>
      </c>
      <c r="N159" s="228">
        <f t="shared" si="89"/>
        <v>0</v>
      </c>
      <c r="O159" s="228">
        <f t="shared" si="89"/>
        <v>0</v>
      </c>
      <c r="P159" s="228">
        <f t="shared" si="89"/>
        <v>0</v>
      </c>
      <c r="Q159" s="228">
        <f t="shared" si="89"/>
        <v>0</v>
      </c>
      <c r="R159" s="228">
        <f t="shared" si="89"/>
        <v>0</v>
      </c>
      <c r="S159" s="228">
        <f t="shared" si="89"/>
        <v>0</v>
      </c>
      <c r="T159" s="228">
        <f t="shared" si="89"/>
        <v>0</v>
      </c>
      <c r="U159" s="228">
        <f t="shared" si="89"/>
        <v>0</v>
      </c>
      <c r="V159" s="228">
        <f t="shared" si="89"/>
        <v>0</v>
      </c>
      <c r="W159" s="228">
        <f t="shared" si="89"/>
        <v>0</v>
      </c>
      <c r="X159" s="228">
        <f t="shared" si="89"/>
        <v>300</v>
      </c>
      <c r="Y159" s="228">
        <f t="shared" si="89"/>
        <v>47</v>
      </c>
      <c r="Z159" s="228">
        <f t="shared" si="89"/>
        <v>5</v>
      </c>
      <c r="AA159" s="228">
        <f t="shared" si="89"/>
        <v>0</v>
      </c>
      <c r="AB159" s="228">
        <f t="shared" si="89"/>
        <v>5</v>
      </c>
      <c r="AC159" s="228">
        <f t="shared" si="89"/>
        <v>0</v>
      </c>
      <c r="AD159" s="228">
        <f t="shared" si="89"/>
        <v>0</v>
      </c>
      <c r="AE159" s="228">
        <f t="shared" si="89"/>
        <v>0</v>
      </c>
      <c r="AF159" s="228">
        <f t="shared" si="89"/>
        <v>32</v>
      </c>
      <c r="AG159" s="228">
        <f t="shared" si="89"/>
        <v>15</v>
      </c>
      <c r="AH159" s="228">
        <f t="shared" si="89"/>
        <v>153</v>
      </c>
      <c r="AI159" s="228">
        <f t="shared" si="89"/>
        <v>0</v>
      </c>
      <c r="AJ159" s="228">
        <f t="shared" si="89"/>
        <v>25</v>
      </c>
      <c r="AK159" s="228">
        <f t="shared" si="89"/>
        <v>0</v>
      </c>
      <c r="AL159" s="228">
        <f t="shared" si="89"/>
        <v>0</v>
      </c>
      <c r="AM159" s="228">
        <f t="shared" si="89"/>
        <v>0</v>
      </c>
      <c r="AN159" s="228">
        <f t="shared" si="89"/>
        <v>0</v>
      </c>
      <c r="AO159" s="228">
        <f t="shared" si="89"/>
        <v>0</v>
      </c>
      <c r="AP159" s="228">
        <f t="shared" si="89"/>
        <v>0</v>
      </c>
      <c r="AQ159" s="228">
        <f t="shared" si="89"/>
        <v>0</v>
      </c>
      <c r="AR159" s="228">
        <f t="shared" si="89"/>
        <v>0</v>
      </c>
      <c r="AS159" s="228">
        <f t="shared" si="89"/>
        <v>0</v>
      </c>
      <c r="AT159" s="228">
        <f t="shared" si="89"/>
        <v>0</v>
      </c>
      <c r="AU159" s="228">
        <f t="shared" si="89"/>
        <v>0</v>
      </c>
      <c r="AV159" s="228">
        <f t="shared" si="89"/>
        <v>0</v>
      </c>
      <c r="AW159" s="228">
        <f t="shared" si="89"/>
        <v>0</v>
      </c>
      <c r="AX159" s="228">
        <f t="shared" si="89"/>
        <v>0</v>
      </c>
      <c r="AY159" s="228">
        <f t="shared" si="89"/>
        <v>0</v>
      </c>
      <c r="AZ159" s="228">
        <f t="shared" si="89"/>
        <v>0</v>
      </c>
      <c r="BA159" s="228">
        <f t="shared" si="89"/>
        <v>0</v>
      </c>
      <c r="BB159" s="228">
        <f t="shared" si="89"/>
        <v>0</v>
      </c>
      <c r="BC159" s="228">
        <f t="shared" si="89"/>
        <v>0</v>
      </c>
      <c r="BD159" s="228">
        <f t="shared" si="89"/>
        <v>0</v>
      </c>
      <c r="BE159" s="228">
        <f t="shared" si="89"/>
        <v>0</v>
      </c>
      <c r="BF159" s="228">
        <f t="shared" si="89"/>
        <v>0</v>
      </c>
      <c r="BG159" s="228">
        <f t="shared" si="89"/>
        <v>0</v>
      </c>
      <c r="BH159" s="228">
        <f t="shared" si="89"/>
        <v>0</v>
      </c>
      <c r="BI159" s="228">
        <f t="shared" si="89"/>
        <v>0</v>
      </c>
      <c r="BJ159" s="228">
        <f t="shared" si="89"/>
        <v>0</v>
      </c>
      <c r="BK159" s="228">
        <f t="shared" si="89"/>
        <v>0</v>
      </c>
      <c r="BL159" s="228">
        <f t="shared" si="89"/>
        <v>0</v>
      </c>
      <c r="BM159" s="228">
        <f t="shared" si="89"/>
        <v>0</v>
      </c>
      <c r="BN159" s="228">
        <f t="shared" si="89"/>
        <v>0</v>
      </c>
      <c r="BO159" s="228">
        <f t="shared" si="89"/>
        <v>0</v>
      </c>
      <c r="BP159" s="228">
        <f t="shared" ref="BP159:DP159" si="90">BP35</f>
        <v>0</v>
      </c>
      <c r="BQ159" s="228">
        <f t="shared" si="90"/>
        <v>0</v>
      </c>
      <c r="BR159" s="228">
        <f t="shared" si="90"/>
        <v>0</v>
      </c>
      <c r="BS159" s="228">
        <f t="shared" si="90"/>
        <v>0</v>
      </c>
      <c r="BT159" s="228">
        <f t="shared" si="90"/>
        <v>0</v>
      </c>
      <c r="BU159" s="228">
        <f t="shared" si="90"/>
        <v>0</v>
      </c>
      <c r="BV159" s="228">
        <f t="shared" si="90"/>
        <v>0</v>
      </c>
      <c r="BW159" s="228">
        <f t="shared" si="90"/>
        <v>143</v>
      </c>
      <c r="BX159" s="228">
        <f t="shared" si="90"/>
        <v>60</v>
      </c>
      <c r="BY159" s="228">
        <f t="shared" si="90"/>
        <v>15</v>
      </c>
      <c r="BZ159" s="228">
        <f t="shared" si="90"/>
        <v>23</v>
      </c>
      <c r="CA159" s="228">
        <f t="shared" si="90"/>
        <v>12</v>
      </c>
      <c r="CB159" s="228">
        <f t="shared" si="90"/>
        <v>0</v>
      </c>
      <c r="CC159" s="228">
        <f t="shared" si="90"/>
        <v>0</v>
      </c>
      <c r="CD159" s="228">
        <f t="shared" si="90"/>
        <v>0</v>
      </c>
      <c r="CE159" s="228">
        <f t="shared" si="90"/>
        <v>0</v>
      </c>
      <c r="CF159" s="228">
        <f t="shared" si="90"/>
        <v>0</v>
      </c>
      <c r="CG159" s="228">
        <f t="shared" si="90"/>
        <v>0</v>
      </c>
      <c r="CH159" s="228">
        <f t="shared" si="90"/>
        <v>0</v>
      </c>
      <c r="CI159" s="228">
        <f t="shared" si="90"/>
        <v>0</v>
      </c>
      <c r="CJ159" s="228">
        <f t="shared" si="90"/>
        <v>0</v>
      </c>
      <c r="CK159" s="228">
        <f t="shared" si="90"/>
        <v>0</v>
      </c>
      <c r="CL159" s="228">
        <f t="shared" si="90"/>
        <v>0</v>
      </c>
      <c r="CM159" s="228">
        <f t="shared" si="90"/>
        <v>0</v>
      </c>
      <c r="CN159" s="228">
        <f t="shared" si="90"/>
        <v>0</v>
      </c>
      <c r="CO159" s="228">
        <f t="shared" si="90"/>
        <v>0</v>
      </c>
      <c r="CP159" s="228">
        <f t="shared" si="90"/>
        <v>0</v>
      </c>
      <c r="CQ159" s="228">
        <f t="shared" si="90"/>
        <v>0</v>
      </c>
      <c r="CR159" s="228">
        <f t="shared" si="90"/>
        <v>0</v>
      </c>
      <c r="CS159" s="228">
        <f t="shared" si="90"/>
        <v>0</v>
      </c>
      <c r="CT159" s="228">
        <f t="shared" si="90"/>
        <v>0</v>
      </c>
      <c r="CU159" s="228">
        <f t="shared" si="90"/>
        <v>0</v>
      </c>
      <c r="CV159" s="228">
        <f t="shared" si="90"/>
        <v>0</v>
      </c>
      <c r="CW159" s="228">
        <f t="shared" si="90"/>
        <v>0</v>
      </c>
      <c r="CX159" s="228">
        <f t="shared" si="90"/>
        <v>0</v>
      </c>
      <c r="CY159" s="228">
        <f t="shared" si="90"/>
        <v>45</v>
      </c>
      <c r="CZ159" s="228">
        <f t="shared" si="90"/>
        <v>0</v>
      </c>
      <c r="DA159" s="228">
        <f t="shared" si="90"/>
        <v>0</v>
      </c>
      <c r="DB159" s="228">
        <f t="shared" si="90"/>
        <v>0</v>
      </c>
      <c r="DC159" s="228">
        <f t="shared" si="90"/>
        <v>0</v>
      </c>
      <c r="DD159" s="228">
        <f t="shared" si="90"/>
        <v>18</v>
      </c>
      <c r="DE159" s="228">
        <f t="shared" si="90"/>
        <v>0</v>
      </c>
      <c r="DF159" s="228">
        <f t="shared" si="90"/>
        <v>0</v>
      </c>
      <c r="DG159" s="228">
        <f t="shared" si="90"/>
        <v>0</v>
      </c>
      <c r="DH159" s="228">
        <f t="shared" si="90"/>
        <v>15</v>
      </c>
      <c r="DI159" s="228">
        <f t="shared" si="90"/>
        <v>0</v>
      </c>
      <c r="DJ159" s="228">
        <f t="shared" si="90"/>
        <v>0</v>
      </c>
      <c r="DK159" s="228">
        <f t="shared" si="90"/>
        <v>0</v>
      </c>
      <c r="DL159" s="228">
        <f t="shared" si="90"/>
        <v>0</v>
      </c>
      <c r="DM159" s="228">
        <f t="shared" si="90"/>
        <v>1</v>
      </c>
      <c r="DN159" s="228">
        <f t="shared" si="90"/>
        <v>293</v>
      </c>
      <c r="DO159" s="228">
        <f t="shared" si="90"/>
        <v>0</v>
      </c>
      <c r="DP159" s="232">
        <f t="shared" si="90"/>
        <v>3634</v>
      </c>
      <c r="DQ159" s="228">
        <f t="shared" si="17"/>
        <v>2427</v>
      </c>
      <c r="DR159" s="228">
        <f t="shared" si="18"/>
        <v>0</v>
      </c>
      <c r="DS159" s="230">
        <f>SUM(X159:Y159)+(1-TRP!$AK$253)*AC159</f>
        <v>347</v>
      </c>
      <c r="DT159" s="228">
        <f t="shared" si="19"/>
        <v>0</v>
      </c>
      <c r="DU159" s="228">
        <f t="shared" si="20"/>
        <v>0</v>
      </c>
      <c r="DV159" s="228">
        <f t="shared" si="21"/>
        <v>0</v>
      </c>
      <c r="DW159" s="228">
        <f t="shared" si="22"/>
        <v>0</v>
      </c>
      <c r="DX159" s="228">
        <f t="shared" si="23"/>
        <v>0</v>
      </c>
      <c r="DY159" s="228">
        <f t="shared" si="24"/>
        <v>0</v>
      </c>
      <c r="DZ159" s="228">
        <f t="shared" si="25"/>
        <v>0</v>
      </c>
      <c r="EA159" s="228">
        <f t="shared" si="26"/>
        <v>0</v>
      </c>
      <c r="EB159" s="230">
        <f>TRP!$AK$253*$AC159+SUM(M159:W159,Z159:AB159,AD159:AR159,AU159:AX159,BC159:BE159,BI159:BN159,BQ159:BR159,BV159)</f>
        <v>235</v>
      </c>
      <c r="EC159" s="228">
        <f t="shared" si="27"/>
        <v>203</v>
      </c>
      <c r="ED159" s="230">
        <f>CB159+$CI159*TRP!$AV$248</f>
        <v>0</v>
      </c>
      <c r="EE159" s="228">
        <f t="shared" si="28"/>
        <v>0</v>
      </c>
      <c r="EF159" s="230">
        <f>CD159+$CI159*TRP!$AV$249</f>
        <v>0</v>
      </c>
      <c r="EG159" s="230">
        <f>CE159+$CI159*TRP!$AV$250</f>
        <v>0</v>
      </c>
      <c r="EH159" s="230">
        <f>CF159+$CI159*TRP!$AV$251</f>
        <v>0</v>
      </c>
      <c r="EI159" s="228">
        <f t="shared" si="29"/>
        <v>113</v>
      </c>
      <c r="EJ159" s="228">
        <f t="shared" si="30"/>
        <v>309</v>
      </c>
      <c r="EK159" s="228">
        <f t="shared" si="31"/>
        <v>0</v>
      </c>
      <c r="EL159" s="230">
        <f>BS159+$BP159*TRP!$AN$246</f>
        <v>0</v>
      </c>
      <c r="EM159" s="228">
        <f t="shared" si="32"/>
        <v>0</v>
      </c>
      <c r="EN159" s="230">
        <f>BU159+$BP159*TRP!$AN$247</f>
        <v>0</v>
      </c>
    </row>
    <row r="160" spans="1:144" s="228" customFormat="1" ht="10.5" x14ac:dyDescent="0.25">
      <c r="A160" s="228" t="str">
        <f>TRP!C158</f>
        <v xml:space="preserve">GE26 </v>
      </c>
      <c r="B160" s="228" t="str">
        <f>TRP!B158</f>
        <v>FABRICATION DE MACHINES OUTILS</v>
      </c>
      <c r="C160" s="233">
        <f>TRP!A158</f>
        <v>12</v>
      </c>
      <c r="D160" s="228">
        <f t="shared" ref="D160:BO160" si="91">D36</f>
        <v>0</v>
      </c>
      <c r="E160" s="228">
        <f t="shared" si="91"/>
        <v>3</v>
      </c>
      <c r="F160" s="228">
        <f t="shared" si="91"/>
        <v>0</v>
      </c>
      <c r="G160" s="228">
        <f t="shared" si="91"/>
        <v>6</v>
      </c>
      <c r="H160" s="228">
        <f t="shared" si="91"/>
        <v>5</v>
      </c>
      <c r="I160" s="228">
        <f t="shared" si="91"/>
        <v>3</v>
      </c>
      <c r="J160" s="228">
        <f t="shared" si="91"/>
        <v>4</v>
      </c>
      <c r="K160" s="228">
        <f t="shared" si="91"/>
        <v>3</v>
      </c>
      <c r="L160" s="228">
        <f t="shared" si="91"/>
        <v>0</v>
      </c>
      <c r="M160" s="228">
        <f t="shared" si="91"/>
        <v>2</v>
      </c>
      <c r="N160" s="228">
        <f t="shared" si="91"/>
        <v>1</v>
      </c>
      <c r="O160" s="228">
        <f t="shared" si="91"/>
        <v>5</v>
      </c>
      <c r="P160" s="228">
        <f t="shared" si="91"/>
        <v>6</v>
      </c>
      <c r="Q160" s="228">
        <f t="shared" si="91"/>
        <v>3</v>
      </c>
      <c r="R160" s="228">
        <f t="shared" si="91"/>
        <v>23</v>
      </c>
      <c r="S160" s="228">
        <f t="shared" si="91"/>
        <v>3</v>
      </c>
      <c r="T160" s="228">
        <f t="shared" si="91"/>
        <v>5</v>
      </c>
      <c r="U160" s="228">
        <f t="shared" si="91"/>
        <v>4</v>
      </c>
      <c r="V160" s="228">
        <f t="shared" si="91"/>
        <v>1</v>
      </c>
      <c r="W160" s="228">
        <f t="shared" si="91"/>
        <v>0</v>
      </c>
      <c r="X160" s="228">
        <f t="shared" si="91"/>
        <v>93</v>
      </c>
      <c r="Y160" s="228">
        <f t="shared" si="91"/>
        <v>37</v>
      </c>
      <c r="Z160" s="228">
        <f t="shared" si="91"/>
        <v>11</v>
      </c>
      <c r="AA160" s="228">
        <f t="shared" si="91"/>
        <v>11</v>
      </c>
      <c r="AB160" s="228">
        <f t="shared" si="91"/>
        <v>179</v>
      </c>
      <c r="AC160" s="228">
        <f t="shared" si="91"/>
        <v>5</v>
      </c>
      <c r="AD160" s="228">
        <f t="shared" si="91"/>
        <v>15</v>
      </c>
      <c r="AE160" s="228">
        <f t="shared" si="91"/>
        <v>28</v>
      </c>
      <c r="AF160" s="228">
        <f t="shared" si="91"/>
        <v>30</v>
      </c>
      <c r="AG160" s="228">
        <f t="shared" si="91"/>
        <v>39</v>
      </c>
      <c r="AH160" s="228">
        <f t="shared" si="91"/>
        <v>29</v>
      </c>
      <c r="AI160" s="228">
        <f t="shared" si="91"/>
        <v>58</v>
      </c>
      <c r="AJ160" s="228">
        <f t="shared" si="91"/>
        <v>50</v>
      </c>
      <c r="AK160" s="228">
        <f t="shared" si="91"/>
        <v>24</v>
      </c>
      <c r="AL160" s="228">
        <f t="shared" si="91"/>
        <v>1</v>
      </c>
      <c r="AM160" s="228">
        <f t="shared" si="91"/>
        <v>2</v>
      </c>
      <c r="AN160" s="228">
        <f t="shared" si="91"/>
        <v>3</v>
      </c>
      <c r="AO160" s="228">
        <f t="shared" si="91"/>
        <v>0</v>
      </c>
      <c r="AP160" s="228">
        <f t="shared" si="91"/>
        <v>1</v>
      </c>
      <c r="AQ160" s="228">
        <f t="shared" si="91"/>
        <v>0</v>
      </c>
      <c r="AR160" s="228">
        <f t="shared" si="91"/>
        <v>22</v>
      </c>
      <c r="AS160" s="228">
        <f t="shared" si="91"/>
        <v>5</v>
      </c>
      <c r="AT160" s="228">
        <f t="shared" si="91"/>
        <v>6</v>
      </c>
      <c r="AU160" s="228">
        <f t="shared" si="91"/>
        <v>1</v>
      </c>
      <c r="AV160" s="228">
        <f t="shared" si="91"/>
        <v>1</v>
      </c>
      <c r="AW160" s="228">
        <f t="shared" si="91"/>
        <v>1</v>
      </c>
      <c r="AX160" s="228">
        <f t="shared" si="91"/>
        <v>2</v>
      </c>
      <c r="AY160" s="228">
        <f t="shared" si="91"/>
        <v>4</v>
      </c>
      <c r="AZ160" s="228">
        <f t="shared" si="91"/>
        <v>3</v>
      </c>
      <c r="BA160" s="228">
        <f t="shared" si="91"/>
        <v>4</v>
      </c>
      <c r="BB160" s="228">
        <f t="shared" si="91"/>
        <v>25</v>
      </c>
      <c r="BC160" s="228">
        <f t="shared" si="91"/>
        <v>9</v>
      </c>
      <c r="BD160" s="228">
        <f t="shared" si="91"/>
        <v>0</v>
      </c>
      <c r="BE160" s="228">
        <f t="shared" si="91"/>
        <v>7</v>
      </c>
      <c r="BF160" s="228">
        <f t="shared" si="91"/>
        <v>40</v>
      </c>
      <c r="BG160" s="228">
        <f t="shared" si="91"/>
        <v>25</v>
      </c>
      <c r="BH160" s="228">
        <f t="shared" si="91"/>
        <v>14</v>
      </c>
      <c r="BI160" s="228">
        <f t="shared" si="91"/>
        <v>5</v>
      </c>
      <c r="BJ160" s="228">
        <f t="shared" si="91"/>
        <v>37</v>
      </c>
      <c r="BK160" s="228">
        <f t="shared" si="91"/>
        <v>22</v>
      </c>
      <c r="BL160" s="228">
        <f t="shared" si="91"/>
        <v>0</v>
      </c>
      <c r="BM160" s="228">
        <f t="shared" si="91"/>
        <v>9</v>
      </c>
      <c r="BN160" s="228">
        <f t="shared" si="91"/>
        <v>2</v>
      </c>
      <c r="BO160" s="228">
        <f t="shared" si="91"/>
        <v>0</v>
      </c>
      <c r="BP160" s="228">
        <f t="shared" ref="BP160:DP160" si="92">BP36</f>
        <v>0</v>
      </c>
      <c r="BQ160" s="228">
        <f t="shared" si="92"/>
        <v>0</v>
      </c>
      <c r="BR160" s="228">
        <f t="shared" si="92"/>
        <v>5</v>
      </c>
      <c r="BS160" s="228">
        <f t="shared" si="92"/>
        <v>7</v>
      </c>
      <c r="BT160" s="228">
        <f t="shared" si="92"/>
        <v>5</v>
      </c>
      <c r="BU160" s="228">
        <f t="shared" si="92"/>
        <v>1</v>
      </c>
      <c r="BV160" s="228">
        <f t="shared" si="92"/>
        <v>5</v>
      </c>
      <c r="BW160" s="228">
        <f t="shared" si="92"/>
        <v>76</v>
      </c>
      <c r="BX160" s="228">
        <f t="shared" si="92"/>
        <v>24</v>
      </c>
      <c r="BY160" s="228">
        <f t="shared" si="92"/>
        <v>55</v>
      </c>
      <c r="BZ160" s="228">
        <f t="shared" si="92"/>
        <v>9</v>
      </c>
      <c r="CA160" s="228">
        <f t="shared" si="92"/>
        <v>31</v>
      </c>
      <c r="CB160" s="228">
        <f t="shared" si="92"/>
        <v>0</v>
      </c>
      <c r="CC160" s="228">
        <f t="shared" si="92"/>
        <v>1</v>
      </c>
      <c r="CD160" s="228">
        <f t="shared" si="92"/>
        <v>1</v>
      </c>
      <c r="CE160" s="228">
        <f t="shared" si="92"/>
        <v>0</v>
      </c>
      <c r="CF160" s="228">
        <f t="shared" si="92"/>
        <v>0</v>
      </c>
      <c r="CG160" s="228">
        <f t="shared" si="92"/>
        <v>0</v>
      </c>
      <c r="CH160" s="228">
        <f t="shared" si="92"/>
        <v>1</v>
      </c>
      <c r="CI160" s="228">
        <f t="shared" si="92"/>
        <v>4</v>
      </c>
      <c r="CJ160" s="228">
        <f t="shared" si="92"/>
        <v>0</v>
      </c>
      <c r="CK160" s="228">
        <f t="shared" si="92"/>
        <v>0</v>
      </c>
      <c r="CL160" s="228">
        <f t="shared" si="92"/>
        <v>0</v>
      </c>
      <c r="CM160" s="228">
        <f t="shared" si="92"/>
        <v>0</v>
      </c>
      <c r="CN160" s="228">
        <f t="shared" si="92"/>
        <v>0</v>
      </c>
      <c r="CO160" s="228">
        <f t="shared" si="92"/>
        <v>0</v>
      </c>
      <c r="CP160" s="228">
        <f t="shared" si="92"/>
        <v>0</v>
      </c>
      <c r="CQ160" s="228">
        <f t="shared" si="92"/>
        <v>0</v>
      </c>
      <c r="CR160" s="228">
        <f t="shared" si="92"/>
        <v>0</v>
      </c>
      <c r="CS160" s="228">
        <f t="shared" si="92"/>
        <v>0</v>
      </c>
      <c r="CT160" s="228">
        <f t="shared" si="92"/>
        <v>0</v>
      </c>
      <c r="CU160" s="228">
        <f t="shared" si="92"/>
        <v>0</v>
      </c>
      <c r="CV160" s="228">
        <f t="shared" si="92"/>
        <v>0</v>
      </c>
      <c r="CW160" s="228">
        <f t="shared" si="92"/>
        <v>3</v>
      </c>
      <c r="CX160" s="228">
        <f t="shared" si="92"/>
        <v>0</v>
      </c>
      <c r="CY160" s="228">
        <f t="shared" si="92"/>
        <v>0</v>
      </c>
      <c r="CZ160" s="228">
        <f t="shared" si="92"/>
        <v>0</v>
      </c>
      <c r="DA160" s="228">
        <f t="shared" si="92"/>
        <v>1</v>
      </c>
      <c r="DB160" s="228">
        <f t="shared" si="92"/>
        <v>1</v>
      </c>
      <c r="DC160" s="228">
        <f t="shared" si="92"/>
        <v>1</v>
      </c>
      <c r="DD160" s="228">
        <f t="shared" si="92"/>
        <v>0</v>
      </c>
      <c r="DE160" s="228">
        <f t="shared" si="92"/>
        <v>1</v>
      </c>
      <c r="DF160" s="228">
        <f t="shared" si="92"/>
        <v>0</v>
      </c>
      <c r="DG160" s="228">
        <f t="shared" si="92"/>
        <v>0</v>
      </c>
      <c r="DH160" s="228">
        <f t="shared" si="92"/>
        <v>0</v>
      </c>
      <c r="DI160" s="228">
        <f t="shared" si="92"/>
        <v>0</v>
      </c>
      <c r="DJ160" s="228">
        <f t="shared" si="92"/>
        <v>0</v>
      </c>
      <c r="DK160" s="228">
        <f t="shared" si="92"/>
        <v>0</v>
      </c>
      <c r="DL160" s="228">
        <f t="shared" si="92"/>
        <v>13</v>
      </c>
      <c r="DM160" s="228">
        <f t="shared" si="92"/>
        <v>52</v>
      </c>
      <c r="DN160" s="228">
        <f t="shared" si="92"/>
        <v>0</v>
      </c>
      <c r="DO160" s="228">
        <f t="shared" si="92"/>
        <v>0</v>
      </c>
      <c r="DP160" s="232">
        <f t="shared" si="92"/>
        <v>1234</v>
      </c>
      <c r="DQ160" s="228">
        <f t="shared" si="17"/>
        <v>3</v>
      </c>
      <c r="DR160" s="228">
        <f t="shared" si="18"/>
        <v>21</v>
      </c>
      <c r="DS160" s="230">
        <f>SUM(X160:Y160)+(1-TRP!$AK$253)*AC160</f>
        <v>133.5</v>
      </c>
      <c r="DT160" s="228">
        <f t="shared" si="19"/>
        <v>5</v>
      </c>
      <c r="DU160" s="228">
        <f t="shared" si="20"/>
        <v>6</v>
      </c>
      <c r="DV160" s="228">
        <f t="shared" si="21"/>
        <v>7</v>
      </c>
      <c r="DW160" s="228">
        <f t="shared" si="22"/>
        <v>4</v>
      </c>
      <c r="DX160" s="228">
        <f t="shared" si="23"/>
        <v>25</v>
      </c>
      <c r="DY160" s="228">
        <f t="shared" si="24"/>
        <v>40</v>
      </c>
      <c r="DZ160" s="228">
        <f t="shared" si="25"/>
        <v>25</v>
      </c>
      <c r="EA160" s="228">
        <f t="shared" si="26"/>
        <v>14</v>
      </c>
      <c r="EB160" s="230">
        <f>TRP!$AK$253*$AC160+SUM(M160:W160,Z160:AB160,AD160:AR160,AU160:AX160,BC160:BE160,BI160:BN160,BQ160:BR160,BV160)</f>
        <v>663.5</v>
      </c>
      <c r="EC160" s="228">
        <f t="shared" si="27"/>
        <v>100</v>
      </c>
      <c r="ED160" s="230">
        <f>CB160+$CI160*TRP!$AV$248</f>
        <v>0.12401700100609819</v>
      </c>
      <c r="EE160" s="228">
        <f t="shared" si="28"/>
        <v>1</v>
      </c>
      <c r="EF160" s="230">
        <f>CD160+$CI160*TRP!$AV$249</f>
        <v>3.7727831374423988</v>
      </c>
      <c r="EG160" s="230">
        <f>CE160+$CI160*TRP!$AV$250</f>
        <v>0.80877388016578622</v>
      </c>
      <c r="EH160" s="230">
        <f>CF160+$CI160*TRP!$AV$251</f>
        <v>0.29442598138571696</v>
      </c>
      <c r="EI160" s="228">
        <f t="shared" si="29"/>
        <v>116</v>
      </c>
      <c r="EJ160" s="228">
        <f t="shared" si="30"/>
        <v>52</v>
      </c>
      <c r="EK160" s="228">
        <f t="shared" si="31"/>
        <v>0</v>
      </c>
      <c r="EL160" s="230">
        <f>BS160+$BP160*TRP!$AN$246</f>
        <v>7</v>
      </c>
      <c r="EM160" s="228">
        <f t="shared" si="32"/>
        <v>5</v>
      </c>
      <c r="EN160" s="230">
        <f>BU160+$BP160*TRP!$AN$247</f>
        <v>1</v>
      </c>
    </row>
    <row r="161" spans="1:144" s="228" customFormat="1" ht="10.5" x14ac:dyDescent="0.25">
      <c r="A161" s="228" t="str">
        <f>TRP!C159</f>
        <v xml:space="preserve">GE27 </v>
      </c>
      <c r="B161" s="228" t="str">
        <f>TRP!B159</f>
        <v>FABRICATION D AUTRES MACHINES A USAGE SP</v>
      </c>
      <c r="C161" s="233">
        <f>TRP!A159</f>
        <v>12</v>
      </c>
      <c r="D161" s="228">
        <f t="shared" ref="D161:BO161" si="93">D37</f>
        <v>0</v>
      </c>
      <c r="E161" s="228">
        <f t="shared" si="93"/>
        <v>14</v>
      </c>
      <c r="F161" s="228">
        <f t="shared" si="93"/>
        <v>0</v>
      </c>
      <c r="G161" s="228">
        <f t="shared" si="93"/>
        <v>50</v>
      </c>
      <c r="H161" s="228">
        <f t="shared" si="93"/>
        <v>35</v>
      </c>
      <c r="I161" s="228">
        <f t="shared" si="93"/>
        <v>136</v>
      </c>
      <c r="J161" s="228">
        <f t="shared" si="93"/>
        <v>12</v>
      </c>
      <c r="K161" s="228">
        <f t="shared" si="93"/>
        <v>114</v>
      </c>
      <c r="L161" s="228">
        <f t="shared" si="93"/>
        <v>0</v>
      </c>
      <c r="M161" s="228">
        <f t="shared" si="93"/>
        <v>44</v>
      </c>
      <c r="N161" s="228">
        <f t="shared" si="93"/>
        <v>20</v>
      </c>
      <c r="O161" s="228">
        <f t="shared" si="93"/>
        <v>85</v>
      </c>
      <c r="P161" s="228">
        <f t="shared" si="93"/>
        <v>30</v>
      </c>
      <c r="Q161" s="228">
        <f t="shared" si="93"/>
        <v>22</v>
      </c>
      <c r="R161" s="228">
        <f t="shared" si="93"/>
        <v>63</v>
      </c>
      <c r="S161" s="228">
        <f t="shared" si="93"/>
        <v>1</v>
      </c>
      <c r="T161" s="228">
        <f t="shared" si="93"/>
        <v>16</v>
      </c>
      <c r="U161" s="228">
        <f t="shared" si="93"/>
        <v>10</v>
      </c>
      <c r="V161" s="228">
        <f t="shared" si="93"/>
        <v>4</v>
      </c>
      <c r="W161" s="228">
        <f t="shared" si="93"/>
        <v>0</v>
      </c>
      <c r="X161" s="228">
        <f t="shared" si="93"/>
        <v>260</v>
      </c>
      <c r="Y161" s="228">
        <f t="shared" si="93"/>
        <v>198</v>
      </c>
      <c r="Z161" s="228">
        <f t="shared" si="93"/>
        <v>15</v>
      </c>
      <c r="AA161" s="228">
        <f t="shared" si="93"/>
        <v>17</v>
      </c>
      <c r="AB161" s="228">
        <f t="shared" si="93"/>
        <v>178</v>
      </c>
      <c r="AC161" s="228">
        <f t="shared" si="93"/>
        <v>3</v>
      </c>
      <c r="AD161" s="228">
        <f t="shared" si="93"/>
        <v>39</v>
      </c>
      <c r="AE161" s="228">
        <f t="shared" si="93"/>
        <v>68</v>
      </c>
      <c r="AF161" s="228">
        <f t="shared" si="93"/>
        <v>54</v>
      </c>
      <c r="AG161" s="228">
        <f t="shared" si="93"/>
        <v>57</v>
      </c>
      <c r="AH161" s="228">
        <f t="shared" si="93"/>
        <v>20</v>
      </c>
      <c r="AI161" s="228">
        <f t="shared" si="93"/>
        <v>32</v>
      </c>
      <c r="AJ161" s="228">
        <f t="shared" si="93"/>
        <v>331</v>
      </c>
      <c r="AK161" s="228">
        <f t="shared" si="93"/>
        <v>158</v>
      </c>
      <c r="AL161" s="228">
        <f t="shared" si="93"/>
        <v>3</v>
      </c>
      <c r="AM161" s="228">
        <f t="shared" si="93"/>
        <v>29</v>
      </c>
      <c r="AN161" s="228">
        <f t="shared" si="93"/>
        <v>4</v>
      </c>
      <c r="AO161" s="228">
        <f t="shared" si="93"/>
        <v>1</v>
      </c>
      <c r="AP161" s="228">
        <f t="shared" si="93"/>
        <v>8</v>
      </c>
      <c r="AQ161" s="228">
        <f t="shared" si="93"/>
        <v>0</v>
      </c>
      <c r="AR161" s="228">
        <f t="shared" si="93"/>
        <v>158</v>
      </c>
      <c r="AS161" s="228">
        <f t="shared" si="93"/>
        <v>77</v>
      </c>
      <c r="AT161" s="228">
        <f t="shared" si="93"/>
        <v>109</v>
      </c>
      <c r="AU161" s="228">
        <f t="shared" si="93"/>
        <v>38</v>
      </c>
      <c r="AV161" s="228">
        <f t="shared" si="93"/>
        <v>24</v>
      </c>
      <c r="AW161" s="228">
        <f t="shared" si="93"/>
        <v>15</v>
      </c>
      <c r="AX161" s="228">
        <f t="shared" si="93"/>
        <v>128</v>
      </c>
      <c r="AY161" s="228">
        <f t="shared" si="93"/>
        <v>31</v>
      </c>
      <c r="AZ161" s="228">
        <f t="shared" si="93"/>
        <v>29</v>
      </c>
      <c r="BA161" s="228">
        <f t="shared" si="93"/>
        <v>15</v>
      </c>
      <c r="BB161" s="228">
        <f t="shared" si="93"/>
        <v>29</v>
      </c>
      <c r="BC161" s="228">
        <f t="shared" si="93"/>
        <v>16</v>
      </c>
      <c r="BD161" s="228">
        <f t="shared" si="93"/>
        <v>0</v>
      </c>
      <c r="BE161" s="228">
        <f t="shared" si="93"/>
        <v>15</v>
      </c>
      <c r="BF161" s="228">
        <f t="shared" si="93"/>
        <v>71</v>
      </c>
      <c r="BG161" s="228">
        <f t="shared" si="93"/>
        <v>68</v>
      </c>
      <c r="BH161" s="228">
        <f t="shared" si="93"/>
        <v>47</v>
      </c>
      <c r="BI161" s="228">
        <f t="shared" si="93"/>
        <v>17</v>
      </c>
      <c r="BJ161" s="228">
        <f t="shared" si="93"/>
        <v>52</v>
      </c>
      <c r="BK161" s="228">
        <f t="shared" si="93"/>
        <v>36</v>
      </c>
      <c r="BL161" s="228">
        <f t="shared" si="93"/>
        <v>0</v>
      </c>
      <c r="BM161" s="228">
        <f t="shared" si="93"/>
        <v>21</v>
      </c>
      <c r="BN161" s="228">
        <f t="shared" si="93"/>
        <v>6</v>
      </c>
      <c r="BO161" s="228">
        <f t="shared" si="93"/>
        <v>0</v>
      </c>
      <c r="BP161" s="228">
        <f t="shared" ref="BP161:DP161" si="94">BP37</f>
        <v>0</v>
      </c>
      <c r="BQ161" s="228">
        <f t="shared" si="94"/>
        <v>0</v>
      </c>
      <c r="BR161" s="228">
        <f t="shared" si="94"/>
        <v>16</v>
      </c>
      <c r="BS161" s="228">
        <f t="shared" si="94"/>
        <v>58</v>
      </c>
      <c r="BT161" s="228">
        <f t="shared" si="94"/>
        <v>58</v>
      </c>
      <c r="BU161" s="228">
        <f t="shared" si="94"/>
        <v>15</v>
      </c>
      <c r="BV161" s="228">
        <f t="shared" si="94"/>
        <v>78</v>
      </c>
      <c r="BW161" s="228">
        <f t="shared" si="94"/>
        <v>697</v>
      </c>
      <c r="BX161" s="228">
        <f t="shared" si="94"/>
        <v>185</v>
      </c>
      <c r="BY161" s="228">
        <f t="shared" si="94"/>
        <v>52</v>
      </c>
      <c r="BZ161" s="228">
        <f t="shared" si="94"/>
        <v>103</v>
      </c>
      <c r="CA161" s="228">
        <f t="shared" si="94"/>
        <v>30</v>
      </c>
      <c r="CB161" s="228">
        <f t="shared" si="94"/>
        <v>1</v>
      </c>
      <c r="CC161" s="228">
        <f t="shared" si="94"/>
        <v>5</v>
      </c>
      <c r="CD161" s="228">
        <f t="shared" si="94"/>
        <v>6</v>
      </c>
      <c r="CE161" s="228">
        <f t="shared" si="94"/>
        <v>1</v>
      </c>
      <c r="CF161" s="228">
        <f t="shared" si="94"/>
        <v>1</v>
      </c>
      <c r="CG161" s="228">
        <f t="shared" si="94"/>
        <v>36</v>
      </c>
      <c r="CH161" s="228">
        <f t="shared" si="94"/>
        <v>8</v>
      </c>
      <c r="CI161" s="228">
        <f t="shared" si="94"/>
        <v>10</v>
      </c>
      <c r="CJ161" s="228">
        <f t="shared" si="94"/>
        <v>0</v>
      </c>
      <c r="CK161" s="228">
        <f t="shared" si="94"/>
        <v>0</v>
      </c>
      <c r="CL161" s="228">
        <f t="shared" si="94"/>
        <v>0</v>
      </c>
      <c r="CM161" s="228">
        <f t="shared" si="94"/>
        <v>19</v>
      </c>
      <c r="CN161" s="228">
        <f t="shared" si="94"/>
        <v>6</v>
      </c>
      <c r="CO161" s="228">
        <f t="shared" si="94"/>
        <v>17</v>
      </c>
      <c r="CP161" s="228">
        <f t="shared" si="94"/>
        <v>4</v>
      </c>
      <c r="CQ161" s="228">
        <f t="shared" si="94"/>
        <v>3</v>
      </c>
      <c r="CR161" s="228">
        <f t="shared" si="94"/>
        <v>28</v>
      </c>
      <c r="CS161" s="228">
        <f t="shared" si="94"/>
        <v>1</v>
      </c>
      <c r="CT161" s="228">
        <f t="shared" si="94"/>
        <v>13</v>
      </c>
      <c r="CU161" s="228">
        <f t="shared" si="94"/>
        <v>6</v>
      </c>
      <c r="CV161" s="228">
        <f t="shared" si="94"/>
        <v>5</v>
      </c>
      <c r="CW161" s="228">
        <f t="shared" si="94"/>
        <v>121</v>
      </c>
      <c r="CX161" s="228">
        <f t="shared" si="94"/>
        <v>8</v>
      </c>
      <c r="CY161" s="228">
        <f t="shared" si="94"/>
        <v>47</v>
      </c>
      <c r="CZ161" s="228">
        <f t="shared" si="94"/>
        <v>0</v>
      </c>
      <c r="DA161" s="228">
        <f t="shared" si="94"/>
        <v>35</v>
      </c>
      <c r="DB161" s="228">
        <f t="shared" si="94"/>
        <v>15</v>
      </c>
      <c r="DC161" s="228">
        <f t="shared" si="94"/>
        <v>47</v>
      </c>
      <c r="DD161" s="228">
        <f t="shared" si="94"/>
        <v>4</v>
      </c>
      <c r="DE161" s="228">
        <f t="shared" si="94"/>
        <v>2</v>
      </c>
      <c r="DF161" s="228">
        <f t="shared" si="94"/>
        <v>0</v>
      </c>
      <c r="DG161" s="228">
        <f t="shared" si="94"/>
        <v>8</v>
      </c>
      <c r="DH161" s="228">
        <f t="shared" si="94"/>
        <v>0</v>
      </c>
      <c r="DI161" s="228">
        <f t="shared" si="94"/>
        <v>0</v>
      </c>
      <c r="DJ161" s="228">
        <f t="shared" si="94"/>
        <v>0</v>
      </c>
      <c r="DK161" s="228">
        <f t="shared" si="94"/>
        <v>0</v>
      </c>
      <c r="DL161" s="228">
        <f t="shared" si="94"/>
        <v>7</v>
      </c>
      <c r="DM161" s="228">
        <f t="shared" si="94"/>
        <v>0</v>
      </c>
      <c r="DN161" s="228">
        <f t="shared" si="94"/>
        <v>5</v>
      </c>
      <c r="DO161" s="228">
        <f t="shared" si="94"/>
        <v>0</v>
      </c>
      <c r="DP161" s="232">
        <f t="shared" si="94"/>
        <v>4894</v>
      </c>
      <c r="DQ161" s="228">
        <f t="shared" si="17"/>
        <v>14</v>
      </c>
      <c r="DR161" s="228">
        <f t="shared" si="18"/>
        <v>347</v>
      </c>
      <c r="DS161" s="230">
        <f>SUM(X161:Y161)+(1-TRP!$AK$253)*AC161</f>
        <v>460.1</v>
      </c>
      <c r="DT161" s="228">
        <f t="shared" si="19"/>
        <v>77</v>
      </c>
      <c r="DU161" s="228">
        <f t="shared" si="20"/>
        <v>109</v>
      </c>
      <c r="DV161" s="228">
        <f t="shared" si="21"/>
        <v>60</v>
      </c>
      <c r="DW161" s="228">
        <f t="shared" si="22"/>
        <v>15</v>
      </c>
      <c r="DX161" s="228">
        <f t="shared" si="23"/>
        <v>29</v>
      </c>
      <c r="DY161" s="228">
        <f t="shared" si="24"/>
        <v>71</v>
      </c>
      <c r="DZ161" s="228">
        <f t="shared" si="25"/>
        <v>68</v>
      </c>
      <c r="EA161" s="228">
        <f t="shared" si="26"/>
        <v>47</v>
      </c>
      <c r="EB161" s="230">
        <f>TRP!$AK$253*$AC161+SUM(M161:W161,Z161:AB161,AD161:AR161,AU161:AX161,BC161:BE161,BI161:BN161,BQ161:BR161,BV161)</f>
        <v>1929.9</v>
      </c>
      <c r="EC161" s="228">
        <f t="shared" si="27"/>
        <v>882</v>
      </c>
      <c r="ED161" s="230">
        <f>CB161+$CI161*TRP!$AV$248</f>
        <v>1.3100425025152456</v>
      </c>
      <c r="EE161" s="228">
        <f t="shared" si="28"/>
        <v>5</v>
      </c>
      <c r="EF161" s="230">
        <f>CD161+$CI161*TRP!$AV$249</f>
        <v>12.931957843605996</v>
      </c>
      <c r="EG161" s="230">
        <f>CE161+$CI161*TRP!$AV$250</f>
        <v>3.0219347004144654</v>
      </c>
      <c r="EH161" s="230">
        <f>CF161+$CI161*TRP!$AV$251</f>
        <v>1.7360649534642925</v>
      </c>
      <c r="EI161" s="228">
        <f t="shared" si="29"/>
        <v>625</v>
      </c>
      <c r="EJ161" s="228">
        <f t="shared" si="30"/>
        <v>5</v>
      </c>
      <c r="EK161" s="228">
        <f t="shared" si="31"/>
        <v>0</v>
      </c>
      <c r="EL161" s="230">
        <f>BS161+$BP161*TRP!$AN$246</f>
        <v>58</v>
      </c>
      <c r="EM161" s="228">
        <f t="shared" si="32"/>
        <v>58</v>
      </c>
      <c r="EN161" s="230">
        <f>BU161+$BP161*TRP!$AN$247</f>
        <v>15</v>
      </c>
    </row>
    <row r="162" spans="1:144" s="228" customFormat="1" ht="10.5" x14ac:dyDescent="0.25">
      <c r="A162" s="228" t="str">
        <f>TRP!C160</f>
        <v xml:space="preserve">GE28 </v>
      </c>
      <c r="B162" s="228" t="str">
        <f>TRP!B160</f>
        <v>FABRICATION D ARMES ET MUNITIONS</v>
      </c>
      <c r="C162" s="233">
        <f>TRP!A160</f>
        <v>12</v>
      </c>
      <c r="D162" s="228">
        <f t="shared" ref="D162:BO162" si="95">D38</f>
        <v>0</v>
      </c>
      <c r="E162" s="228">
        <f t="shared" si="95"/>
        <v>0</v>
      </c>
      <c r="F162" s="228">
        <f t="shared" si="95"/>
        <v>0</v>
      </c>
      <c r="G162" s="228">
        <f t="shared" si="95"/>
        <v>0</v>
      </c>
      <c r="H162" s="228">
        <f t="shared" si="95"/>
        <v>0</v>
      </c>
      <c r="I162" s="228">
        <f t="shared" si="95"/>
        <v>0</v>
      </c>
      <c r="J162" s="228">
        <f t="shared" si="95"/>
        <v>0</v>
      </c>
      <c r="K162" s="228">
        <f t="shared" si="95"/>
        <v>0</v>
      </c>
      <c r="L162" s="228">
        <f t="shared" si="95"/>
        <v>0</v>
      </c>
      <c r="M162" s="228">
        <f t="shared" si="95"/>
        <v>0</v>
      </c>
      <c r="N162" s="228">
        <f t="shared" si="95"/>
        <v>0</v>
      </c>
      <c r="O162" s="228">
        <f t="shared" si="95"/>
        <v>0</v>
      </c>
      <c r="P162" s="228">
        <f t="shared" si="95"/>
        <v>0</v>
      </c>
      <c r="Q162" s="228">
        <f t="shared" si="95"/>
        <v>0</v>
      </c>
      <c r="R162" s="228">
        <f t="shared" si="95"/>
        <v>0</v>
      </c>
      <c r="S162" s="228">
        <f t="shared" si="95"/>
        <v>0</v>
      </c>
      <c r="T162" s="228">
        <f t="shared" si="95"/>
        <v>0</v>
      </c>
      <c r="U162" s="228">
        <f t="shared" si="95"/>
        <v>0</v>
      </c>
      <c r="V162" s="228">
        <f t="shared" si="95"/>
        <v>0</v>
      </c>
      <c r="W162" s="228">
        <f t="shared" si="95"/>
        <v>0</v>
      </c>
      <c r="X162" s="228">
        <f t="shared" si="95"/>
        <v>0</v>
      </c>
      <c r="Y162" s="228">
        <f t="shared" si="95"/>
        <v>0</v>
      </c>
      <c r="Z162" s="228">
        <f t="shared" si="95"/>
        <v>38</v>
      </c>
      <c r="AA162" s="228">
        <f t="shared" si="95"/>
        <v>0</v>
      </c>
      <c r="AB162" s="228">
        <f t="shared" si="95"/>
        <v>284</v>
      </c>
      <c r="AC162" s="228">
        <f t="shared" si="95"/>
        <v>0</v>
      </c>
      <c r="AD162" s="228">
        <f t="shared" si="95"/>
        <v>0</v>
      </c>
      <c r="AE162" s="228">
        <f t="shared" si="95"/>
        <v>0</v>
      </c>
      <c r="AF162" s="228">
        <f t="shared" si="95"/>
        <v>0</v>
      </c>
      <c r="AG162" s="228">
        <f t="shared" si="95"/>
        <v>0</v>
      </c>
      <c r="AH162" s="228">
        <f t="shared" si="95"/>
        <v>0</v>
      </c>
      <c r="AI162" s="228">
        <f t="shared" si="95"/>
        <v>0</v>
      </c>
      <c r="AJ162" s="228">
        <f t="shared" si="95"/>
        <v>0</v>
      </c>
      <c r="AK162" s="228">
        <f t="shared" si="95"/>
        <v>500</v>
      </c>
      <c r="AL162" s="228">
        <f t="shared" si="95"/>
        <v>0</v>
      </c>
      <c r="AM162" s="228">
        <f t="shared" si="95"/>
        <v>0</v>
      </c>
      <c r="AN162" s="228">
        <f t="shared" si="95"/>
        <v>0</v>
      </c>
      <c r="AO162" s="228">
        <f t="shared" si="95"/>
        <v>0</v>
      </c>
      <c r="AP162" s="228">
        <f t="shared" si="95"/>
        <v>0</v>
      </c>
      <c r="AQ162" s="228">
        <f t="shared" si="95"/>
        <v>0</v>
      </c>
      <c r="AR162" s="228">
        <f t="shared" si="95"/>
        <v>0</v>
      </c>
      <c r="AS162" s="228">
        <f t="shared" si="95"/>
        <v>0</v>
      </c>
      <c r="AT162" s="228">
        <f t="shared" si="95"/>
        <v>0</v>
      </c>
      <c r="AU162" s="228">
        <f t="shared" si="95"/>
        <v>0</v>
      </c>
      <c r="AV162" s="228">
        <f t="shared" si="95"/>
        <v>0</v>
      </c>
      <c r="AW162" s="228">
        <f t="shared" si="95"/>
        <v>0</v>
      </c>
      <c r="AX162" s="228">
        <f t="shared" si="95"/>
        <v>0</v>
      </c>
      <c r="AY162" s="228">
        <f t="shared" si="95"/>
        <v>0</v>
      </c>
      <c r="AZ162" s="228">
        <f t="shared" si="95"/>
        <v>0</v>
      </c>
      <c r="BA162" s="228">
        <f t="shared" si="95"/>
        <v>0</v>
      </c>
      <c r="BB162" s="228">
        <f t="shared" si="95"/>
        <v>0</v>
      </c>
      <c r="BC162" s="228">
        <f t="shared" si="95"/>
        <v>0</v>
      </c>
      <c r="BD162" s="228">
        <f t="shared" si="95"/>
        <v>0</v>
      </c>
      <c r="BE162" s="228">
        <f t="shared" si="95"/>
        <v>0</v>
      </c>
      <c r="BF162" s="228">
        <f t="shared" si="95"/>
        <v>0</v>
      </c>
      <c r="BG162" s="228">
        <f t="shared" si="95"/>
        <v>120</v>
      </c>
      <c r="BH162" s="228">
        <f t="shared" si="95"/>
        <v>0</v>
      </c>
      <c r="BI162" s="228">
        <f t="shared" si="95"/>
        <v>0</v>
      </c>
      <c r="BJ162" s="228">
        <f t="shared" si="95"/>
        <v>0</v>
      </c>
      <c r="BK162" s="228">
        <f t="shared" si="95"/>
        <v>0</v>
      </c>
      <c r="BL162" s="228">
        <f t="shared" si="95"/>
        <v>0</v>
      </c>
      <c r="BM162" s="228">
        <f t="shared" si="95"/>
        <v>0</v>
      </c>
      <c r="BN162" s="228">
        <f t="shared" si="95"/>
        <v>0</v>
      </c>
      <c r="BO162" s="228">
        <f t="shared" si="95"/>
        <v>0</v>
      </c>
      <c r="BP162" s="228">
        <f t="shared" ref="BP162:DP162" si="96">BP38</f>
        <v>0</v>
      </c>
      <c r="BQ162" s="228">
        <f t="shared" si="96"/>
        <v>0</v>
      </c>
      <c r="BR162" s="228">
        <f t="shared" si="96"/>
        <v>0</v>
      </c>
      <c r="BS162" s="228">
        <f t="shared" si="96"/>
        <v>0</v>
      </c>
      <c r="BT162" s="228">
        <f t="shared" si="96"/>
        <v>0</v>
      </c>
      <c r="BU162" s="228">
        <f t="shared" si="96"/>
        <v>0</v>
      </c>
      <c r="BV162" s="228">
        <f t="shared" si="96"/>
        <v>5</v>
      </c>
      <c r="BW162" s="228">
        <f t="shared" si="96"/>
        <v>0</v>
      </c>
      <c r="BX162" s="228">
        <f t="shared" si="96"/>
        <v>0</v>
      </c>
      <c r="BY162" s="228">
        <f t="shared" si="96"/>
        <v>0</v>
      </c>
      <c r="BZ162" s="228">
        <f t="shared" si="96"/>
        <v>13</v>
      </c>
      <c r="CA162" s="228">
        <f t="shared" si="96"/>
        <v>32</v>
      </c>
      <c r="CB162" s="228">
        <f t="shared" si="96"/>
        <v>0</v>
      </c>
      <c r="CC162" s="228">
        <f t="shared" si="96"/>
        <v>0</v>
      </c>
      <c r="CD162" s="228">
        <f t="shared" si="96"/>
        <v>0</v>
      </c>
      <c r="CE162" s="228">
        <f t="shared" si="96"/>
        <v>0</v>
      </c>
      <c r="CF162" s="228">
        <f t="shared" si="96"/>
        <v>0</v>
      </c>
      <c r="CG162" s="228">
        <f t="shared" si="96"/>
        <v>0</v>
      </c>
      <c r="CH162" s="228">
        <f t="shared" si="96"/>
        <v>0</v>
      </c>
      <c r="CI162" s="228">
        <f t="shared" si="96"/>
        <v>0</v>
      </c>
      <c r="CJ162" s="228">
        <f t="shared" si="96"/>
        <v>0</v>
      </c>
      <c r="CK162" s="228">
        <f t="shared" si="96"/>
        <v>0</v>
      </c>
      <c r="CL162" s="228">
        <f t="shared" si="96"/>
        <v>0</v>
      </c>
      <c r="CM162" s="228">
        <f t="shared" si="96"/>
        <v>0</v>
      </c>
      <c r="CN162" s="228">
        <f t="shared" si="96"/>
        <v>0</v>
      </c>
      <c r="CO162" s="228">
        <f t="shared" si="96"/>
        <v>0</v>
      </c>
      <c r="CP162" s="228">
        <f t="shared" si="96"/>
        <v>0</v>
      </c>
      <c r="CQ162" s="228">
        <f t="shared" si="96"/>
        <v>0</v>
      </c>
      <c r="CR162" s="228">
        <f t="shared" si="96"/>
        <v>0</v>
      </c>
      <c r="CS162" s="228">
        <f t="shared" si="96"/>
        <v>0</v>
      </c>
      <c r="CT162" s="228">
        <f t="shared" si="96"/>
        <v>0</v>
      </c>
      <c r="CU162" s="228">
        <f t="shared" si="96"/>
        <v>0</v>
      </c>
      <c r="CV162" s="228">
        <f t="shared" si="96"/>
        <v>0</v>
      </c>
      <c r="CW162" s="228">
        <f t="shared" si="96"/>
        <v>32</v>
      </c>
      <c r="CX162" s="228">
        <f t="shared" si="96"/>
        <v>0</v>
      </c>
      <c r="CY162" s="228">
        <f t="shared" si="96"/>
        <v>2</v>
      </c>
      <c r="CZ162" s="228">
        <f t="shared" si="96"/>
        <v>0</v>
      </c>
      <c r="DA162" s="228">
        <f t="shared" si="96"/>
        <v>0</v>
      </c>
      <c r="DB162" s="228">
        <f t="shared" si="96"/>
        <v>0</v>
      </c>
      <c r="DC162" s="228">
        <f t="shared" si="96"/>
        <v>0</v>
      </c>
      <c r="DD162" s="228">
        <f t="shared" si="96"/>
        <v>0</v>
      </c>
      <c r="DE162" s="228">
        <f t="shared" si="96"/>
        <v>0</v>
      </c>
      <c r="DF162" s="228">
        <f t="shared" si="96"/>
        <v>0</v>
      </c>
      <c r="DG162" s="228">
        <f t="shared" si="96"/>
        <v>0</v>
      </c>
      <c r="DH162" s="228">
        <f t="shared" si="96"/>
        <v>0</v>
      </c>
      <c r="DI162" s="228">
        <f t="shared" si="96"/>
        <v>0</v>
      </c>
      <c r="DJ162" s="228">
        <f t="shared" si="96"/>
        <v>0</v>
      </c>
      <c r="DK162" s="228">
        <f t="shared" si="96"/>
        <v>0</v>
      </c>
      <c r="DL162" s="228">
        <f t="shared" si="96"/>
        <v>0</v>
      </c>
      <c r="DM162" s="228">
        <f t="shared" si="96"/>
        <v>0</v>
      </c>
      <c r="DN162" s="228">
        <f t="shared" si="96"/>
        <v>2611</v>
      </c>
      <c r="DO162" s="228">
        <f t="shared" si="96"/>
        <v>0</v>
      </c>
      <c r="DP162" s="232">
        <f t="shared" si="96"/>
        <v>3637</v>
      </c>
      <c r="DQ162" s="228">
        <f t="shared" si="17"/>
        <v>0</v>
      </c>
      <c r="DR162" s="228">
        <f t="shared" si="18"/>
        <v>0</v>
      </c>
      <c r="DS162" s="230">
        <f>SUM(X162:Y162)+(1-TRP!$AK$253)*AC162</f>
        <v>0</v>
      </c>
      <c r="DT162" s="228">
        <f t="shared" si="19"/>
        <v>0</v>
      </c>
      <c r="DU162" s="228">
        <f t="shared" si="20"/>
        <v>0</v>
      </c>
      <c r="DV162" s="228">
        <f t="shared" si="21"/>
        <v>0</v>
      </c>
      <c r="DW162" s="228">
        <f t="shared" si="22"/>
        <v>0</v>
      </c>
      <c r="DX162" s="228">
        <f t="shared" si="23"/>
        <v>0</v>
      </c>
      <c r="DY162" s="228">
        <f t="shared" si="24"/>
        <v>0</v>
      </c>
      <c r="DZ162" s="228">
        <f t="shared" si="25"/>
        <v>120</v>
      </c>
      <c r="EA162" s="228">
        <f t="shared" si="26"/>
        <v>0</v>
      </c>
      <c r="EB162" s="230">
        <f>TRP!$AK$253*$AC162+SUM(M162:W162,Z162:AB162,AD162:AR162,AU162:AX162,BC162:BE162,BI162:BN162,BQ162:BR162,BV162)</f>
        <v>827</v>
      </c>
      <c r="EC162" s="228">
        <f t="shared" si="27"/>
        <v>0</v>
      </c>
      <c r="ED162" s="230">
        <f>CB162+$CI162*TRP!$AV$248</f>
        <v>0</v>
      </c>
      <c r="EE162" s="228">
        <f t="shared" si="28"/>
        <v>0</v>
      </c>
      <c r="EF162" s="230">
        <f>CD162+$CI162*TRP!$AV$249</f>
        <v>0</v>
      </c>
      <c r="EG162" s="230">
        <f>CE162+$CI162*TRP!$AV$250</f>
        <v>0</v>
      </c>
      <c r="EH162" s="230">
        <f>CF162+$CI162*TRP!$AV$251</f>
        <v>0</v>
      </c>
      <c r="EI162" s="228">
        <f t="shared" si="29"/>
        <v>79</v>
      </c>
      <c r="EJ162" s="228">
        <f t="shared" si="30"/>
        <v>2611</v>
      </c>
      <c r="EK162" s="228">
        <f t="shared" si="31"/>
        <v>0</v>
      </c>
      <c r="EL162" s="230">
        <f>BS162+$BP162*TRP!$AN$246</f>
        <v>0</v>
      </c>
      <c r="EM162" s="228">
        <f t="shared" si="32"/>
        <v>0</v>
      </c>
      <c r="EN162" s="230">
        <f>BU162+$BP162*TRP!$AN$247</f>
        <v>0</v>
      </c>
    </row>
    <row r="163" spans="1:144" s="228" customFormat="1" ht="10.5" x14ac:dyDescent="0.25">
      <c r="A163" s="228" t="str">
        <f>TRP!C161</f>
        <v xml:space="preserve">GE31 </v>
      </c>
      <c r="B163" s="228" t="str">
        <f>TRP!B161</f>
        <v>FABRICATION DE MACHINES DE BUREAU ET MAT</v>
      </c>
      <c r="C163" s="233">
        <f>TRP!A161</f>
        <v>12</v>
      </c>
      <c r="D163" s="228">
        <f t="shared" ref="D163:BO163" si="97">D39</f>
        <v>0</v>
      </c>
      <c r="E163" s="228">
        <f t="shared" si="97"/>
        <v>0</v>
      </c>
      <c r="F163" s="228">
        <f t="shared" si="97"/>
        <v>0</v>
      </c>
      <c r="G163" s="228">
        <f t="shared" si="97"/>
        <v>7</v>
      </c>
      <c r="H163" s="228">
        <f t="shared" si="97"/>
        <v>5</v>
      </c>
      <c r="I163" s="228">
        <f t="shared" si="97"/>
        <v>5</v>
      </c>
      <c r="J163" s="228">
        <f t="shared" si="97"/>
        <v>3</v>
      </c>
      <c r="K163" s="228">
        <f t="shared" si="97"/>
        <v>10</v>
      </c>
      <c r="L163" s="228">
        <f t="shared" si="97"/>
        <v>0</v>
      </c>
      <c r="M163" s="228">
        <f t="shared" si="97"/>
        <v>2</v>
      </c>
      <c r="N163" s="228">
        <f t="shared" si="97"/>
        <v>1</v>
      </c>
      <c r="O163" s="228">
        <f t="shared" si="97"/>
        <v>21</v>
      </c>
      <c r="P163" s="228">
        <f t="shared" si="97"/>
        <v>3</v>
      </c>
      <c r="Q163" s="228">
        <f t="shared" si="97"/>
        <v>4</v>
      </c>
      <c r="R163" s="228">
        <f t="shared" si="97"/>
        <v>3</v>
      </c>
      <c r="S163" s="228">
        <f t="shared" si="97"/>
        <v>0</v>
      </c>
      <c r="T163" s="228">
        <f t="shared" si="97"/>
        <v>24</v>
      </c>
      <c r="U163" s="228">
        <f t="shared" si="97"/>
        <v>7</v>
      </c>
      <c r="V163" s="228">
        <f t="shared" si="97"/>
        <v>20</v>
      </c>
      <c r="W163" s="228">
        <f t="shared" si="97"/>
        <v>1</v>
      </c>
      <c r="X163" s="228">
        <f t="shared" si="97"/>
        <v>3</v>
      </c>
      <c r="Y163" s="228">
        <f t="shared" si="97"/>
        <v>0</v>
      </c>
      <c r="Z163" s="228">
        <f t="shared" si="97"/>
        <v>5</v>
      </c>
      <c r="AA163" s="228">
        <f t="shared" si="97"/>
        <v>0</v>
      </c>
      <c r="AB163" s="228">
        <f t="shared" si="97"/>
        <v>16</v>
      </c>
      <c r="AC163" s="228">
        <f t="shared" si="97"/>
        <v>3</v>
      </c>
      <c r="AD163" s="228">
        <f t="shared" si="97"/>
        <v>31</v>
      </c>
      <c r="AE163" s="228">
        <f t="shared" si="97"/>
        <v>35</v>
      </c>
      <c r="AF163" s="228">
        <f t="shared" si="97"/>
        <v>68</v>
      </c>
      <c r="AG163" s="228">
        <f t="shared" si="97"/>
        <v>52</v>
      </c>
      <c r="AH163" s="228">
        <f t="shared" si="97"/>
        <v>1</v>
      </c>
      <c r="AI163" s="228">
        <f t="shared" si="97"/>
        <v>41</v>
      </c>
      <c r="AJ163" s="228">
        <f t="shared" si="97"/>
        <v>21</v>
      </c>
      <c r="AK163" s="228">
        <f t="shared" si="97"/>
        <v>39</v>
      </c>
      <c r="AL163" s="228">
        <f t="shared" si="97"/>
        <v>883</v>
      </c>
      <c r="AM163" s="228">
        <f t="shared" si="97"/>
        <v>62</v>
      </c>
      <c r="AN163" s="228">
        <f t="shared" si="97"/>
        <v>193</v>
      </c>
      <c r="AO163" s="228">
        <f t="shared" si="97"/>
        <v>61</v>
      </c>
      <c r="AP163" s="228">
        <f t="shared" si="97"/>
        <v>250</v>
      </c>
      <c r="AQ163" s="228">
        <f t="shared" si="97"/>
        <v>0</v>
      </c>
      <c r="AR163" s="228">
        <f t="shared" si="97"/>
        <v>0</v>
      </c>
      <c r="AS163" s="228">
        <f t="shared" si="97"/>
        <v>22</v>
      </c>
      <c r="AT163" s="228">
        <f t="shared" si="97"/>
        <v>53</v>
      </c>
      <c r="AU163" s="228">
        <f t="shared" si="97"/>
        <v>2</v>
      </c>
      <c r="AV163" s="228">
        <f t="shared" si="97"/>
        <v>5</v>
      </c>
      <c r="AW163" s="228">
        <f t="shared" si="97"/>
        <v>2</v>
      </c>
      <c r="AX163" s="228">
        <f t="shared" si="97"/>
        <v>33</v>
      </c>
      <c r="AY163" s="228">
        <f t="shared" si="97"/>
        <v>2</v>
      </c>
      <c r="AZ163" s="228">
        <f t="shared" si="97"/>
        <v>3</v>
      </c>
      <c r="BA163" s="228">
        <f t="shared" si="97"/>
        <v>1</v>
      </c>
      <c r="BB163" s="228">
        <f t="shared" si="97"/>
        <v>3</v>
      </c>
      <c r="BC163" s="228">
        <f t="shared" si="97"/>
        <v>2</v>
      </c>
      <c r="BD163" s="228">
        <f t="shared" si="97"/>
        <v>2</v>
      </c>
      <c r="BE163" s="228">
        <f t="shared" si="97"/>
        <v>4</v>
      </c>
      <c r="BF163" s="228">
        <f t="shared" si="97"/>
        <v>20</v>
      </c>
      <c r="BG163" s="228">
        <f t="shared" si="97"/>
        <v>17</v>
      </c>
      <c r="BH163" s="228">
        <f t="shared" si="97"/>
        <v>1</v>
      </c>
      <c r="BI163" s="228">
        <f t="shared" si="97"/>
        <v>0</v>
      </c>
      <c r="BJ163" s="228">
        <f t="shared" si="97"/>
        <v>24</v>
      </c>
      <c r="BK163" s="228">
        <f t="shared" si="97"/>
        <v>10</v>
      </c>
      <c r="BL163" s="228">
        <f t="shared" si="97"/>
        <v>0</v>
      </c>
      <c r="BM163" s="228">
        <f t="shared" si="97"/>
        <v>28</v>
      </c>
      <c r="BN163" s="228">
        <f t="shared" si="97"/>
        <v>26</v>
      </c>
      <c r="BO163" s="228">
        <f t="shared" si="97"/>
        <v>0</v>
      </c>
      <c r="BP163" s="228">
        <f t="shared" ref="BP163:DP163" si="98">BP39</f>
        <v>0</v>
      </c>
      <c r="BQ163" s="228">
        <f t="shared" si="98"/>
        <v>0</v>
      </c>
      <c r="BR163" s="228">
        <f t="shared" si="98"/>
        <v>8</v>
      </c>
      <c r="BS163" s="228">
        <f t="shared" si="98"/>
        <v>3</v>
      </c>
      <c r="BT163" s="228">
        <f t="shared" si="98"/>
        <v>7</v>
      </c>
      <c r="BU163" s="228">
        <f t="shared" si="98"/>
        <v>2</v>
      </c>
      <c r="BV163" s="228">
        <f t="shared" si="98"/>
        <v>4</v>
      </c>
      <c r="BW163" s="228">
        <f t="shared" si="98"/>
        <v>5</v>
      </c>
      <c r="BX163" s="228">
        <f t="shared" si="98"/>
        <v>8</v>
      </c>
      <c r="BY163" s="228">
        <f t="shared" si="98"/>
        <v>8</v>
      </c>
      <c r="BZ163" s="228">
        <f t="shared" si="98"/>
        <v>241</v>
      </c>
      <c r="CA163" s="228">
        <f t="shared" si="98"/>
        <v>218</v>
      </c>
      <c r="CB163" s="228">
        <f t="shared" si="98"/>
        <v>0</v>
      </c>
      <c r="CC163" s="228">
        <f t="shared" si="98"/>
        <v>0</v>
      </c>
      <c r="CD163" s="228">
        <f t="shared" si="98"/>
        <v>0</v>
      </c>
      <c r="CE163" s="228">
        <f t="shared" si="98"/>
        <v>0</v>
      </c>
      <c r="CF163" s="228">
        <f t="shared" si="98"/>
        <v>0</v>
      </c>
      <c r="CG163" s="228">
        <f t="shared" si="98"/>
        <v>0</v>
      </c>
      <c r="CH163" s="228">
        <f t="shared" si="98"/>
        <v>0</v>
      </c>
      <c r="CI163" s="228">
        <f t="shared" si="98"/>
        <v>2</v>
      </c>
      <c r="CJ163" s="228">
        <f t="shared" si="98"/>
        <v>97</v>
      </c>
      <c r="CK163" s="228">
        <f t="shared" si="98"/>
        <v>15</v>
      </c>
      <c r="CL163" s="228">
        <f t="shared" si="98"/>
        <v>10</v>
      </c>
      <c r="CM163" s="228">
        <f t="shared" si="98"/>
        <v>53</v>
      </c>
      <c r="CN163" s="228">
        <f t="shared" si="98"/>
        <v>39</v>
      </c>
      <c r="CO163" s="228">
        <f t="shared" si="98"/>
        <v>540</v>
      </c>
      <c r="CP163" s="228">
        <f t="shared" si="98"/>
        <v>759</v>
      </c>
      <c r="CQ163" s="228">
        <f t="shared" si="98"/>
        <v>270</v>
      </c>
      <c r="CR163" s="228">
        <f t="shared" si="98"/>
        <v>131</v>
      </c>
      <c r="CS163" s="228">
        <f t="shared" si="98"/>
        <v>1</v>
      </c>
      <c r="CT163" s="228">
        <f t="shared" si="98"/>
        <v>20</v>
      </c>
      <c r="CU163" s="228">
        <f t="shared" si="98"/>
        <v>7</v>
      </c>
      <c r="CV163" s="228">
        <f t="shared" si="98"/>
        <v>10</v>
      </c>
      <c r="CW163" s="228">
        <f t="shared" si="98"/>
        <v>577</v>
      </c>
      <c r="CX163" s="228">
        <f t="shared" si="98"/>
        <v>1</v>
      </c>
      <c r="CY163" s="228">
        <f t="shared" si="98"/>
        <v>218</v>
      </c>
      <c r="CZ163" s="228">
        <f t="shared" si="98"/>
        <v>348</v>
      </c>
      <c r="DA163" s="228">
        <f t="shared" si="98"/>
        <v>3</v>
      </c>
      <c r="DB163" s="228">
        <f t="shared" si="98"/>
        <v>314</v>
      </c>
      <c r="DC163" s="228">
        <f t="shared" si="98"/>
        <v>9</v>
      </c>
      <c r="DD163" s="228">
        <f t="shared" si="98"/>
        <v>33</v>
      </c>
      <c r="DE163" s="228">
        <f t="shared" si="98"/>
        <v>16</v>
      </c>
      <c r="DF163" s="228">
        <f t="shared" si="98"/>
        <v>0</v>
      </c>
      <c r="DG163" s="228">
        <f t="shared" si="98"/>
        <v>74</v>
      </c>
      <c r="DH163" s="228">
        <f t="shared" si="98"/>
        <v>133</v>
      </c>
      <c r="DI163" s="228">
        <f t="shared" si="98"/>
        <v>100</v>
      </c>
      <c r="DJ163" s="228">
        <f t="shared" si="98"/>
        <v>35</v>
      </c>
      <c r="DK163" s="228">
        <f t="shared" si="98"/>
        <v>6</v>
      </c>
      <c r="DL163" s="228">
        <f t="shared" si="98"/>
        <v>29</v>
      </c>
      <c r="DM163" s="228">
        <f t="shared" si="98"/>
        <v>76</v>
      </c>
      <c r="DN163" s="228">
        <f t="shared" si="98"/>
        <v>477</v>
      </c>
      <c r="DO163" s="228">
        <f t="shared" si="98"/>
        <v>0</v>
      </c>
      <c r="DP163" s="232">
        <f t="shared" si="98"/>
        <v>7047</v>
      </c>
      <c r="DQ163" s="228">
        <f t="shared" si="17"/>
        <v>0</v>
      </c>
      <c r="DR163" s="228">
        <f t="shared" si="18"/>
        <v>30</v>
      </c>
      <c r="DS163" s="230">
        <f>SUM(X163:Y163)+(1-TRP!$AK$253)*AC163</f>
        <v>5.0999999999999996</v>
      </c>
      <c r="DT163" s="228">
        <f t="shared" si="19"/>
        <v>22</v>
      </c>
      <c r="DU163" s="228">
        <f t="shared" si="20"/>
        <v>53</v>
      </c>
      <c r="DV163" s="228">
        <f t="shared" si="21"/>
        <v>5</v>
      </c>
      <c r="DW163" s="228">
        <f t="shared" si="22"/>
        <v>1</v>
      </c>
      <c r="DX163" s="228">
        <f t="shared" si="23"/>
        <v>3</v>
      </c>
      <c r="DY163" s="228">
        <f t="shared" si="24"/>
        <v>20</v>
      </c>
      <c r="DZ163" s="228">
        <f t="shared" si="25"/>
        <v>17</v>
      </c>
      <c r="EA163" s="228">
        <f t="shared" si="26"/>
        <v>1</v>
      </c>
      <c r="EB163" s="230">
        <f>TRP!$AK$253*$AC163+SUM(M163:W163,Z163:AB163,AD163:AR163,AU163:AX163,BC163:BE163,BI163:BN163,BQ163:BR163,BV163)</f>
        <v>1994.9</v>
      </c>
      <c r="EC163" s="228">
        <f t="shared" si="27"/>
        <v>13</v>
      </c>
      <c r="ED163" s="230">
        <f>CB163+$CI163*TRP!$AV$248</f>
        <v>6.2008500503049097E-2</v>
      </c>
      <c r="EE163" s="228">
        <f t="shared" si="28"/>
        <v>0</v>
      </c>
      <c r="EF163" s="230">
        <f>CD163+$CI163*TRP!$AV$249</f>
        <v>1.3863915687211994</v>
      </c>
      <c r="EG163" s="230">
        <f>CE163+$CI163*TRP!$AV$250</f>
        <v>0.40438694008289311</v>
      </c>
      <c r="EH163" s="230">
        <f>CF163+$CI163*TRP!$AV$251</f>
        <v>0.14721299069285848</v>
      </c>
      <c r="EI163" s="228">
        <f t="shared" si="29"/>
        <v>3799</v>
      </c>
      <c r="EJ163" s="228">
        <f t="shared" si="30"/>
        <v>1069</v>
      </c>
      <c r="EK163" s="228">
        <f t="shared" si="31"/>
        <v>0</v>
      </c>
      <c r="EL163" s="230">
        <f>BS163+$BP163*TRP!$AN$246</f>
        <v>3</v>
      </c>
      <c r="EM163" s="228">
        <f t="shared" si="32"/>
        <v>7</v>
      </c>
      <c r="EN163" s="230">
        <f>BU163+$BP163*TRP!$AN$247</f>
        <v>2</v>
      </c>
    </row>
    <row r="164" spans="1:144" s="228" customFormat="1" ht="10.5" x14ac:dyDescent="0.25">
      <c r="A164" s="228" t="str">
        <f>TRP!C162</f>
        <v xml:space="preserve">GE32 </v>
      </c>
      <c r="B164" s="228" t="str">
        <f>TRP!B162</f>
        <v xml:space="preserve">FABRICATION DE MOTEURS  GENERATRICES ET </v>
      </c>
      <c r="C164" s="233">
        <f>TRP!A162</f>
        <v>12</v>
      </c>
      <c r="D164" s="228">
        <f t="shared" ref="D164:BO164" si="99">D40</f>
        <v>0</v>
      </c>
      <c r="E164" s="228">
        <f t="shared" si="99"/>
        <v>0</v>
      </c>
      <c r="F164" s="228">
        <f t="shared" si="99"/>
        <v>0</v>
      </c>
      <c r="G164" s="228">
        <f t="shared" si="99"/>
        <v>10</v>
      </c>
      <c r="H164" s="228">
        <f t="shared" si="99"/>
        <v>5</v>
      </c>
      <c r="I164" s="228">
        <f t="shared" si="99"/>
        <v>18</v>
      </c>
      <c r="J164" s="228">
        <f t="shared" si="99"/>
        <v>5</v>
      </c>
      <c r="K164" s="228">
        <f t="shared" si="99"/>
        <v>26</v>
      </c>
      <c r="L164" s="228">
        <f t="shared" si="99"/>
        <v>0</v>
      </c>
      <c r="M164" s="228">
        <f t="shared" si="99"/>
        <v>0</v>
      </c>
      <c r="N164" s="228">
        <f t="shared" si="99"/>
        <v>0</v>
      </c>
      <c r="O164" s="228">
        <f t="shared" si="99"/>
        <v>18</v>
      </c>
      <c r="P164" s="228">
        <f t="shared" si="99"/>
        <v>19</v>
      </c>
      <c r="Q164" s="228">
        <f t="shared" si="99"/>
        <v>0</v>
      </c>
      <c r="R164" s="228">
        <f t="shared" si="99"/>
        <v>37</v>
      </c>
      <c r="S164" s="228">
        <f t="shared" si="99"/>
        <v>0</v>
      </c>
      <c r="T164" s="228">
        <f t="shared" si="99"/>
        <v>1</v>
      </c>
      <c r="U164" s="228">
        <f t="shared" si="99"/>
        <v>36</v>
      </c>
      <c r="V164" s="228">
        <f t="shared" si="99"/>
        <v>42</v>
      </c>
      <c r="W164" s="228">
        <f t="shared" si="99"/>
        <v>1</v>
      </c>
      <c r="X164" s="228">
        <f t="shared" si="99"/>
        <v>479</v>
      </c>
      <c r="Y164" s="228">
        <f t="shared" si="99"/>
        <v>94</v>
      </c>
      <c r="Z164" s="228">
        <f t="shared" si="99"/>
        <v>16</v>
      </c>
      <c r="AA164" s="228">
        <f t="shared" si="99"/>
        <v>18</v>
      </c>
      <c r="AB164" s="228">
        <f t="shared" si="99"/>
        <v>262</v>
      </c>
      <c r="AC164" s="228">
        <f t="shared" si="99"/>
        <v>2</v>
      </c>
      <c r="AD164" s="228">
        <f t="shared" si="99"/>
        <v>28</v>
      </c>
      <c r="AE164" s="228">
        <f t="shared" si="99"/>
        <v>26</v>
      </c>
      <c r="AF164" s="228">
        <f t="shared" si="99"/>
        <v>107</v>
      </c>
      <c r="AG164" s="228">
        <f t="shared" si="99"/>
        <v>158</v>
      </c>
      <c r="AH164" s="228">
        <f t="shared" si="99"/>
        <v>32</v>
      </c>
      <c r="AI164" s="228">
        <f t="shared" si="99"/>
        <v>5</v>
      </c>
      <c r="AJ164" s="228">
        <f t="shared" si="99"/>
        <v>88</v>
      </c>
      <c r="AK164" s="228">
        <f t="shared" si="99"/>
        <v>30</v>
      </c>
      <c r="AL164" s="228">
        <f t="shared" si="99"/>
        <v>33</v>
      </c>
      <c r="AM164" s="228">
        <f t="shared" si="99"/>
        <v>589</v>
      </c>
      <c r="AN164" s="228">
        <f t="shared" si="99"/>
        <v>103</v>
      </c>
      <c r="AO164" s="228">
        <f t="shared" si="99"/>
        <v>16</v>
      </c>
      <c r="AP164" s="228">
        <f t="shared" si="99"/>
        <v>202</v>
      </c>
      <c r="AQ164" s="228">
        <f t="shared" si="99"/>
        <v>0</v>
      </c>
      <c r="AR164" s="228">
        <f t="shared" si="99"/>
        <v>2</v>
      </c>
      <c r="AS164" s="228">
        <f t="shared" si="99"/>
        <v>4</v>
      </c>
      <c r="AT164" s="228">
        <f t="shared" si="99"/>
        <v>7</v>
      </c>
      <c r="AU164" s="228">
        <f t="shared" si="99"/>
        <v>4</v>
      </c>
      <c r="AV164" s="228">
        <f t="shared" si="99"/>
        <v>2</v>
      </c>
      <c r="AW164" s="228">
        <f t="shared" si="99"/>
        <v>0</v>
      </c>
      <c r="AX164" s="228">
        <f t="shared" si="99"/>
        <v>7</v>
      </c>
      <c r="AY164" s="228">
        <f t="shared" si="99"/>
        <v>44</v>
      </c>
      <c r="AZ164" s="228">
        <f t="shared" si="99"/>
        <v>8</v>
      </c>
      <c r="BA164" s="228">
        <f t="shared" si="99"/>
        <v>4</v>
      </c>
      <c r="BB164" s="228">
        <f t="shared" si="99"/>
        <v>25</v>
      </c>
      <c r="BC164" s="228">
        <f t="shared" si="99"/>
        <v>16</v>
      </c>
      <c r="BD164" s="228">
        <f t="shared" si="99"/>
        <v>0</v>
      </c>
      <c r="BE164" s="228">
        <f t="shared" si="99"/>
        <v>2</v>
      </c>
      <c r="BF164" s="228">
        <f t="shared" si="99"/>
        <v>21</v>
      </c>
      <c r="BG164" s="228">
        <f t="shared" si="99"/>
        <v>54</v>
      </c>
      <c r="BH164" s="228">
        <f t="shared" si="99"/>
        <v>20</v>
      </c>
      <c r="BI164" s="228">
        <f t="shared" si="99"/>
        <v>28</v>
      </c>
      <c r="BJ164" s="228">
        <f t="shared" si="99"/>
        <v>79</v>
      </c>
      <c r="BK164" s="228">
        <f t="shared" si="99"/>
        <v>40</v>
      </c>
      <c r="BL164" s="228">
        <f t="shared" si="99"/>
        <v>0</v>
      </c>
      <c r="BM164" s="228">
        <f t="shared" si="99"/>
        <v>547</v>
      </c>
      <c r="BN164" s="228">
        <f t="shared" si="99"/>
        <v>224</v>
      </c>
      <c r="BO164" s="228">
        <f t="shared" si="99"/>
        <v>0</v>
      </c>
      <c r="BP164" s="228">
        <f t="shared" ref="BP164:DP164" si="100">BP40</f>
        <v>0</v>
      </c>
      <c r="BQ164" s="228">
        <f t="shared" si="100"/>
        <v>0</v>
      </c>
      <c r="BR164" s="228">
        <f t="shared" si="100"/>
        <v>26</v>
      </c>
      <c r="BS164" s="228">
        <f t="shared" si="100"/>
        <v>62</v>
      </c>
      <c r="BT164" s="228">
        <f t="shared" si="100"/>
        <v>68</v>
      </c>
      <c r="BU164" s="228">
        <f t="shared" si="100"/>
        <v>4</v>
      </c>
      <c r="BV164" s="228">
        <f t="shared" si="100"/>
        <v>21</v>
      </c>
      <c r="BW164" s="228">
        <f t="shared" si="100"/>
        <v>631</v>
      </c>
      <c r="BX164" s="228">
        <f t="shared" si="100"/>
        <v>252</v>
      </c>
      <c r="BY164" s="228">
        <f t="shared" si="100"/>
        <v>60</v>
      </c>
      <c r="BZ164" s="228">
        <f t="shared" si="100"/>
        <v>115</v>
      </c>
      <c r="CA164" s="228">
        <f t="shared" si="100"/>
        <v>53</v>
      </c>
      <c r="CB164" s="228">
        <f t="shared" si="100"/>
        <v>1</v>
      </c>
      <c r="CC164" s="228">
        <f t="shared" si="100"/>
        <v>4</v>
      </c>
      <c r="CD164" s="228">
        <f t="shared" si="100"/>
        <v>3</v>
      </c>
      <c r="CE164" s="228">
        <f t="shared" si="100"/>
        <v>5</v>
      </c>
      <c r="CF164" s="228">
        <f t="shared" si="100"/>
        <v>5</v>
      </c>
      <c r="CG164" s="228">
        <f t="shared" si="100"/>
        <v>7</v>
      </c>
      <c r="CH164" s="228">
        <f t="shared" si="100"/>
        <v>0</v>
      </c>
      <c r="CI164" s="228">
        <f t="shared" si="100"/>
        <v>7</v>
      </c>
      <c r="CJ164" s="228">
        <f t="shared" si="100"/>
        <v>0</v>
      </c>
      <c r="CK164" s="228">
        <f t="shared" si="100"/>
        <v>0</v>
      </c>
      <c r="CL164" s="228">
        <f t="shared" si="100"/>
        <v>0</v>
      </c>
      <c r="CM164" s="228">
        <f t="shared" si="100"/>
        <v>4</v>
      </c>
      <c r="CN164" s="228">
        <f t="shared" si="100"/>
        <v>2</v>
      </c>
      <c r="CO164" s="228">
        <f t="shared" si="100"/>
        <v>198</v>
      </c>
      <c r="CP164" s="228">
        <f t="shared" si="100"/>
        <v>47</v>
      </c>
      <c r="CQ164" s="228">
        <f t="shared" si="100"/>
        <v>81</v>
      </c>
      <c r="CR164" s="228">
        <f t="shared" si="100"/>
        <v>33</v>
      </c>
      <c r="CS164" s="228">
        <f t="shared" si="100"/>
        <v>2</v>
      </c>
      <c r="CT164" s="228">
        <f t="shared" si="100"/>
        <v>37</v>
      </c>
      <c r="CU164" s="228">
        <f t="shared" si="100"/>
        <v>0</v>
      </c>
      <c r="CV164" s="228">
        <f t="shared" si="100"/>
        <v>25</v>
      </c>
      <c r="CW164" s="228">
        <f t="shared" si="100"/>
        <v>61</v>
      </c>
      <c r="CX164" s="228">
        <f t="shared" si="100"/>
        <v>0</v>
      </c>
      <c r="CY164" s="228">
        <f t="shared" si="100"/>
        <v>37</v>
      </c>
      <c r="CZ164" s="228">
        <f t="shared" si="100"/>
        <v>0</v>
      </c>
      <c r="DA164" s="228">
        <f t="shared" si="100"/>
        <v>6</v>
      </c>
      <c r="DB164" s="228">
        <f t="shared" si="100"/>
        <v>2</v>
      </c>
      <c r="DC164" s="228">
        <f t="shared" si="100"/>
        <v>1</v>
      </c>
      <c r="DD164" s="228">
        <f t="shared" si="100"/>
        <v>0</v>
      </c>
      <c r="DE164" s="228">
        <f t="shared" si="100"/>
        <v>2</v>
      </c>
      <c r="DF164" s="228">
        <f t="shared" si="100"/>
        <v>0</v>
      </c>
      <c r="DG164" s="228">
        <f t="shared" si="100"/>
        <v>1</v>
      </c>
      <c r="DH164" s="228">
        <f t="shared" si="100"/>
        <v>0</v>
      </c>
      <c r="DI164" s="228">
        <f t="shared" si="100"/>
        <v>19</v>
      </c>
      <c r="DJ164" s="228">
        <f t="shared" si="100"/>
        <v>0</v>
      </c>
      <c r="DK164" s="228">
        <f t="shared" si="100"/>
        <v>0</v>
      </c>
      <c r="DL164" s="228">
        <f t="shared" si="100"/>
        <v>2</v>
      </c>
      <c r="DM164" s="228">
        <f t="shared" si="100"/>
        <v>0</v>
      </c>
      <c r="DN164" s="228">
        <f t="shared" si="100"/>
        <v>0</v>
      </c>
      <c r="DO164" s="228">
        <f t="shared" si="100"/>
        <v>0</v>
      </c>
      <c r="DP164" s="232">
        <f t="shared" si="100"/>
        <v>5528</v>
      </c>
      <c r="DQ164" s="228">
        <f t="shared" si="17"/>
        <v>0</v>
      </c>
      <c r="DR164" s="228">
        <f t="shared" si="18"/>
        <v>64</v>
      </c>
      <c r="DS164" s="230">
        <f>SUM(X164:Y164)+(1-TRP!$AK$253)*AC164</f>
        <v>574.4</v>
      </c>
      <c r="DT164" s="228">
        <f t="shared" si="19"/>
        <v>4</v>
      </c>
      <c r="DU164" s="228">
        <f t="shared" si="20"/>
        <v>7</v>
      </c>
      <c r="DV164" s="228">
        <f t="shared" si="21"/>
        <v>52</v>
      </c>
      <c r="DW164" s="228">
        <f t="shared" si="22"/>
        <v>4</v>
      </c>
      <c r="DX164" s="228">
        <f t="shared" si="23"/>
        <v>25</v>
      </c>
      <c r="DY164" s="228">
        <f t="shared" si="24"/>
        <v>21</v>
      </c>
      <c r="DZ164" s="228">
        <f t="shared" si="25"/>
        <v>54</v>
      </c>
      <c r="EA164" s="228">
        <f t="shared" si="26"/>
        <v>20</v>
      </c>
      <c r="EB164" s="230">
        <f>TRP!$AK$253*$AC164+SUM(M164:W164,Z164:AB164,AD164:AR164,AU164:AX164,BC164:BE164,BI164:BN164,BQ164:BR164,BV164)</f>
        <v>2865.6</v>
      </c>
      <c r="EC164" s="228">
        <f t="shared" si="27"/>
        <v>883</v>
      </c>
      <c r="ED164" s="230">
        <f>CB164+$CI164*TRP!$AV$248</f>
        <v>1.2170297517606719</v>
      </c>
      <c r="EE164" s="228">
        <f t="shared" si="28"/>
        <v>4</v>
      </c>
      <c r="EF164" s="230">
        <f>CD164+$CI164*TRP!$AV$249</f>
        <v>7.8523704905241978</v>
      </c>
      <c r="EG164" s="230">
        <f>CE164+$CI164*TRP!$AV$250</f>
        <v>6.4153542902901259</v>
      </c>
      <c r="EH164" s="230">
        <f>CF164+$CI164*TRP!$AV$251</f>
        <v>5.5152454674250047</v>
      </c>
      <c r="EI164" s="228">
        <f t="shared" si="29"/>
        <v>795</v>
      </c>
      <c r="EJ164" s="228">
        <f t="shared" si="30"/>
        <v>0</v>
      </c>
      <c r="EK164" s="228">
        <f t="shared" si="31"/>
        <v>0</v>
      </c>
      <c r="EL164" s="230">
        <f>BS164+$BP164*TRP!$AN$246</f>
        <v>62</v>
      </c>
      <c r="EM164" s="228">
        <f t="shared" si="32"/>
        <v>68</v>
      </c>
      <c r="EN164" s="230">
        <f>BU164+$BP164*TRP!$AN$247</f>
        <v>4</v>
      </c>
    </row>
    <row r="165" spans="1:144" s="228" customFormat="1" ht="10.5" x14ac:dyDescent="0.25">
      <c r="A165" s="228" t="str">
        <f>TRP!C163</f>
        <v xml:space="preserve">GE33 </v>
      </c>
      <c r="B165" s="228" t="str">
        <f>TRP!B163</f>
        <v>FABRICATION D APPAREILS D EMISSION ET DE</v>
      </c>
      <c r="C165" s="233">
        <f>TRP!A163</f>
        <v>12</v>
      </c>
      <c r="D165" s="228">
        <f t="shared" ref="D165:BO165" si="101">D41</f>
        <v>0</v>
      </c>
      <c r="E165" s="228">
        <f t="shared" si="101"/>
        <v>0</v>
      </c>
      <c r="F165" s="228">
        <f t="shared" si="101"/>
        <v>0</v>
      </c>
      <c r="G165" s="228">
        <f t="shared" si="101"/>
        <v>3</v>
      </c>
      <c r="H165" s="228">
        <f t="shared" si="101"/>
        <v>1</v>
      </c>
      <c r="I165" s="228">
        <f t="shared" si="101"/>
        <v>1</v>
      </c>
      <c r="J165" s="228">
        <f t="shared" si="101"/>
        <v>3</v>
      </c>
      <c r="K165" s="228">
        <f t="shared" si="101"/>
        <v>3</v>
      </c>
      <c r="L165" s="228">
        <f t="shared" si="101"/>
        <v>0</v>
      </c>
      <c r="M165" s="228">
        <f t="shared" si="101"/>
        <v>1</v>
      </c>
      <c r="N165" s="228">
        <f t="shared" si="101"/>
        <v>1</v>
      </c>
      <c r="O165" s="228">
        <f t="shared" si="101"/>
        <v>2</v>
      </c>
      <c r="P165" s="228">
        <f t="shared" si="101"/>
        <v>0</v>
      </c>
      <c r="Q165" s="228">
        <f t="shared" si="101"/>
        <v>0</v>
      </c>
      <c r="R165" s="228">
        <f t="shared" si="101"/>
        <v>14</v>
      </c>
      <c r="S165" s="228">
        <f t="shared" si="101"/>
        <v>0</v>
      </c>
      <c r="T165" s="228">
        <f t="shared" si="101"/>
        <v>22</v>
      </c>
      <c r="U165" s="228">
        <f t="shared" si="101"/>
        <v>27</v>
      </c>
      <c r="V165" s="228">
        <f t="shared" si="101"/>
        <v>44</v>
      </c>
      <c r="W165" s="228">
        <f t="shared" si="101"/>
        <v>9</v>
      </c>
      <c r="X165" s="228">
        <f t="shared" si="101"/>
        <v>150</v>
      </c>
      <c r="Y165" s="228">
        <f t="shared" si="101"/>
        <v>443</v>
      </c>
      <c r="Z165" s="228">
        <f t="shared" si="101"/>
        <v>35</v>
      </c>
      <c r="AA165" s="228">
        <f t="shared" si="101"/>
        <v>5</v>
      </c>
      <c r="AB165" s="228">
        <f t="shared" si="101"/>
        <v>632</v>
      </c>
      <c r="AC165" s="228">
        <f t="shared" si="101"/>
        <v>5</v>
      </c>
      <c r="AD165" s="228">
        <f t="shared" si="101"/>
        <v>6</v>
      </c>
      <c r="AE165" s="228">
        <f t="shared" si="101"/>
        <v>9</v>
      </c>
      <c r="AF165" s="228">
        <f t="shared" si="101"/>
        <v>75</v>
      </c>
      <c r="AG165" s="228">
        <f t="shared" si="101"/>
        <v>60</v>
      </c>
      <c r="AH165" s="228">
        <f t="shared" si="101"/>
        <v>1</v>
      </c>
      <c r="AI165" s="228">
        <f t="shared" si="101"/>
        <v>8</v>
      </c>
      <c r="AJ165" s="228">
        <f t="shared" si="101"/>
        <v>50</v>
      </c>
      <c r="AK165" s="228">
        <f t="shared" si="101"/>
        <v>67</v>
      </c>
      <c r="AL165" s="228">
        <f t="shared" si="101"/>
        <v>33</v>
      </c>
      <c r="AM165" s="228">
        <f t="shared" si="101"/>
        <v>142</v>
      </c>
      <c r="AN165" s="228">
        <f t="shared" si="101"/>
        <v>839</v>
      </c>
      <c r="AO165" s="228">
        <f t="shared" si="101"/>
        <v>31</v>
      </c>
      <c r="AP165" s="228">
        <f t="shared" si="101"/>
        <v>525</v>
      </c>
      <c r="AQ165" s="228">
        <f t="shared" si="101"/>
        <v>0</v>
      </c>
      <c r="AR165" s="228">
        <f t="shared" si="101"/>
        <v>0</v>
      </c>
      <c r="AS165" s="228">
        <f t="shared" si="101"/>
        <v>10</v>
      </c>
      <c r="AT165" s="228">
        <f t="shared" si="101"/>
        <v>61</v>
      </c>
      <c r="AU165" s="228">
        <f t="shared" si="101"/>
        <v>2</v>
      </c>
      <c r="AV165" s="228">
        <f t="shared" si="101"/>
        <v>2</v>
      </c>
      <c r="AW165" s="228">
        <f t="shared" si="101"/>
        <v>2</v>
      </c>
      <c r="AX165" s="228">
        <f t="shared" si="101"/>
        <v>7</v>
      </c>
      <c r="AY165" s="228">
        <f t="shared" si="101"/>
        <v>1</v>
      </c>
      <c r="AZ165" s="228">
        <f t="shared" si="101"/>
        <v>2</v>
      </c>
      <c r="BA165" s="228">
        <f t="shared" si="101"/>
        <v>8</v>
      </c>
      <c r="BB165" s="228">
        <f t="shared" si="101"/>
        <v>10</v>
      </c>
      <c r="BC165" s="228">
        <f t="shared" si="101"/>
        <v>0</v>
      </c>
      <c r="BD165" s="228">
        <f t="shared" si="101"/>
        <v>0</v>
      </c>
      <c r="BE165" s="228">
        <f t="shared" si="101"/>
        <v>7</v>
      </c>
      <c r="BF165" s="228">
        <f t="shared" si="101"/>
        <v>21</v>
      </c>
      <c r="BG165" s="228">
        <f t="shared" si="101"/>
        <v>8</v>
      </c>
      <c r="BH165" s="228">
        <f t="shared" si="101"/>
        <v>2</v>
      </c>
      <c r="BI165" s="228">
        <f t="shared" si="101"/>
        <v>1</v>
      </c>
      <c r="BJ165" s="228">
        <f t="shared" si="101"/>
        <v>10</v>
      </c>
      <c r="BK165" s="228">
        <f t="shared" si="101"/>
        <v>6</v>
      </c>
      <c r="BL165" s="228">
        <f t="shared" si="101"/>
        <v>0</v>
      </c>
      <c r="BM165" s="228">
        <f t="shared" si="101"/>
        <v>1263</v>
      </c>
      <c r="BN165" s="228">
        <f t="shared" si="101"/>
        <v>347</v>
      </c>
      <c r="BO165" s="228">
        <f t="shared" si="101"/>
        <v>0</v>
      </c>
      <c r="BP165" s="228">
        <f t="shared" ref="BP165:DP165" si="102">BP41</f>
        <v>0</v>
      </c>
      <c r="BQ165" s="228">
        <f t="shared" si="102"/>
        <v>0</v>
      </c>
      <c r="BR165" s="228">
        <f t="shared" si="102"/>
        <v>0</v>
      </c>
      <c r="BS165" s="228">
        <f t="shared" si="102"/>
        <v>10</v>
      </c>
      <c r="BT165" s="228">
        <f t="shared" si="102"/>
        <v>35</v>
      </c>
      <c r="BU165" s="228">
        <f t="shared" si="102"/>
        <v>1</v>
      </c>
      <c r="BV165" s="228">
        <f t="shared" si="102"/>
        <v>9</v>
      </c>
      <c r="BW165" s="228">
        <f t="shared" si="102"/>
        <v>62</v>
      </c>
      <c r="BX165" s="228">
        <f t="shared" si="102"/>
        <v>26</v>
      </c>
      <c r="BY165" s="228">
        <f t="shared" si="102"/>
        <v>31</v>
      </c>
      <c r="BZ165" s="228">
        <f t="shared" si="102"/>
        <v>7</v>
      </c>
      <c r="CA165" s="228">
        <f t="shared" si="102"/>
        <v>32</v>
      </c>
      <c r="CB165" s="228">
        <f t="shared" si="102"/>
        <v>1</v>
      </c>
      <c r="CC165" s="228">
        <f t="shared" si="102"/>
        <v>0</v>
      </c>
      <c r="CD165" s="228">
        <f t="shared" si="102"/>
        <v>0</v>
      </c>
      <c r="CE165" s="228">
        <f t="shared" si="102"/>
        <v>0</v>
      </c>
      <c r="CF165" s="228">
        <f t="shared" si="102"/>
        <v>0</v>
      </c>
      <c r="CG165" s="228">
        <f t="shared" si="102"/>
        <v>0</v>
      </c>
      <c r="CH165" s="228">
        <f t="shared" si="102"/>
        <v>6</v>
      </c>
      <c r="CI165" s="228">
        <f t="shared" si="102"/>
        <v>7</v>
      </c>
      <c r="CJ165" s="228">
        <f t="shared" si="102"/>
        <v>118</v>
      </c>
      <c r="CK165" s="228">
        <f t="shared" si="102"/>
        <v>0</v>
      </c>
      <c r="CL165" s="228">
        <f t="shared" si="102"/>
        <v>0</v>
      </c>
      <c r="CM165" s="228">
        <f t="shared" si="102"/>
        <v>1</v>
      </c>
      <c r="CN165" s="228">
        <f t="shared" si="102"/>
        <v>1</v>
      </c>
      <c r="CO165" s="228">
        <f t="shared" si="102"/>
        <v>297</v>
      </c>
      <c r="CP165" s="228">
        <f t="shared" si="102"/>
        <v>82</v>
      </c>
      <c r="CQ165" s="228">
        <f t="shared" si="102"/>
        <v>33</v>
      </c>
      <c r="CR165" s="228">
        <f t="shared" si="102"/>
        <v>10</v>
      </c>
      <c r="CS165" s="228">
        <f t="shared" si="102"/>
        <v>3</v>
      </c>
      <c r="CT165" s="228">
        <f t="shared" si="102"/>
        <v>29</v>
      </c>
      <c r="CU165" s="228">
        <f t="shared" si="102"/>
        <v>0</v>
      </c>
      <c r="CV165" s="228">
        <f t="shared" si="102"/>
        <v>10</v>
      </c>
      <c r="CW165" s="228">
        <f t="shared" si="102"/>
        <v>118</v>
      </c>
      <c r="CX165" s="228">
        <f t="shared" si="102"/>
        <v>1</v>
      </c>
      <c r="CY165" s="228">
        <f t="shared" si="102"/>
        <v>293</v>
      </c>
      <c r="CZ165" s="228">
        <f t="shared" si="102"/>
        <v>0</v>
      </c>
      <c r="DA165" s="228">
        <f t="shared" si="102"/>
        <v>3</v>
      </c>
      <c r="DB165" s="228">
        <f t="shared" si="102"/>
        <v>50</v>
      </c>
      <c r="DC165" s="228">
        <f t="shared" si="102"/>
        <v>2</v>
      </c>
      <c r="DD165" s="228">
        <f t="shared" si="102"/>
        <v>0</v>
      </c>
      <c r="DE165" s="228">
        <f t="shared" si="102"/>
        <v>1</v>
      </c>
      <c r="DF165" s="228">
        <f t="shared" si="102"/>
        <v>0</v>
      </c>
      <c r="DG165" s="228">
        <f t="shared" si="102"/>
        <v>9</v>
      </c>
      <c r="DH165" s="228">
        <f t="shared" si="102"/>
        <v>0</v>
      </c>
      <c r="DI165" s="228">
        <f t="shared" si="102"/>
        <v>4</v>
      </c>
      <c r="DJ165" s="228">
        <f t="shared" si="102"/>
        <v>0</v>
      </c>
      <c r="DK165" s="228">
        <f t="shared" si="102"/>
        <v>0</v>
      </c>
      <c r="DL165" s="228">
        <f t="shared" si="102"/>
        <v>1</v>
      </c>
      <c r="DM165" s="228">
        <f t="shared" si="102"/>
        <v>0</v>
      </c>
      <c r="DN165" s="228">
        <f t="shared" si="102"/>
        <v>278</v>
      </c>
      <c r="DO165" s="228">
        <f t="shared" si="102"/>
        <v>0</v>
      </c>
      <c r="DP165" s="232">
        <f t="shared" si="102"/>
        <v>6588</v>
      </c>
      <c r="DQ165" s="228">
        <f t="shared" si="17"/>
        <v>0</v>
      </c>
      <c r="DR165" s="228">
        <f t="shared" si="18"/>
        <v>11</v>
      </c>
      <c r="DS165" s="230">
        <f>SUM(X165:Y165)+(1-TRP!$AK$253)*AC165</f>
        <v>596.5</v>
      </c>
      <c r="DT165" s="228">
        <f t="shared" si="19"/>
        <v>10</v>
      </c>
      <c r="DU165" s="228">
        <f t="shared" si="20"/>
        <v>61</v>
      </c>
      <c r="DV165" s="228">
        <f t="shared" si="21"/>
        <v>3</v>
      </c>
      <c r="DW165" s="228">
        <f t="shared" si="22"/>
        <v>8</v>
      </c>
      <c r="DX165" s="228">
        <f t="shared" si="23"/>
        <v>10</v>
      </c>
      <c r="DY165" s="228">
        <f t="shared" si="24"/>
        <v>21</v>
      </c>
      <c r="DZ165" s="228">
        <f t="shared" si="25"/>
        <v>8</v>
      </c>
      <c r="EA165" s="228">
        <f t="shared" si="26"/>
        <v>2</v>
      </c>
      <c r="EB165" s="230">
        <f>TRP!$AK$253*$AC165+SUM(M165:W165,Z165:AB165,AD165:AR165,AU165:AX165,BC165:BE165,BI165:BN165,BQ165:BR165,BV165)</f>
        <v>4295.5</v>
      </c>
      <c r="EC165" s="228">
        <f t="shared" si="27"/>
        <v>88</v>
      </c>
      <c r="ED165" s="230">
        <f>CB165+$CI165*TRP!$AV$248</f>
        <v>1.2170297517606719</v>
      </c>
      <c r="EE165" s="228">
        <f t="shared" si="28"/>
        <v>0</v>
      </c>
      <c r="EF165" s="230">
        <f>CD165+$CI165*TRP!$AV$249</f>
        <v>4.8523704905241978</v>
      </c>
      <c r="EG165" s="230">
        <f>CE165+$CI165*TRP!$AV$250</f>
        <v>1.4153542902901259</v>
      </c>
      <c r="EH165" s="230">
        <f>CF165+$CI165*TRP!$AV$251</f>
        <v>0.51524546742500466</v>
      </c>
      <c r="EI165" s="228">
        <f t="shared" si="29"/>
        <v>1142</v>
      </c>
      <c r="EJ165" s="228">
        <f t="shared" si="30"/>
        <v>278</v>
      </c>
      <c r="EK165" s="228">
        <f t="shared" si="31"/>
        <v>0</v>
      </c>
      <c r="EL165" s="230">
        <f>BS165+$BP165*TRP!$AN$246</f>
        <v>10</v>
      </c>
      <c r="EM165" s="228">
        <f t="shared" si="32"/>
        <v>35</v>
      </c>
      <c r="EN165" s="230">
        <f>BU165+$BP165*TRP!$AN$247</f>
        <v>1</v>
      </c>
    </row>
    <row r="166" spans="1:144" s="228" customFormat="1" ht="10.5" x14ac:dyDescent="0.25">
      <c r="A166" s="228" t="str">
        <f>TRP!C164</f>
        <v xml:space="preserve">GE34 </v>
      </c>
      <c r="B166" s="228" t="str">
        <f>TRP!B164</f>
        <v>FABRICATION DE MATERIEL MEDICO_CHIRURGIC</v>
      </c>
      <c r="C166" s="233">
        <f>TRP!A164</f>
        <v>12</v>
      </c>
      <c r="D166" s="228">
        <f t="shared" ref="D166:BO166" si="103">D42</f>
        <v>0</v>
      </c>
      <c r="E166" s="228">
        <f t="shared" si="103"/>
        <v>0</v>
      </c>
      <c r="F166" s="228">
        <f t="shared" si="103"/>
        <v>0</v>
      </c>
      <c r="G166" s="228">
        <f t="shared" si="103"/>
        <v>0</v>
      </c>
      <c r="H166" s="228">
        <f t="shared" si="103"/>
        <v>0</v>
      </c>
      <c r="I166" s="228">
        <f t="shared" si="103"/>
        <v>0</v>
      </c>
      <c r="J166" s="228">
        <f t="shared" si="103"/>
        <v>0</v>
      </c>
      <c r="K166" s="228">
        <f t="shared" si="103"/>
        <v>0</v>
      </c>
      <c r="L166" s="228">
        <f t="shared" si="103"/>
        <v>0</v>
      </c>
      <c r="M166" s="228">
        <f t="shared" si="103"/>
        <v>0</v>
      </c>
      <c r="N166" s="228">
        <f t="shared" si="103"/>
        <v>0</v>
      </c>
      <c r="O166" s="228">
        <f t="shared" si="103"/>
        <v>0</v>
      </c>
      <c r="P166" s="228">
        <f t="shared" si="103"/>
        <v>0</v>
      </c>
      <c r="Q166" s="228">
        <f t="shared" si="103"/>
        <v>0</v>
      </c>
      <c r="R166" s="228">
        <f t="shared" si="103"/>
        <v>0</v>
      </c>
      <c r="S166" s="228">
        <f t="shared" si="103"/>
        <v>0</v>
      </c>
      <c r="T166" s="228">
        <f t="shared" si="103"/>
        <v>0</v>
      </c>
      <c r="U166" s="228">
        <f t="shared" si="103"/>
        <v>0</v>
      </c>
      <c r="V166" s="228">
        <f t="shared" si="103"/>
        <v>0</v>
      </c>
      <c r="W166" s="228">
        <f t="shared" si="103"/>
        <v>0</v>
      </c>
      <c r="X166" s="228">
        <f t="shared" si="103"/>
        <v>0</v>
      </c>
      <c r="Y166" s="228">
        <f t="shared" si="103"/>
        <v>0</v>
      </c>
      <c r="Z166" s="228">
        <f t="shared" si="103"/>
        <v>0</v>
      </c>
      <c r="AA166" s="228">
        <f t="shared" si="103"/>
        <v>0</v>
      </c>
      <c r="AB166" s="228">
        <f t="shared" si="103"/>
        <v>0</v>
      </c>
      <c r="AC166" s="228">
        <f t="shared" si="103"/>
        <v>0</v>
      </c>
      <c r="AD166" s="228">
        <f t="shared" si="103"/>
        <v>0</v>
      </c>
      <c r="AE166" s="228">
        <f t="shared" si="103"/>
        <v>0</v>
      </c>
      <c r="AF166" s="228">
        <f t="shared" si="103"/>
        <v>0</v>
      </c>
      <c r="AG166" s="228">
        <f t="shared" si="103"/>
        <v>0</v>
      </c>
      <c r="AH166" s="228">
        <f t="shared" si="103"/>
        <v>0</v>
      </c>
      <c r="AI166" s="228">
        <f t="shared" si="103"/>
        <v>0</v>
      </c>
      <c r="AJ166" s="228">
        <f t="shared" si="103"/>
        <v>0</v>
      </c>
      <c r="AK166" s="228">
        <f t="shared" si="103"/>
        <v>0</v>
      </c>
      <c r="AL166" s="228">
        <f t="shared" si="103"/>
        <v>0</v>
      </c>
      <c r="AM166" s="228">
        <f t="shared" si="103"/>
        <v>0</v>
      </c>
      <c r="AN166" s="228">
        <f t="shared" si="103"/>
        <v>0</v>
      </c>
      <c r="AO166" s="228">
        <f t="shared" si="103"/>
        <v>111</v>
      </c>
      <c r="AP166" s="228">
        <f t="shared" si="103"/>
        <v>0</v>
      </c>
      <c r="AQ166" s="228">
        <f t="shared" si="103"/>
        <v>0</v>
      </c>
      <c r="AR166" s="228">
        <f t="shared" si="103"/>
        <v>0</v>
      </c>
      <c r="AS166" s="228">
        <f t="shared" si="103"/>
        <v>0</v>
      </c>
      <c r="AT166" s="228">
        <f t="shared" si="103"/>
        <v>0</v>
      </c>
      <c r="AU166" s="228">
        <f t="shared" si="103"/>
        <v>0</v>
      </c>
      <c r="AV166" s="228">
        <f t="shared" si="103"/>
        <v>0</v>
      </c>
      <c r="AW166" s="228">
        <f t="shared" si="103"/>
        <v>0</v>
      </c>
      <c r="AX166" s="228">
        <f t="shared" si="103"/>
        <v>0</v>
      </c>
      <c r="AY166" s="228">
        <f t="shared" si="103"/>
        <v>0</v>
      </c>
      <c r="AZ166" s="228">
        <f t="shared" si="103"/>
        <v>0</v>
      </c>
      <c r="BA166" s="228">
        <f t="shared" si="103"/>
        <v>0</v>
      </c>
      <c r="BB166" s="228">
        <f t="shared" si="103"/>
        <v>0</v>
      </c>
      <c r="BC166" s="228">
        <f t="shared" si="103"/>
        <v>0</v>
      </c>
      <c r="BD166" s="228">
        <f t="shared" si="103"/>
        <v>0</v>
      </c>
      <c r="BE166" s="228">
        <f t="shared" si="103"/>
        <v>0</v>
      </c>
      <c r="BF166" s="228">
        <f t="shared" si="103"/>
        <v>0</v>
      </c>
      <c r="BG166" s="228">
        <f t="shared" si="103"/>
        <v>0</v>
      </c>
      <c r="BH166" s="228">
        <f t="shared" si="103"/>
        <v>0</v>
      </c>
      <c r="BI166" s="228">
        <f t="shared" si="103"/>
        <v>0</v>
      </c>
      <c r="BJ166" s="228">
        <f t="shared" si="103"/>
        <v>0</v>
      </c>
      <c r="BK166" s="228">
        <f t="shared" si="103"/>
        <v>0</v>
      </c>
      <c r="BL166" s="228">
        <f t="shared" si="103"/>
        <v>0</v>
      </c>
      <c r="BM166" s="228">
        <f t="shared" si="103"/>
        <v>0</v>
      </c>
      <c r="BN166" s="228">
        <f t="shared" si="103"/>
        <v>0</v>
      </c>
      <c r="BO166" s="228">
        <f t="shared" si="103"/>
        <v>0</v>
      </c>
      <c r="BP166" s="228">
        <f t="shared" ref="BP166:DP166" si="104">BP42</f>
        <v>0</v>
      </c>
      <c r="BQ166" s="228">
        <f t="shared" si="104"/>
        <v>0</v>
      </c>
      <c r="BR166" s="228">
        <f t="shared" si="104"/>
        <v>0</v>
      </c>
      <c r="BS166" s="228">
        <f t="shared" si="104"/>
        <v>0</v>
      </c>
      <c r="BT166" s="228">
        <f t="shared" si="104"/>
        <v>0</v>
      </c>
      <c r="BU166" s="228">
        <f t="shared" si="104"/>
        <v>0</v>
      </c>
      <c r="BV166" s="228">
        <f t="shared" si="104"/>
        <v>0</v>
      </c>
      <c r="BW166" s="228">
        <f t="shared" si="104"/>
        <v>0</v>
      </c>
      <c r="BX166" s="228">
        <f t="shared" si="104"/>
        <v>0</v>
      </c>
      <c r="BY166" s="228">
        <f t="shared" si="104"/>
        <v>0</v>
      </c>
      <c r="BZ166" s="228">
        <f t="shared" si="104"/>
        <v>0</v>
      </c>
      <c r="CA166" s="228">
        <f t="shared" si="104"/>
        <v>0</v>
      </c>
      <c r="CB166" s="228">
        <f t="shared" si="104"/>
        <v>0</v>
      </c>
      <c r="CC166" s="228">
        <f t="shared" si="104"/>
        <v>0</v>
      </c>
      <c r="CD166" s="228">
        <f t="shared" si="104"/>
        <v>0</v>
      </c>
      <c r="CE166" s="228">
        <f t="shared" si="104"/>
        <v>0</v>
      </c>
      <c r="CF166" s="228">
        <f t="shared" si="104"/>
        <v>0</v>
      </c>
      <c r="CG166" s="228">
        <f t="shared" si="104"/>
        <v>0</v>
      </c>
      <c r="CH166" s="228">
        <f t="shared" si="104"/>
        <v>0</v>
      </c>
      <c r="CI166" s="228">
        <f t="shared" si="104"/>
        <v>0</v>
      </c>
      <c r="CJ166" s="228">
        <f t="shared" si="104"/>
        <v>0</v>
      </c>
      <c r="CK166" s="228">
        <f t="shared" si="104"/>
        <v>0</v>
      </c>
      <c r="CL166" s="228">
        <f t="shared" si="104"/>
        <v>0</v>
      </c>
      <c r="CM166" s="228">
        <f t="shared" si="104"/>
        <v>0</v>
      </c>
      <c r="CN166" s="228">
        <f t="shared" si="104"/>
        <v>0</v>
      </c>
      <c r="CO166" s="228">
        <f t="shared" si="104"/>
        <v>0</v>
      </c>
      <c r="CP166" s="228">
        <f t="shared" si="104"/>
        <v>0</v>
      </c>
      <c r="CQ166" s="228">
        <f t="shared" si="104"/>
        <v>0</v>
      </c>
      <c r="CR166" s="228">
        <f t="shared" si="104"/>
        <v>0</v>
      </c>
      <c r="CS166" s="228">
        <f t="shared" si="104"/>
        <v>0</v>
      </c>
      <c r="CT166" s="228">
        <f t="shared" si="104"/>
        <v>0</v>
      </c>
      <c r="CU166" s="228">
        <f t="shared" si="104"/>
        <v>0</v>
      </c>
      <c r="CV166" s="228">
        <f t="shared" si="104"/>
        <v>0</v>
      </c>
      <c r="CW166" s="228">
        <f t="shared" si="104"/>
        <v>0</v>
      </c>
      <c r="CX166" s="228">
        <f t="shared" si="104"/>
        <v>0</v>
      </c>
      <c r="CY166" s="228">
        <f t="shared" si="104"/>
        <v>0</v>
      </c>
      <c r="CZ166" s="228">
        <f t="shared" si="104"/>
        <v>0</v>
      </c>
      <c r="DA166" s="228">
        <f t="shared" si="104"/>
        <v>0</v>
      </c>
      <c r="DB166" s="228">
        <f t="shared" si="104"/>
        <v>0</v>
      </c>
      <c r="DC166" s="228">
        <f t="shared" si="104"/>
        <v>0</v>
      </c>
      <c r="DD166" s="228">
        <f t="shared" si="104"/>
        <v>17</v>
      </c>
      <c r="DE166" s="228">
        <f t="shared" si="104"/>
        <v>0</v>
      </c>
      <c r="DF166" s="228">
        <f t="shared" si="104"/>
        <v>0</v>
      </c>
      <c r="DG166" s="228">
        <f t="shared" si="104"/>
        <v>0</v>
      </c>
      <c r="DH166" s="228">
        <f t="shared" si="104"/>
        <v>0</v>
      </c>
      <c r="DI166" s="228">
        <f t="shared" si="104"/>
        <v>185</v>
      </c>
      <c r="DJ166" s="228">
        <f t="shared" si="104"/>
        <v>4087</v>
      </c>
      <c r="DK166" s="228">
        <f t="shared" si="104"/>
        <v>0</v>
      </c>
      <c r="DL166" s="228">
        <f t="shared" si="104"/>
        <v>1</v>
      </c>
      <c r="DM166" s="228">
        <f t="shared" si="104"/>
        <v>0</v>
      </c>
      <c r="DN166" s="228">
        <f t="shared" si="104"/>
        <v>0</v>
      </c>
      <c r="DO166" s="228">
        <f t="shared" si="104"/>
        <v>0</v>
      </c>
      <c r="DP166" s="232">
        <f t="shared" si="104"/>
        <v>4401</v>
      </c>
      <c r="DQ166" s="228">
        <f t="shared" si="17"/>
        <v>0</v>
      </c>
      <c r="DR166" s="228">
        <f t="shared" si="18"/>
        <v>0</v>
      </c>
      <c r="DS166" s="230">
        <f>SUM(X166:Y166)+(1-TRP!$AK$253)*AC166</f>
        <v>0</v>
      </c>
      <c r="DT166" s="228">
        <f t="shared" si="19"/>
        <v>0</v>
      </c>
      <c r="DU166" s="228">
        <f t="shared" si="20"/>
        <v>0</v>
      </c>
      <c r="DV166" s="228">
        <f t="shared" si="21"/>
        <v>0</v>
      </c>
      <c r="DW166" s="228">
        <f t="shared" si="22"/>
        <v>0</v>
      </c>
      <c r="DX166" s="228">
        <f t="shared" si="23"/>
        <v>0</v>
      </c>
      <c r="DY166" s="228">
        <f t="shared" si="24"/>
        <v>0</v>
      </c>
      <c r="DZ166" s="228">
        <f t="shared" si="25"/>
        <v>0</v>
      </c>
      <c r="EA166" s="228">
        <f t="shared" si="26"/>
        <v>0</v>
      </c>
      <c r="EB166" s="230">
        <f>TRP!$AK$253*$AC166+SUM(M166:W166,Z166:AB166,AD166:AR166,AU166:AX166,BC166:BE166,BI166:BN166,BQ166:BR166,BV166)</f>
        <v>111</v>
      </c>
      <c r="EC166" s="228">
        <f t="shared" si="27"/>
        <v>0</v>
      </c>
      <c r="ED166" s="230">
        <f>CB166+$CI166*TRP!$AV$248</f>
        <v>0</v>
      </c>
      <c r="EE166" s="228">
        <f t="shared" si="28"/>
        <v>0</v>
      </c>
      <c r="EF166" s="230">
        <f>CD166+$CI166*TRP!$AV$249</f>
        <v>0</v>
      </c>
      <c r="EG166" s="230">
        <f>CE166+$CI166*TRP!$AV$250</f>
        <v>0</v>
      </c>
      <c r="EH166" s="230">
        <f>CF166+$CI166*TRP!$AV$251</f>
        <v>0</v>
      </c>
      <c r="EI166" s="228">
        <f t="shared" si="29"/>
        <v>203</v>
      </c>
      <c r="EJ166" s="228">
        <f t="shared" si="30"/>
        <v>4087</v>
      </c>
      <c r="EK166" s="228">
        <f t="shared" si="31"/>
        <v>0</v>
      </c>
      <c r="EL166" s="230">
        <f>BS166+$BP166*TRP!$AN$246</f>
        <v>0</v>
      </c>
      <c r="EM166" s="228">
        <f t="shared" si="32"/>
        <v>0</v>
      </c>
      <c r="EN166" s="230">
        <f>BU166+$BP166*TRP!$AN$247</f>
        <v>0</v>
      </c>
    </row>
    <row r="167" spans="1:144" s="228" customFormat="1" ht="10.5" x14ac:dyDescent="0.25">
      <c r="A167" s="228" t="str">
        <f>TRP!C165</f>
        <v xml:space="preserve">GE35 </v>
      </c>
      <c r="B167" s="228" t="str">
        <f>TRP!B165</f>
        <v xml:space="preserve">FABRICATION DE MATERIEL DE MESURE ET DE </v>
      </c>
      <c r="C167" s="233">
        <f>TRP!A165</f>
        <v>12</v>
      </c>
      <c r="D167" s="228">
        <f t="shared" ref="D167:BO167" si="105">D43</f>
        <v>0</v>
      </c>
      <c r="E167" s="228">
        <f t="shared" si="105"/>
        <v>0</v>
      </c>
      <c r="F167" s="228">
        <f t="shared" si="105"/>
        <v>0</v>
      </c>
      <c r="G167" s="228">
        <f t="shared" si="105"/>
        <v>2</v>
      </c>
      <c r="H167" s="228">
        <f t="shared" si="105"/>
        <v>2</v>
      </c>
      <c r="I167" s="228">
        <f t="shared" si="105"/>
        <v>2</v>
      </c>
      <c r="J167" s="228">
        <f t="shared" si="105"/>
        <v>2</v>
      </c>
      <c r="K167" s="228">
        <f t="shared" si="105"/>
        <v>2</v>
      </c>
      <c r="L167" s="228">
        <f t="shared" si="105"/>
        <v>0</v>
      </c>
      <c r="M167" s="228">
        <f t="shared" si="105"/>
        <v>4</v>
      </c>
      <c r="N167" s="228">
        <f t="shared" si="105"/>
        <v>2</v>
      </c>
      <c r="O167" s="228">
        <f t="shared" si="105"/>
        <v>38</v>
      </c>
      <c r="P167" s="228">
        <f t="shared" si="105"/>
        <v>21</v>
      </c>
      <c r="Q167" s="228">
        <f t="shared" si="105"/>
        <v>10</v>
      </c>
      <c r="R167" s="228">
        <f t="shared" si="105"/>
        <v>2</v>
      </c>
      <c r="S167" s="228">
        <f t="shared" si="105"/>
        <v>0</v>
      </c>
      <c r="T167" s="228">
        <f t="shared" si="105"/>
        <v>3</v>
      </c>
      <c r="U167" s="228">
        <f t="shared" si="105"/>
        <v>89</v>
      </c>
      <c r="V167" s="228">
        <f t="shared" si="105"/>
        <v>75</v>
      </c>
      <c r="W167" s="228">
        <f t="shared" si="105"/>
        <v>11</v>
      </c>
      <c r="X167" s="228">
        <f t="shared" si="105"/>
        <v>925</v>
      </c>
      <c r="Y167" s="228">
        <f t="shared" si="105"/>
        <v>237</v>
      </c>
      <c r="Z167" s="228">
        <f t="shared" si="105"/>
        <v>118</v>
      </c>
      <c r="AA167" s="228">
        <f t="shared" si="105"/>
        <v>25</v>
      </c>
      <c r="AB167" s="228">
        <f t="shared" si="105"/>
        <v>4019</v>
      </c>
      <c r="AC167" s="228">
        <f t="shared" si="105"/>
        <v>7</v>
      </c>
      <c r="AD167" s="228">
        <f t="shared" si="105"/>
        <v>47</v>
      </c>
      <c r="AE167" s="228">
        <f t="shared" si="105"/>
        <v>19</v>
      </c>
      <c r="AF167" s="228">
        <f t="shared" si="105"/>
        <v>155</v>
      </c>
      <c r="AG167" s="228">
        <f t="shared" si="105"/>
        <v>180</v>
      </c>
      <c r="AH167" s="228">
        <f t="shared" si="105"/>
        <v>35</v>
      </c>
      <c r="AI167" s="228">
        <f t="shared" si="105"/>
        <v>19</v>
      </c>
      <c r="AJ167" s="228">
        <f t="shared" si="105"/>
        <v>58</v>
      </c>
      <c r="AK167" s="228">
        <f t="shared" si="105"/>
        <v>94</v>
      </c>
      <c r="AL167" s="228">
        <f t="shared" si="105"/>
        <v>43</v>
      </c>
      <c r="AM167" s="228">
        <f t="shared" si="105"/>
        <v>55</v>
      </c>
      <c r="AN167" s="228">
        <f t="shared" si="105"/>
        <v>454</v>
      </c>
      <c r="AO167" s="228">
        <f t="shared" si="105"/>
        <v>41</v>
      </c>
      <c r="AP167" s="228">
        <f t="shared" si="105"/>
        <v>1126</v>
      </c>
      <c r="AQ167" s="228">
        <f t="shared" si="105"/>
        <v>0</v>
      </c>
      <c r="AR167" s="228">
        <f t="shared" si="105"/>
        <v>0</v>
      </c>
      <c r="AS167" s="228">
        <f t="shared" si="105"/>
        <v>3</v>
      </c>
      <c r="AT167" s="228">
        <f t="shared" si="105"/>
        <v>85</v>
      </c>
      <c r="AU167" s="228">
        <f t="shared" si="105"/>
        <v>5</v>
      </c>
      <c r="AV167" s="228">
        <f t="shared" si="105"/>
        <v>3</v>
      </c>
      <c r="AW167" s="228">
        <f t="shared" si="105"/>
        <v>2</v>
      </c>
      <c r="AX167" s="228">
        <f t="shared" si="105"/>
        <v>2</v>
      </c>
      <c r="AY167" s="228">
        <f t="shared" si="105"/>
        <v>0</v>
      </c>
      <c r="AZ167" s="228">
        <f t="shared" si="105"/>
        <v>0</v>
      </c>
      <c r="BA167" s="228">
        <f t="shared" si="105"/>
        <v>13</v>
      </c>
      <c r="BB167" s="228">
        <f t="shared" si="105"/>
        <v>22</v>
      </c>
      <c r="BC167" s="228">
        <f t="shared" si="105"/>
        <v>9</v>
      </c>
      <c r="BD167" s="228">
        <f t="shared" si="105"/>
        <v>0</v>
      </c>
      <c r="BE167" s="228">
        <f t="shared" si="105"/>
        <v>8</v>
      </c>
      <c r="BF167" s="228">
        <f t="shared" si="105"/>
        <v>37</v>
      </c>
      <c r="BG167" s="228">
        <f t="shared" si="105"/>
        <v>80</v>
      </c>
      <c r="BH167" s="228">
        <f t="shared" si="105"/>
        <v>20</v>
      </c>
      <c r="BI167" s="228">
        <f t="shared" si="105"/>
        <v>31</v>
      </c>
      <c r="BJ167" s="228">
        <f t="shared" si="105"/>
        <v>82</v>
      </c>
      <c r="BK167" s="228">
        <f t="shared" si="105"/>
        <v>43</v>
      </c>
      <c r="BL167" s="228">
        <f t="shared" si="105"/>
        <v>0</v>
      </c>
      <c r="BM167" s="228">
        <f t="shared" si="105"/>
        <v>497</v>
      </c>
      <c r="BN167" s="228">
        <f t="shared" si="105"/>
        <v>896</v>
      </c>
      <c r="BO167" s="228">
        <f t="shared" si="105"/>
        <v>0</v>
      </c>
      <c r="BP167" s="228">
        <f t="shared" ref="BP167:DP167" si="106">BP43</f>
        <v>0</v>
      </c>
      <c r="BQ167" s="228">
        <f t="shared" si="106"/>
        <v>0</v>
      </c>
      <c r="BR167" s="228">
        <f t="shared" si="106"/>
        <v>10</v>
      </c>
      <c r="BS167" s="228">
        <f t="shared" si="106"/>
        <v>25</v>
      </c>
      <c r="BT167" s="228">
        <f t="shared" si="106"/>
        <v>105</v>
      </c>
      <c r="BU167" s="228">
        <f t="shared" si="106"/>
        <v>4</v>
      </c>
      <c r="BV167" s="228">
        <f t="shared" si="106"/>
        <v>18</v>
      </c>
      <c r="BW167" s="228">
        <f t="shared" si="106"/>
        <v>317</v>
      </c>
      <c r="BX167" s="228">
        <f t="shared" si="106"/>
        <v>134</v>
      </c>
      <c r="BY167" s="228">
        <f t="shared" si="106"/>
        <v>41</v>
      </c>
      <c r="BZ167" s="228">
        <f t="shared" si="106"/>
        <v>72</v>
      </c>
      <c r="CA167" s="228">
        <f t="shared" si="106"/>
        <v>77</v>
      </c>
      <c r="CB167" s="228">
        <f t="shared" si="106"/>
        <v>0</v>
      </c>
      <c r="CC167" s="228">
        <f t="shared" si="106"/>
        <v>1</v>
      </c>
      <c r="CD167" s="228">
        <f t="shared" si="106"/>
        <v>2</v>
      </c>
      <c r="CE167" s="228">
        <f t="shared" si="106"/>
        <v>0</v>
      </c>
      <c r="CF167" s="228">
        <f t="shared" si="106"/>
        <v>1</v>
      </c>
      <c r="CG167" s="228">
        <f t="shared" si="106"/>
        <v>1</v>
      </c>
      <c r="CH167" s="228">
        <f t="shared" si="106"/>
        <v>2</v>
      </c>
      <c r="CI167" s="228">
        <f t="shared" si="106"/>
        <v>9</v>
      </c>
      <c r="CJ167" s="228">
        <f t="shared" si="106"/>
        <v>24</v>
      </c>
      <c r="CK167" s="228">
        <f t="shared" si="106"/>
        <v>0</v>
      </c>
      <c r="CL167" s="228">
        <f t="shared" si="106"/>
        <v>0</v>
      </c>
      <c r="CM167" s="228">
        <f t="shared" si="106"/>
        <v>18</v>
      </c>
      <c r="CN167" s="228">
        <f t="shared" si="106"/>
        <v>8</v>
      </c>
      <c r="CO167" s="228">
        <f t="shared" si="106"/>
        <v>191</v>
      </c>
      <c r="CP167" s="228">
        <f t="shared" si="106"/>
        <v>211</v>
      </c>
      <c r="CQ167" s="228">
        <f t="shared" si="106"/>
        <v>56</v>
      </c>
      <c r="CR167" s="228">
        <f t="shared" si="106"/>
        <v>49</v>
      </c>
      <c r="CS167" s="228">
        <f t="shared" si="106"/>
        <v>16</v>
      </c>
      <c r="CT167" s="228">
        <f t="shared" si="106"/>
        <v>66</v>
      </c>
      <c r="CU167" s="228">
        <f t="shared" si="106"/>
        <v>12</v>
      </c>
      <c r="CV167" s="228">
        <f t="shared" si="106"/>
        <v>5</v>
      </c>
      <c r="CW167" s="228">
        <f t="shared" si="106"/>
        <v>163</v>
      </c>
      <c r="CX167" s="228">
        <f t="shared" si="106"/>
        <v>1</v>
      </c>
      <c r="CY167" s="228">
        <f t="shared" si="106"/>
        <v>550</v>
      </c>
      <c r="CZ167" s="228">
        <f t="shared" si="106"/>
        <v>22</v>
      </c>
      <c r="DA167" s="228">
        <f t="shared" si="106"/>
        <v>15</v>
      </c>
      <c r="DB167" s="228">
        <f t="shared" si="106"/>
        <v>295</v>
      </c>
      <c r="DC167" s="228">
        <f t="shared" si="106"/>
        <v>12</v>
      </c>
      <c r="DD167" s="228">
        <f t="shared" si="106"/>
        <v>0</v>
      </c>
      <c r="DE167" s="228">
        <f t="shared" si="106"/>
        <v>6</v>
      </c>
      <c r="DF167" s="228">
        <f t="shared" si="106"/>
        <v>0</v>
      </c>
      <c r="DG167" s="228">
        <f t="shared" si="106"/>
        <v>53</v>
      </c>
      <c r="DH167" s="228">
        <f t="shared" si="106"/>
        <v>0</v>
      </c>
      <c r="DI167" s="228">
        <f t="shared" si="106"/>
        <v>27</v>
      </c>
      <c r="DJ167" s="228">
        <f t="shared" si="106"/>
        <v>0</v>
      </c>
      <c r="DK167" s="228">
        <f t="shared" si="106"/>
        <v>11</v>
      </c>
      <c r="DL167" s="228">
        <f t="shared" si="106"/>
        <v>60</v>
      </c>
      <c r="DM167" s="228">
        <f t="shared" si="106"/>
        <v>0</v>
      </c>
      <c r="DN167" s="228">
        <f t="shared" si="106"/>
        <v>51</v>
      </c>
      <c r="DO167" s="228">
        <f t="shared" si="106"/>
        <v>0</v>
      </c>
      <c r="DP167" s="232">
        <f t="shared" si="106"/>
        <v>12501</v>
      </c>
      <c r="DQ167" s="228">
        <f t="shared" si="17"/>
        <v>0</v>
      </c>
      <c r="DR167" s="228">
        <f t="shared" si="18"/>
        <v>10</v>
      </c>
      <c r="DS167" s="230">
        <f>SUM(X167:Y167)+(1-TRP!$AK$253)*AC167</f>
        <v>1166.9000000000001</v>
      </c>
      <c r="DT167" s="228">
        <f t="shared" si="19"/>
        <v>3</v>
      </c>
      <c r="DU167" s="228">
        <f t="shared" si="20"/>
        <v>85</v>
      </c>
      <c r="DV167" s="228">
        <f t="shared" si="21"/>
        <v>0</v>
      </c>
      <c r="DW167" s="228">
        <f t="shared" si="22"/>
        <v>13</v>
      </c>
      <c r="DX167" s="228">
        <f t="shared" si="23"/>
        <v>22</v>
      </c>
      <c r="DY167" s="228">
        <f t="shared" si="24"/>
        <v>37</v>
      </c>
      <c r="DZ167" s="228">
        <f t="shared" si="25"/>
        <v>80</v>
      </c>
      <c r="EA167" s="228">
        <f t="shared" si="26"/>
        <v>20</v>
      </c>
      <c r="EB167" s="230">
        <f>TRP!$AK$253*$AC167+SUM(M167:W167,Z167:AB167,AD167:AR167,AU167:AX167,BC167:BE167,BI167:BN167,BQ167:BR167,BV167)</f>
        <v>8351.1</v>
      </c>
      <c r="EC167" s="228">
        <f t="shared" si="27"/>
        <v>451</v>
      </c>
      <c r="ED167" s="230">
        <f>CB167+$CI167*TRP!$AV$248</f>
        <v>0.27903825226372092</v>
      </c>
      <c r="EE167" s="228">
        <f t="shared" si="28"/>
        <v>1</v>
      </c>
      <c r="EF167" s="230">
        <f>CD167+$CI167*TRP!$AV$249</f>
        <v>8.2387620592453974</v>
      </c>
      <c r="EG167" s="230">
        <f>CE167+$CI167*TRP!$AV$250</f>
        <v>1.8197412303730189</v>
      </c>
      <c r="EH167" s="230">
        <f>CF167+$CI167*TRP!$AV$251</f>
        <v>1.6624584581178632</v>
      </c>
      <c r="EI167" s="228">
        <f t="shared" si="29"/>
        <v>2042</v>
      </c>
      <c r="EJ167" s="228">
        <f t="shared" si="30"/>
        <v>73</v>
      </c>
      <c r="EK167" s="228">
        <f t="shared" si="31"/>
        <v>0</v>
      </c>
      <c r="EL167" s="230">
        <f>BS167+$BP167*TRP!$AN$246</f>
        <v>25</v>
      </c>
      <c r="EM167" s="228">
        <f t="shared" si="32"/>
        <v>105</v>
      </c>
      <c r="EN167" s="230">
        <f>BU167+$BP167*TRP!$AN$247</f>
        <v>4</v>
      </c>
    </row>
    <row r="168" spans="1:144" s="228" customFormat="1" ht="10.5" x14ac:dyDescent="0.25">
      <c r="A168" s="228" t="str">
        <f>TRP!C166</f>
        <v xml:space="preserve">GF11 </v>
      </c>
      <c r="B168" s="228" t="str">
        <f>TRP!B166</f>
        <v>EXTRACTION DE MINERAIS METALLIQUES</v>
      </c>
      <c r="C168" s="233">
        <f>TRP!A166</f>
        <v>12</v>
      </c>
      <c r="D168" s="228">
        <f t="shared" ref="D168:BO168" si="107">D44</f>
        <v>0</v>
      </c>
      <c r="E168" s="228">
        <f t="shared" si="107"/>
        <v>0</v>
      </c>
      <c r="F168" s="228">
        <f t="shared" si="107"/>
        <v>0</v>
      </c>
      <c r="G168" s="228">
        <f t="shared" si="107"/>
        <v>0</v>
      </c>
      <c r="H168" s="228">
        <f t="shared" si="107"/>
        <v>0</v>
      </c>
      <c r="I168" s="228">
        <f t="shared" si="107"/>
        <v>0</v>
      </c>
      <c r="J168" s="228">
        <f t="shared" si="107"/>
        <v>0</v>
      </c>
      <c r="K168" s="228">
        <f t="shared" si="107"/>
        <v>0</v>
      </c>
      <c r="L168" s="228">
        <f t="shared" si="107"/>
        <v>0</v>
      </c>
      <c r="M168" s="228">
        <f t="shared" si="107"/>
        <v>0</v>
      </c>
      <c r="N168" s="228">
        <f t="shared" si="107"/>
        <v>0</v>
      </c>
      <c r="O168" s="228">
        <f t="shared" si="107"/>
        <v>0</v>
      </c>
      <c r="P168" s="228">
        <f t="shared" si="107"/>
        <v>0</v>
      </c>
      <c r="Q168" s="228">
        <f t="shared" si="107"/>
        <v>0</v>
      </c>
      <c r="R168" s="228">
        <f t="shared" si="107"/>
        <v>0</v>
      </c>
      <c r="S168" s="228">
        <f t="shared" si="107"/>
        <v>2</v>
      </c>
      <c r="T168" s="228">
        <f t="shared" si="107"/>
        <v>0</v>
      </c>
      <c r="U168" s="228">
        <f t="shared" si="107"/>
        <v>0</v>
      </c>
      <c r="V168" s="228">
        <f t="shared" si="107"/>
        <v>0</v>
      </c>
      <c r="W168" s="228">
        <f t="shared" si="107"/>
        <v>0</v>
      </c>
      <c r="X168" s="228">
        <f t="shared" si="107"/>
        <v>0</v>
      </c>
      <c r="Y168" s="228">
        <f t="shared" si="107"/>
        <v>0</v>
      </c>
      <c r="Z168" s="228">
        <f t="shared" si="107"/>
        <v>0</v>
      </c>
      <c r="AA168" s="228">
        <f t="shared" si="107"/>
        <v>0</v>
      </c>
      <c r="AB168" s="228">
        <f t="shared" si="107"/>
        <v>0</v>
      </c>
      <c r="AC168" s="228">
        <f t="shared" si="107"/>
        <v>0</v>
      </c>
      <c r="AD168" s="228">
        <f t="shared" si="107"/>
        <v>0</v>
      </c>
      <c r="AE168" s="228">
        <f t="shared" si="107"/>
        <v>0</v>
      </c>
      <c r="AF168" s="228">
        <f t="shared" si="107"/>
        <v>0</v>
      </c>
      <c r="AG168" s="228">
        <f t="shared" si="107"/>
        <v>0</v>
      </c>
      <c r="AH168" s="228">
        <f t="shared" si="107"/>
        <v>0</v>
      </c>
      <c r="AI168" s="228">
        <f t="shared" si="107"/>
        <v>0</v>
      </c>
      <c r="AJ168" s="228">
        <f t="shared" si="107"/>
        <v>0</v>
      </c>
      <c r="AK168" s="228">
        <f t="shared" si="107"/>
        <v>0</v>
      </c>
      <c r="AL168" s="228">
        <f t="shared" si="107"/>
        <v>0</v>
      </c>
      <c r="AM168" s="228">
        <f t="shared" si="107"/>
        <v>0</v>
      </c>
      <c r="AN168" s="228">
        <f t="shared" si="107"/>
        <v>0</v>
      </c>
      <c r="AO168" s="228">
        <f t="shared" si="107"/>
        <v>0</v>
      </c>
      <c r="AP168" s="228">
        <f t="shared" si="107"/>
        <v>0</v>
      </c>
      <c r="AQ168" s="228">
        <f t="shared" si="107"/>
        <v>4</v>
      </c>
      <c r="AR168" s="228">
        <f t="shared" si="107"/>
        <v>0</v>
      </c>
      <c r="AS168" s="228">
        <f t="shared" si="107"/>
        <v>4</v>
      </c>
      <c r="AT168" s="228">
        <f t="shared" si="107"/>
        <v>10</v>
      </c>
      <c r="AU168" s="228">
        <f t="shared" si="107"/>
        <v>0</v>
      </c>
      <c r="AV168" s="228">
        <f t="shared" si="107"/>
        <v>0</v>
      </c>
      <c r="AW168" s="228">
        <f t="shared" si="107"/>
        <v>0</v>
      </c>
      <c r="AX168" s="228">
        <f t="shared" si="107"/>
        <v>0</v>
      </c>
      <c r="AY168" s="228">
        <f t="shared" si="107"/>
        <v>0</v>
      </c>
      <c r="AZ168" s="228">
        <f t="shared" si="107"/>
        <v>0</v>
      </c>
      <c r="BA168" s="228">
        <f t="shared" si="107"/>
        <v>6</v>
      </c>
      <c r="BB168" s="228">
        <f t="shared" si="107"/>
        <v>0</v>
      </c>
      <c r="BC168" s="228">
        <f t="shared" si="107"/>
        <v>0</v>
      </c>
      <c r="BD168" s="228">
        <f t="shared" si="107"/>
        <v>0</v>
      </c>
      <c r="BE168" s="228">
        <f t="shared" si="107"/>
        <v>0</v>
      </c>
      <c r="BF168" s="228">
        <f t="shared" si="107"/>
        <v>0</v>
      </c>
      <c r="BG168" s="228">
        <f t="shared" si="107"/>
        <v>1097</v>
      </c>
      <c r="BH168" s="228">
        <f t="shared" si="107"/>
        <v>904</v>
      </c>
      <c r="BI168" s="228">
        <f t="shared" si="107"/>
        <v>8</v>
      </c>
      <c r="BJ168" s="228">
        <f t="shared" si="107"/>
        <v>6</v>
      </c>
      <c r="BK168" s="228">
        <f t="shared" si="107"/>
        <v>10</v>
      </c>
      <c r="BL168" s="228">
        <f t="shared" si="107"/>
        <v>0</v>
      </c>
      <c r="BM168" s="228">
        <f t="shared" si="107"/>
        <v>0</v>
      </c>
      <c r="BN168" s="228">
        <f t="shared" si="107"/>
        <v>0</v>
      </c>
      <c r="BO168" s="228">
        <f t="shared" si="107"/>
        <v>0</v>
      </c>
      <c r="BP168" s="228">
        <f t="shared" ref="BP168:DP168" si="108">BP44</f>
        <v>0</v>
      </c>
      <c r="BQ168" s="228">
        <f t="shared" si="108"/>
        <v>0</v>
      </c>
      <c r="BR168" s="228">
        <f t="shared" si="108"/>
        <v>0</v>
      </c>
      <c r="BS168" s="228">
        <f t="shared" si="108"/>
        <v>0</v>
      </c>
      <c r="BT168" s="228">
        <f t="shared" si="108"/>
        <v>0</v>
      </c>
      <c r="BU168" s="228">
        <f t="shared" si="108"/>
        <v>0</v>
      </c>
      <c r="BV168" s="228">
        <f t="shared" si="108"/>
        <v>0</v>
      </c>
      <c r="BW168" s="228">
        <f t="shared" si="108"/>
        <v>0</v>
      </c>
      <c r="BX168" s="228">
        <f t="shared" si="108"/>
        <v>0</v>
      </c>
      <c r="BY168" s="228">
        <f t="shared" si="108"/>
        <v>0</v>
      </c>
      <c r="BZ168" s="228">
        <f t="shared" si="108"/>
        <v>0</v>
      </c>
      <c r="CA168" s="228">
        <f t="shared" si="108"/>
        <v>0</v>
      </c>
      <c r="CB168" s="228">
        <f t="shared" si="108"/>
        <v>0</v>
      </c>
      <c r="CC168" s="228">
        <f t="shared" si="108"/>
        <v>0</v>
      </c>
      <c r="CD168" s="228">
        <f t="shared" si="108"/>
        <v>0</v>
      </c>
      <c r="CE168" s="228">
        <f t="shared" si="108"/>
        <v>0</v>
      </c>
      <c r="CF168" s="228">
        <f t="shared" si="108"/>
        <v>0</v>
      </c>
      <c r="CG168" s="228">
        <f t="shared" si="108"/>
        <v>0</v>
      </c>
      <c r="CH168" s="228">
        <f t="shared" si="108"/>
        <v>0</v>
      </c>
      <c r="CI168" s="228">
        <f t="shared" si="108"/>
        <v>0</v>
      </c>
      <c r="CJ168" s="228">
        <f t="shared" si="108"/>
        <v>0</v>
      </c>
      <c r="CK168" s="228">
        <f t="shared" si="108"/>
        <v>0</v>
      </c>
      <c r="CL168" s="228">
        <f t="shared" si="108"/>
        <v>0</v>
      </c>
      <c r="CM168" s="228">
        <f t="shared" si="108"/>
        <v>0</v>
      </c>
      <c r="CN168" s="228">
        <f t="shared" si="108"/>
        <v>0</v>
      </c>
      <c r="CO168" s="228">
        <f t="shared" si="108"/>
        <v>0</v>
      </c>
      <c r="CP168" s="228">
        <f t="shared" si="108"/>
        <v>0</v>
      </c>
      <c r="CQ168" s="228">
        <f t="shared" si="108"/>
        <v>0</v>
      </c>
      <c r="CR168" s="228">
        <f t="shared" si="108"/>
        <v>0</v>
      </c>
      <c r="CS168" s="228">
        <f t="shared" si="108"/>
        <v>0</v>
      </c>
      <c r="CT168" s="228">
        <f t="shared" si="108"/>
        <v>0</v>
      </c>
      <c r="CU168" s="228">
        <f t="shared" si="108"/>
        <v>0</v>
      </c>
      <c r="CV168" s="228">
        <f t="shared" si="108"/>
        <v>0</v>
      </c>
      <c r="CW168" s="228">
        <f t="shared" si="108"/>
        <v>0</v>
      </c>
      <c r="CX168" s="228">
        <f t="shared" si="108"/>
        <v>0</v>
      </c>
      <c r="CY168" s="228">
        <f t="shared" si="108"/>
        <v>2</v>
      </c>
      <c r="CZ168" s="228">
        <f t="shared" si="108"/>
        <v>0</v>
      </c>
      <c r="DA168" s="228">
        <f t="shared" si="108"/>
        <v>0</v>
      </c>
      <c r="DB168" s="228">
        <f t="shared" si="108"/>
        <v>0</v>
      </c>
      <c r="DC168" s="228">
        <f t="shared" si="108"/>
        <v>0</v>
      </c>
      <c r="DD168" s="228">
        <f t="shared" si="108"/>
        <v>0</v>
      </c>
      <c r="DE168" s="228">
        <f t="shared" si="108"/>
        <v>0</v>
      </c>
      <c r="DF168" s="228">
        <f t="shared" si="108"/>
        <v>0</v>
      </c>
      <c r="DG168" s="228">
        <f t="shared" si="108"/>
        <v>0</v>
      </c>
      <c r="DH168" s="228">
        <f t="shared" si="108"/>
        <v>0</v>
      </c>
      <c r="DI168" s="228">
        <f t="shared" si="108"/>
        <v>0</v>
      </c>
      <c r="DJ168" s="228">
        <f t="shared" si="108"/>
        <v>0</v>
      </c>
      <c r="DK168" s="228">
        <f t="shared" si="108"/>
        <v>0</v>
      </c>
      <c r="DL168" s="228">
        <f t="shared" si="108"/>
        <v>0</v>
      </c>
      <c r="DM168" s="228">
        <f t="shared" si="108"/>
        <v>0</v>
      </c>
      <c r="DN168" s="228">
        <f t="shared" si="108"/>
        <v>0</v>
      </c>
      <c r="DO168" s="228">
        <f t="shared" si="108"/>
        <v>0</v>
      </c>
      <c r="DP168" s="232">
        <f t="shared" si="108"/>
        <v>2053</v>
      </c>
      <c r="DQ168" s="228">
        <f t="shared" si="17"/>
        <v>0</v>
      </c>
      <c r="DR168" s="228">
        <f t="shared" si="18"/>
        <v>0</v>
      </c>
      <c r="DS168" s="230">
        <f>SUM(X168:Y168)+(1-TRP!$AK$253)*AC168</f>
        <v>0</v>
      </c>
      <c r="DT168" s="228">
        <f t="shared" si="19"/>
        <v>4</v>
      </c>
      <c r="DU168" s="228">
        <f t="shared" si="20"/>
        <v>10</v>
      </c>
      <c r="DV168" s="228">
        <f t="shared" si="21"/>
        <v>0</v>
      </c>
      <c r="DW168" s="228">
        <f t="shared" si="22"/>
        <v>6</v>
      </c>
      <c r="DX168" s="228">
        <f t="shared" si="23"/>
        <v>0</v>
      </c>
      <c r="DY168" s="228">
        <f t="shared" si="24"/>
        <v>0</v>
      </c>
      <c r="DZ168" s="228">
        <f t="shared" si="25"/>
        <v>1097</v>
      </c>
      <c r="EA168" s="228">
        <f t="shared" si="26"/>
        <v>904</v>
      </c>
      <c r="EB168" s="230">
        <f>TRP!$AK$253*$AC168+SUM(M168:W168,Z168:AB168,AD168:AR168,AU168:AX168,BC168:BE168,BI168:BN168,BQ168:BR168,BV168)</f>
        <v>30</v>
      </c>
      <c r="EC168" s="228">
        <f t="shared" si="27"/>
        <v>0</v>
      </c>
      <c r="ED168" s="230">
        <f>CB168+$CI168*TRP!$AV$248</f>
        <v>0</v>
      </c>
      <c r="EE168" s="228">
        <f t="shared" si="28"/>
        <v>0</v>
      </c>
      <c r="EF168" s="230">
        <f>CD168+$CI168*TRP!$AV$249</f>
        <v>0</v>
      </c>
      <c r="EG168" s="230">
        <f>CE168+$CI168*TRP!$AV$250</f>
        <v>0</v>
      </c>
      <c r="EH168" s="230">
        <f>CF168+$CI168*TRP!$AV$251</f>
        <v>0</v>
      </c>
      <c r="EI168" s="228">
        <f t="shared" si="29"/>
        <v>2</v>
      </c>
      <c r="EJ168" s="228">
        <f t="shared" si="30"/>
        <v>0</v>
      </c>
      <c r="EK168" s="228">
        <f t="shared" si="31"/>
        <v>0</v>
      </c>
      <c r="EL168" s="230">
        <f>BS168+$BP168*TRP!$AN$246</f>
        <v>0</v>
      </c>
      <c r="EM168" s="228">
        <f t="shared" si="32"/>
        <v>0</v>
      </c>
      <c r="EN168" s="230">
        <f>BU168+$BP168*TRP!$AN$247</f>
        <v>0</v>
      </c>
    </row>
    <row r="169" spans="1:144" s="228" customFormat="1" ht="10.5" x14ac:dyDescent="0.25">
      <c r="A169" s="228" t="str">
        <f>TRP!C167</f>
        <v xml:space="preserve">GF12 </v>
      </c>
      <c r="B169" s="228" t="str">
        <f>TRP!B167</f>
        <v>AUTRES INDUSTRIES EXTRACTIVES</v>
      </c>
      <c r="C169" s="233">
        <f>TRP!A167</f>
        <v>12</v>
      </c>
      <c r="D169" s="228">
        <f t="shared" ref="D169:BO169" si="109">D45</f>
        <v>164</v>
      </c>
      <c r="E169" s="228">
        <f t="shared" si="109"/>
        <v>0</v>
      </c>
      <c r="F169" s="228">
        <f t="shared" si="109"/>
        <v>8</v>
      </c>
      <c r="G169" s="228">
        <f t="shared" si="109"/>
        <v>35</v>
      </c>
      <c r="H169" s="228">
        <f t="shared" si="109"/>
        <v>0</v>
      </c>
      <c r="I169" s="228">
        <f t="shared" si="109"/>
        <v>0</v>
      </c>
      <c r="J169" s="228">
        <f t="shared" si="109"/>
        <v>14</v>
      </c>
      <c r="K169" s="228">
        <f t="shared" si="109"/>
        <v>72</v>
      </c>
      <c r="L169" s="228">
        <f t="shared" si="109"/>
        <v>0</v>
      </c>
      <c r="M169" s="228">
        <f t="shared" si="109"/>
        <v>0</v>
      </c>
      <c r="N169" s="228">
        <f t="shared" si="109"/>
        <v>0</v>
      </c>
      <c r="O169" s="228">
        <f t="shared" si="109"/>
        <v>0</v>
      </c>
      <c r="P169" s="228">
        <f t="shared" si="109"/>
        <v>0</v>
      </c>
      <c r="Q169" s="228">
        <f t="shared" si="109"/>
        <v>70</v>
      </c>
      <c r="R169" s="228">
        <f t="shared" si="109"/>
        <v>21</v>
      </c>
      <c r="S169" s="228">
        <f t="shared" si="109"/>
        <v>0</v>
      </c>
      <c r="T169" s="228">
        <f t="shared" si="109"/>
        <v>0</v>
      </c>
      <c r="U169" s="228">
        <f t="shared" si="109"/>
        <v>0</v>
      </c>
      <c r="V169" s="228">
        <f t="shared" si="109"/>
        <v>0</v>
      </c>
      <c r="W169" s="228">
        <f t="shared" si="109"/>
        <v>0</v>
      </c>
      <c r="X169" s="228">
        <f t="shared" si="109"/>
        <v>0</v>
      </c>
      <c r="Y169" s="228">
        <f t="shared" si="109"/>
        <v>0</v>
      </c>
      <c r="Z169" s="228">
        <f t="shared" si="109"/>
        <v>0</v>
      </c>
      <c r="AA169" s="228">
        <f t="shared" si="109"/>
        <v>0</v>
      </c>
      <c r="AB169" s="228">
        <f t="shared" si="109"/>
        <v>0</v>
      </c>
      <c r="AC169" s="228">
        <f t="shared" si="109"/>
        <v>0</v>
      </c>
      <c r="AD169" s="228">
        <f t="shared" si="109"/>
        <v>48</v>
      </c>
      <c r="AE169" s="228">
        <f t="shared" si="109"/>
        <v>45</v>
      </c>
      <c r="AF169" s="228">
        <f t="shared" si="109"/>
        <v>7</v>
      </c>
      <c r="AG169" s="228">
        <f t="shared" si="109"/>
        <v>43</v>
      </c>
      <c r="AH169" s="228">
        <f t="shared" si="109"/>
        <v>2</v>
      </c>
      <c r="AI169" s="228">
        <f t="shared" si="109"/>
        <v>1</v>
      </c>
      <c r="AJ169" s="228">
        <f t="shared" si="109"/>
        <v>6</v>
      </c>
      <c r="AK169" s="228">
        <f t="shared" si="109"/>
        <v>0</v>
      </c>
      <c r="AL169" s="228">
        <f t="shared" si="109"/>
        <v>1</v>
      </c>
      <c r="AM169" s="228">
        <f t="shared" si="109"/>
        <v>8</v>
      </c>
      <c r="AN169" s="228">
        <f t="shared" si="109"/>
        <v>7</v>
      </c>
      <c r="AO169" s="228">
        <f t="shared" si="109"/>
        <v>8</v>
      </c>
      <c r="AP169" s="228">
        <f t="shared" si="109"/>
        <v>16</v>
      </c>
      <c r="AQ169" s="228">
        <f t="shared" si="109"/>
        <v>0</v>
      </c>
      <c r="AR169" s="228">
        <f t="shared" si="109"/>
        <v>274</v>
      </c>
      <c r="AS169" s="228">
        <f t="shared" si="109"/>
        <v>258</v>
      </c>
      <c r="AT169" s="228">
        <f t="shared" si="109"/>
        <v>1734</v>
      </c>
      <c r="AU169" s="228">
        <f t="shared" si="109"/>
        <v>0</v>
      </c>
      <c r="AV169" s="228">
        <f t="shared" si="109"/>
        <v>0</v>
      </c>
      <c r="AW169" s="228">
        <f t="shared" si="109"/>
        <v>0</v>
      </c>
      <c r="AX169" s="228">
        <f t="shared" si="109"/>
        <v>2</v>
      </c>
      <c r="AY169" s="228">
        <f t="shared" si="109"/>
        <v>96</v>
      </c>
      <c r="AZ169" s="228">
        <f t="shared" si="109"/>
        <v>90</v>
      </c>
      <c r="BA169" s="228">
        <f t="shared" si="109"/>
        <v>567</v>
      </c>
      <c r="BB169" s="228">
        <f t="shared" si="109"/>
        <v>31</v>
      </c>
      <c r="BC169" s="228">
        <f t="shared" si="109"/>
        <v>135</v>
      </c>
      <c r="BD169" s="228">
        <f t="shared" si="109"/>
        <v>0</v>
      </c>
      <c r="BE169" s="228">
        <f t="shared" si="109"/>
        <v>30</v>
      </c>
      <c r="BF169" s="228">
        <f t="shared" si="109"/>
        <v>45</v>
      </c>
      <c r="BG169" s="228">
        <f t="shared" si="109"/>
        <v>95</v>
      </c>
      <c r="BH169" s="228">
        <f t="shared" si="109"/>
        <v>140</v>
      </c>
      <c r="BI169" s="228">
        <f t="shared" si="109"/>
        <v>127</v>
      </c>
      <c r="BJ169" s="228">
        <f t="shared" si="109"/>
        <v>21</v>
      </c>
      <c r="BK169" s="228">
        <f t="shared" si="109"/>
        <v>44</v>
      </c>
      <c r="BL169" s="228">
        <f t="shared" si="109"/>
        <v>0</v>
      </c>
      <c r="BM169" s="228">
        <f t="shared" si="109"/>
        <v>35</v>
      </c>
      <c r="BN169" s="228">
        <f t="shared" si="109"/>
        <v>6</v>
      </c>
      <c r="BO169" s="228">
        <f t="shared" si="109"/>
        <v>0</v>
      </c>
      <c r="BP169" s="228">
        <f t="shared" ref="BP169:DP169" si="110">BP45</f>
        <v>0</v>
      </c>
      <c r="BQ169" s="228">
        <f t="shared" si="110"/>
        <v>0</v>
      </c>
      <c r="BR169" s="228">
        <f t="shared" si="110"/>
        <v>0</v>
      </c>
      <c r="BS169" s="228">
        <f t="shared" si="110"/>
        <v>0</v>
      </c>
      <c r="BT169" s="228">
        <f t="shared" si="110"/>
        <v>0</v>
      </c>
      <c r="BU169" s="228">
        <f t="shared" si="110"/>
        <v>4</v>
      </c>
      <c r="BV169" s="228">
        <f t="shared" si="110"/>
        <v>34</v>
      </c>
      <c r="BW169" s="228">
        <f t="shared" si="110"/>
        <v>1955</v>
      </c>
      <c r="BX169" s="228">
        <f t="shared" si="110"/>
        <v>544</v>
      </c>
      <c r="BY169" s="228">
        <f t="shared" si="110"/>
        <v>12</v>
      </c>
      <c r="BZ169" s="228">
        <f t="shared" si="110"/>
        <v>8</v>
      </c>
      <c r="CA169" s="228">
        <f t="shared" si="110"/>
        <v>14</v>
      </c>
      <c r="CB169" s="228">
        <f t="shared" si="110"/>
        <v>0</v>
      </c>
      <c r="CC169" s="228">
        <f t="shared" si="110"/>
        <v>0</v>
      </c>
      <c r="CD169" s="228">
        <f t="shared" si="110"/>
        <v>0</v>
      </c>
      <c r="CE169" s="228">
        <f t="shared" si="110"/>
        <v>0</v>
      </c>
      <c r="CF169" s="228">
        <f t="shared" si="110"/>
        <v>0</v>
      </c>
      <c r="CG169" s="228">
        <f t="shared" si="110"/>
        <v>0</v>
      </c>
      <c r="CH169" s="228">
        <f t="shared" si="110"/>
        <v>0</v>
      </c>
      <c r="CI169" s="228">
        <f t="shared" si="110"/>
        <v>0</v>
      </c>
      <c r="CJ169" s="228">
        <f t="shared" si="110"/>
        <v>12</v>
      </c>
      <c r="CK169" s="228">
        <f t="shared" si="110"/>
        <v>0</v>
      </c>
      <c r="CL169" s="228">
        <f t="shared" si="110"/>
        <v>0</v>
      </c>
      <c r="CM169" s="228">
        <f t="shared" si="110"/>
        <v>0</v>
      </c>
      <c r="CN169" s="228">
        <f t="shared" si="110"/>
        <v>0</v>
      </c>
      <c r="CO169" s="228">
        <f t="shared" si="110"/>
        <v>15</v>
      </c>
      <c r="CP169" s="228">
        <f t="shared" si="110"/>
        <v>0</v>
      </c>
      <c r="CQ169" s="228">
        <f t="shared" si="110"/>
        <v>0</v>
      </c>
      <c r="CR169" s="228">
        <f t="shared" si="110"/>
        <v>0</v>
      </c>
      <c r="CS169" s="228">
        <f t="shared" si="110"/>
        <v>0</v>
      </c>
      <c r="CT169" s="228">
        <f t="shared" si="110"/>
        <v>0</v>
      </c>
      <c r="CU169" s="228">
        <f t="shared" si="110"/>
        <v>0</v>
      </c>
      <c r="CV169" s="228">
        <f t="shared" si="110"/>
        <v>0</v>
      </c>
      <c r="CW169" s="228">
        <f t="shared" si="110"/>
        <v>0</v>
      </c>
      <c r="CX169" s="228">
        <f t="shared" si="110"/>
        <v>7</v>
      </c>
      <c r="CY169" s="228">
        <f t="shared" si="110"/>
        <v>20</v>
      </c>
      <c r="CZ169" s="228">
        <f t="shared" si="110"/>
        <v>0</v>
      </c>
      <c r="DA169" s="228">
        <f t="shared" si="110"/>
        <v>0</v>
      </c>
      <c r="DB169" s="228">
        <f t="shared" si="110"/>
        <v>0</v>
      </c>
      <c r="DC169" s="228">
        <f t="shared" si="110"/>
        <v>0</v>
      </c>
      <c r="DD169" s="228">
        <f t="shared" si="110"/>
        <v>0</v>
      </c>
      <c r="DE169" s="228">
        <f t="shared" si="110"/>
        <v>0</v>
      </c>
      <c r="DF169" s="228">
        <f t="shared" si="110"/>
        <v>0</v>
      </c>
      <c r="DG169" s="228">
        <f t="shared" si="110"/>
        <v>0</v>
      </c>
      <c r="DH169" s="228">
        <f t="shared" si="110"/>
        <v>0</v>
      </c>
      <c r="DI169" s="228">
        <f t="shared" si="110"/>
        <v>0</v>
      </c>
      <c r="DJ169" s="228">
        <f t="shared" si="110"/>
        <v>0</v>
      </c>
      <c r="DK169" s="228">
        <f t="shared" si="110"/>
        <v>0</v>
      </c>
      <c r="DL169" s="228">
        <f t="shared" si="110"/>
        <v>0</v>
      </c>
      <c r="DM169" s="228">
        <f t="shared" si="110"/>
        <v>0</v>
      </c>
      <c r="DN169" s="228">
        <f t="shared" si="110"/>
        <v>0</v>
      </c>
      <c r="DO169" s="228">
        <f t="shared" si="110"/>
        <v>0</v>
      </c>
      <c r="DP169" s="232">
        <f t="shared" si="110"/>
        <v>6931</v>
      </c>
      <c r="DQ169" s="228">
        <f t="shared" si="17"/>
        <v>172</v>
      </c>
      <c r="DR169" s="228">
        <f t="shared" si="18"/>
        <v>121</v>
      </c>
      <c r="DS169" s="230">
        <f>SUM(X169:Y169)+(1-TRP!$AK$253)*AC169</f>
        <v>0</v>
      </c>
      <c r="DT169" s="228">
        <f t="shared" si="19"/>
        <v>258</v>
      </c>
      <c r="DU169" s="228">
        <f t="shared" si="20"/>
        <v>1734</v>
      </c>
      <c r="DV169" s="228">
        <f t="shared" si="21"/>
        <v>186</v>
      </c>
      <c r="DW169" s="228">
        <f t="shared" si="22"/>
        <v>567</v>
      </c>
      <c r="DX169" s="228">
        <f t="shared" si="23"/>
        <v>31</v>
      </c>
      <c r="DY169" s="228">
        <f t="shared" si="24"/>
        <v>45</v>
      </c>
      <c r="DZ169" s="228">
        <f t="shared" si="25"/>
        <v>95</v>
      </c>
      <c r="EA169" s="228">
        <f t="shared" si="26"/>
        <v>140</v>
      </c>
      <c r="EB169" s="230">
        <f>TRP!$AK$253*$AC169+SUM(M169:W169,Z169:AB169,AD169:AR169,AU169:AX169,BC169:BE169,BI169:BN169,BQ169:BR169,BV169)</f>
        <v>991</v>
      </c>
      <c r="EC169" s="228">
        <f t="shared" si="27"/>
        <v>2499</v>
      </c>
      <c r="ED169" s="230">
        <f>CB169+$CI169*TRP!$AV$248</f>
        <v>0</v>
      </c>
      <c r="EE169" s="228">
        <f t="shared" si="28"/>
        <v>0</v>
      </c>
      <c r="EF169" s="230">
        <f>CD169+$CI169*TRP!$AV$249</f>
        <v>0</v>
      </c>
      <c r="EG169" s="230">
        <f>CE169+$CI169*TRP!$AV$250</f>
        <v>0</v>
      </c>
      <c r="EH169" s="230">
        <f>CF169+$CI169*TRP!$AV$251</f>
        <v>0</v>
      </c>
      <c r="EI169" s="228">
        <f t="shared" si="29"/>
        <v>88</v>
      </c>
      <c r="EJ169" s="228">
        <f t="shared" si="30"/>
        <v>0</v>
      </c>
      <c r="EK169" s="228">
        <f t="shared" si="31"/>
        <v>0</v>
      </c>
      <c r="EL169" s="230">
        <f>BS169+$BP169*TRP!$AN$246</f>
        <v>0</v>
      </c>
      <c r="EM169" s="228">
        <f t="shared" si="32"/>
        <v>0</v>
      </c>
      <c r="EN169" s="230">
        <f>BU169+$BP169*TRP!$AN$247</f>
        <v>4</v>
      </c>
    </row>
    <row r="170" spans="1:144" s="228" customFormat="1" ht="10.5" x14ac:dyDescent="0.25">
      <c r="A170" s="228" t="str">
        <f>TRP!C168</f>
        <v xml:space="preserve">GF13 </v>
      </c>
      <c r="B170" s="228" t="str">
        <f>TRP!B168</f>
        <v>FABRICATION DE VERRE ET D ARTICLES EN VE</v>
      </c>
      <c r="C170" s="233">
        <f>TRP!A168</f>
        <v>4</v>
      </c>
      <c r="D170" s="228">
        <f t="shared" ref="D170:BO170" si="111">D46</f>
        <v>323</v>
      </c>
      <c r="E170" s="228">
        <f t="shared" si="111"/>
        <v>0</v>
      </c>
      <c r="F170" s="228">
        <f t="shared" si="111"/>
        <v>0</v>
      </c>
      <c r="G170" s="228">
        <f t="shared" si="111"/>
        <v>1</v>
      </c>
      <c r="H170" s="228">
        <f t="shared" si="111"/>
        <v>18</v>
      </c>
      <c r="I170" s="228">
        <f t="shared" si="111"/>
        <v>580</v>
      </c>
      <c r="J170" s="228">
        <f t="shared" si="111"/>
        <v>0</v>
      </c>
      <c r="K170" s="228">
        <f t="shared" si="111"/>
        <v>242</v>
      </c>
      <c r="L170" s="228">
        <f t="shared" si="111"/>
        <v>0</v>
      </c>
      <c r="M170" s="228">
        <f t="shared" si="111"/>
        <v>0</v>
      </c>
      <c r="N170" s="228">
        <f t="shared" si="111"/>
        <v>0</v>
      </c>
      <c r="O170" s="228">
        <f t="shared" si="111"/>
        <v>0</v>
      </c>
      <c r="P170" s="228">
        <f t="shared" si="111"/>
        <v>184</v>
      </c>
      <c r="Q170" s="228">
        <f t="shared" si="111"/>
        <v>141</v>
      </c>
      <c r="R170" s="228">
        <f t="shared" si="111"/>
        <v>225</v>
      </c>
      <c r="S170" s="228">
        <f t="shared" si="111"/>
        <v>1</v>
      </c>
      <c r="T170" s="228">
        <f t="shared" si="111"/>
        <v>20</v>
      </c>
      <c r="U170" s="228">
        <f t="shared" si="111"/>
        <v>14</v>
      </c>
      <c r="V170" s="228">
        <f t="shared" si="111"/>
        <v>8</v>
      </c>
      <c r="W170" s="228">
        <f t="shared" si="111"/>
        <v>34</v>
      </c>
      <c r="X170" s="228">
        <f t="shared" si="111"/>
        <v>452</v>
      </c>
      <c r="Y170" s="228">
        <f t="shared" si="111"/>
        <v>291</v>
      </c>
      <c r="Z170" s="228">
        <f t="shared" si="111"/>
        <v>8</v>
      </c>
      <c r="AA170" s="228">
        <f t="shared" si="111"/>
        <v>12</v>
      </c>
      <c r="AB170" s="228">
        <f t="shared" si="111"/>
        <v>38</v>
      </c>
      <c r="AC170" s="228">
        <f t="shared" si="111"/>
        <v>5</v>
      </c>
      <c r="AD170" s="228">
        <f t="shared" si="111"/>
        <v>168</v>
      </c>
      <c r="AE170" s="228">
        <f t="shared" si="111"/>
        <v>0</v>
      </c>
      <c r="AF170" s="228">
        <f t="shared" si="111"/>
        <v>43</v>
      </c>
      <c r="AG170" s="228">
        <f t="shared" si="111"/>
        <v>27</v>
      </c>
      <c r="AH170" s="228">
        <f t="shared" si="111"/>
        <v>0</v>
      </c>
      <c r="AI170" s="228">
        <f t="shared" si="111"/>
        <v>0</v>
      </c>
      <c r="AJ170" s="228">
        <f t="shared" si="111"/>
        <v>10</v>
      </c>
      <c r="AK170" s="228">
        <f t="shared" si="111"/>
        <v>1</v>
      </c>
      <c r="AL170" s="228">
        <f t="shared" si="111"/>
        <v>1</v>
      </c>
      <c r="AM170" s="228">
        <f t="shared" si="111"/>
        <v>0</v>
      </c>
      <c r="AN170" s="228">
        <f t="shared" si="111"/>
        <v>113</v>
      </c>
      <c r="AO170" s="228">
        <f t="shared" si="111"/>
        <v>79</v>
      </c>
      <c r="AP170" s="228">
        <f t="shared" si="111"/>
        <v>140</v>
      </c>
      <c r="AQ170" s="228">
        <f t="shared" si="111"/>
        <v>0</v>
      </c>
      <c r="AR170" s="228">
        <f t="shared" si="111"/>
        <v>6</v>
      </c>
      <c r="AS170" s="228">
        <f t="shared" si="111"/>
        <v>340</v>
      </c>
      <c r="AT170" s="228">
        <f t="shared" si="111"/>
        <v>73</v>
      </c>
      <c r="AU170" s="228">
        <f t="shared" si="111"/>
        <v>4</v>
      </c>
      <c r="AV170" s="228">
        <f t="shared" si="111"/>
        <v>4</v>
      </c>
      <c r="AW170" s="228">
        <f t="shared" si="111"/>
        <v>1</v>
      </c>
      <c r="AX170" s="228">
        <f t="shared" si="111"/>
        <v>32</v>
      </c>
      <c r="AY170" s="228">
        <f t="shared" si="111"/>
        <v>36</v>
      </c>
      <c r="AZ170" s="228">
        <f t="shared" si="111"/>
        <v>9</v>
      </c>
      <c r="BA170" s="228">
        <f t="shared" si="111"/>
        <v>6</v>
      </c>
      <c r="BB170" s="228">
        <f t="shared" si="111"/>
        <v>34</v>
      </c>
      <c r="BC170" s="228">
        <f t="shared" si="111"/>
        <v>30</v>
      </c>
      <c r="BD170" s="228">
        <f t="shared" si="111"/>
        <v>0</v>
      </c>
      <c r="BE170" s="228">
        <f t="shared" si="111"/>
        <v>8</v>
      </c>
      <c r="BF170" s="228">
        <f t="shared" si="111"/>
        <v>95</v>
      </c>
      <c r="BG170" s="228">
        <f t="shared" si="111"/>
        <v>7</v>
      </c>
      <c r="BH170" s="228">
        <f t="shared" si="111"/>
        <v>2</v>
      </c>
      <c r="BI170" s="228">
        <f t="shared" si="111"/>
        <v>1</v>
      </c>
      <c r="BJ170" s="228">
        <f t="shared" si="111"/>
        <v>24</v>
      </c>
      <c r="BK170" s="228">
        <f t="shared" si="111"/>
        <v>5</v>
      </c>
      <c r="BL170" s="228">
        <f t="shared" si="111"/>
        <v>0</v>
      </c>
      <c r="BM170" s="228">
        <f t="shared" si="111"/>
        <v>141</v>
      </c>
      <c r="BN170" s="228">
        <f t="shared" si="111"/>
        <v>123</v>
      </c>
      <c r="BO170" s="228">
        <f t="shared" si="111"/>
        <v>0</v>
      </c>
      <c r="BP170" s="228">
        <f t="shared" ref="BP170:DP170" si="112">BP46</f>
        <v>0</v>
      </c>
      <c r="BQ170" s="228">
        <f t="shared" si="112"/>
        <v>0</v>
      </c>
      <c r="BR170" s="228">
        <f t="shared" si="112"/>
        <v>0</v>
      </c>
      <c r="BS170" s="228">
        <f t="shared" si="112"/>
        <v>0</v>
      </c>
      <c r="BT170" s="228">
        <f t="shared" si="112"/>
        <v>0</v>
      </c>
      <c r="BU170" s="228">
        <f t="shared" si="112"/>
        <v>0</v>
      </c>
      <c r="BV170" s="228">
        <f t="shared" si="112"/>
        <v>0</v>
      </c>
      <c r="BW170" s="228">
        <f t="shared" si="112"/>
        <v>459</v>
      </c>
      <c r="BX170" s="228">
        <f t="shared" si="112"/>
        <v>154</v>
      </c>
      <c r="BY170" s="228">
        <f t="shared" si="112"/>
        <v>16</v>
      </c>
      <c r="BZ170" s="228">
        <f t="shared" si="112"/>
        <v>92</v>
      </c>
      <c r="CA170" s="228">
        <f t="shared" si="112"/>
        <v>90</v>
      </c>
      <c r="CB170" s="228">
        <f t="shared" si="112"/>
        <v>2</v>
      </c>
      <c r="CC170" s="228">
        <f t="shared" si="112"/>
        <v>0</v>
      </c>
      <c r="CD170" s="228">
        <f t="shared" si="112"/>
        <v>1</v>
      </c>
      <c r="CE170" s="228">
        <f t="shared" si="112"/>
        <v>3</v>
      </c>
      <c r="CF170" s="228">
        <f t="shared" si="112"/>
        <v>2</v>
      </c>
      <c r="CG170" s="228">
        <f t="shared" si="112"/>
        <v>63</v>
      </c>
      <c r="CH170" s="228">
        <f t="shared" si="112"/>
        <v>0</v>
      </c>
      <c r="CI170" s="228">
        <f t="shared" si="112"/>
        <v>34</v>
      </c>
      <c r="CJ170" s="228">
        <f t="shared" si="112"/>
        <v>0</v>
      </c>
      <c r="CK170" s="228">
        <f t="shared" si="112"/>
        <v>0</v>
      </c>
      <c r="CL170" s="228">
        <f t="shared" si="112"/>
        <v>0</v>
      </c>
      <c r="CM170" s="228">
        <f t="shared" si="112"/>
        <v>0</v>
      </c>
      <c r="CN170" s="228">
        <f t="shared" si="112"/>
        <v>0</v>
      </c>
      <c r="CO170" s="228">
        <f t="shared" si="112"/>
        <v>13</v>
      </c>
      <c r="CP170" s="228">
        <f t="shared" si="112"/>
        <v>15</v>
      </c>
      <c r="CQ170" s="228">
        <f t="shared" si="112"/>
        <v>10</v>
      </c>
      <c r="CR170" s="228">
        <f t="shared" si="112"/>
        <v>19</v>
      </c>
      <c r="CS170" s="228">
        <f t="shared" si="112"/>
        <v>3</v>
      </c>
      <c r="CT170" s="228">
        <f t="shared" si="112"/>
        <v>13</v>
      </c>
      <c r="CU170" s="228">
        <f t="shared" si="112"/>
        <v>9</v>
      </c>
      <c r="CV170" s="228">
        <f t="shared" si="112"/>
        <v>16</v>
      </c>
      <c r="CW170" s="228">
        <f t="shared" si="112"/>
        <v>71</v>
      </c>
      <c r="CX170" s="228">
        <f t="shared" si="112"/>
        <v>1</v>
      </c>
      <c r="CY170" s="228">
        <f t="shared" si="112"/>
        <v>15</v>
      </c>
      <c r="CZ170" s="228">
        <f t="shared" si="112"/>
        <v>207</v>
      </c>
      <c r="DA170" s="228">
        <f t="shared" si="112"/>
        <v>43</v>
      </c>
      <c r="DB170" s="228">
        <f t="shared" si="112"/>
        <v>2</v>
      </c>
      <c r="DC170" s="228">
        <f t="shared" si="112"/>
        <v>37</v>
      </c>
      <c r="DD170" s="228">
        <f t="shared" si="112"/>
        <v>0</v>
      </c>
      <c r="DE170" s="228">
        <f t="shared" si="112"/>
        <v>2</v>
      </c>
      <c r="DF170" s="228">
        <f t="shared" si="112"/>
        <v>0</v>
      </c>
      <c r="DG170" s="228">
        <f t="shared" si="112"/>
        <v>18</v>
      </c>
      <c r="DH170" s="228">
        <f t="shared" si="112"/>
        <v>124</v>
      </c>
      <c r="DI170" s="228">
        <f t="shared" si="112"/>
        <v>24</v>
      </c>
      <c r="DJ170" s="228">
        <f t="shared" si="112"/>
        <v>0</v>
      </c>
      <c r="DK170" s="228">
        <f t="shared" si="112"/>
        <v>0</v>
      </c>
      <c r="DL170" s="228">
        <f t="shared" si="112"/>
        <v>1</v>
      </c>
      <c r="DM170" s="228">
        <f t="shared" si="112"/>
        <v>0</v>
      </c>
      <c r="DN170" s="228">
        <f t="shared" si="112"/>
        <v>3</v>
      </c>
      <c r="DO170" s="228">
        <f t="shared" si="112"/>
        <v>0</v>
      </c>
      <c r="DP170" s="232">
        <f t="shared" si="112"/>
        <v>5722</v>
      </c>
      <c r="DQ170" s="228">
        <f t="shared" si="17"/>
        <v>323</v>
      </c>
      <c r="DR170" s="228">
        <f t="shared" si="18"/>
        <v>841</v>
      </c>
      <c r="DS170" s="230">
        <f>SUM(X170:Y170)+(1-TRP!$AK$253)*AC170</f>
        <v>746.5</v>
      </c>
      <c r="DT170" s="228">
        <f t="shared" si="19"/>
        <v>340</v>
      </c>
      <c r="DU170" s="228">
        <f t="shared" si="20"/>
        <v>73</v>
      </c>
      <c r="DV170" s="228">
        <f t="shared" si="21"/>
        <v>45</v>
      </c>
      <c r="DW170" s="228">
        <f t="shared" si="22"/>
        <v>6</v>
      </c>
      <c r="DX170" s="228">
        <f t="shared" si="23"/>
        <v>34</v>
      </c>
      <c r="DY170" s="228">
        <f t="shared" si="24"/>
        <v>95</v>
      </c>
      <c r="DZ170" s="228">
        <f t="shared" si="25"/>
        <v>7</v>
      </c>
      <c r="EA170" s="228">
        <f t="shared" si="26"/>
        <v>2</v>
      </c>
      <c r="EB170" s="230">
        <f>TRP!$AK$253*$AC170+SUM(M170:W170,Z170:AB170,AD170:AR170,AU170:AX170,BC170:BE170,BI170:BN170,BQ170:BR170,BV170)</f>
        <v>1647.5</v>
      </c>
      <c r="EC170" s="228">
        <f t="shared" si="27"/>
        <v>613</v>
      </c>
      <c r="ED170" s="230">
        <f>CB170+$CI170*TRP!$AV$248</f>
        <v>3.0541445085518344</v>
      </c>
      <c r="EE170" s="228">
        <f t="shared" si="28"/>
        <v>0</v>
      </c>
      <c r="EF170" s="230">
        <f>CD170+$CI170*TRP!$AV$249</f>
        <v>24.568656668260388</v>
      </c>
      <c r="EG170" s="230">
        <f>CE170+$CI170*TRP!$AV$250</f>
        <v>9.8745779814091819</v>
      </c>
      <c r="EH170" s="230">
        <f>CF170+$CI170*TRP!$AV$251</f>
        <v>4.5026208417785938</v>
      </c>
      <c r="EI170" s="228">
        <f t="shared" si="29"/>
        <v>573</v>
      </c>
      <c r="EJ170" s="228">
        <f t="shared" si="30"/>
        <v>334</v>
      </c>
      <c r="EK170" s="228">
        <f t="shared" si="31"/>
        <v>0</v>
      </c>
      <c r="EL170" s="230">
        <f>BS170+$BP170*TRP!$AN$246</f>
        <v>0</v>
      </c>
      <c r="EM170" s="228">
        <f t="shared" si="32"/>
        <v>0</v>
      </c>
      <c r="EN170" s="230">
        <f>BU170+$BP170*TRP!$AN$247</f>
        <v>0</v>
      </c>
    </row>
    <row r="171" spans="1:144" s="228" customFormat="1" ht="10.5" x14ac:dyDescent="0.25">
      <c r="A171" s="228" t="str">
        <f>TRP!C169</f>
        <v xml:space="preserve">GF14 </v>
      </c>
      <c r="B171" s="228" t="str">
        <f>TRP!B169</f>
        <v>FABRICATION DE PRODUITS CERAMIQUES ET DE</v>
      </c>
      <c r="C171" s="233">
        <f>TRP!A169</f>
        <v>5</v>
      </c>
      <c r="D171" s="228">
        <f t="shared" ref="D171:BO171" si="113">D47</f>
        <v>61</v>
      </c>
      <c r="E171" s="228">
        <f t="shared" si="113"/>
        <v>0</v>
      </c>
      <c r="F171" s="228">
        <f t="shared" si="113"/>
        <v>0</v>
      </c>
      <c r="G171" s="228">
        <f t="shared" si="113"/>
        <v>6</v>
      </c>
      <c r="H171" s="228">
        <f t="shared" si="113"/>
        <v>6</v>
      </c>
      <c r="I171" s="228">
        <f t="shared" si="113"/>
        <v>6</v>
      </c>
      <c r="J171" s="228">
        <f t="shared" si="113"/>
        <v>0</v>
      </c>
      <c r="K171" s="228">
        <f t="shared" si="113"/>
        <v>33</v>
      </c>
      <c r="L171" s="228">
        <f t="shared" si="113"/>
        <v>0</v>
      </c>
      <c r="M171" s="228">
        <f t="shared" si="113"/>
        <v>30</v>
      </c>
      <c r="N171" s="228">
        <f t="shared" si="113"/>
        <v>3</v>
      </c>
      <c r="O171" s="228">
        <f t="shared" si="113"/>
        <v>9</v>
      </c>
      <c r="P171" s="228">
        <f t="shared" si="113"/>
        <v>71</v>
      </c>
      <c r="Q171" s="228">
        <f t="shared" si="113"/>
        <v>53</v>
      </c>
      <c r="R171" s="228">
        <f t="shared" si="113"/>
        <v>70</v>
      </c>
      <c r="S171" s="228">
        <f t="shared" si="113"/>
        <v>2</v>
      </c>
      <c r="T171" s="228">
        <f t="shared" si="113"/>
        <v>29</v>
      </c>
      <c r="U171" s="228">
        <f t="shared" si="113"/>
        <v>16</v>
      </c>
      <c r="V171" s="228">
        <f t="shared" si="113"/>
        <v>5</v>
      </c>
      <c r="W171" s="228">
        <f t="shared" si="113"/>
        <v>6</v>
      </c>
      <c r="X171" s="228">
        <f t="shared" si="113"/>
        <v>307</v>
      </c>
      <c r="Y171" s="228">
        <f t="shared" si="113"/>
        <v>194</v>
      </c>
      <c r="Z171" s="228">
        <f t="shared" si="113"/>
        <v>11</v>
      </c>
      <c r="AA171" s="228">
        <f t="shared" si="113"/>
        <v>10</v>
      </c>
      <c r="AB171" s="228">
        <f t="shared" si="113"/>
        <v>63</v>
      </c>
      <c r="AC171" s="228">
        <f t="shared" si="113"/>
        <v>6</v>
      </c>
      <c r="AD171" s="228">
        <f t="shared" si="113"/>
        <v>30</v>
      </c>
      <c r="AE171" s="228">
        <f t="shared" si="113"/>
        <v>29</v>
      </c>
      <c r="AF171" s="228">
        <f t="shared" si="113"/>
        <v>40</v>
      </c>
      <c r="AG171" s="228">
        <f t="shared" si="113"/>
        <v>120</v>
      </c>
      <c r="AH171" s="228">
        <f t="shared" si="113"/>
        <v>6</v>
      </c>
      <c r="AI171" s="228">
        <f t="shared" si="113"/>
        <v>1</v>
      </c>
      <c r="AJ171" s="228">
        <f t="shared" si="113"/>
        <v>27</v>
      </c>
      <c r="AK171" s="228">
        <f t="shared" si="113"/>
        <v>0</v>
      </c>
      <c r="AL171" s="228">
        <f t="shared" si="113"/>
        <v>1</v>
      </c>
      <c r="AM171" s="228">
        <f t="shared" si="113"/>
        <v>9</v>
      </c>
      <c r="AN171" s="228">
        <f t="shared" si="113"/>
        <v>24</v>
      </c>
      <c r="AO171" s="228">
        <f t="shared" si="113"/>
        <v>8</v>
      </c>
      <c r="AP171" s="228">
        <f t="shared" si="113"/>
        <v>66</v>
      </c>
      <c r="AQ171" s="228">
        <f t="shared" si="113"/>
        <v>0</v>
      </c>
      <c r="AR171" s="228">
        <f t="shared" si="113"/>
        <v>449</v>
      </c>
      <c r="AS171" s="228">
        <f t="shared" si="113"/>
        <v>487</v>
      </c>
      <c r="AT171" s="228">
        <f t="shared" si="113"/>
        <v>3853</v>
      </c>
      <c r="AU171" s="228">
        <f t="shared" si="113"/>
        <v>3</v>
      </c>
      <c r="AV171" s="228">
        <f t="shared" si="113"/>
        <v>1</v>
      </c>
      <c r="AW171" s="228">
        <f t="shared" si="113"/>
        <v>1</v>
      </c>
      <c r="AX171" s="228">
        <f t="shared" si="113"/>
        <v>50</v>
      </c>
      <c r="AY171" s="228">
        <f t="shared" si="113"/>
        <v>54</v>
      </c>
      <c r="AZ171" s="228">
        <f t="shared" si="113"/>
        <v>33</v>
      </c>
      <c r="BA171" s="228">
        <f t="shared" si="113"/>
        <v>41</v>
      </c>
      <c r="BB171" s="228">
        <f t="shared" si="113"/>
        <v>79</v>
      </c>
      <c r="BC171" s="228">
        <f t="shared" si="113"/>
        <v>53</v>
      </c>
      <c r="BD171" s="228">
        <f t="shared" si="113"/>
        <v>0</v>
      </c>
      <c r="BE171" s="228">
        <f t="shared" si="113"/>
        <v>4</v>
      </c>
      <c r="BF171" s="228">
        <f t="shared" si="113"/>
        <v>88</v>
      </c>
      <c r="BG171" s="228">
        <f t="shared" si="113"/>
        <v>107</v>
      </c>
      <c r="BH171" s="228">
        <f t="shared" si="113"/>
        <v>26</v>
      </c>
      <c r="BI171" s="228">
        <f t="shared" si="113"/>
        <v>301</v>
      </c>
      <c r="BJ171" s="228">
        <f t="shared" si="113"/>
        <v>61</v>
      </c>
      <c r="BK171" s="228">
        <f t="shared" si="113"/>
        <v>111</v>
      </c>
      <c r="BL171" s="228">
        <f t="shared" si="113"/>
        <v>18</v>
      </c>
      <c r="BM171" s="228">
        <f t="shared" si="113"/>
        <v>50</v>
      </c>
      <c r="BN171" s="228">
        <f t="shared" si="113"/>
        <v>35</v>
      </c>
      <c r="BO171" s="228">
        <f t="shared" si="113"/>
        <v>0</v>
      </c>
      <c r="BP171" s="228">
        <f t="shared" ref="BP171:DP171" si="114">BP47</f>
        <v>0</v>
      </c>
      <c r="BQ171" s="228">
        <f t="shared" si="114"/>
        <v>0</v>
      </c>
      <c r="BR171" s="228">
        <f t="shared" si="114"/>
        <v>6</v>
      </c>
      <c r="BS171" s="228">
        <f t="shared" si="114"/>
        <v>25</v>
      </c>
      <c r="BT171" s="228">
        <f t="shared" si="114"/>
        <v>26</v>
      </c>
      <c r="BU171" s="228">
        <f t="shared" si="114"/>
        <v>0</v>
      </c>
      <c r="BV171" s="228">
        <f t="shared" si="114"/>
        <v>6</v>
      </c>
      <c r="BW171" s="228">
        <f t="shared" si="114"/>
        <v>14135</v>
      </c>
      <c r="BX171" s="228">
        <f t="shared" si="114"/>
        <v>3393</v>
      </c>
      <c r="BY171" s="228">
        <f t="shared" si="114"/>
        <v>170</v>
      </c>
      <c r="BZ171" s="228">
        <f t="shared" si="114"/>
        <v>117</v>
      </c>
      <c r="CA171" s="228">
        <f t="shared" si="114"/>
        <v>198</v>
      </c>
      <c r="CB171" s="228">
        <f t="shared" si="114"/>
        <v>2</v>
      </c>
      <c r="CC171" s="228">
        <f t="shared" si="114"/>
        <v>43</v>
      </c>
      <c r="CD171" s="228">
        <f t="shared" si="114"/>
        <v>155</v>
      </c>
      <c r="CE171" s="228">
        <f t="shared" si="114"/>
        <v>2</v>
      </c>
      <c r="CF171" s="228">
        <f t="shared" si="114"/>
        <v>0</v>
      </c>
      <c r="CG171" s="228">
        <f t="shared" si="114"/>
        <v>13</v>
      </c>
      <c r="CH171" s="228">
        <f t="shared" si="114"/>
        <v>0</v>
      </c>
      <c r="CI171" s="228">
        <f t="shared" si="114"/>
        <v>14</v>
      </c>
      <c r="CJ171" s="228">
        <f t="shared" si="114"/>
        <v>0</v>
      </c>
      <c r="CK171" s="228">
        <f t="shared" si="114"/>
        <v>0</v>
      </c>
      <c r="CL171" s="228">
        <f t="shared" si="114"/>
        <v>0</v>
      </c>
      <c r="CM171" s="228">
        <f t="shared" si="114"/>
        <v>55</v>
      </c>
      <c r="CN171" s="228">
        <f t="shared" si="114"/>
        <v>95</v>
      </c>
      <c r="CO171" s="228">
        <f t="shared" si="114"/>
        <v>39</v>
      </c>
      <c r="CP171" s="228">
        <f t="shared" si="114"/>
        <v>30</v>
      </c>
      <c r="CQ171" s="228">
        <f t="shared" si="114"/>
        <v>29</v>
      </c>
      <c r="CR171" s="228">
        <f t="shared" si="114"/>
        <v>9</v>
      </c>
      <c r="CS171" s="228">
        <f t="shared" si="114"/>
        <v>8</v>
      </c>
      <c r="CT171" s="228">
        <f t="shared" si="114"/>
        <v>73</v>
      </c>
      <c r="CU171" s="228">
        <f t="shared" si="114"/>
        <v>7</v>
      </c>
      <c r="CV171" s="228">
        <f t="shared" si="114"/>
        <v>16</v>
      </c>
      <c r="CW171" s="228">
        <f t="shared" si="114"/>
        <v>505</v>
      </c>
      <c r="CX171" s="228">
        <f t="shared" si="114"/>
        <v>23</v>
      </c>
      <c r="CY171" s="228">
        <f t="shared" si="114"/>
        <v>49</v>
      </c>
      <c r="CZ171" s="228">
        <f t="shared" si="114"/>
        <v>0</v>
      </c>
      <c r="DA171" s="228">
        <f t="shared" si="114"/>
        <v>542</v>
      </c>
      <c r="DB171" s="228">
        <f t="shared" si="114"/>
        <v>86</v>
      </c>
      <c r="DC171" s="228">
        <f t="shared" si="114"/>
        <v>100</v>
      </c>
      <c r="DD171" s="228">
        <f t="shared" si="114"/>
        <v>0</v>
      </c>
      <c r="DE171" s="228">
        <f t="shared" si="114"/>
        <v>30</v>
      </c>
      <c r="DF171" s="228">
        <f t="shared" si="114"/>
        <v>0</v>
      </c>
      <c r="DG171" s="228">
        <f t="shared" si="114"/>
        <v>51</v>
      </c>
      <c r="DH171" s="228">
        <f t="shared" si="114"/>
        <v>85</v>
      </c>
      <c r="DI171" s="228">
        <f t="shared" si="114"/>
        <v>274</v>
      </c>
      <c r="DJ171" s="228">
        <f t="shared" si="114"/>
        <v>339</v>
      </c>
      <c r="DK171" s="228">
        <f t="shared" si="114"/>
        <v>2</v>
      </c>
      <c r="DL171" s="228">
        <f t="shared" si="114"/>
        <v>32</v>
      </c>
      <c r="DM171" s="228">
        <f t="shared" si="114"/>
        <v>2</v>
      </c>
      <c r="DN171" s="228">
        <f t="shared" si="114"/>
        <v>10</v>
      </c>
      <c r="DO171" s="228">
        <f t="shared" si="114"/>
        <v>0</v>
      </c>
      <c r="DP171" s="232">
        <f t="shared" si="114"/>
        <v>28059</v>
      </c>
      <c r="DQ171" s="228">
        <f t="shared" si="17"/>
        <v>61</v>
      </c>
      <c r="DR171" s="228">
        <f t="shared" si="18"/>
        <v>51</v>
      </c>
      <c r="DS171" s="230">
        <f>SUM(X171:Y171)+(1-TRP!$AK$253)*AC171</f>
        <v>505.2</v>
      </c>
      <c r="DT171" s="228">
        <f t="shared" si="19"/>
        <v>487</v>
      </c>
      <c r="DU171" s="228">
        <f t="shared" si="20"/>
        <v>3853</v>
      </c>
      <c r="DV171" s="228">
        <f t="shared" si="21"/>
        <v>87</v>
      </c>
      <c r="DW171" s="228">
        <f t="shared" si="22"/>
        <v>41</v>
      </c>
      <c r="DX171" s="228">
        <f t="shared" si="23"/>
        <v>79</v>
      </c>
      <c r="DY171" s="228">
        <f t="shared" si="24"/>
        <v>88</v>
      </c>
      <c r="DZ171" s="228">
        <f t="shared" si="25"/>
        <v>107</v>
      </c>
      <c r="EA171" s="228">
        <f t="shared" si="26"/>
        <v>26</v>
      </c>
      <c r="EB171" s="230">
        <f>TRP!$AK$253*$AC171+SUM(M171:W171,Z171:AB171,AD171:AR171,AU171:AX171,BC171:BE171,BI171:BN171,BQ171:BR171,BV171)</f>
        <v>1889.8</v>
      </c>
      <c r="EC171" s="228">
        <f t="shared" si="27"/>
        <v>17528</v>
      </c>
      <c r="ED171" s="230">
        <f>CB171+$CI171*TRP!$AV$248</f>
        <v>2.4340595035213437</v>
      </c>
      <c r="EE171" s="228">
        <f t="shared" si="28"/>
        <v>43</v>
      </c>
      <c r="EF171" s="230">
        <f>CD171+$CI171*TRP!$AV$249</f>
        <v>164.70474098104839</v>
      </c>
      <c r="EG171" s="230">
        <f>CE171+$CI171*TRP!$AV$250</f>
        <v>4.8307085805802519</v>
      </c>
      <c r="EH171" s="230">
        <f>CF171+$CI171*TRP!$AV$251</f>
        <v>1.0304909348500093</v>
      </c>
      <c r="EI171" s="228">
        <f t="shared" si="29"/>
        <v>2553</v>
      </c>
      <c r="EJ171" s="228">
        <f t="shared" si="30"/>
        <v>436</v>
      </c>
      <c r="EK171" s="228">
        <f t="shared" si="31"/>
        <v>0</v>
      </c>
      <c r="EL171" s="230">
        <f>BS171+$BP171*TRP!$AN$246</f>
        <v>25</v>
      </c>
      <c r="EM171" s="228">
        <f t="shared" si="32"/>
        <v>26</v>
      </c>
      <c r="EN171" s="230">
        <f>BU171+$BP171*TRP!$AN$247</f>
        <v>0</v>
      </c>
    </row>
    <row r="172" spans="1:144" s="228" customFormat="1" ht="10.5" x14ac:dyDescent="0.25">
      <c r="A172" s="228" t="str">
        <f>TRP!C170</f>
        <v xml:space="preserve">GF21 </v>
      </c>
      <c r="B172" s="228" t="str">
        <f>TRP!B170</f>
        <v>FILATURE ET TISSAGE</v>
      </c>
      <c r="C172" s="233">
        <f>TRP!A170</f>
        <v>12</v>
      </c>
      <c r="D172" s="228">
        <f t="shared" ref="D172:BO172" si="115">D48</f>
        <v>0</v>
      </c>
      <c r="E172" s="228">
        <f t="shared" si="115"/>
        <v>0</v>
      </c>
      <c r="F172" s="228">
        <f t="shared" si="115"/>
        <v>0</v>
      </c>
      <c r="G172" s="228">
        <f t="shared" si="115"/>
        <v>0</v>
      </c>
      <c r="H172" s="228">
        <f t="shared" si="115"/>
        <v>0</v>
      </c>
      <c r="I172" s="228">
        <f t="shared" si="115"/>
        <v>0</v>
      </c>
      <c r="J172" s="228">
        <f t="shared" si="115"/>
        <v>0</v>
      </c>
      <c r="K172" s="228">
        <f t="shared" si="115"/>
        <v>0</v>
      </c>
      <c r="L172" s="228">
        <f t="shared" si="115"/>
        <v>0</v>
      </c>
      <c r="M172" s="228">
        <f t="shared" si="115"/>
        <v>1363</v>
      </c>
      <c r="N172" s="228">
        <f t="shared" si="115"/>
        <v>81</v>
      </c>
      <c r="O172" s="228">
        <f t="shared" si="115"/>
        <v>14</v>
      </c>
      <c r="P172" s="228">
        <f t="shared" si="115"/>
        <v>0</v>
      </c>
      <c r="Q172" s="228">
        <f t="shared" si="115"/>
        <v>2</v>
      </c>
      <c r="R172" s="228">
        <f t="shared" si="115"/>
        <v>465</v>
      </c>
      <c r="S172" s="228">
        <f t="shared" si="115"/>
        <v>0</v>
      </c>
      <c r="T172" s="228">
        <f t="shared" si="115"/>
        <v>7</v>
      </c>
      <c r="U172" s="228">
        <f t="shared" si="115"/>
        <v>0</v>
      </c>
      <c r="V172" s="228">
        <f t="shared" si="115"/>
        <v>3</v>
      </c>
      <c r="W172" s="228">
        <f t="shared" si="115"/>
        <v>8</v>
      </c>
      <c r="X172" s="228">
        <f t="shared" si="115"/>
        <v>209</v>
      </c>
      <c r="Y172" s="228">
        <f t="shared" si="115"/>
        <v>33</v>
      </c>
      <c r="Z172" s="228">
        <f t="shared" si="115"/>
        <v>13</v>
      </c>
      <c r="AA172" s="228">
        <f t="shared" si="115"/>
        <v>4</v>
      </c>
      <c r="AB172" s="228">
        <f t="shared" si="115"/>
        <v>54</v>
      </c>
      <c r="AC172" s="228">
        <f t="shared" si="115"/>
        <v>0</v>
      </c>
      <c r="AD172" s="228">
        <f t="shared" si="115"/>
        <v>3</v>
      </c>
      <c r="AE172" s="228">
        <f t="shared" si="115"/>
        <v>2</v>
      </c>
      <c r="AF172" s="228">
        <f t="shared" si="115"/>
        <v>7</v>
      </c>
      <c r="AG172" s="228">
        <f t="shared" si="115"/>
        <v>2</v>
      </c>
      <c r="AH172" s="228">
        <f t="shared" si="115"/>
        <v>1</v>
      </c>
      <c r="AI172" s="228">
        <f t="shared" si="115"/>
        <v>1</v>
      </c>
      <c r="AJ172" s="228">
        <f t="shared" si="115"/>
        <v>8</v>
      </c>
      <c r="AK172" s="228">
        <f t="shared" si="115"/>
        <v>0</v>
      </c>
      <c r="AL172" s="228">
        <f t="shared" si="115"/>
        <v>1</v>
      </c>
      <c r="AM172" s="228">
        <f t="shared" si="115"/>
        <v>0</v>
      </c>
      <c r="AN172" s="228">
        <f t="shared" si="115"/>
        <v>2</v>
      </c>
      <c r="AO172" s="228">
        <f t="shared" si="115"/>
        <v>0</v>
      </c>
      <c r="AP172" s="228">
        <f t="shared" si="115"/>
        <v>1</v>
      </c>
      <c r="AQ172" s="228">
        <f t="shared" si="115"/>
        <v>0</v>
      </c>
      <c r="AR172" s="228">
        <f t="shared" si="115"/>
        <v>0</v>
      </c>
      <c r="AS172" s="228">
        <f t="shared" si="115"/>
        <v>8</v>
      </c>
      <c r="AT172" s="228">
        <f t="shared" si="115"/>
        <v>23</v>
      </c>
      <c r="AU172" s="228">
        <f t="shared" si="115"/>
        <v>1427</v>
      </c>
      <c r="AV172" s="228">
        <f t="shared" si="115"/>
        <v>535</v>
      </c>
      <c r="AW172" s="228">
        <f t="shared" si="115"/>
        <v>51</v>
      </c>
      <c r="AX172" s="228">
        <f t="shared" si="115"/>
        <v>3</v>
      </c>
      <c r="AY172" s="228">
        <f t="shared" si="115"/>
        <v>45</v>
      </c>
      <c r="AZ172" s="228">
        <f t="shared" si="115"/>
        <v>44</v>
      </c>
      <c r="BA172" s="228">
        <f t="shared" si="115"/>
        <v>4</v>
      </c>
      <c r="BB172" s="228">
        <f t="shared" si="115"/>
        <v>3</v>
      </c>
      <c r="BC172" s="228">
        <f t="shared" si="115"/>
        <v>3</v>
      </c>
      <c r="BD172" s="228">
        <f t="shared" si="115"/>
        <v>4</v>
      </c>
      <c r="BE172" s="228">
        <f t="shared" si="115"/>
        <v>150</v>
      </c>
      <c r="BF172" s="228">
        <f t="shared" si="115"/>
        <v>34</v>
      </c>
      <c r="BG172" s="228">
        <f t="shared" si="115"/>
        <v>0</v>
      </c>
      <c r="BH172" s="228">
        <f t="shared" si="115"/>
        <v>0</v>
      </c>
      <c r="BI172" s="228">
        <f t="shared" si="115"/>
        <v>0</v>
      </c>
      <c r="BJ172" s="228">
        <f t="shared" si="115"/>
        <v>0</v>
      </c>
      <c r="BK172" s="228">
        <f t="shared" si="115"/>
        <v>0</v>
      </c>
      <c r="BL172" s="228">
        <f t="shared" si="115"/>
        <v>28</v>
      </c>
      <c r="BM172" s="228">
        <f t="shared" si="115"/>
        <v>42</v>
      </c>
      <c r="BN172" s="228">
        <f t="shared" si="115"/>
        <v>19</v>
      </c>
      <c r="BO172" s="228">
        <f t="shared" si="115"/>
        <v>0</v>
      </c>
      <c r="BP172" s="228">
        <f t="shared" ref="BP172:DP172" si="116">BP48</f>
        <v>0</v>
      </c>
      <c r="BQ172" s="228">
        <f t="shared" si="116"/>
        <v>0</v>
      </c>
      <c r="BR172" s="228">
        <f t="shared" si="116"/>
        <v>0</v>
      </c>
      <c r="BS172" s="228">
        <f t="shared" si="116"/>
        <v>0</v>
      </c>
      <c r="BT172" s="228">
        <f t="shared" si="116"/>
        <v>0</v>
      </c>
      <c r="BU172" s="228">
        <f t="shared" si="116"/>
        <v>0</v>
      </c>
      <c r="BV172" s="228">
        <f t="shared" si="116"/>
        <v>0</v>
      </c>
      <c r="BW172" s="228">
        <f t="shared" si="116"/>
        <v>120</v>
      </c>
      <c r="BX172" s="228">
        <f t="shared" si="116"/>
        <v>102</v>
      </c>
      <c r="BY172" s="228">
        <f t="shared" si="116"/>
        <v>8</v>
      </c>
      <c r="BZ172" s="228">
        <f t="shared" si="116"/>
        <v>121</v>
      </c>
      <c r="CA172" s="228">
        <f t="shared" si="116"/>
        <v>24</v>
      </c>
      <c r="CB172" s="228">
        <f t="shared" si="116"/>
        <v>0</v>
      </c>
      <c r="CC172" s="228">
        <f t="shared" si="116"/>
        <v>5</v>
      </c>
      <c r="CD172" s="228">
        <f t="shared" si="116"/>
        <v>2</v>
      </c>
      <c r="CE172" s="228">
        <f t="shared" si="116"/>
        <v>2</v>
      </c>
      <c r="CF172" s="228">
        <f t="shared" si="116"/>
        <v>1</v>
      </c>
      <c r="CG172" s="228">
        <f t="shared" si="116"/>
        <v>0</v>
      </c>
      <c r="CH172" s="228">
        <f t="shared" si="116"/>
        <v>1</v>
      </c>
      <c r="CI172" s="228">
        <f t="shared" si="116"/>
        <v>1</v>
      </c>
      <c r="CJ172" s="228">
        <f t="shared" si="116"/>
        <v>0</v>
      </c>
      <c r="CK172" s="228">
        <f t="shared" si="116"/>
        <v>0</v>
      </c>
      <c r="CL172" s="228">
        <f t="shared" si="116"/>
        <v>0</v>
      </c>
      <c r="CM172" s="228">
        <f t="shared" si="116"/>
        <v>0</v>
      </c>
      <c r="CN172" s="228">
        <f t="shared" si="116"/>
        <v>0</v>
      </c>
      <c r="CO172" s="228">
        <f t="shared" si="116"/>
        <v>0</v>
      </c>
      <c r="CP172" s="228">
        <f t="shared" si="116"/>
        <v>0</v>
      </c>
      <c r="CQ172" s="228">
        <f t="shared" si="116"/>
        <v>0</v>
      </c>
      <c r="CR172" s="228">
        <f t="shared" si="116"/>
        <v>0</v>
      </c>
      <c r="CS172" s="228">
        <f t="shared" si="116"/>
        <v>0</v>
      </c>
      <c r="CT172" s="228">
        <f t="shared" si="116"/>
        <v>0</v>
      </c>
      <c r="CU172" s="228">
        <f t="shared" si="116"/>
        <v>0</v>
      </c>
      <c r="CV172" s="228">
        <f t="shared" si="116"/>
        <v>0</v>
      </c>
      <c r="CW172" s="228">
        <f t="shared" si="116"/>
        <v>0</v>
      </c>
      <c r="CX172" s="228">
        <f t="shared" si="116"/>
        <v>0</v>
      </c>
      <c r="CY172" s="228">
        <f t="shared" si="116"/>
        <v>0</v>
      </c>
      <c r="CZ172" s="228">
        <f t="shared" si="116"/>
        <v>0</v>
      </c>
      <c r="DA172" s="228">
        <f t="shared" si="116"/>
        <v>11</v>
      </c>
      <c r="DB172" s="228">
        <f t="shared" si="116"/>
        <v>0</v>
      </c>
      <c r="DC172" s="228">
        <f t="shared" si="116"/>
        <v>0</v>
      </c>
      <c r="DD172" s="228">
        <f t="shared" si="116"/>
        <v>0</v>
      </c>
      <c r="DE172" s="228">
        <f t="shared" si="116"/>
        <v>0</v>
      </c>
      <c r="DF172" s="228">
        <f t="shared" si="116"/>
        <v>0</v>
      </c>
      <c r="DG172" s="228">
        <f t="shared" si="116"/>
        <v>0</v>
      </c>
      <c r="DH172" s="228">
        <f t="shared" si="116"/>
        <v>0</v>
      </c>
      <c r="DI172" s="228">
        <f t="shared" si="116"/>
        <v>0</v>
      </c>
      <c r="DJ172" s="228">
        <f t="shared" si="116"/>
        <v>0</v>
      </c>
      <c r="DK172" s="228">
        <f t="shared" si="116"/>
        <v>0</v>
      </c>
      <c r="DL172" s="228">
        <f t="shared" si="116"/>
        <v>0</v>
      </c>
      <c r="DM172" s="228">
        <f t="shared" si="116"/>
        <v>0</v>
      </c>
      <c r="DN172" s="228">
        <f t="shared" si="116"/>
        <v>0</v>
      </c>
      <c r="DO172" s="228">
        <f t="shared" si="116"/>
        <v>0</v>
      </c>
      <c r="DP172" s="232">
        <f t="shared" si="116"/>
        <v>5105</v>
      </c>
      <c r="DQ172" s="228">
        <f t="shared" si="17"/>
        <v>0</v>
      </c>
      <c r="DR172" s="228">
        <f t="shared" si="18"/>
        <v>0</v>
      </c>
      <c r="DS172" s="230">
        <f>SUM(X172:Y172)+(1-TRP!$AK$253)*AC172</f>
        <v>242</v>
      </c>
      <c r="DT172" s="228">
        <f t="shared" si="19"/>
        <v>8</v>
      </c>
      <c r="DU172" s="228">
        <f t="shared" si="20"/>
        <v>23</v>
      </c>
      <c r="DV172" s="228">
        <f t="shared" si="21"/>
        <v>89</v>
      </c>
      <c r="DW172" s="228">
        <f t="shared" si="22"/>
        <v>4</v>
      </c>
      <c r="DX172" s="228">
        <f t="shared" si="23"/>
        <v>3</v>
      </c>
      <c r="DY172" s="228">
        <f t="shared" si="24"/>
        <v>34</v>
      </c>
      <c r="DZ172" s="228">
        <f t="shared" si="25"/>
        <v>0</v>
      </c>
      <c r="EA172" s="228">
        <f t="shared" si="26"/>
        <v>0</v>
      </c>
      <c r="EB172" s="230">
        <f>TRP!$AK$253*$AC172+SUM(M172:W172,Z172:AB172,AD172:AR172,AU172:AX172,BC172:BE172,BI172:BN172,BQ172:BR172,BV172)</f>
        <v>4304</v>
      </c>
      <c r="EC172" s="228">
        <f t="shared" si="27"/>
        <v>222</v>
      </c>
      <c r="ED172" s="230">
        <f>CB172+$CI172*TRP!$AV$248</f>
        <v>3.1004250251524548E-2</v>
      </c>
      <c r="EE172" s="228">
        <f t="shared" si="28"/>
        <v>5</v>
      </c>
      <c r="EF172" s="230">
        <f>CD172+$CI172*TRP!$AV$249</f>
        <v>2.6931957843605998</v>
      </c>
      <c r="EG172" s="230">
        <f>CE172+$CI172*TRP!$AV$250</f>
        <v>2.2021934700414465</v>
      </c>
      <c r="EH172" s="230">
        <f>CF172+$CI172*TRP!$AV$251</f>
        <v>1.0736064953464293</v>
      </c>
      <c r="EI172" s="228">
        <f t="shared" si="29"/>
        <v>165</v>
      </c>
      <c r="EJ172" s="228">
        <f t="shared" si="30"/>
        <v>0</v>
      </c>
      <c r="EK172" s="228">
        <f t="shared" si="31"/>
        <v>0</v>
      </c>
      <c r="EL172" s="230">
        <f>BS172+$BP172*TRP!$AN$246</f>
        <v>0</v>
      </c>
      <c r="EM172" s="228">
        <f t="shared" si="32"/>
        <v>0</v>
      </c>
      <c r="EN172" s="230">
        <f>BU172+$BP172*TRP!$AN$247</f>
        <v>0</v>
      </c>
    </row>
    <row r="173" spans="1:144" s="228" customFormat="1" ht="10.5" x14ac:dyDescent="0.25">
      <c r="A173" s="228" t="str">
        <f>TRP!C171</f>
        <v xml:space="preserve">GF22 </v>
      </c>
      <c r="B173" s="228" t="str">
        <f>TRP!B171</f>
        <v>FABRICATION DE PRODUITS TEXTILES</v>
      </c>
      <c r="C173" s="233">
        <f>TRP!A171</f>
        <v>12</v>
      </c>
      <c r="D173" s="228">
        <f t="shared" ref="D173:BO173" si="117">D49</f>
        <v>128</v>
      </c>
      <c r="E173" s="228">
        <f t="shared" si="117"/>
        <v>0</v>
      </c>
      <c r="F173" s="228">
        <f t="shared" si="117"/>
        <v>17</v>
      </c>
      <c r="G173" s="228">
        <f t="shared" si="117"/>
        <v>1</v>
      </c>
      <c r="H173" s="228">
        <f t="shared" si="117"/>
        <v>0</v>
      </c>
      <c r="I173" s="228">
        <f t="shared" si="117"/>
        <v>2</v>
      </c>
      <c r="J173" s="228">
        <f t="shared" si="117"/>
        <v>3</v>
      </c>
      <c r="K173" s="228">
        <f t="shared" si="117"/>
        <v>7</v>
      </c>
      <c r="L173" s="228">
        <f t="shared" si="117"/>
        <v>0</v>
      </c>
      <c r="M173" s="228">
        <f t="shared" si="117"/>
        <v>327</v>
      </c>
      <c r="N173" s="228">
        <f t="shared" si="117"/>
        <v>58</v>
      </c>
      <c r="O173" s="228">
        <f t="shared" si="117"/>
        <v>10</v>
      </c>
      <c r="P173" s="228">
        <f t="shared" si="117"/>
        <v>166</v>
      </c>
      <c r="Q173" s="228">
        <f t="shared" si="117"/>
        <v>118</v>
      </c>
      <c r="R173" s="228">
        <f t="shared" si="117"/>
        <v>276</v>
      </c>
      <c r="S173" s="228">
        <f t="shared" si="117"/>
        <v>0</v>
      </c>
      <c r="T173" s="228">
        <f t="shared" si="117"/>
        <v>7</v>
      </c>
      <c r="U173" s="228">
        <f t="shared" si="117"/>
        <v>5</v>
      </c>
      <c r="V173" s="228">
        <f t="shared" si="117"/>
        <v>0</v>
      </c>
      <c r="W173" s="228">
        <f t="shared" si="117"/>
        <v>9</v>
      </c>
      <c r="X173" s="228">
        <f t="shared" si="117"/>
        <v>614</v>
      </c>
      <c r="Y173" s="228">
        <f t="shared" si="117"/>
        <v>88</v>
      </c>
      <c r="Z173" s="228">
        <f t="shared" si="117"/>
        <v>14</v>
      </c>
      <c r="AA173" s="228">
        <f t="shared" si="117"/>
        <v>4</v>
      </c>
      <c r="AB173" s="228">
        <f t="shared" si="117"/>
        <v>131</v>
      </c>
      <c r="AC173" s="228">
        <f t="shared" si="117"/>
        <v>5</v>
      </c>
      <c r="AD173" s="228">
        <f t="shared" si="117"/>
        <v>5</v>
      </c>
      <c r="AE173" s="228">
        <f t="shared" si="117"/>
        <v>5</v>
      </c>
      <c r="AF173" s="228">
        <f t="shared" si="117"/>
        <v>12</v>
      </c>
      <c r="AG173" s="228">
        <f t="shared" si="117"/>
        <v>19</v>
      </c>
      <c r="AH173" s="228">
        <f t="shared" si="117"/>
        <v>9</v>
      </c>
      <c r="AI173" s="228">
        <f t="shared" si="117"/>
        <v>7</v>
      </c>
      <c r="AJ173" s="228">
        <f t="shared" si="117"/>
        <v>18</v>
      </c>
      <c r="AK173" s="228">
        <f t="shared" si="117"/>
        <v>0</v>
      </c>
      <c r="AL173" s="228">
        <f t="shared" si="117"/>
        <v>3</v>
      </c>
      <c r="AM173" s="228">
        <f t="shared" si="117"/>
        <v>16</v>
      </c>
      <c r="AN173" s="228">
        <f t="shared" si="117"/>
        <v>54</v>
      </c>
      <c r="AO173" s="228">
        <f t="shared" si="117"/>
        <v>26</v>
      </c>
      <c r="AP173" s="228">
        <f t="shared" si="117"/>
        <v>60</v>
      </c>
      <c r="AQ173" s="228">
        <f t="shared" si="117"/>
        <v>0</v>
      </c>
      <c r="AR173" s="228">
        <f t="shared" si="117"/>
        <v>8</v>
      </c>
      <c r="AS173" s="228">
        <f t="shared" si="117"/>
        <v>7</v>
      </c>
      <c r="AT173" s="228">
        <f t="shared" si="117"/>
        <v>35</v>
      </c>
      <c r="AU173" s="228">
        <f t="shared" si="117"/>
        <v>35</v>
      </c>
      <c r="AV173" s="228">
        <f t="shared" si="117"/>
        <v>1429</v>
      </c>
      <c r="AW173" s="228">
        <f t="shared" si="117"/>
        <v>48</v>
      </c>
      <c r="AX173" s="228">
        <f t="shared" si="117"/>
        <v>2</v>
      </c>
      <c r="AY173" s="228">
        <f t="shared" si="117"/>
        <v>76</v>
      </c>
      <c r="AZ173" s="228">
        <f t="shared" si="117"/>
        <v>19</v>
      </c>
      <c r="BA173" s="228">
        <f t="shared" si="117"/>
        <v>24</v>
      </c>
      <c r="BB173" s="228">
        <f t="shared" si="117"/>
        <v>108</v>
      </c>
      <c r="BC173" s="228">
        <f t="shared" si="117"/>
        <v>107</v>
      </c>
      <c r="BD173" s="228">
        <f t="shared" si="117"/>
        <v>1</v>
      </c>
      <c r="BE173" s="228">
        <f t="shared" si="117"/>
        <v>22</v>
      </c>
      <c r="BF173" s="228">
        <f t="shared" si="117"/>
        <v>76</v>
      </c>
      <c r="BG173" s="228">
        <f t="shared" si="117"/>
        <v>15</v>
      </c>
      <c r="BH173" s="228">
        <f t="shared" si="117"/>
        <v>19</v>
      </c>
      <c r="BI173" s="228">
        <f t="shared" si="117"/>
        <v>51</v>
      </c>
      <c r="BJ173" s="228">
        <f t="shared" si="117"/>
        <v>10</v>
      </c>
      <c r="BK173" s="228">
        <f t="shared" si="117"/>
        <v>10</v>
      </c>
      <c r="BL173" s="228">
        <f t="shared" si="117"/>
        <v>0</v>
      </c>
      <c r="BM173" s="228">
        <f t="shared" si="117"/>
        <v>11</v>
      </c>
      <c r="BN173" s="228">
        <f t="shared" si="117"/>
        <v>20</v>
      </c>
      <c r="BO173" s="228">
        <f t="shared" si="117"/>
        <v>0</v>
      </c>
      <c r="BP173" s="228">
        <f t="shared" ref="BP173:DP173" si="118">BP49</f>
        <v>0</v>
      </c>
      <c r="BQ173" s="228">
        <f t="shared" si="118"/>
        <v>0</v>
      </c>
      <c r="BR173" s="228">
        <f t="shared" si="118"/>
        <v>0</v>
      </c>
      <c r="BS173" s="228">
        <f t="shared" si="118"/>
        <v>0</v>
      </c>
      <c r="BT173" s="228">
        <f t="shared" si="118"/>
        <v>0</v>
      </c>
      <c r="BU173" s="228">
        <f t="shared" si="118"/>
        <v>0</v>
      </c>
      <c r="BV173" s="228">
        <f t="shared" si="118"/>
        <v>0</v>
      </c>
      <c r="BW173" s="228">
        <f t="shared" si="118"/>
        <v>298</v>
      </c>
      <c r="BX173" s="228">
        <f t="shared" si="118"/>
        <v>111</v>
      </c>
      <c r="BY173" s="228">
        <f t="shared" si="118"/>
        <v>46</v>
      </c>
      <c r="BZ173" s="228">
        <f t="shared" si="118"/>
        <v>130</v>
      </c>
      <c r="CA173" s="228">
        <f t="shared" si="118"/>
        <v>158</v>
      </c>
      <c r="CB173" s="228">
        <f t="shared" si="118"/>
        <v>0</v>
      </c>
      <c r="CC173" s="228">
        <f t="shared" si="118"/>
        <v>2</v>
      </c>
      <c r="CD173" s="228">
        <f t="shared" si="118"/>
        <v>2</v>
      </c>
      <c r="CE173" s="228">
        <f t="shared" si="118"/>
        <v>4</v>
      </c>
      <c r="CF173" s="228">
        <f t="shared" si="118"/>
        <v>2</v>
      </c>
      <c r="CG173" s="228">
        <f t="shared" si="118"/>
        <v>0</v>
      </c>
      <c r="CH173" s="228">
        <f t="shared" si="118"/>
        <v>1</v>
      </c>
      <c r="CI173" s="228">
        <f t="shared" si="118"/>
        <v>3</v>
      </c>
      <c r="CJ173" s="228">
        <f t="shared" si="118"/>
        <v>7</v>
      </c>
      <c r="CK173" s="228">
        <f t="shared" si="118"/>
        <v>0</v>
      </c>
      <c r="CL173" s="228">
        <f t="shared" si="118"/>
        <v>3</v>
      </c>
      <c r="CM173" s="228">
        <f t="shared" si="118"/>
        <v>0</v>
      </c>
      <c r="CN173" s="228">
        <f t="shared" si="118"/>
        <v>0</v>
      </c>
      <c r="CO173" s="228">
        <f t="shared" si="118"/>
        <v>0</v>
      </c>
      <c r="CP173" s="228">
        <f t="shared" si="118"/>
        <v>0</v>
      </c>
      <c r="CQ173" s="228">
        <f t="shared" si="118"/>
        <v>0</v>
      </c>
      <c r="CR173" s="228">
        <f t="shared" si="118"/>
        <v>0</v>
      </c>
      <c r="CS173" s="228">
        <f t="shared" si="118"/>
        <v>0</v>
      </c>
      <c r="CT173" s="228">
        <f t="shared" si="118"/>
        <v>0</v>
      </c>
      <c r="CU173" s="228">
        <f t="shared" si="118"/>
        <v>0</v>
      </c>
      <c r="CV173" s="228">
        <f t="shared" si="118"/>
        <v>0</v>
      </c>
      <c r="CW173" s="228">
        <f t="shared" si="118"/>
        <v>4</v>
      </c>
      <c r="CX173" s="228">
        <f t="shared" si="118"/>
        <v>2</v>
      </c>
      <c r="CY173" s="228">
        <f t="shared" si="118"/>
        <v>2</v>
      </c>
      <c r="CZ173" s="228">
        <f t="shared" si="118"/>
        <v>0</v>
      </c>
      <c r="DA173" s="228">
        <f t="shared" si="118"/>
        <v>132</v>
      </c>
      <c r="DB173" s="228">
        <f t="shared" si="118"/>
        <v>14</v>
      </c>
      <c r="DC173" s="228">
        <f t="shared" si="118"/>
        <v>2</v>
      </c>
      <c r="DD173" s="228">
        <f t="shared" si="118"/>
        <v>0</v>
      </c>
      <c r="DE173" s="228">
        <f t="shared" si="118"/>
        <v>12</v>
      </c>
      <c r="DF173" s="228">
        <f t="shared" si="118"/>
        <v>0</v>
      </c>
      <c r="DG173" s="228">
        <f t="shared" si="118"/>
        <v>0</v>
      </c>
      <c r="DH173" s="228">
        <f t="shared" si="118"/>
        <v>0</v>
      </c>
      <c r="DI173" s="228">
        <f t="shared" si="118"/>
        <v>148</v>
      </c>
      <c r="DJ173" s="228">
        <f t="shared" si="118"/>
        <v>183</v>
      </c>
      <c r="DK173" s="228">
        <f t="shared" si="118"/>
        <v>2</v>
      </c>
      <c r="DL173" s="228">
        <f t="shared" si="118"/>
        <v>8</v>
      </c>
      <c r="DM173" s="228">
        <f t="shared" si="118"/>
        <v>0</v>
      </c>
      <c r="DN173" s="228">
        <f t="shared" si="118"/>
        <v>0</v>
      </c>
      <c r="DO173" s="228">
        <f t="shared" si="118"/>
        <v>0</v>
      </c>
      <c r="DP173" s="232">
        <f t="shared" si="118"/>
        <v>5633</v>
      </c>
      <c r="DQ173" s="228">
        <f t="shared" si="17"/>
        <v>145</v>
      </c>
      <c r="DR173" s="228">
        <f t="shared" si="18"/>
        <v>13</v>
      </c>
      <c r="DS173" s="230">
        <f>SUM(X173:Y173)+(1-TRP!$AK$253)*AC173</f>
        <v>705.5</v>
      </c>
      <c r="DT173" s="228">
        <f t="shared" si="19"/>
        <v>7</v>
      </c>
      <c r="DU173" s="228">
        <f t="shared" si="20"/>
        <v>35</v>
      </c>
      <c r="DV173" s="228">
        <f t="shared" si="21"/>
        <v>95</v>
      </c>
      <c r="DW173" s="228">
        <f t="shared" si="22"/>
        <v>24</v>
      </c>
      <c r="DX173" s="228">
        <f t="shared" si="23"/>
        <v>108</v>
      </c>
      <c r="DY173" s="228">
        <f t="shared" si="24"/>
        <v>76</v>
      </c>
      <c r="DZ173" s="228">
        <f t="shared" si="25"/>
        <v>15</v>
      </c>
      <c r="EA173" s="228">
        <f t="shared" si="26"/>
        <v>19</v>
      </c>
      <c r="EB173" s="230">
        <f>TRP!$AK$253*$AC173+SUM(M173:W173,Z173:AB173,AD173:AR173,AU173:AX173,BC173:BE173,BI173:BN173,BQ173:BR173,BV173)</f>
        <v>3114.5</v>
      </c>
      <c r="EC173" s="228">
        <f t="shared" si="27"/>
        <v>409</v>
      </c>
      <c r="ED173" s="230">
        <f>CB173+$CI173*TRP!$AV$248</f>
        <v>9.3012750754573645E-2</v>
      </c>
      <c r="EE173" s="228">
        <f t="shared" si="28"/>
        <v>2</v>
      </c>
      <c r="EF173" s="230">
        <f>CD173+$CI173*TRP!$AV$249</f>
        <v>4.0795873530817985</v>
      </c>
      <c r="EG173" s="230">
        <f>CE173+$CI173*TRP!$AV$250</f>
        <v>4.6065804101243399</v>
      </c>
      <c r="EH173" s="230">
        <f>CF173+$CI173*TRP!$AV$251</f>
        <v>2.2208194860392876</v>
      </c>
      <c r="EI173" s="228">
        <f t="shared" si="29"/>
        <v>671</v>
      </c>
      <c r="EJ173" s="228">
        <f t="shared" si="30"/>
        <v>183</v>
      </c>
      <c r="EK173" s="228">
        <f t="shared" si="31"/>
        <v>0</v>
      </c>
      <c r="EL173" s="230">
        <f>BS173+$BP173*TRP!$AN$246</f>
        <v>0</v>
      </c>
      <c r="EM173" s="228">
        <f t="shared" si="32"/>
        <v>0</v>
      </c>
      <c r="EN173" s="230">
        <f>BU173+$BP173*TRP!$AN$247</f>
        <v>0</v>
      </c>
    </row>
    <row r="174" spans="1:144" s="228" customFormat="1" ht="10.5" x14ac:dyDescent="0.25">
      <c r="A174" s="228" t="str">
        <f>TRP!C172</f>
        <v xml:space="preserve">GF23 </v>
      </c>
      <c r="B174" s="228" t="str">
        <f>TRP!B172</f>
        <v>FABRICATION D ETOFFES ET D ARTICLES A MA</v>
      </c>
      <c r="C174" s="233">
        <f>TRP!A172</f>
        <v>12</v>
      </c>
      <c r="D174" s="228">
        <f t="shared" ref="D174:BO174" si="119">D50</f>
        <v>0</v>
      </c>
      <c r="E174" s="228">
        <f t="shared" si="119"/>
        <v>0</v>
      </c>
      <c r="F174" s="228">
        <f t="shared" si="119"/>
        <v>0</v>
      </c>
      <c r="G174" s="228">
        <f t="shared" si="119"/>
        <v>0</v>
      </c>
      <c r="H174" s="228">
        <f t="shared" si="119"/>
        <v>0</v>
      </c>
      <c r="I174" s="228">
        <f t="shared" si="119"/>
        <v>0</v>
      </c>
      <c r="J174" s="228">
        <f t="shared" si="119"/>
        <v>0</v>
      </c>
      <c r="K174" s="228">
        <f t="shared" si="119"/>
        <v>2</v>
      </c>
      <c r="L174" s="228">
        <f t="shared" si="119"/>
        <v>0</v>
      </c>
      <c r="M174" s="228">
        <f t="shared" si="119"/>
        <v>102</v>
      </c>
      <c r="N174" s="228">
        <f t="shared" si="119"/>
        <v>0</v>
      </c>
      <c r="O174" s="228">
        <f t="shared" si="119"/>
        <v>0</v>
      </c>
      <c r="P174" s="228">
        <f t="shared" si="119"/>
        <v>0</v>
      </c>
      <c r="Q174" s="228">
        <f t="shared" si="119"/>
        <v>0</v>
      </c>
      <c r="R174" s="228">
        <f t="shared" si="119"/>
        <v>0</v>
      </c>
      <c r="S174" s="228">
        <f t="shared" si="119"/>
        <v>0</v>
      </c>
      <c r="T174" s="228">
        <f t="shared" si="119"/>
        <v>0</v>
      </c>
      <c r="U174" s="228">
        <f t="shared" si="119"/>
        <v>0</v>
      </c>
      <c r="V174" s="228">
        <f t="shared" si="119"/>
        <v>0</v>
      </c>
      <c r="W174" s="228">
        <f t="shared" si="119"/>
        <v>0</v>
      </c>
      <c r="X174" s="228">
        <f t="shared" si="119"/>
        <v>0</v>
      </c>
      <c r="Y174" s="228">
        <f t="shared" si="119"/>
        <v>0</v>
      </c>
      <c r="Z174" s="228">
        <f t="shared" si="119"/>
        <v>0</v>
      </c>
      <c r="AA174" s="228">
        <f t="shared" si="119"/>
        <v>0</v>
      </c>
      <c r="AB174" s="228">
        <f t="shared" si="119"/>
        <v>0</v>
      </c>
      <c r="AC174" s="228">
        <f t="shared" si="119"/>
        <v>0</v>
      </c>
      <c r="AD174" s="228">
        <f t="shared" si="119"/>
        <v>0</v>
      </c>
      <c r="AE174" s="228">
        <f t="shared" si="119"/>
        <v>0</v>
      </c>
      <c r="AF174" s="228">
        <f t="shared" si="119"/>
        <v>3</v>
      </c>
      <c r="AG174" s="228">
        <f t="shared" si="119"/>
        <v>0</v>
      </c>
      <c r="AH174" s="228">
        <f t="shared" si="119"/>
        <v>0</v>
      </c>
      <c r="AI174" s="228">
        <f t="shared" si="119"/>
        <v>0</v>
      </c>
      <c r="AJ174" s="228">
        <f t="shared" si="119"/>
        <v>0</v>
      </c>
      <c r="AK174" s="228">
        <f t="shared" si="119"/>
        <v>0</v>
      </c>
      <c r="AL174" s="228">
        <f t="shared" si="119"/>
        <v>0</v>
      </c>
      <c r="AM174" s="228">
        <f t="shared" si="119"/>
        <v>0</v>
      </c>
      <c r="AN174" s="228">
        <f t="shared" si="119"/>
        <v>0</v>
      </c>
      <c r="AO174" s="228">
        <f t="shared" si="119"/>
        <v>0</v>
      </c>
      <c r="AP174" s="228">
        <f t="shared" si="119"/>
        <v>0</v>
      </c>
      <c r="AQ174" s="228">
        <f t="shared" si="119"/>
        <v>0</v>
      </c>
      <c r="AR174" s="228">
        <f t="shared" si="119"/>
        <v>0</v>
      </c>
      <c r="AS174" s="228">
        <f t="shared" si="119"/>
        <v>0</v>
      </c>
      <c r="AT174" s="228">
        <f t="shared" si="119"/>
        <v>0</v>
      </c>
      <c r="AU174" s="228">
        <f t="shared" si="119"/>
        <v>18</v>
      </c>
      <c r="AV174" s="228">
        <f t="shared" si="119"/>
        <v>124</v>
      </c>
      <c r="AW174" s="228">
        <f t="shared" si="119"/>
        <v>118</v>
      </c>
      <c r="AX174" s="228">
        <f t="shared" si="119"/>
        <v>0</v>
      </c>
      <c r="AY174" s="228">
        <f t="shared" si="119"/>
        <v>0</v>
      </c>
      <c r="AZ174" s="228">
        <f t="shared" si="119"/>
        <v>0</v>
      </c>
      <c r="BA174" s="228">
        <f t="shared" si="119"/>
        <v>0</v>
      </c>
      <c r="BB174" s="228">
        <f t="shared" si="119"/>
        <v>0</v>
      </c>
      <c r="BC174" s="228">
        <f t="shared" si="119"/>
        <v>0</v>
      </c>
      <c r="BD174" s="228">
        <f t="shared" si="119"/>
        <v>0</v>
      </c>
      <c r="BE174" s="228">
        <f t="shared" si="119"/>
        <v>0</v>
      </c>
      <c r="BF174" s="228">
        <f t="shared" si="119"/>
        <v>0</v>
      </c>
      <c r="BG174" s="228">
        <f t="shared" si="119"/>
        <v>0</v>
      </c>
      <c r="BH174" s="228">
        <f t="shared" si="119"/>
        <v>0</v>
      </c>
      <c r="BI174" s="228">
        <f t="shared" si="119"/>
        <v>0</v>
      </c>
      <c r="BJ174" s="228">
        <f t="shared" si="119"/>
        <v>0</v>
      </c>
      <c r="BK174" s="228">
        <f t="shared" si="119"/>
        <v>0</v>
      </c>
      <c r="BL174" s="228">
        <f t="shared" si="119"/>
        <v>0</v>
      </c>
      <c r="BM174" s="228">
        <f t="shared" si="119"/>
        <v>0</v>
      </c>
      <c r="BN174" s="228">
        <f t="shared" si="119"/>
        <v>0</v>
      </c>
      <c r="BO174" s="228">
        <f t="shared" si="119"/>
        <v>0</v>
      </c>
      <c r="BP174" s="228">
        <f t="shared" ref="BP174:DP174" si="120">BP50</f>
        <v>0</v>
      </c>
      <c r="BQ174" s="228">
        <f t="shared" si="120"/>
        <v>0</v>
      </c>
      <c r="BR174" s="228">
        <f t="shared" si="120"/>
        <v>0</v>
      </c>
      <c r="BS174" s="228">
        <f t="shared" si="120"/>
        <v>0</v>
      </c>
      <c r="BT174" s="228">
        <f t="shared" si="120"/>
        <v>0</v>
      </c>
      <c r="BU174" s="228">
        <f t="shared" si="120"/>
        <v>0</v>
      </c>
      <c r="BV174" s="228">
        <f t="shared" si="120"/>
        <v>0</v>
      </c>
      <c r="BW174" s="228">
        <f t="shared" si="120"/>
        <v>0</v>
      </c>
      <c r="BX174" s="228">
        <f t="shared" si="120"/>
        <v>0</v>
      </c>
      <c r="BY174" s="228">
        <f t="shared" si="120"/>
        <v>0</v>
      </c>
      <c r="BZ174" s="228">
        <f t="shared" si="120"/>
        <v>0</v>
      </c>
      <c r="CA174" s="228">
        <f t="shared" si="120"/>
        <v>0</v>
      </c>
      <c r="CB174" s="228">
        <f t="shared" si="120"/>
        <v>0</v>
      </c>
      <c r="CC174" s="228">
        <f t="shared" si="120"/>
        <v>0</v>
      </c>
      <c r="CD174" s="228">
        <f t="shared" si="120"/>
        <v>0</v>
      </c>
      <c r="CE174" s="228">
        <f t="shared" si="120"/>
        <v>0</v>
      </c>
      <c r="CF174" s="228">
        <f t="shared" si="120"/>
        <v>0</v>
      </c>
      <c r="CG174" s="228">
        <f t="shared" si="120"/>
        <v>0</v>
      </c>
      <c r="CH174" s="228">
        <f t="shared" si="120"/>
        <v>0</v>
      </c>
      <c r="CI174" s="228">
        <f t="shared" si="120"/>
        <v>0</v>
      </c>
      <c r="CJ174" s="228">
        <f t="shared" si="120"/>
        <v>0</v>
      </c>
      <c r="CK174" s="228">
        <f t="shared" si="120"/>
        <v>0</v>
      </c>
      <c r="CL174" s="228">
        <f t="shared" si="120"/>
        <v>0</v>
      </c>
      <c r="CM174" s="228">
        <f t="shared" si="120"/>
        <v>0</v>
      </c>
      <c r="CN174" s="228">
        <f t="shared" si="120"/>
        <v>0</v>
      </c>
      <c r="CO174" s="228">
        <f t="shared" si="120"/>
        <v>0</v>
      </c>
      <c r="CP174" s="228">
        <f t="shared" si="120"/>
        <v>0</v>
      </c>
      <c r="CQ174" s="228">
        <f t="shared" si="120"/>
        <v>0</v>
      </c>
      <c r="CR174" s="228">
        <f t="shared" si="120"/>
        <v>0</v>
      </c>
      <c r="CS174" s="228">
        <f t="shared" si="120"/>
        <v>0</v>
      </c>
      <c r="CT174" s="228">
        <f t="shared" si="120"/>
        <v>0</v>
      </c>
      <c r="CU174" s="228">
        <f t="shared" si="120"/>
        <v>0</v>
      </c>
      <c r="CV174" s="228">
        <f t="shared" si="120"/>
        <v>0</v>
      </c>
      <c r="CW174" s="228">
        <f t="shared" si="120"/>
        <v>0</v>
      </c>
      <c r="CX174" s="228">
        <f t="shared" si="120"/>
        <v>0</v>
      </c>
      <c r="CY174" s="228">
        <f t="shared" si="120"/>
        <v>0</v>
      </c>
      <c r="CZ174" s="228">
        <f t="shared" si="120"/>
        <v>0</v>
      </c>
      <c r="DA174" s="228">
        <f t="shared" si="120"/>
        <v>0</v>
      </c>
      <c r="DB174" s="228">
        <f t="shared" si="120"/>
        <v>0</v>
      </c>
      <c r="DC174" s="228">
        <f t="shared" si="120"/>
        <v>0</v>
      </c>
      <c r="DD174" s="228">
        <f t="shared" si="120"/>
        <v>0</v>
      </c>
      <c r="DE174" s="228">
        <f t="shared" si="120"/>
        <v>0</v>
      </c>
      <c r="DF174" s="228">
        <f t="shared" si="120"/>
        <v>0</v>
      </c>
      <c r="DG174" s="228">
        <f t="shared" si="120"/>
        <v>0</v>
      </c>
      <c r="DH174" s="228">
        <f t="shared" si="120"/>
        <v>0</v>
      </c>
      <c r="DI174" s="228">
        <f t="shared" si="120"/>
        <v>0</v>
      </c>
      <c r="DJ174" s="228">
        <f t="shared" si="120"/>
        <v>0</v>
      </c>
      <c r="DK174" s="228">
        <f t="shared" si="120"/>
        <v>2</v>
      </c>
      <c r="DL174" s="228">
        <f t="shared" si="120"/>
        <v>0</v>
      </c>
      <c r="DM174" s="228">
        <f t="shared" si="120"/>
        <v>0</v>
      </c>
      <c r="DN174" s="228">
        <f t="shared" si="120"/>
        <v>0</v>
      </c>
      <c r="DO174" s="228">
        <f t="shared" si="120"/>
        <v>0</v>
      </c>
      <c r="DP174" s="232">
        <f t="shared" si="120"/>
        <v>369</v>
      </c>
      <c r="DQ174" s="228">
        <f t="shared" si="17"/>
        <v>0</v>
      </c>
      <c r="DR174" s="228">
        <f t="shared" si="18"/>
        <v>2</v>
      </c>
      <c r="DS174" s="230">
        <f>SUM(X174:Y174)+(1-TRP!$AK$253)*AC174</f>
        <v>0</v>
      </c>
      <c r="DT174" s="228">
        <f t="shared" si="19"/>
        <v>0</v>
      </c>
      <c r="DU174" s="228">
        <f t="shared" si="20"/>
        <v>0</v>
      </c>
      <c r="DV174" s="228">
        <f t="shared" si="21"/>
        <v>0</v>
      </c>
      <c r="DW174" s="228">
        <f t="shared" si="22"/>
        <v>0</v>
      </c>
      <c r="DX174" s="228">
        <f t="shared" si="23"/>
        <v>0</v>
      </c>
      <c r="DY174" s="228">
        <f t="shared" si="24"/>
        <v>0</v>
      </c>
      <c r="DZ174" s="228">
        <f t="shared" si="25"/>
        <v>0</v>
      </c>
      <c r="EA174" s="228">
        <f t="shared" si="26"/>
        <v>0</v>
      </c>
      <c r="EB174" s="230">
        <f>TRP!$AK$253*$AC174+SUM(M174:W174,Z174:AB174,AD174:AR174,AU174:AX174,BC174:BE174,BI174:BN174,BQ174:BR174,BV174)</f>
        <v>365</v>
      </c>
      <c r="EC174" s="228">
        <f t="shared" si="27"/>
        <v>0</v>
      </c>
      <c r="ED174" s="230">
        <f>CB174+$CI174*TRP!$AV$248</f>
        <v>0</v>
      </c>
      <c r="EE174" s="228">
        <f t="shared" si="28"/>
        <v>0</v>
      </c>
      <c r="EF174" s="230">
        <f>CD174+$CI174*TRP!$AV$249</f>
        <v>0</v>
      </c>
      <c r="EG174" s="230">
        <f>CE174+$CI174*TRP!$AV$250</f>
        <v>0</v>
      </c>
      <c r="EH174" s="230">
        <f>CF174+$CI174*TRP!$AV$251</f>
        <v>0</v>
      </c>
      <c r="EI174" s="228">
        <f t="shared" si="29"/>
        <v>2</v>
      </c>
      <c r="EJ174" s="228">
        <f t="shared" si="30"/>
        <v>0</v>
      </c>
      <c r="EK174" s="228">
        <f t="shared" si="31"/>
        <v>0</v>
      </c>
      <c r="EL174" s="230">
        <f>BS174+$BP174*TRP!$AN$246</f>
        <v>0</v>
      </c>
      <c r="EM174" s="228">
        <f t="shared" si="32"/>
        <v>0</v>
      </c>
      <c r="EN174" s="230">
        <f>BU174+$BP174*TRP!$AN$247</f>
        <v>0</v>
      </c>
    </row>
    <row r="175" spans="1:144" s="228" customFormat="1" ht="10.5" x14ac:dyDescent="0.25">
      <c r="A175" s="228" t="str">
        <f>TRP!C173</f>
        <v xml:space="preserve">GF31 </v>
      </c>
      <c r="B175" s="228" t="str">
        <f>TRP!B173</f>
        <v>TRAVAIL DU BOIS ET FABRICATION D ARTICLE</v>
      </c>
      <c r="C175" s="233">
        <f>TRP!A173</f>
        <v>12</v>
      </c>
      <c r="D175" s="228">
        <f t="shared" ref="D175:BO175" si="121">D51</f>
        <v>659</v>
      </c>
      <c r="E175" s="228">
        <f t="shared" si="121"/>
        <v>0</v>
      </c>
      <c r="F175" s="228">
        <f t="shared" si="121"/>
        <v>3</v>
      </c>
      <c r="G175" s="228">
        <f t="shared" si="121"/>
        <v>69</v>
      </c>
      <c r="H175" s="228">
        <f t="shared" si="121"/>
        <v>47</v>
      </c>
      <c r="I175" s="228">
        <f t="shared" si="121"/>
        <v>132</v>
      </c>
      <c r="J175" s="228">
        <f t="shared" si="121"/>
        <v>32</v>
      </c>
      <c r="K175" s="228">
        <f t="shared" si="121"/>
        <v>107</v>
      </c>
      <c r="L175" s="228">
        <f t="shared" si="121"/>
        <v>0</v>
      </c>
      <c r="M175" s="228">
        <f t="shared" si="121"/>
        <v>3</v>
      </c>
      <c r="N175" s="228">
        <f t="shared" si="121"/>
        <v>3</v>
      </c>
      <c r="O175" s="228">
        <f t="shared" si="121"/>
        <v>153</v>
      </c>
      <c r="P175" s="228">
        <f t="shared" si="121"/>
        <v>89</v>
      </c>
      <c r="Q175" s="228">
        <f t="shared" si="121"/>
        <v>61</v>
      </c>
      <c r="R175" s="228">
        <f t="shared" si="121"/>
        <v>2866</v>
      </c>
      <c r="S175" s="228">
        <f t="shared" si="121"/>
        <v>3</v>
      </c>
      <c r="T175" s="228">
        <f t="shared" si="121"/>
        <v>84</v>
      </c>
      <c r="U175" s="228">
        <f t="shared" si="121"/>
        <v>13</v>
      </c>
      <c r="V175" s="228">
        <f t="shared" si="121"/>
        <v>6</v>
      </c>
      <c r="W175" s="228">
        <f t="shared" si="121"/>
        <v>6</v>
      </c>
      <c r="X175" s="228">
        <f t="shared" si="121"/>
        <v>142</v>
      </c>
      <c r="Y175" s="228">
        <f t="shared" si="121"/>
        <v>130</v>
      </c>
      <c r="Z175" s="228">
        <f t="shared" si="121"/>
        <v>46</v>
      </c>
      <c r="AA175" s="228">
        <f t="shared" si="121"/>
        <v>10</v>
      </c>
      <c r="AB175" s="228">
        <f t="shared" si="121"/>
        <v>66</v>
      </c>
      <c r="AC175" s="228">
        <f t="shared" si="121"/>
        <v>0</v>
      </c>
      <c r="AD175" s="228">
        <f t="shared" si="121"/>
        <v>11</v>
      </c>
      <c r="AE175" s="228">
        <f t="shared" si="121"/>
        <v>15</v>
      </c>
      <c r="AF175" s="228">
        <f t="shared" si="121"/>
        <v>11</v>
      </c>
      <c r="AG175" s="228">
        <f t="shared" si="121"/>
        <v>17</v>
      </c>
      <c r="AH175" s="228">
        <f t="shared" si="121"/>
        <v>41</v>
      </c>
      <c r="AI175" s="228">
        <f t="shared" si="121"/>
        <v>3</v>
      </c>
      <c r="AJ175" s="228">
        <f t="shared" si="121"/>
        <v>9</v>
      </c>
      <c r="AK175" s="228">
        <f t="shared" si="121"/>
        <v>41</v>
      </c>
      <c r="AL175" s="228">
        <f t="shared" si="121"/>
        <v>1</v>
      </c>
      <c r="AM175" s="228">
        <f t="shared" si="121"/>
        <v>1</v>
      </c>
      <c r="AN175" s="228">
        <f t="shared" si="121"/>
        <v>35</v>
      </c>
      <c r="AO175" s="228">
        <f t="shared" si="121"/>
        <v>0</v>
      </c>
      <c r="AP175" s="228">
        <f t="shared" si="121"/>
        <v>45</v>
      </c>
      <c r="AQ175" s="228">
        <f t="shared" si="121"/>
        <v>0</v>
      </c>
      <c r="AR175" s="228">
        <f t="shared" si="121"/>
        <v>54</v>
      </c>
      <c r="AS175" s="228">
        <f t="shared" si="121"/>
        <v>49</v>
      </c>
      <c r="AT175" s="228">
        <f t="shared" si="121"/>
        <v>355</v>
      </c>
      <c r="AU175" s="228">
        <f t="shared" si="121"/>
        <v>11</v>
      </c>
      <c r="AV175" s="228">
        <f t="shared" si="121"/>
        <v>6</v>
      </c>
      <c r="AW175" s="228">
        <f t="shared" si="121"/>
        <v>2</v>
      </c>
      <c r="AX175" s="228">
        <f t="shared" si="121"/>
        <v>3120</v>
      </c>
      <c r="AY175" s="228">
        <f t="shared" si="121"/>
        <v>190</v>
      </c>
      <c r="AZ175" s="228">
        <f t="shared" si="121"/>
        <v>136</v>
      </c>
      <c r="BA175" s="228">
        <f t="shared" si="121"/>
        <v>0</v>
      </c>
      <c r="BB175" s="228">
        <f t="shared" si="121"/>
        <v>11</v>
      </c>
      <c r="BC175" s="228">
        <f t="shared" si="121"/>
        <v>0</v>
      </c>
      <c r="BD175" s="228">
        <f t="shared" si="121"/>
        <v>0</v>
      </c>
      <c r="BE175" s="228">
        <f t="shared" si="121"/>
        <v>4</v>
      </c>
      <c r="BF175" s="228">
        <f t="shared" si="121"/>
        <v>104</v>
      </c>
      <c r="BG175" s="228">
        <f t="shared" si="121"/>
        <v>79</v>
      </c>
      <c r="BH175" s="228">
        <f t="shared" si="121"/>
        <v>39</v>
      </c>
      <c r="BI175" s="228">
        <f t="shared" si="121"/>
        <v>25</v>
      </c>
      <c r="BJ175" s="228">
        <f t="shared" si="121"/>
        <v>86</v>
      </c>
      <c r="BK175" s="228">
        <f t="shared" si="121"/>
        <v>52</v>
      </c>
      <c r="BL175" s="228">
        <f t="shared" si="121"/>
        <v>45</v>
      </c>
      <c r="BM175" s="228">
        <f t="shared" si="121"/>
        <v>56</v>
      </c>
      <c r="BN175" s="228">
        <f t="shared" si="121"/>
        <v>22</v>
      </c>
      <c r="BO175" s="228">
        <f t="shared" si="121"/>
        <v>0</v>
      </c>
      <c r="BP175" s="228">
        <f t="shared" ref="BP175:DP175" si="122">BP51</f>
        <v>0</v>
      </c>
      <c r="BQ175" s="228">
        <f t="shared" si="122"/>
        <v>0</v>
      </c>
      <c r="BR175" s="228">
        <f t="shared" si="122"/>
        <v>0</v>
      </c>
      <c r="BS175" s="228">
        <f t="shared" si="122"/>
        <v>2</v>
      </c>
      <c r="BT175" s="228">
        <f t="shared" si="122"/>
        <v>1</v>
      </c>
      <c r="BU175" s="228">
        <f t="shared" si="122"/>
        <v>1</v>
      </c>
      <c r="BV175" s="228">
        <f t="shared" si="122"/>
        <v>8</v>
      </c>
      <c r="BW175" s="228">
        <f t="shared" si="122"/>
        <v>3624</v>
      </c>
      <c r="BX175" s="228">
        <f t="shared" si="122"/>
        <v>1054</v>
      </c>
      <c r="BY175" s="228">
        <f t="shared" si="122"/>
        <v>106</v>
      </c>
      <c r="BZ175" s="228">
        <f t="shared" si="122"/>
        <v>149</v>
      </c>
      <c r="CA175" s="228">
        <f t="shared" si="122"/>
        <v>74</v>
      </c>
      <c r="CB175" s="228">
        <f t="shared" si="122"/>
        <v>1</v>
      </c>
      <c r="CC175" s="228">
        <f t="shared" si="122"/>
        <v>0</v>
      </c>
      <c r="CD175" s="228">
        <f t="shared" si="122"/>
        <v>3</v>
      </c>
      <c r="CE175" s="228">
        <f t="shared" si="122"/>
        <v>9</v>
      </c>
      <c r="CF175" s="228">
        <f t="shared" si="122"/>
        <v>5</v>
      </c>
      <c r="CG175" s="228">
        <f t="shared" si="122"/>
        <v>33</v>
      </c>
      <c r="CH175" s="228">
        <f t="shared" si="122"/>
        <v>0</v>
      </c>
      <c r="CI175" s="228">
        <f t="shared" si="122"/>
        <v>35</v>
      </c>
      <c r="CJ175" s="228">
        <f t="shared" si="122"/>
        <v>8</v>
      </c>
      <c r="CK175" s="228">
        <f t="shared" si="122"/>
        <v>0</v>
      </c>
      <c r="CL175" s="228">
        <f t="shared" si="122"/>
        <v>0</v>
      </c>
      <c r="CM175" s="228">
        <f t="shared" si="122"/>
        <v>18</v>
      </c>
      <c r="CN175" s="228">
        <f t="shared" si="122"/>
        <v>59</v>
      </c>
      <c r="CO175" s="228">
        <f t="shared" si="122"/>
        <v>89</v>
      </c>
      <c r="CP175" s="228">
        <f t="shared" si="122"/>
        <v>14</v>
      </c>
      <c r="CQ175" s="228">
        <f t="shared" si="122"/>
        <v>7</v>
      </c>
      <c r="CR175" s="228">
        <f t="shared" si="122"/>
        <v>3</v>
      </c>
      <c r="CS175" s="228">
        <f t="shared" si="122"/>
        <v>2</v>
      </c>
      <c r="CT175" s="228">
        <f t="shared" si="122"/>
        <v>2</v>
      </c>
      <c r="CU175" s="228">
        <f t="shared" si="122"/>
        <v>2</v>
      </c>
      <c r="CV175" s="228">
        <f t="shared" si="122"/>
        <v>5</v>
      </c>
      <c r="CW175" s="228">
        <f t="shared" si="122"/>
        <v>43</v>
      </c>
      <c r="CX175" s="228">
        <f t="shared" si="122"/>
        <v>0</v>
      </c>
      <c r="CY175" s="228">
        <f t="shared" si="122"/>
        <v>23</v>
      </c>
      <c r="CZ175" s="228">
        <f t="shared" si="122"/>
        <v>0</v>
      </c>
      <c r="DA175" s="228">
        <f t="shared" si="122"/>
        <v>55</v>
      </c>
      <c r="DB175" s="228">
        <f t="shared" si="122"/>
        <v>17</v>
      </c>
      <c r="DC175" s="228">
        <f t="shared" si="122"/>
        <v>44</v>
      </c>
      <c r="DD175" s="228">
        <f t="shared" si="122"/>
        <v>158</v>
      </c>
      <c r="DE175" s="228">
        <f t="shared" si="122"/>
        <v>28</v>
      </c>
      <c r="DF175" s="228">
        <f t="shared" si="122"/>
        <v>0</v>
      </c>
      <c r="DG175" s="228">
        <f t="shared" si="122"/>
        <v>7</v>
      </c>
      <c r="DH175" s="228">
        <f t="shared" si="122"/>
        <v>29</v>
      </c>
      <c r="DI175" s="228">
        <f t="shared" si="122"/>
        <v>1</v>
      </c>
      <c r="DJ175" s="228">
        <f t="shared" si="122"/>
        <v>0</v>
      </c>
      <c r="DK175" s="228">
        <f t="shared" si="122"/>
        <v>0</v>
      </c>
      <c r="DL175" s="228">
        <f t="shared" si="122"/>
        <v>0</v>
      </c>
      <c r="DM175" s="228">
        <f t="shared" si="122"/>
        <v>0</v>
      </c>
      <c r="DN175" s="228">
        <f t="shared" si="122"/>
        <v>6</v>
      </c>
      <c r="DO175" s="228">
        <f t="shared" si="122"/>
        <v>45</v>
      </c>
      <c r="DP175" s="232">
        <f t="shared" si="122"/>
        <v>15176</v>
      </c>
      <c r="DQ175" s="228">
        <f t="shared" si="17"/>
        <v>662</v>
      </c>
      <c r="DR175" s="228">
        <f t="shared" si="18"/>
        <v>387</v>
      </c>
      <c r="DS175" s="230">
        <f>SUM(X175:Y175)+(1-TRP!$AK$253)*AC175</f>
        <v>272</v>
      </c>
      <c r="DT175" s="228">
        <f t="shared" si="19"/>
        <v>49</v>
      </c>
      <c r="DU175" s="228">
        <f t="shared" si="20"/>
        <v>355</v>
      </c>
      <c r="DV175" s="228">
        <f t="shared" si="21"/>
        <v>326</v>
      </c>
      <c r="DW175" s="228">
        <f t="shared" si="22"/>
        <v>0</v>
      </c>
      <c r="DX175" s="228">
        <f t="shared" si="23"/>
        <v>11</v>
      </c>
      <c r="DY175" s="228">
        <f t="shared" si="24"/>
        <v>104</v>
      </c>
      <c r="DZ175" s="228">
        <f t="shared" si="25"/>
        <v>79</v>
      </c>
      <c r="EA175" s="228">
        <f t="shared" si="26"/>
        <v>39</v>
      </c>
      <c r="EB175" s="230">
        <f>TRP!$AK$253*$AC175+SUM(M175:W175,Z175:AB175,AD175:AR175,AU175:AX175,BC175:BE175,BI175:BN175,BQ175:BR175,BV175)</f>
        <v>7130</v>
      </c>
      <c r="EC175" s="228">
        <f t="shared" si="27"/>
        <v>4678</v>
      </c>
      <c r="ED175" s="230">
        <f>CB175+$CI175*TRP!$AV$248</f>
        <v>2.085148758803359</v>
      </c>
      <c r="EE175" s="228">
        <f t="shared" si="28"/>
        <v>0</v>
      </c>
      <c r="EF175" s="230">
        <f>CD175+$CI175*TRP!$AV$249</f>
        <v>27.261852452620989</v>
      </c>
      <c r="EG175" s="230">
        <f>CE175+$CI175*TRP!$AV$250</f>
        <v>16.076771451450629</v>
      </c>
      <c r="EH175" s="230">
        <f>CF175+$CI175*TRP!$AV$251</f>
        <v>7.5762273371250233</v>
      </c>
      <c r="EI175" s="228">
        <f t="shared" si="29"/>
        <v>947</v>
      </c>
      <c r="EJ175" s="228">
        <f t="shared" si="30"/>
        <v>80</v>
      </c>
      <c r="EK175" s="228">
        <f t="shared" si="31"/>
        <v>0</v>
      </c>
      <c r="EL175" s="230">
        <f>BS175+$BP175*TRP!$AN$246</f>
        <v>2</v>
      </c>
      <c r="EM175" s="228">
        <f t="shared" si="32"/>
        <v>1</v>
      </c>
      <c r="EN175" s="230">
        <f>BU175+$BP175*TRP!$AN$247</f>
        <v>1</v>
      </c>
    </row>
    <row r="176" spans="1:144" s="228" customFormat="1" ht="10.5" x14ac:dyDescent="0.25">
      <c r="A176" s="228" t="str">
        <f>TRP!C174</f>
        <v xml:space="preserve">GF32 </v>
      </c>
      <c r="B176" s="228" t="str">
        <f>TRP!B174</f>
        <v xml:space="preserve">FABRICATION DE PATE A PAPIER  DE PAPIER </v>
      </c>
      <c r="C176" s="233">
        <f>TRP!A174</f>
        <v>6</v>
      </c>
      <c r="D176" s="228">
        <f t="shared" ref="D176:BO176" si="123">D52</f>
        <v>0</v>
      </c>
      <c r="E176" s="228">
        <f t="shared" si="123"/>
        <v>0</v>
      </c>
      <c r="F176" s="228">
        <f t="shared" si="123"/>
        <v>0</v>
      </c>
      <c r="G176" s="228">
        <f t="shared" si="123"/>
        <v>68</v>
      </c>
      <c r="H176" s="228">
        <f t="shared" si="123"/>
        <v>132</v>
      </c>
      <c r="I176" s="228">
        <f t="shared" si="123"/>
        <v>9</v>
      </c>
      <c r="J176" s="228">
        <f t="shared" si="123"/>
        <v>79</v>
      </c>
      <c r="K176" s="228">
        <f t="shared" si="123"/>
        <v>275</v>
      </c>
      <c r="L176" s="228">
        <f t="shared" si="123"/>
        <v>4</v>
      </c>
      <c r="M176" s="228">
        <f t="shared" si="123"/>
        <v>24</v>
      </c>
      <c r="N176" s="228">
        <f t="shared" si="123"/>
        <v>23</v>
      </c>
      <c r="O176" s="228">
        <f t="shared" si="123"/>
        <v>1806</v>
      </c>
      <c r="P176" s="228">
        <f t="shared" si="123"/>
        <v>456</v>
      </c>
      <c r="Q176" s="228">
        <f t="shared" si="123"/>
        <v>147</v>
      </c>
      <c r="R176" s="228">
        <f t="shared" si="123"/>
        <v>16</v>
      </c>
      <c r="S176" s="228">
        <f t="shared" si="123"/>
        <v>2</v>
      </c>
      <c r="T176" s="228">
        <f t="shared" si="123"/>
        <v>25</v>
      </c>
      <c r="U176" s="228">
        <f t="shared" si="123"/>
        <v>27</v>
      </c>
      <c r="V176" s="228">
        <f t="shared" si="123"/>
        <v>12</v>
      </c>
      <c r="W176" s="228">
        <f t="shared" si="123"/>
        <v>16</v>
      </c>
      <c r="X176" s="228">
        <f t="shared" si="123"/>
        <v>20</v>
      </c>
      <c r="Y176" s="228">
        <f t="shared" si="123"/>
        <v>52</v>
      </c>
      <c r="Z176" s="228">
        <f t="shared" si="123"/>
        <v>2</v>
      </c>
      <c r="AA176" s="228">
        <f t="shared" si="123"/>
        <v>4</v>
      </c>
      <c r="AB176" s="228">
        <f t="shared" si="123"/>
        <v>16</v>
      </c>
      <c r="AC176" s="228">
        <f t="shared" si="123"/>
        <v>3</v>
      </c>
      <c r="AD176" s="228">
        <f t="shared" si="123"/>
        <v>8</v>
      </c>
      <c r="AE176" s="228">
        <f t="shared" si="123"/>
        <v>10</v>
      </c>
      <c r="AF176" s="228">
        <f t="shared" si="123"/>
        <v>24</v>
      </c>
      <c r="AG176" s="228">
        <f t="shared" si="123"/>
        <v>18</v>
      </c>
      <c r="AH176" s="228">
        <f t="shared" si="123"/>
        <v>9</v>
      </c>
      <c r="AI176" s="228">
        <f t="shared" si="123"/>
        <v>2</v>
      </c>
      <c r="AJ176" s="228">
        <f t="shared" si="123"/>
        <v>9</v>
      </c>
      <c r="AK176" s="228">
        <f t="shared" si="123"/>
        <v>1</v>
      </c>
      <c r="AL176" s="228">
        <f t="shared" si="123"/>
        <v>3</v>
      </c>
      <c r="AM176" s="228">
        <f t="shared" si="123"/>
        <v>9</v>
      </c>
      <c r="AN176" s="228">
        <f t="shared" si="123"/>
        <v>21</v>
      </c>
      <c r="AO176" s="228">
        <f t="shared" si="123"/>
        <v>48</v>
      </c>
      <c r="AP176" s="228">
        <f t="shared" si="123"/>
        <v>33</v>
      </c>
      <c r="AQ176" s="228">
        <f t="shared" si="123"/>
        <v>0</v>
      </c>
      <c r="AR176" s="228">
        <f t="shared" si="123"/>
        <v>17</v>
      </c>
      <c r="AS176" s="228">
        <f t="shared" si="123"/>
        <v>98</v>
      </c>
      <c r="AT176" s="228">
        <f t="shared" si="123"/>
        <v>62</v>
      </c>
      <c r="AU176" s="228">
        <f t="shared" si="123"/>
        <v>31</v>
      </c>
      <c r="AV176" s="228">
        <f t="shared" si="123"/>
        <v>3</v>
      </c>
      <c r="AW176" s="228">
        <f t="shared" si="123"/>
        <v>25</v>
      </c>
      <c r="AX176" s="228">
        <f t="shared" si="123"/>
        <v>0</v>
      </c>
      <c r="AY176" s="228">
        <f t="shared" si="123"/>
        <v>2446</v>
      </c>
      <c r="AZ176" s="228">
        <f t="shared" si="123"/>
        <v>2134</v>
      </c>
      <c r="BA176" s="228">
        <f t="shared" si="123"/>
        <v>15</v>
      </c>
      <c r="BB176" s="228">
        <f t="shared" si="123"/>
        <v>111</v>
      </c>
      <c r="BC176" s="228">
        <f t="shared" si="123"/>
        <v>172</v>
      </c>
      <c r="BD176" s="228">
        <f t="shared" si="123"/>
        <v>2</v>
      </c>
      <c r="BE176" s="228">
        <f t="shared" si="123"/>
        <v>19</v>
      </c>
      <c r="BF176" s="228">
        <f t="shared" si="123"/>
        <v>59</v>
      </c>
      <c r="BG176" s="228">
        <f t="shared" si="123"/>
        <v>0</v>
      </c>
      <c r="BH176" s="228">
        <f t="shared" si="123"/>
        <v>15</v>
      </c>
      <c r="BI176" s="228">
        <f t="shared" si="123"/>
        <v>0</v>
      </c>
      <c r="BJ176" s="228">
        <f t="shared" si="123"/>
        <v>30</v>
      </c>
      <c r="BK176" s="228">
        <f t="shared" si="123"/>
        <v>11</v>
      </c>
      <c r="BL176" s="228">
        <f t="shared" si="123"/>
        <v>93</v>
      </c>
      <c r="BM176" s="228">
        <f t="shared" si="123"/>
        <v>104</v>
      </c>
      <c r="BN176" s="228">
        <f t="shared" si="123"/>
        <v>31</v>
      </c>
      <c r="BO176" s="228">
        <f t="shared" si="123"/>
        <v>0</v>
      </c>
      <c r="BP176" s="228">
        <f t="shared" ref="BP176:DP176" si="124">BP52</f>
        <v>0</v>
      </c>
      <c r="BQ176" s="228">
        <f t="shared" si="124"/>
        <v>0</v>
      </c>
      <c r="BR176" s="228">
        <f t="shared" si="124"/>
        <v>18</v>
      </c>
      <c r="BS176" s="228">
        <f t="shared" si="124"/>
        <v>9</v>
      </c>
      <c r="BT176" s="228">
        <f t="shared" si="124"/>
        <v>18</v>
      </c>
      <c r="BU176" s="228">
        <f t="shared" si="124"/>
        <v>3</v>
      </c>
      <c r="BV176" s="228">
        <f t="shared" si="124"/>
        <v>16</v>
      </c>
      <c r="BW176" s="228">
        <f t="shared" si="124"/>
        <v>101</v>
      </c>
      <c r="BX176" s="228">
        <f t="shared" si="124"/>
        <v>73</v>
      </c>
      <c r="BY176" s="228">
        <f t="shared" si="124"/>
        <v>75</v>
      </c>
      <c r="BZ176" s="228">
        <f t="shared" si="124"/>
        <v>737</v>
      </c>
      <c r="CA176" s="228">
        <f t="shared" si="124"/>
        <v>406</v>
      </c>
      <c r="CB176" s="228">
        <f t="shared" si="124"/>
        <v>0</v>
      </c>
      <c r="CC176" s="228">
        <f t="shared" si="124"/>
        <v>9</v>
      </c>
      <c r="CD176" s="228">
        <f t="shared" si="124"/>
        <v>15</v>
      </c>
      <c r="CE176" s="228">
        <f t="shared" si="124"/>
        <v>16</v>
      </c>
      <c r="CF176" s="228">
        <f t="shared" si="124"/>
        <v>0</v>
      </c>
      <c r="CG176" s="228">
        <f t="shared" si="124"/>
        <v>0</v>
      </c>
      <c r="CH176" s="228">
        <f t="shared" si="124"/>
        <v>1</v>
      </c>
      <c r="CI176" s="228">
        <f t="shared" si="124"/>
        <v>1</v>
      </c>
      <c r="CJ176" s="228">
        <f t="shared" si="124"/>
        <v>0</v>
      </c>
      <c r="CK176" s="228">
        <f t="shared" si="124"/>
        <v>0</v>
      </c>
      <c r="CL176" s="228">
        <f t="shared" si="124"/>
        <v>0</v>
      </c>
      <c r="CM176" s="228">
        <f t="shared" si="124"/>
        <v>73</v>
      </c>
      <c r="CN176" s="228">
        <f t="shared" si="124"/>
        <v>12</v>
      </c>
      <c r="CO176" s="228">
        <f t="shared" si="124"/>
        <v>7</v>
      </c>
      <c r="CP176" s="228">
        <f t="shared" si="124"/>
        <v>88</v>
      </c>
      <c r="CQ176" s="228">
        <f t="shared" si="124"/>
        <v>161</v>
      </c>
      <c r="CR176" s="228">
        <f t="shared" si="124"/>
        <v>166</v>
      </c>
      <c r="CS176" s="228">
        <f t="shared" si="124"/>
        <v>17</v>
      </c>
      <c r="CT176" s="228">
        <f t="shared" si="124"/>
        <v>184</v>
      </c>
      <c r="CU176" s="228">
        <f t="shared" si="124"/>
        <v>33</v>
      </c>
      <c r="CV176" s="228">
        <f t="shared" si="124"/>
        <v>2</v>
      </c>
      <c r="CW176" s="228">
        <f t="shared" si="124"/>
        <v>243</v>
      </c>
      <c r="CX176" s="228">
        <f t="shared" si="124"/>
        <v>7</v>
      </c>
      <c r="CY176" s="228">
        <f t="shared" si="124"/>
        <v>46</v>
      </c>
      <c r="CZ176" s="228">
        <f t="shared" si="124"/>
        <v>0</v>
      </c>
      <c r="DA176" s="228">
        <f t="shared" si="124"/>
        <v>54</v>
      </c>
      <c r="DB176" s="228">
        <f t="shared" si="124"/>
        <v>0</v>
      </c>
      <c r="DC176" s="228">
        <f t="shared" si="124"/>
        <v>1</v>
      </c>
      <c r="DD176" s="228">
        <f t="shared" si="124"/>
        <v>0</v>
      </c>
      <c r="DE176" s="228">
        <f t="shared" si="124"/>
        <v>21</v>
      </c>
      <c r="DF176" s="228">
        <f t="shared" si="124"/>
        <v>0</v>
      </c>
      <c r="DG176" s="228">
        <f t="shared" si="124"/>
        <v>76</v>
      </c>
      <c r="DH176" s="228">
        <f t="shared" si="124"/>
        <v>0</v>
      </c>
      <c r="DI176" s="228">
        <f t="shared" si="124"/>
        <v>7</v>
      </c>
      <c r="DJ176" s="228">
        <f t="shared" si="124"/>
        <v>0</v>
      </c>
      <c r="DK176" s="228">
        <f t="shared" si="124"/>
        <v>11</v>
      </c>
      <c r="DL176" s="228">
        <f t="shared" si="124"/>
        <v>1</v>
      </c>
      <c r="DM176" s="228">
        <f t="shared" si="124"/>
        <v>0</v>
      </c>
      <c r="DN176" s="228">
        <f t="shared" si="124"/>
        <v>1</v>
      </c>
      <c r="DO176" s="228">
        <f t="shared" si="124"/>
        <v>0</v>
      </c>
      <c r="DP176" s="232">
        <f t="shared" si="124"/>
        <v>11600</v>
      </c>
      <c r="DQ176" s="228">
        <f t="shared" si="17"/>
        <v>0</v>
      </c>
      <c r="DR176" s="228">
        <f t="shared" si="18"/>
        <v>567</v>
      </c>
      <c r="DS176" s="230">
        <f>SUM(X176:Y176)+(1-TRP!$AK$253)*AC176</f>
        <v>74.099999999999994</v>
      </c>
      <c r="DT176" s="228">
        <f t="shared" si="19"/>
        <v>98</v>
      </c>
      <c r="DU176" s="228">
        <f t="shared" si="20"/>
        <v>62</v>
      </c>
      <c r="DV176" s="228">
        <f t="shared" si="21"/>
        <v>4580</v>
      </c>
      <c r="DW176" s="228">
        <f t="shared" si="22"/>
        <v>15</v>
      </c>
      <c r="DX176" s="228">
        <f t="shared" si="23"/>
        <v>111</v>
      </c>
      <c r="DY176" s="228">
        <f t="shared" si="24"/>
        <v>59</v>
      </c>
      <c r="DZ176" s="228">
        <f t="shared" si="25"/>
        <v>0</v>
      </c>
      <c r="EA176" s="228">
        <f t="shared" si="26"/>
        <v>15</v>
      </c>
      <c r="EB176" s="230">
        <f>TRP!$AK$253*$AC176+SUM(M176:W176,Z176:AB176,AD176:AR176,AU176:AX176,BC176:BE176,BI176:BN176,BQ176:BR176,BV176)</f>
        <v>3343.9</v>
      </c>
      <c r="EC176" s="228">
        <f t="shared" si="27"/>
        <v>174</v>
      </c>
      <c r="ED176" s="230">
        <f>CB176+$CI176*TRP!$AV$248</f>
        <v>3.1004250251524548E-2</v>
      </c>
      <c r="EE176" s="228">
        <f t="shared" si="28"/>
        <v>9</v>
      </c>
      <c r="EF176" s="230">
        <f>CD176+$CI176*TRP!$AV$249</f>
        <v>15.693195784360599</v>
      </c>
      <c r="EG176" s="230">
        <f>CE176+$CI176*TRP!$AV$250</f>
        <v>16.202193470041447</v>
      </c>
      <c r="EH176" s="230">
        <f>CF176+$CI176*TRP!$AV$251</f>
        <v>7.360649534642924E-2</v>
      </c>
      <c r="EI176" s="228">
        <f t="shared" si="29"/>
        <v>2429</v>
      </c>
      <c r="EJ176" s="228">
        <f t="shared" si="30"/>
        <v>1</v>
      </c>
      <c r="EK176" s="228">
        <f t="shared" si="31"/>
        <v>0</v>
      </c>
      <c r="EL176" s="230">
        <f>BS176+$BP176*TRP!$AN$246</f>
        <v>9</v>
      </c>
      <c r="EM176" s="228">
        <f t="shared" si="32"/>
        <v>18</v>
      </c>
      <c r="EN176" s="230">
        <f>BU176+$BP176*TRP!$AN$247</f>
        <v>3</v>
      </c>
    </row>
    <row r="177" spans="1:144" s="228" customFormat="1" ht="10.5" x14ac:dyDescent="0.25">
      <c r="A177" s="228" t="str">
        <f>TRP!C175</f>
        <v xml:space="preserve">GF33 </v>
      </c>
      <c r="B177" s="228" t="str">
        <f>TRP!B175</f>
        <v>FABRICATION D ARTICLES EN PAPIER ET EN C</v>
      </c>
      <c r="C177" s="233">
        <f>TRP!A175</f>
        <v>6</v>
      </c>
      <c r="D177" s="228">
        <f t="shared" ref="D177:BO177" si="125">D53</f>
        <v>126</v>
      </c>
      <c r="E177" s="228">
        <f t="shared" si="125"/>
        <v>4</v>
      </c>
      <c r="F177" s="228">
        <f t="shared" si="125"/>
        <v>1</v>
      </c>
      <c r="G177" s="228">
        <f t="shared" si="125"/>
        <v>170</v>
      </c>
      <c r="H177" s="228">
        <f t="shared" si="125"/>
        <v>310</v>
      </c>
      <c r="I177" s="228">
        <f t="shared" si="125"/>
        <v>108</v>
      </c>
      <c r="J177" s="228">
        <f t="shared" si="125"/>
        <v>85</v>
      </c>
      <c r="K177" s="228">
        <f t="shared" si="125"/>
        <v>809</v>
      </c>
      <c r="L177" s="228">
        <f t="shared" si="125"/>
        <v>2</v>
      </c>
      <c r="M177" s="228">
        <f t="shared" si="125"/>
        <v>31</v>
      </c>
      <c r="N177" s="228">
        <f t="shared" si="125"/>
        <v>19</v>
      </c>
      <c r="O177" s="228">
        <f t="shared" si="125"/>
        <v>2848</v>
      </c>
      <c r="P177" s="228">
        <f t="shared" si="125"/>
        <v>344</v>
      </c>
      <c r="Q177" s="228">
        <f t="shared" si="125"/>
        <v>111</v>
      </c>
      <c r="R177" s="228">
        <f t="shared" si="125"/>
        <v>53</v>
      </c>
      <c r="S177" s="228">
        <f t="shared" si="125"/>
        <v>7</v>
      </c>
      <c r="T177" s="228">
        <f t="shared" si="125"/>
        <v>59</v>
      </c>
      <c r="U177" s="228">
        <f t="shared" si="125"/>
        <v>19</v>
      </c>
      <c r="V177" s="228">
        <f t="shared" si="125"/>
        <v>12</v>
      </c>
      <c r="W177" s="228">
        <f t="shared" si="125"/>
        <v>15</v>
      </c>
      <c r="X177" s="228">
        <f t="shared" si="125"/>
        <v>24</v>
      </c>
      <c r="Y177" s="228">
        <f t="shared" si="125"/>
        <v>12</v>
      </c>
      <c r="Z177" s="228">
        <f t="shared" si="125"/>
        <v>5</v>
      </c>
      <c r="AA177" s="228">
        <f t="shared" si="125"/>
        <v>4</v>
      </c>
      <c r="AB177" s="228">
        <f t="shared" si="125"/>
        <v>29</v>
      </c>
      <c r="AC177" s="228">
        <f t="shared" si="125"/>
        <v>4</v>
      </c>
      <c r="AD177" s="228">
        <f t="shared" si="125"/>
        <v>7</v>
      </c>
      <c r="AE177" s="228">
        <f t="shared" si="125"/>
        <v>9</v>
      </c>
      <c r="AF177" s="228">
        <f t="shared" si="125"/>
        <v>20</v>
      </c>
      <c r="AG177" s="228">
        <f t="shared" si="125"/>
        <v>44</v>
      </c>
      <c r="AH177" s="228">
        <f t="shared" si="125"/>
        <v>8</v>
      </c>
      <c r="AI177" s="228">
        <f t="shared" si="125"/>
        <v>3</v>
      </c>
      <c r="AJ177" s="228">
        <f t="shared" si="125"/>
        <v>29</v>
      </c>
      <c r="AK177" s="228">
        <f t="shared" si="125"/>
        <v>1</v>
      </c>
      <c r="AL177" s="228">
        <f t="shared" si="125"/>
        <v>3</v>
      </c>
      <c r="AM177" s="228">
        <f t="shared" si="125"/>
        <v>13</v>
      </c>
      <c r="AN177" s="228">
        <f t="shared" si="125"/>
        <v>22</v>
      </c>
      <c r="AO177" s="228">
        <f t="shared" si="125"/>
        <v>41</v>
      </c>
      <c r="AP177" s="228">
        <f t="shared" si="125"/>
        <v>43</v>
      </c>
      <c r="AQ177" s="228">
        <f t="shared" si="125"/>
        <v>0</v>
      </c>
      <c r="AR177" s="228">
        <f t="shared" si="125"/>
        <v>17</v>
      </c>
      <c r="AS177" s="228">
        <f t="shared" si="125"/>
        <v>105</v>
      </c>
      <c r="AT177" s="228">
        <f t="shared" si="125"/>
        <v>53</v>
      </c>
      <c r="AU177" s="228">
        <f t="shared" si="125"/>
        <v>31</v>
      </c>
      <c r="AV177" s="228">
        <f t="shared" si="125"/>
        <v>3</v>
      </c>
      <c r="AW177" s="228">
        <f t="shared" si="125"/>
        <v>24</v>
      </c>
      <c r="AX177" s="228">
        <f t="shared" si="125"/>
        <v>94</v>
      </c>
      <c r="AY177" s="228">
        <f t="shared" si="125"/>
        <v>200</v>
      </c>
      <c r="AZ177" s="228">
        <f t="shared" si="125"/>
        <v>1624</v>
      </c>
      <c r="BA177" s="228">
        <f t="shared" si="125"/>
        <v>15</v>
      </c>
      <c r="BB177" s="228">
        <f t="shared" si="125"/>
        <v>98</v>
      </c>
      <c r="BC177" s="228">
        <f t="shared" si="125"/>
        <v>131</v>
      </c>
      <c r="BD177" s="228">
        <f t="shared" si="125"/>
        <v>11</v>
      </c>
      <c r="BE177" s="228">
        <f t="shared" si="125"/>
        <v>14</v>
      </c>
      <c r="BF177" s="228">
        <f t="shared" si="125"/>
        <v>433</v>
      </c>
      <c r="BG177" s="228">
        <f t="shared" si="125"/>
        <v>0</v>
      </c>
      <c r="BH177" s="228">
        <f t="shared" si="125"/>
        <v>23</v>
      </c>
      <c r="BI177" s="228">
        <f t="shared" si="125"/>
        <v>0</v>
      </c>
      <c r="BJ177" s="228">
        <f t="shared" si="125"/>
        <v>22</v>
      </c>
      <c r="BK177" s="228">
        <f t="shared" si="125"/>
        <v>16</v>
      </c>
      <c r="BL177" s="228">
        <f t="shared" si="125"/>
        <v>89</v>
      </c>
      <c r="BM177" s="228">
        <f t="shared" si="125"/>
        <v>44</v>
      </c>
      <c r="BN177" s="228">
        <f t="shared" si="125"/>
        <v>21</v>
      </c>
      <c r="BO177" s="228">
        <f t="shared" si="125"/>
        <v>0</v>
      </c>
      <c r="BP177" s="228">
        <f t="shared" ref="BP177:DP177" si="126">BP53</f>
        <v>0</v>
      </c>
      <c r="BQ177" s="228">
        <f t="shared" si="126"/>
        <v>0</v>
      </c>
      <c r="BR177" s="228">
        <f t="shared" si="126"/>
        <v>19</v>
      </c>
      <c r="BS177" s="228">
        <f t="shared" si="126"/>
        <v>7</v>
      </c>
      <c r="BT177" s="228">
        <f t="shared" si="126"/>
        <v>8</v>
      </c>
      <c r="BU177" s="228">
        <f t="shared" si="126"/>
        <v>0</v>
      </c>
      <c r="BV177" s="228">
        <f t="shared" si="126"/>
        <v>16</v>
      </c>
      <c r="BW177" s="228">
        <f t="shared" si="126"/>
        <v>142</v>
      </c>
      <c r="BX177" s="228">
        <f t="shared" si="126"/>
        <v>67</v>
      </c>
      <c r="BY177" s="228">
        <f t="shared" si="126"/>
        <v>5</v>
      </c>
      <c r="BZ177" s="228">
        <f t="shared" si="126"/>
        <v>152</v>
      </c>
      <c r="CA177" s="228">
        <f t="shared" si="126"/>
        <v>122</v>
      </c>
      <c r="CB177" s="228">
        <f t="shared" si="126"/>
        <v>0</v>
      </c>
      <c r="CC177" s="228">
        <f t="shared" si="126"/>
        <v>3</v>
      </c>
      <c r="CD177" s="228">
        <f t="shared" si="126"/>
        <v>3</v>
      </c>
      <c r="CE177" s="228">
        <f t="shared" si="126"/>
        <v>4</v>
      </c>
      <c r="CF177" s="228">
        <f t="shared" si="126"/>
        <v>2</v>
      </c>
      <c r="CG177" s="228">
        <f t="shared" si="126"/>
        <v>42</v>
      </c>
      <c r="CH177" s="228">
        <f t="shared" si="126"/>
        <v>96</v>
      </c>
      <c r="CI177" s="228">
        <f t="shared" si="126"/>
        <v>66</v>
      </c>
      <c r="CJ177" s="228">
        <f t="shared" si="126"/>
        <v>440</v>
      </c>
      <c r="CK177" s="228">
        <f t="shared" si="126"/>
        <v>122</v>
      </c>
      <c r="CL177" s="228">
        <f t="shared" si="126"/>
        <v>177</v>
      </c>
      <c r="CM177" s="228">
        <f t="shared" si="126"/>
        <v>39</v>
      </c>
      <c r="CN177" s="228">
        <f t="shared" si="126"/>
        <v>20</v>
      </c>
      <c r="CO177" s="228">
        <f t="shared" si="126"/>
        <v>77</v>
      </c>
      <c r="CP177" s="228">
        <f t="shared" si="126"/>
        <v>30</v>
      </c>
      <c r="CQ177" s="228">
        <f t="shared" si="126"/>
        <v>83</v>
      </c>
      <c r="CR177" s="228">
        <f t="shared" si="126"/>
        <v>57</v>
      </c>
      <c r="CS177" s="228">
        <f t="shared" si="126"/>
        <v>12</v>
      </c>
      <c r="CT177" s="228">
        <f t="shared" si="126"/>
        <v>76</v>
      </c>
      <c r="CU177" s="228">
        <f t="shared" si="126"/>
        <v>18</v>
      </c>
      <c r="CV177" s="228">
        <f t="shared" si="126"/>
        <v>16</v>
      </c>
      <c r="CW177" s="228">
        <f t="shared" si="126"/>
        <v>84</v>
      </c>
      <c r="CX177" s="228">
        <f t="shared" si="126"/>
        <v>2</v>
      </c>
      <c r="CY177" s="228">
        <f t="shared" si="126"/>
        <v>25</v>
      </c>
      <c r="CZ177" s="228">
        <f t="shared" si="126"/>
        <v>24</v>
      </c>
      <c r="DA177" s="228">
        <f t="shared" si="126"/>
        <v>101</v>
      </c>
      <c r="DB177" s="228">
        <f t="shared" si="126"/>
        <v>42</v>
      </c>
      <c r="DC177" s="228">
        <f t="shared" si="126"/>
        <v>26</v>
      </c>
      <c r="DD177" s="228">
        <f t="shared" si="126"/>
        <v>111</v>
      </c>
      <c r="DE177" s="228">
        <f t="shared" si="126"/>
        <v>16</v>
      </c>
      <c r="DF177" s="228">
        <f t="shared" si="126"/>
        <v>0</v>
      </c>
      <c r="DG177" s="228">
        <f t="shared" si="126"/>
        <v>107</v>
      </c>
      <c r="DH177" s="228">
        <f t="shared" si="126"/>
        <v>149</v>
      </c>
      <c r="DI177" s="228">
        <f t="shared" si="126"/>
        <v>5</v>
      </c>
      <c r="DJ177" s="228">
        <f t="shared" si="126"/>
        <v>2</v>
      </c>
      <c r="DK177" s="228">
        <f t="shared" si="126"/>
        <v>13</v>
      </c>
      <c r="DL177" s="228">
        <f t="shared" si="126"/>
        <v>6</v>
      </c>
      <c r="DM177" s="228">
        <f t="shared" si="126"/>
        <v>76</v>
      </c>
      <c r="DN177" s="228">
        <f t="shared" si="126"/>
        <v>593</v>
      </c>
      <c r="DO177" s="228">
        <f t="shared" si="126"/>
        <v>5</v>
      </c>
      <c r="DP177" s="232">
        <f t="shared" si="126"/>
        <v>11830</v>
      </c>
      <c r="DQ177" s="228">
        <f t="shared" si="17"/>
        <v>131</v>
      </c>
      <c r="DR177" s="228">
        <f t="shared" si="18"/>
        <v>1484</v>
      </c>
      <c r="DS177" s="230">
        <f>SUM(X177:Y177)+(1-TRP!$AK$253)*AC177</f>
        <v>38.799999999999997</v>
      </c>
      <c r="DT177" s="228">
        <f t="shared" si="19"/>
        <v>105</v>
      </c>
      <c r="DU177" s="228">
        <f t="shared" si="20"/>
        <v>53</v>
      </c>
      <c r="DV177" s="228">
        <f t="shared" si="21"/>
        <v>1824</v>
      </c>
      <c r="DW177" s="228">
        <f t="shared" si="22"/>
        <v>15</v>
      </c>
      <c r="DX177" s="228">
        <f t="shared" si="23"/>
        <v>98</v>
      </c>
      <c r="DY177" s="228">
        <f t="shared" si="24"/>
        <v>433</v>
      </c>
      <c r="DZ177" s="228">
        <f t="shared" si="25"/>
        <v>0</v>
      </c>
      <c r="EA177" s="228">
        <f t="shared" si="26"/>
        <v>23</v>
      </c>
      <c r="EB177" s="230">
        <f>TRP!$AK$253*$AC177+SUM(M177:W177,Z177:AB177,AD177:AR177,AU177:AX177,BC177:BE177,BI177:BN177,BQ177:BR177,BV177)</f>
        <v>4352.2</v>
      </c>
      <c r="EC177" s="228">
        <f t="shared" si="27"/>
        <v>209</v>
      </c>
      <c r="ED177" s="230">
        <f>CB177+$CI177*TRP!$AV$248</f>
        <v>2.0462805166006204</v>
      </c>
      <c r="EE177" s="228">
        <f t="shared" si="28"/>
        <v>3</v>
      </c>
      <c r="EF177" s="230">
        <f>CD177+$CI177*TRP!$AV$249</f>
        <v>48.750921767799582</v>
      </c>
      <c r="EG177" s="230">
        <f>CE177+$CI177*TRP!$AV$250</f>
        <v>17.344769022735473</v>
      </c>
      <c r="EH177" s="230">
        <f>CF177+$CI177*TRP!$AV$251</f>
        <v>6.8580286928643295</v>
      </c>
      <c r="EI177" s="228">
        <f t="shared" si="29"/>
        <v>2122</v>
      </c>
      <c r="EJ177" s="228">
        <f t="shared" si="30"/>
        <v>849</v>
      </c>
      <c r="EK177" s="228">
        <f t="shared" si="31"/>
        <v>0</v>
      </c>
      <c r="EL177" s="230">
        <f>BS177+$BP177*TRP!$AN$246</f>
        <v>7</v>
      </c>
      <c r="EM177" s="228">
        <f t="shared" si="32"/>
        <v>8</v>
      </c>
      <c r="EN177" s="230">
        <f>BU177+$BP177*TRP!$AN$247</f>
        <v>0</v>
      </c>
    </row>
    <row r="178" spans="1:144" s="228" customFormat="1" ht="10.5" x14ac:dyDescent="0.25">
      <c r="A178" s="228" t="str">
        <f>TRP!C176</f>
        <v xml:space="preserve">GF41 </v>
      </c>
      <c r="B178" s="228" t="str">
        <f>TRP!B176</f>
        <v>INDUSTRIE CHIMIQUE MINERALE</v>
      </c>
      <c r="C178" s="233">
        <f>TRP!A176</f>
        <v>7</v>
      </c>
      <c r="D178" s="228">
        <f t="shared" ref="D178:BO178" si="127">D54</f>
        <v>2958</v>
      </c>
      <c r="E178" s="228">
        <f t="shared" si="127"/>
        <v>0</v>
      </c>
      <c r="F178" s="228">
        <f t="shared" si="127"/>
        <v>0</v>
      </c>
      <c r="G178" s="228">
        <f t="shared" si="127"/>
        <v>0</v>
      </c>
      <c r="H178" s="228">
        <f t="shared" si="127"/>
        <v>0</v>
      </c>
      <c r="I178" s="228">
        <f t="shared" si="127"/>
        <v>1</v>
      </c>
      <c r="J178" s="228">
        <f t="shared" si="127"/>
        <v>0</v>
      </c>
      <c r="K178" s="228">
        <f t="shared" si="127"/>
        <v>15</v>
      </c>
      <c r="L178" s="228">
        <f t="shared" si="127"/>
        <v>0</v>
      </c>
      <c r="M178" s="228">
        <f t="shared" si="127"/>
        <v>61</v>
      </c>
      <c r="N178" s="228">
        <f t="shared" si="127"/>
        <v>101</v>
      </c>
      <c r="O178" s="228">
        <f t="shared" si="127"/>
        <v>14</v>
      </c>
      <c r="P178" s="228">
        <f t="shared" si="127"/>
        <v>207</v>
      </c>
      <c r="Q178" s="228">
        <f t="shared" si="127"/>
        <v>451</v>
      </c>
      <c r="R178" s="228">
        <f t="shared" si="127"/>
        <v>75</v>
      </c>
      <c r="S178" s="228">
        <f t="shared" si="127"/>
        <v>0</v>
      </c>
      <c r="T178" s="228">
        <f t="shared" si="127"/>
        <v>11</v>
      </c>
      <c r="U178" s="228">
        <f t="shared" si="127"/>
        <v>23</v>
      </c>
      <c r="V178" s="228">
        <f t="shared" si="127"/>
        <v>4</v>
      </c>
      <c r="W178" s="228">
        <f t="shared" si="127"/>
        <v>5</v>
      </c>
      <c r="X178" s="228">
        <f t="shared" si="127"/>
        <v>101</v>
      </c>
      <c r="Y178" s="228">
        <f t="shared" si="127"/>
        <v>117</v>
      </c>
      <c r="Z178" s="228">
        <f t="shared" si="127"/>
        <v>32</v>
      </c>
      <c r="AA178" s="228">
        <f t="shared" si="127"/>
        <v>0</v>
      </c>
      <c r="AB178" s="228">
        <f t="shared" si="127"/>
        <v>141</v>
      </c>
      <c r="AC178" s="228">
        <f t="shared" si="127"/>
        <v>1</v>
      </c>
      <c r="AD178" s="228">
        <f t="shared" si="127"/>
        <v>50</v>
      </c>
      <c r="AE178" s="228">
        <f t="shared" si="127"/>
        <v>54</v>
      </c>
      <c r="AF178" s="228">
        <f t="shared" si="127"/>
        <v>10</v>
      </c>
      <c r="AG178" s="228">
        <f t="shared" si="127"/>
        <v>60</v>
      </c>
      <c r="AH178" s="228">
        <f t="shared" si="127"/>
        <v>11</v>
      </c>
      <c r="AI178" s="228">
        <f t="shared" si="127"/>
        <v>3</v>
      </c>
      <c r="AJ178" s="228">
        <f t="shared" si="127"/>
        <v>24</v>
      </c>
      <c r="AK178" s="228">
        <f t="shared" si="127"/>
        <v>7</v>
      </c>
      <c r="AL178" s="228">
        <f t="shared" si="127"/>
        <v>2</v>
      </c>
      <c r="AM178" s="228">
        <f t="shared" si="127"/>
        <v>2</v>
      </c>
      <c r="AN178" s="228">
        <f t="shared" si="127"/>
        <v>6</v>
      </c>
      <c r="AO178" s="228">
        <f t="shared" si="127"/>
        <v>10</v>
      </c>
      <c r="AP178" s="228">
        <f t="shared" si="127"/>
        <v>7</v>
      </c>
      <c r="AQ178" s="228">
        <f t="shared" si="127"/>
        <v>0</v>
      </c>
      <c r="AR178" s="228">
        <f t="shared" si="127"/>
        <v>56</v>
      </c>
      <c r="AS178" s="228">
        <f t="shared" si="127"/>
        <v>203</v>
      </c>
      <c r="AT178" s="228">
        <f t="shared" si="127"/>
        <v>44</v>
      </c>
      <c r="AU178" s="228">
        <f t="shared" si="127"/>
        <v>69</v>
      </c>
      <c r="AV178" s="228">
        <f t="shared" si="127"/>
        <v>102</v>
      </c>
      <c r="AW178" s="228">
        <f t="shared" si="127"/>
        <v>25</v>
      </c>
      <c r="AX178" s="228">
        <f t="shared" si="127"/>
        <v>54</v>
      </c>
      <c r="AY178" s="228">
        <f t="shared" si="127"/>
        <v>84</v>
      </c>
      <c r="AZ178" s="228">
        <f t="shared" si="127"/>
        <v>92</v>
      </c>
      <c r="BA178" s="228">
        <f t="shared" si="127"/>
        <v>1734</v>
      </c>
      <c r="BB178" s="228">
        <f t="shared" si="127"/>
        <v>1186</v>
      </c>
      <c r="BC178" s="228">
        <f t="shared" si="127"/>
        <v>387</v>
      </c>
      <c r="BD178" s="228">
        <f t="shared" si="127"/>
        <v>19</v>
      </c>
      <c r="BE178" s="228">
        <f t="shared" si="127"/>
        <v>11</v>
      </c>
      <c r="BF178" s="228">
        <f t="shared" si="127"/>
        <v>99</v>
      </c>
      <c r="BG178" s="228">
        <f t="shared" si="127"/>
        <v>209</v>
      </c>
      <c r="BH178" s="228">
        <f t="shared" si="127"/>
        <v>54</v>
      </c>
      <c r="BI178" s="228">
        <f t="shared" si="127"/>
        <v>51</v>
      </c>
      <c r="BJ178" s="228">
        <f t="shared" si="127"/>
        <v>113</v>
      </c>
      <c r="BK178" s="228">
        <f t="shared" si="127"/>
        <v>85</v>
      </c>
      <c r="BL178" s="228">
        <f t="shared" si="127"/>
        <v>0</v>
      </c>
      <c r="BM178" s="228">
        <f t="shared" si="127"/>
        <v>13</v>
      </c>
      <c r="BN178" s="228">
        <f t="shared" si="127"/>
        <v>32</v>
      </c>
      <c r="BO178" s="228">
        <f t="shared" si="127"/>
        <v>0</v>
      </c>
      <c r="BP178" s="228">
        <f t="shared" ref="BP178:DP178" si="128">BP54</f>
        <v>0</v>
      </c>
      <c r="BQ178" s="228">
        <f t="shared" si="128"/>
        <v>0</v>
      </c>
      <c r="BR178" s="228">
        <f t="shared" si="128"/>
        <v>0</v>
      </c>
      <c r="BS178" s="228">
        <f t="shared" si="128"/>
        <v>24</v>
      </c>
      <c r="BT178" s="228">
        <f t="shared" si="128"/>
        <v>0</v>
      </c>
      <c r="BU178" s="228">
        <f t="shared" si="128"/>
        <v>6</v>
      </c>
      <c r="BV178" s="228">
        <f t="shared" si="128"/>
        <v>30</v>
      </c>
      <c r="BW178" s="228">
        <f t="shared" si="128"/>
        <v>93</v>
      </c>
      <c r="BX178" s="228">
        <f t="shared" si="128"/>
        <v>38</v>
      </c>
      <c r="BY178" s="228">
        <f t="shared" si="128"/>
        <v>59</v>
      </c>
      <c r="BZ178" s="228">
        <f t="shared" si="128"/>
        <v>37</v>
      </c>
      <c r="CA178" s="228">
        <f t="shared" si="128"/>
        <v>35</v>
      </c>
      <c r="CB178" s="228">
        <f t="shared" si="128"/>
        <v>1</v>
      </c>
      <c r="CC178" s="228">
        <f t="shared" si="128"/>
        <v>2</v>
      </c>
      <c r="CD178" s="228">
        <f t="shared" si="128"/>
        <v>2</v>
      </c>
      <c r="CE178" s="228">
        <f t="shared" si="128"/>
        <v>3</v>
      </c>
      <c r="CF178" s="228">
        <f t="shared" si="128"/>
        <v>2</v>
      </c>
      <c r="CG178" s="228">
        <f t="shared" si="128"/>
        <v>2</v>
      </c>
      <c r="CH178" s="228">
        <f t="shared" si="128"/>
        <v>1</v>
      </c>
      <c r="CI178" s="228">
        <f t="shared" si="128"/>
        <v>3</v>
      </c>
      <c r="CJ178" s="228">
        <f t="shared" si="128"/>
        <v>0</v>
      </c>
      <c r="CK178" s="228">
        <f t="shared" si="128"/>
        <v>0</v>
      </c>
      <c r="CL178" s="228">
        <f t="shared" si="128"/>
        <v>0</v>
      </c>
      <c r="CM178" s="228">
        <f t="shared" si="128"/>
        <v>1</v>
      </c>
      <c r="CN178" s="228">
        <f t="shared" si="128"/>
        <v>5</v>
      </c>
      <c r="CO178" s="228">
        <f t="shared" si="128"/>
        <v>4</v>
      </c>
      <c r="CP178" s="228">
        <f t="shared" si="128"/>
        <v>11</v>
      </c>
      <c r="CQ178" s="228">
        <f t="shared" si="128"/>
        <v>1</v>
      </c>
      <c r="CR178" s="228">
        <f t="shared" si="128"/>
        <v>1</v>
      </c>
      <c r="CS178" s="228">
        <f t="shared" si="128"/>
        <v>1</v>
      </c>
      <c r="CT178" s="228">
        <f t="shared" si="128"/>
        <v>8</v>
      </c>
      <c r="CU178" s="228">
        <f t="shared" si="128"/>
        <v>1</v>
      </c>
      <c r="CV178" s="228">
        <f t="shared" si="128"/>
        <v>2</v>
      </c>
      <c r="CW178" s="228">
        <f t="shared" si="128"/>
        <v>19</v>
      </c>
      <c r="CX178" s="228">
        <f t="shared" si="128"/>
        <v>9</v>
      </c>
      <c r="CY178" s="228">
        <f t="shared" si="128"/>
        <v>51</v>
      </c>
      <c r="CZ178" s="228">
        <f t="shared" si="128"/>
        <v>25</v>
      </c>
      <c r="DA178" s="228">
        <f t="shared" si="128"/>
        <v>10</v>
      </c>
      <c r="DB178" s="228">
        <f t="shared" si="128"/>
        <v>2</v>
      </c>
      <c r="DC178" s="228">
        <f t="shared" si="128"/>
        <v>1</v>
      </c>
      <c r="DD178" s="228">
        <f t="shared" si="128"/>
        <v>0</v>
      </c>
      <c r="DE178" s="228">
        <f t="shared" si="128"/>
        <v>9</v>
      </c>
      <c r="DF178" s="228">
        <f t="shared" si="128"/>
        <v>0</v>
      </c>
      <c r="DG178" s="228">
        <f t="shared" si="128"/>
        <v>0</v>
      </c>
      <c r="DH178" s="228">
        <f t="shared" si="128"/>
        <v>0</v>
      </c>
      <c r="DI178" s="228">
        <f t="shared" si="128"/>
        <v>18</v>
      </c>
      <c r="DJ178" s="228">
        <f t="shared" si="128"/>
        <v>0</v>
      </c>
      <c r="DK178" s="228">
        <f t="shared" si="128"/>
        <v>0</v>
      </c>
      <c r="DL178" s="228">
        <f t="shared" si="128"/>
        <v>24</v>
      </c>
      <c r="DM178" s="228">
        <f t="shared" si="128"/>
        <v>0</v>
      </c>
      <c r="DN178" s="228">
        <f t="shared" si="128"/>
        <v>2</v>
      </c>
      <c r="DO178" s="228">
        <f t="shared" si="128"/>
        <v>0</v>
      </c>
      <c r="DP178" s="232">
        <f t="shared" si="128"/>
        <v>9829</v>
      </c>
      <c r="DQ178" s="228">
        <f t="shared" si="17"/>
        <v>2958</v>
      </c>
      <c r="DR178" s="228">
        <f t="shared" si="18"/>
        <v>16</v>
      </c>
      <c r="DS178" s="230">
        <f>SUM(X178:Y178)+(1-TRP!$AK$253)*AC178</f>
        <v>218.7</v>
      </c>
      <c r="DT178" s="228">
        <f t="shared" si="19"/>
        <v>203</v>
      </c>
      <c r="DU178" s="228">
        <f t="shared" si="20"/>
        <v>44</v>
      </c>
      <c r="DV178" s="228">
        <f t="shared" si="21"/>
        <v>176</v>
      </c>
      <c r="DW178" s="228">
        <f t="shared" si="22"/>
        <v>1734</v>
      </c>
      <c r="DX178" s="228">
        <f t="shared" si="23"/>
        <v>1186</v>
      </c>
      <c r="DY178" s="228">
        <f t="shared" si="24"/>
        <v>99</v>
      </c>
      <c r="DZ178" s="228">
        <f t="shared" si="25"/>
        <v>209</v>
      </c>
      <c r="EA178" s="228">
        <f t="shared" si="26"/>
        <v>54</v>
      </c>
      <c r="EB178" s="230">
        <f>TRP!$AK$253*$AC178+SUM(M178:W178,Z178:AB178,AD178:AR178,AU178:AX178,BC178:BE178,BI178:BN178,BQ178:BR178,BV178)</f>
        <v>2418.3000000000002</v>
      </c>
      <c r="EC178" s="228">
        <f t="shared" si="27"/>
        <v>131</v>
      </c>
      <c r="ED178" s="230">
        <f>CB178+$CI178*TRP!$AV$248</f>
        <v>1.0930127507545737</v>
      </c>
      <c r="EE178" s="228">
        <f t="shared" si="28"/>
        <v>2</v>
      </c>
      <c r="EF178" s="230">
        <f>CD178+$CI178*TRP!$AV$249</f>
        <v>4.0795873530817985</v>
      </c>
      <c r="EG178" s="230">
        <f>CE178+$CI178*TRP!$AV$250</f>
        <v>3.6065804101243399</v>
      </c>
      <c r="EH178" s="230">
        <f>CF178+$CI178*TRP!$AV$251</f>
        <v>2.2208194860392876</v>
      </c>
      <c r="EI178" s="228">
        <f t="shared" si="29"/>
        <v>312</v>
      </c>
      <c r="EJ178" s="228">
        <f t="shared" si="30"/>
        <v>27</v>
      </c>
      <c r="EK178" s="228">
        <f t="shared" si="31"/>
        <v>0</v>
      </c>
      <c r="EL178" s="230">
        <f>BS178+$BP178*TRP!$AN$246</f>
        <v>24</v>
      </c>
      <c r="EM178" s="228">
        <f t="shared" si="32"/>
        <v>0</v>
      </c>
      <c r="EN178" s="230">
        <f>BU178+$BP178*TRP!$AN$247</f>
        <v>6</v>
      </c>
    </row>
    <row r="179" spans="1:144" s="228" customFormat="1" ht="10.5" x14ac:dyDescent="0.25">
      <c r="A179" s="228" t="str">
        <f>TRP!C177</f>
        <v xml:space="preserve">GF42 </v>
      </c>
      <c r="B179" s="228" t="str">
        <f>TRP!B177</f>
        <v>INDUSTRIE CHIMIQUE ORGANIQUE</v>
      </c>
      <c r="C179" s="233">
        <f>TRP!A177</f>
        <v>8</v>
      </c>
      <c r="D179" s="228">
        <f t="shared" ref="D179:BO179" si="129">D55</f>
        <v>0</v>
      </c>
      <c r="E179" s="228">
        <f t="shared" si="129"/>
        <v>0</v>
      </c>
      <c r="F179" s="228">
        <f t="shared" si="129"/>
        <v>0</v>
      </c>
      <c r="G179" s="228">
        <f t="shared" si="129"/>
        <v>17</v>
      </c>
      <c r="H179" s="228">
        <f t="shared" si="129"/>
        <v>23</v>
      </c>
      <c r="I179" s="228">
        <f t="shared" si="129"/>
        <v>42</v>
      </c>
      <c r="J179" s="228">
        <f t="shared" si="129"/>
        <v>22</v>
      </c>
      <c r="K179" s="228">
        <f t="shared" si="129"/>
        <v>60</v>
      </c>
      <c r="L179" s="228">
        <f t="shared" si="129"/>
        <v>1</v>
      </c>
      <c r="M179" s="228">
        <f t="shared" si="129"/>
        <v>230</v>
      </c>
      <c r="N179" s="228">
        <f t="shared" si="129"/>
        <v>178</v>
      </c>
      <c r="O179" s="228">
        <f t="shared" si="129"/>
        <v>303</v>
      </c>
      <c r="P179" s="228">
        <f t="shared" si="129"/>
        <v>2202</v>
      </c>
      <c r="Q179" s="228">
        <f t="shared" si="129"/>
        <v>1303</v>
      </c>
      <c r="R179" s="228">
        <f t="shared" si="129"/>
        <v>49</v>
      </c>
      <c r="S179" s="228">
        <f t="shared" si="129"/>
        <v>2</v>
      </c>
      <c r="T179" s="228">
        <f t="shared" si="129"/>
        <v>104</v>
      </c>
      <c r="U179" s="228">
        <f t="shared" si="129"/>
        <v>52</v>
      </c>
      <c r="V179" s="228">
        <f t="shared" si="129"/>
        <v>22</v>
      </c>
      <c r="W179" s="228">
        <f t="shared" si="129"/>
        <v>10</v>
      </c>
      <c r="X179" s="228">
        <f t="shared" si="129"/>
        <v>261</v>
      </c>
      <c r="Y179" s="228">
        <f t="shared" si="129"/>
        <v>123</v>
      </c>
      <c r="Z179" s="228">
        <f t="shared" si="129"/>
        <v>6</v>
      </c>
      <c r="AA179" s="228">
        <f t="shared" si="129"/>
        <v>8</v>
      </c>
      <c r="AB179" s="228">
        <f t="shared" si="129"/>
        <v>92</v>
      </c>
      <c r="AC179" s="228">
        <f t="shared" si="129"/>
        <v>3</v>
      </c>
      <c r="AD179" s="228">
        <f t="shared" si="129"/>
        <v>59</v>
      </c>
      <c r="AE179" s="228">
        <f t="shared" si="129"/>
        <v>55</v>
      </c>
      <c r="AF179" s="228">
        <f t="shared" si="129"/>
        <v>120</v>
      </c>
      <c r="AG179" s="228">
        <f t="shared" si="129"/>
        <v>94</v>
      </c>
      <c r="AH179" s="228">
        <f t="shared" si="129"/>
        <v>20</v>
      </c>
      <c r="AI179" s="228">
        <f t="shared" si="129"/>
        <v>2</v>
      </c>
      <c r="AJ179" s="228">
        <f t="shared" si="129"/>
        <v>49</v>
      </c>
      <c r="AK179" s="228">
        <f t="shared" si="129"/>
        <v>0</v>
      </c>
      <c r="AL179" s="228">
        <f t="shared" si="129"/>
        <v>1</v>
      </c>
      <c r="AM179" s="228">
        <f t="shared" si="129"/>
        <v>82</v>
      </c>
      <c r="AN179" s="228">
        <f t="shared" si="129"/>
        <v>1</v>
      </c>
      <c r="AO179" s="228">
        <f t="shared" si="129"/>
        <v>3</v>
      </c>
      <c r="AP179" s="228">
        <f t="shared" si="129"/>
        <v>1</v>
      </c>
      <c r="AQ179" s="228">
        <f t="shared" si="129"/>
        <v>0</v>
      </c>
      <c r="AR179" s="228">
        <f t="shared" si="129"/>
        <v>34</v>
      </c>
      <c r="AS179" s="228">
        <f t="shared" si="129"/>
        <v>60</v>
      </c>
      <c r="AT179" s="228">
        <f t="shared" si="129"/>
        <v>106</v>
      </c>
      <c r="AU179" s="228">
        <f t="shared" si="129"/>
        <v>89</v>
      </c>
      <c r="AV179" s="228">
        <f t="shared" si="129"/>
        <v>21</v>
      </c>
      <c r="AW179" s="228">
        <f t="shared" si="129"/>
        <v>27</v>
      </c>
      <c r="AX179" s="228">
        <f t="shared" si="129"/>
        <v>60</v>
      </c>
      <c r="AY179" s="228">
        <f t="shared" si="129"/>
        <v>427</v>
      </c>
      <c r="AZ179" s="228">
        <f t="shared" si="129"/>
        <v>292</v>
      </c>
      <c r="BA179" s="228">
        <f t="shared" si="129"/>
        <v>108</v>
      </c>
      <c r="BB179" s="228">
        <f t="shared" si="129"/>
        <v>4411</v>
      </c>
      <c r="BC179" s="228">
        <f t="shared" si="129"/>
        <v>2224</v>
      </c>
      <c r="BD179" s="228">
        <f t="shared" si="129"/>
        <v>34</v>
      </c>
      <c r="BE179" s="228">
        <f t="shared" si="129"/>
        <v>869</v>
      </c>
      <c r="BF179" s="228">
        <f t="shared" si="129"/>
        <v>8377</v>
      </c>
      <c r="BG179" s="228">
        <f t="shared" si="129"/>
        <v>47</v>
      </c>
      <c r="BH179" s="228">
        <f t="shared" si="129"/>
        <v>40</v>
      </c>
      <c r="BI179" s="228">
        <f t="shared" si="129"/>
        <v>13</v>
      </c>
      <c r="BJ179" s="228">
        <f t="shared" si="129"/>
        <v>113</v>
      </c>
      <c r="BK179" s="228">
        <f t="shared" si="129"/>
        <v>57</v>
      </c>
      <c r="BL179" s="228">
        <f t="shared" si="129"/>
        <v>0</v>
      </c>
      <c r="BM179" s="228">
        <f t="shared" si="129"/>
        <v>355</v>
      </c>
      <c r="BN179" s="228">
        <f t="shared" si="129"/>
        <v>29</v>
      </c>
      <c r="BO179" s="228">
        <f t="shared" si="129"/>
        <v>0</v>
      </c>
      <c r="BP179" s="228">
        <f t="shared" ref="BP179:DP179" si="130">BP55</f>
        <v>0</v>
      </c>
      <c r="BQ179" s="228">
        <f t="shared" si="130"/>
        <v>0</v>
      </c>
      <c r="BR179" s="228">
        <f t="shared" si="130"/>
        <v>0</v>
      </c>
      <c r="BS179" s="228">
        <f t="shared" si="130"/>
        <v>1065</v>
      </c>
      <c r="BT179" s="228">
        <f t="shared" si="130"/>
        <v>17</v>
      </c>
      <c r="BU179" s="228">
        <f t="shared" si="130"/>
        <v>5</v>
      </c>
      <c r="BV179" s="228">
        <f t="shared" si="130"/>
        <v>86</v>
      </c>
      <c r="BW179" s="228">
        <f t="shared" si="130"/>
        <v>57</v>
      </c>
      <c r="BX179" s="228">
        <f t="shared" si="130"/>
        <v>8</v>
      </c>
      <c r="BY179" s="228">
        <f t="shared" si="130"/>
        <v>125</v>
      </c>
      <c r="BZ179" s="228">
        <f t="shared" si="130"/>
        <v>119</v>
      </c>
      <c r="CA179" s="228">
        <f t="shared" si="130"/>
        <v>93</v>
      </c>
      <c r="CB179" s="228">
        <f t="shared" si="130"/>
        <v>1</v>
      </c>
      <c r="CC179" s="228">
        <f t="shared" si="130"/>
        <v>3</v>
      </c>
      <c r="CD179" s="228">
        <f t="shared" si="130"/>
        <v>2</v>
      </c>
      <c r="CE179" s="228">
        <f t="shared" si="130"/>
        <v>3</v>
      </c>
      <c r="CF179" s="228">
        <f t="shared" si="130"/>
        <v>2</v>
      </c>
      <c r="CG179" s="228">
        <f t="shared" si="130"/>
        <v>2</v>
      </c>
      <c r="CH179" s="228">
        <f t="shared" si="130"/>
        <v>1</v>
      </c>
      <c r="CI179" s="228">
        <f t="shared" si="130"/>
        <v>4</v>
      </c>
      <c r="CJ179" s="228">
        <f t="shared" si="130"/>
        <v>0</v>
      </c>
      <c r="CK179" s="228">
        <f t="shared" si="130"/>
        <v>0</v>
      </c>
      <c r="CL179" s="228">
        <f t="shared" si="130"/>
        <v>0</v>
      </c>
      <c r="CM179" s="228">
        <f t="shared" si="130"/>
        <v>3</v>
      </c>
      <c r="CN179" s="228">
        <f t="shared" si="130"/>
        <v>14</v>
      </c>
      <c r="CO179" s="228">
        <f t="shared" si="130"/>
        <v>9</v>
      </c>
      <c r="CP179" s="228">
        <f t="shared" si="130"/>
        <v>3</v>
      </c>
      <c r="CQ179" s="228">
        <f t="shared" si="130"/>
        <v>1</v>
      </c>
      <c r="CR179" s="228">
        <f t="shared" si="130"/>
        <v>1</v>
      </c>
      <c r="CS179" s="228">
        <f t="shared" si="130"/>
        <v>2</v>
      </c>
      <c r="CT179" s="228">
        <f t="shared" si="130"/>
        <v>4</v>
      </c>
      <c r="CU179" s="228">
        <f t="shared" si="130"/>
        <v>2</v>
      </c>
      <c r="CV179" s="228">
        <f t="shared" si="130"/>
        <v>2</v>
      </c>
      <c r="CW179" s="228">
        <f t="shared" si="130"/>
        <v>83</v>
      </c>
      <c r="CX179" s="228">
        <f t="shared" si="130"/>
        <v>4</v>
      </c>
      <c r="CY179" s="228">
        <f t="shared" si="130"/>
        <v>137</v>
      </c>
      <c r="CZ179" s="228">
        <f t="shared" si="130"/>
        <v>5</v>
      </c>
      <c r="DA179" s="228">
        <f t="shared" si="130"/>
        <v>22</v>
      </c>
      <c r="DB179" s="228">
        <f t="shared" si="130"/>
        <v>289</v>
      </c>
      <c r="DC179" s="228">
        <f t="shared" si="130"/>
        <v>50</v>
      </c>
      <c r="DD179" s="228">
        <f t="shared" si="130"/>
        <v>0</v>
      </c>
      <c r="DE179" s="228">
        <f t="shared" si="130"/>
        <v>20</v>
      </c>
      <c r="DF179" s="228">
        <f t="shared" si="130"/>
        <v>0</v>
      </c>
      <c r="DG179" s="228">
        <f t="shared" si="130"/>
        <v>0</v>
      </c>
      <c r="DH179" s="228">
        <f t="shared" si="130"/>
        <v>0</v>
      </c>
      <c r="DI179" s="228">
        <f t="shared" si="130"/>
        <v>147</v>
      </c>
      <c r="DJ179" s="228">
        <f t="shared" si="130"/>
        <v>185</v>
      </c>
      <c r="DK179" s="228">
        <f t="shared" si="130"/>
        <v>0</v>
      </c>
      <c r="DL179" s="228">
        <f t="shared" si="130"/>
        <v>41</v>
      </c>
      <c r="DM179" s="228">
        <f t="shared" si="130"/>
        <v>0</v>
      </c>
      <c r="DN179" s="228">
        <f t="shared" si="130"/>
        <v>22</v>
      </c>
      <c r="DO179" s="228">
        <f t="shared" si="130"/>
        <v>0</v>
      </c>
      <c r="DP179" s="232">
        <f t="shared" si="130"/>
        <v>26032</v>
      </c>
      <c r="DQ179" s="228">
        <f t="shared" si="17"/>
        <v>0</v>
      </c>
      <c r="DR179" s="228">
        <f t="shared" si="18"/>
        <v>165</v>
      </c>
      <c r="DS179" s="230">
        <f>SUM(X179:Y179)+(1-TRP!$AK$253)*AC179</f>
        <v>386.1</v>
      </c>
      <c r="DT179" s="228">
        <f t="shared" si="19"/>
        <v>60</v>
      </c>
      <c r="DU179" s="228">
        <f t="shared" si="20"/>
        <v>106</v>
      </c>
      <c r="DV179" s="228">
        <f t="shared" si="21"/>
        <v>719</v>
      </c>
      <c r="DW179" s="228">
        <f t="shared" si="22"/>
        <v>108</v>
      </c>
      <c r="DX179" s="228">
        <f t="shared" si="23"/>
        <v>4411</v>
      </c>
      <c r="DY179" s="228">
        <f t="shared" si="24"/>
        <v>8377</v>
      </c>
      <c r="DZ179" s="228">
        <f t="shared" si="25"/>
        <v>47</v>
      </c>
      <c r="EA179" s="228">
        <f t="shared" si="26"/>
        <v>40</v>
      </c>
      <c r="EB179" s="230">
        <f>TRP!$AK$253*$AC179+SUM(M179:W179,Z179:AB179,AD179:AR179,AU179:AX179,BC179:BE179,BI179:BN179,BQ179:BR179,BV179)</f>
        <v>9059.9</v>
      </c>
      <c r="EC179" s="228">
        <f t="shared" si="27"/>
        <v>65</v>
      </c>
      <c r="ED179" s="230">
        <f>CB179+$CI179*TRP!$AV$248</f>
        <v>1.1240170010060981</v>
      </c>
      <c r="EE179" s="228">
        <f t="shared" si="28"/>
        <v>3</v>
      </c>
      <c r="EF179" s="230">
        <f>CD179+$CI179*TRP!$AV$249</f>
        <v>4.7727831374423992</v>
      </c>
      <c r="EG179" s="230">
        <f>CE179+$CI179*TRP!$AV$250</f>
        <v>3.808773880165786</v>
      </c>
      <c r="EH179" s="230">
        <f>CF179+$CI179*TRP!$AV$251</f>
        <v>2.2944259813857171</v>
      </c>
      <c r="EI179" s="228">
        <f t="shared" si="29"/>
        <v>1174</v>
      </c>
      <c r="EJ179" s="228">
        <f t="shared" si="30"/>
        <v>212</v>
      </c>
      <c r="EK179" s="228">
        <f t="shared" si="31"/>
        <v>0</v>
      </c>
      <c r="EL179" s="230">
        <f>BS179+$BP179*TRP!$AN$246</f>
        <v>1065</v>
      </c>
      <c r="EM179" s="228">
        <f t="shared" si="32"/>
        <v>17</v>
      </c>
      <c r="EN179" s="230">
        <f>BU179+$BP179*TRP!$AN$247</f>
        <v>5</v>
      </c>
    </row>
    <row r="180" spans="1:144" s="228" customFormat="1" ht="10.5" x14ac:dyDescent="0.25">
      <c r="A180" s="228" t="str">
        <f>TRP!C178</f>
        <v xml:space="preserve">GF43 </v>
      </c>
      <c r="B180" s="228" t="str">
        <f>TRP!B178</f>
        <v>PARACHIMIE</v>
      </c>
      <c r="C180" s="233">
        <f>TRP!A178</f>
        <v>12</v>
      </c>
      <c r="D180" s="228">
        <f t="shared" ref="D180:BO180" si="131">D56</f>
        <v>2617</v>
      </c>
      <c r="E180" s="228">
        <f t="shared" si="131"/>
        <v>3</v>
      </c>
      <c r="F180" s="228">
        <f t="shared" si="131"/>
        <v>1</v>
      </c>
      <c r="G180" s="228">
        <f t="shared" si="131"/>
        <v>17</v>
      </c>
      <c r="H180" s="228">
        <f t="shared" si="131"/>
        <v>24</v>
      </c>
      <c r="I180" s="228">
        <f t="shared" si="131"/>
        <v>21</v>
      </c>
      <c r="J180" s="228">
        <f t="shared" si="131"/>
        <v>7</v>
      </c>
      <c r="K180" s="228">
        <f t="shared" si="131"/>
        <v>32</v>
      </c>
      <c r="L180" s="228">
        <f t="shared" si="131"/>
        <v>1</v>
      </c>
      <c r="M180" s="228">
        <f t="shared" si="131"/>
        <v>38</v>
      </c>
      <c r="N180" s="228">
        <f t="shared" si="131"/>
        <v>4</v>
      </c>
      <c r="O180" s="228">
        <f t="shared" si="131"/>
        <v>756</v>
      </c>
      <c r="P180" s="228">
        <f t="shared" si="131"/>
        <v>902</v>
      </c>
      <c r="Q180" s="228">
        <f t="shared" si="131"/>
        <v>763</v>
      </c>
      <c r="R180" s="228">
        <f t="shared" si="131"/>
        <v>187</v>
      </c>
      <c r="S180" s="228">
        <f t="shared" si="131"/>
        <v>7</v>
      </c>
      <c r="T180" s="228">
        <f t="shared" si="131"/>
        <v>76</v>
      </c>
      <c r="U180" s="228">
        <f t="shared" si="131"/>
        <v>27</v>
      </c>
      <c r="V180" s="228">
        <f t="shared" si="131"/>
        <v>4</v>
      </c>
      <c r="W180" s="228">
        <f t="shared" si="131"/>
        <v>15</v>
      </c>
      <c r="X180" s="228">
        <f t="shared" si="131"/>
        <v>526</v>
      </c>
      <c r="Y180" s="228">
        <f t="shared" si="131"/>
        <v>365</v>
      </c>
      <c r="Z180" s="228">
        <f t="shared" si="131"/>
        <v>25</v>
      </c>
      <c r="AA180" s="228">
        <f t="shared" si="131"/>
        <v>6</v>
      </c>
      <c r="AB180" s="228">
        <f t="shared" si="131"/>
        <v>125</v>
      </c>
      <c r="AC180" s="228">
        <f t="shared" si="131"/>
        <v>18</v>
      </c>
      <c r="AD180" s="228">
        <f t="shared" si="131"/>
        <v>70</v>
      </c>
      <c r="AE180" s="228">
        <f t="shared" si="131"/>
        <v>67</v>
      </c>
      <c r="AF180" s="228">
        <f t="shared" si="131"/>
        <v>87</v>
      </c>
      <c r="AG180" s="228">
        <f t="shared" si="131"/>
        <v>110</v>
      </c>
      <c r="AH180" s="228">
        <f t="shared" si="131"/>
        <v>17</v>
      </c>
      <c r="AI180" s="228">
        <f t="shared" si="131"/>
        <v>14</v>
      </c>
      <c r="AJ180" s="228">
        <f t="shared" si="131"/>
        <v>31</v>
      </c>
      <c r="AK180" s="228">
        <f t="shared" si="131"/>
        <v>11</v>
      </c>
      <c r="AL180" s="228">
        <f t="shared" si="131"/>
        <v>4</v>
      </c>
      <c r="AM180" s="228">
        <f t="shared" si="131"/>
        <v>81</v>
      </c>
      <c r="AN180" s="228">
        <f t="shared" si="131"/>
        <v>15</v>
      </c>
      <c r="AO180" s="228">
        <f t="shared" si="131"/>
        <v>42</v>
      </c>
      <c r="AP180" s="228">
        <f t="shared" si="131"/>
        <v>32</v>
      </c>
      <c r="AQ180" s="228">
        <f t="shared" si="131"/>
        <v>0</v>
      </c>
      <c r="AR180" s="228">
        <f t="shared" si="131"/>
        <v>81</v>
      </c>
      <c r="AS180" s="228">
        <f t="shared" si="131"/>
        <v>49</v>
      </c>
      <c r="AT180" s="228">
        <f t="shared" si="131"/>
        <v>90</v>
      </c>
      <c r="AU180" s="228">
        <f t="shared" si="131"/>
        <v>17</v>
      </c>
      <c r="AV180" s="228">
        <f t="shared" si="131"/>
        <v>29</v>
      </c>
      <c r="AW180" s="228">
        <f t="shared" si="131"/>
        <v>7</v>
      </c>
      <c r="AX180" s="228">
        <f t="shared" si="131"/>
        <v>46</v>
      </c>
      <c r="AY180" s="228">
        <f t="shared" si="131"/>
        <v>62</v>
      </c>
      <c r="AZ180" s="228">
        <f t="shared" si="131"/>
        <v>131</v>
      </c>
      <c r="BA180" s="228">
        <f t="shared" si="131"/>
        <v>56</v>
      </c>
      <c r="BB180" s="228">
        <f t="shared" si="131"/>
        <v>232</v>
      </c>
      <c r="BC180" s="228">
        <f t="shared" si="131"/>
        <v>681</v>
      </c>
      <c r="BD180" s="228">
        <f t="shared" si="131"/>
        <v>1</v>
      </c>
      <c r="BE180" s="228">
        <f t="shared" si="131"/>
        <v>126</v>
      </c>
      <c r="BF180" s="228">
        <f t="shared" si="131"/>
        <v>328</v>
      </c>
      <c r="BG180" s="228">
        <f t="shared" si="131"/>
        <v>123</v>
      </c>
      <c r="BH180" s="228">
        <f t="shared" si="131"/>
        <v>1</v>
      </c>
      <c r="BI180" s="228">
        <f t="shared" si="131"/>
        <v>60</v>
      </c>
      <c r="BJ180" s="228">
        <f t="shared" si="131"/>
        <v>708</v>
      </c>
      <c r="BK180" s="228">
        <f t="shared" si="131"/>
        <v>105</v>
      </c>
      <c r="BL180" s="228">
        <f t="shared" si="131"/>
        <v>0</v>
      </c>
      <c r="BM180" s="228">
        <f t="shared" si="131"/>
        <v>367</v>
      </c>
      <c r="BN180" s="228">
        <f t="shared" si="131"/>
        <v>28</v>
      </c>
      <c r="BO180" s="228">
        <f t="shared" si="131"/>
        <v>0</v>
      </c>
      <c r="BP180" s="228">
        <f t="shared" ref="BP180:DP180" si="132">BP56</f>
        <v>0</v>
      </c>
      <c r="BQ180" s="228">
        <f t="shared" si="132"/>
        <v>0</v>
      </c>
      <c r="BR180" s="228">
        <f t="shared" si="132"/>
        <v>9</v>
      </c>
      <c r="BS180" s="228">
        <f t="shared" si="132"/>
        <v>23</v>
      </c>
      <c r="BT180" s="228">
        <f t="shared" si="132"/>
        <v>40</v>
      </c>
      <c r="BU180" s="228">
        <f t="shared" si="132"/>
        <v>8</v>
      </c>
      <c r="BV180" s="228">
        <f t="shared" si="132"/>
        <v>14</v>
      </c>
      <c r="BW180" s="228">
        <f t="shared" si="132"/>
        <v>1097</v>
      </c>
      <c r="BX180" s="228">
        <f t="shared" si="132"/>
        <v>295</v>
      </c>
      <c r="BY180" s="228">
        <f t="shared" si="132"/>
        <v>78</v>
      </c>
      <c r="BZ180" s="228">
        <f t="shared" si="132"/>
        <v>40</v>
      </c>
      <c r="CA180" s="228">
        <f t="shared" si="132"/>
        <v>72</v>
      </c>
      <c r="CB180" s="228">
        <f t="shared" si="132"/>
        <v>1</v>
      </c>
      <c r="CC180" s="228">
        <f t="shared" si="132"/>
        <v>7</v>
      </c>
      <c r="CD180" s="228">
        <f t="shared" si="132"/>
        <v>18</v>
      </c>
      <c r="CE180" s="228">
        <f t="shared" si="132"/>
        <v>18</v>
      </c>
      <c r="CF180" s="228">
        <f t="shared" si="132"/>
        <v>11</v>
      </c>
      <c r="CG180" s="228">
        <f t="shared" si="132"/>
        <v>9</v>
      </c>
      <c r="CH180" s="228">
        <f t="shared" si="132"/>
        <v>0</v>
      </c>
      <c r="CI180" s="228">
        <f t="shared" si="132"/>
        <v>6</v>
      </c>
      <c r="CJ180" s="228">
        <f t="shared" si="132"/>
        <v>7</v>
      </c>
      <c r="CK180" s="228">
        <f t="shared" si="132"/>
        <v>19</v>
      </c>
      <c r="CL180" s="228">
        <f t="shared" si="132"/>
        <v>6</v>
      </c>
      <c r="CM180" s="228">
        <f t="shared" si="132"/>
        <v>50</v>
      </c>
      <c r="CN180" s="228">
        <f t="shared" si="132"/>
        <v>2</v>
      </c>
      <c r="CO180" s="228">
        <f t="shared" si="132"/>
        <v>70</v>
      </c>
      <c r="CP180" s="228">
        <f t="shared" si="132"/>
        <v>29</v>
      </c>
      <c r="CQ180" s="228">
        <f t="shared" si="132"/>
        <v>18</v>
      </c>
      <c r="CR180" s="228">
        <f t="shared" si="132"/>
        <v>16</v>
      </c>
      <c r="CS180" s="228">
        <f t="shared" si="132"/>
        <v>15</v>
      </c>
      <c r="CT180" s="228">
        <f t="shared" si="132"/>
        <v>49</v>
      </c>
      <c r="CU180" s="228">
        <f t="shared" si="132"/>
        <v>6</v>
      </c>
      <c r="CV180" s="228">
        <f t="shared" si="132"/>
        <v>10</v>
      </c>
      <c r="CW180" s="228">
        <f t="shared" si="132"/>
        <v>70</v>
      </c>
      <c r="CX180" s="228">
        <f t="shared" si="132"/>
        <v>6</v>
      </c>
      <c r="CY180" s="228">
        <f t="shared" si="132"/>
        <v>104</v>
      </c>
      <c r="CZ180" s="228">
        <f t="shared" si="132"/>
        <v>0</v>
      </c>
      <c r="DA180" s="228">
        <f t="shared" si="132"/>
        <v>72</v>
      </c>
      <c r="DB180" s="228">
        <f t="shared" si="132"/>
        <v>9</v>
      </c>
      <c r="DC180" s="228">
        <f t="shared" si="132"/>
        <v>7</v>
      </c>
      <c r="DD180" s="228">
        <f t="shared" si="132"/>
        <v>0</v>
      </c>
      <c r="DE180" s="228">
        <f t="shared" si="132"/>
        <v>114</v>
      </c>
      <c r="DF180" s="228">
        <f t="shared" si="132"/>
        <v>0</v>
      </c>
      <c r="DG180" s="228">
        <f t="shared" si="132"/>
        <v>8</v>
      </c>
      <c r="DH180" s="228">
        <f t="shared" si="132"/>
        <v>7</v>
      </c>
      <c r="DI180" s="228">
        <f t="shared" si="132"/>
        <v>56</v>
      </c>
      <c r="DJ180" s="228">
        <f t="shared" si="132"/>
        <v>0</v>
      </c>
      <c r="DK180" s="228">
        <f t="shared" si="132"/>
        <v>2</v>
      </c>
      <c r="DL180" s="228">
        <f t="shared" si="132"/>
        <v>7</v>
      </c>
      <c r="DM180" s="228">
        <f t="shared" si="132"/>
        <v>1</v>
      </c>
      <c r="DN180" s="228">
        <f t="shared" si="132"/>
        <v>8</v>
      </c>
      <c r="DO180" s="228">
        <f t="shared" si="132"/>
        <v>0</v>
      </c>
      <c r="DP180" s="232">
        <f t="shared" si="132"/>
        <v>12990</v>
      </c>
      <c r="DQ180" s="228">
        <f t="shared" si="17"/>
        <v>2621</v>
      </c>
      <c r="DR180" s="228">
        <f t="shared" si="18"/>
        <v>102</v>
      </c>
      <c r="DS180" s="230">
        <f>SUM(X180:Y180)+(1-TRP!$AK$253)*AC180</f>
        <v>903.6</v>
      </c>
      <c r="DT180" s="228">
        <f t="shared" si="19"/>
        <v>49</v>
      </c>
      <c r="DU180" s="228">
        <f t="shared" si="20"/>
        <v>90</v>
      </c>
      <c r="DV180" s="228">
        <f t="shared" si="21"/>
        <v>193</v>
      </c>
      <c r="DW180" s="228">
        <f t="shared" si="22"/>
        <v>56</v>
      </c>
      <c r="DX180" s="228">
        <f t="shared" si="23"/>
        <v>232</v>
      </c>
      <c r="DY180" s="228">
        <f t="shared" si="24"/>
        <v>328</v>
      </c>
      <c r="DZ180" s="228">
        <f t="shared" si="25"/>
        <v>123</v>
      </c>
      <c r="EA180" s="228">
        <f t="shared" si="26"/>
        <v>1</v>
      </c>
      <c r="EB180" s="230">
        <f>TRP!$AK$253*$AC180+SUM(M180:W180,Z180:AB180,AD180:AR180,AU180:AX180,BC180:BE180,BI180:BN180,BQ180:BR180,BV180)</f>
        <v>5800.4</v>
      </c>
      <c r="EC180" s="228">
        <f t="shared" si="27"/>
        <v>1392</v>
      </c>
      <c r="ED180" s="230">
        <f>CB180+$CI180*TRP!$AV$248</f>
        <v>1.1860255015091472</v>
      </c>
      <c r="EE180" s="228">
        <f t="shared" si="28"/>
        <v>7</v>
      </c>
      <c r="EF180" s="230">
        <f>CD180+$CI180*TRP!$AV$249</f>
        <v>22.159174706163597</v>
      </c>
      <c r="EG180" s="230">
        <f>CE180+$CI180*TRP!$AV$250</f>
        <v>19.213160820248678</v>
      </c>
      <c r="EH180" s="230">
        <f>CF180+$CI180*TRP!$AV$251</f>
        <v>11.441638972078575</v>
      </c>
      <c r="EI180" s="228">
        <f t="shared" si="29"/>
        <v>951</v>
      </c>
      <c r="EJ180" s="228">
        <f t="shared" si="30"/>
        <v>16</v>
      </c>
      <c r="EK180" s="228">
        <f t="shared" si="31"/>
        <v>0</v>
      </c>
      <c r="EL180" s="230">
        <f>BS180+$BP180*TRP!$AN$246</f>
        <v>23</v>
      </c>
      <c r="EM180" s="228">
        <f t="shared" si="32"/>
        <v>40</v>
      </c>
      <c r="EN180" s="230">
        <f>BU180+$BP180*TRP!$AN$247</f>
        <v>8</v>
      </c>
    </row>
    <row r="181" spans="1:144" s="228" customFormat="1" ht="10.5" x14ac:dyDescent="0.25">
      <c r="A181" s="228" t="str">
        <f>TRP!C179</f>
        <v xml:space="preserve">GF44 </v>
      </c>
      <c r="B181" s="228" t="str">
        <f>TRP!B179</f>
        <v>FABRICATION DE FIBRES ARTIFICIELLES OU S</v>
      </c>
      <c r="C181" s="233">
        <f>TRP!A179</f>
        <v>12</v>
      </c>
      <c r="D181" s="228">
        <f t="shared" ref="D181:BO181" si="133">D57</f>
        <v>0</v>
      </c>
      <c r="E181" s="228">
        <f t="shared" si="133"/>
        <v>0</v>
      </c>
      <c r="F181" s="228">
        <f t="shared" si="133"/>
        <v>0</v>
      </c>
      <c r="G181" s="228">
        <f t="shared" si="133"/>
        <v>0</v>
      </c>
      <c r="H181" s="228">
        <f t="shared" si="133"/>
        <v>1</v>
      </c>
      <c r="I181" s="228">
        <f t="shared" si="133"/>
        <v>9</v>
      </c>
      <c r="J181" s="228">
        <f t="shared" si="133"/>
        <v>3</v>
      </c>
      <c r="K181" s="228">
        <f t="shared" si="133"/>
        <v>5</v>
      </c>
      <c r="L181" s="228">
        <f t="shared" si="133"/>
        <v>1</v>
      </c>
      <c r="M181" s="228">
        <f t="shared" si="133"/>
        <v>13</v>
      </c>
      <c r="N181" s="228">
        <f t="shared" si="133"/>
        <v>0</v>
      </c>
      <c r="O181" s="228">
        <f t="shared" si="133"/>
        <v>0</v>
      </c>
      <c r="P181" s="228">
        <f t="shared" si="133"/>
        <v>1</v>
      </c>
      <c r="Q181" s="228">
        <f t="shared" si="133"/>
        <v>0</v>
      </c>
      <c r="R181" s="228">
        <f t="shared" si="133"/>
        <v>38</v>
      </c>
      <c r="S181" s="228">
        <f t="shared" si="133"/>
        <v>0</v>
      </c>
      <c r="T181" s="228">
        <f t="shared" si="133"/>
        <v>4</v>
      </c>
      <c r="U181" s="228">
        <f t="shared" si="133"/>
        <v>0</v>
      </c>
      <c r="V181" s="228">
        <f t="shared" si="133"/>
        <v>0</v>
      </c>
      <c r="W181" s="228">
        <f t="shared" si="133"/>
        <v>0</v>
      </c>
      <c r="X181" s="228">
        <f t="shared" si="133"/>
        <v>2</v>
      </c>
      <c r="Y181" s="228">
        <f t="shared" si="133"/>
        <v>0</v>
      </c>
      <c r="Z181" s="228">
        <f t="shared" si="133"/>
        <v>0</v>
      </c>
      <c r="AA181" s="228">
        <f t="shared" si="133"/>
        <v>0</v>
      </c>
      <c r="AB181" s="228">
        <f t="shared" si="133"/>
        <v>0</v>
      </c>
      <c r="AC181" s="228">
        <f t="shared" si="133"/>
        <v>0</v>
      </c>
      <c r="AD181" s="228">
        <f t="shared" si="133"/>
        <v>0</v>
      </c>
      <c r="AE181" s="228">
        <f t="shared" si="133"/>
        <v>0</v>
      </c>
      <c r="AF181" s="228">
        <f t="shared" si="133"/>
        <v>0</v>
      </c>
      <c r="AG181" s="228">
        <f t="shared" si="133"/>
        <v>0</v>
      </c>
      <c r="AH181" s="228">
        <f t="shared" si="133"/>
        <v>0</v>
      </c>
      <c r="AI181" s="228">
        <f t="shared" si="133"/>
        <v>0</v>
      </c>
      <c r="AJ181" s="228">
        <f t="shared" si="133"/>
        <v>0</v>
      </c>
      <c r="AK181" s="228">
        <f t="shared" si="133"/>
        <v>0</v>
      </c>
      <c r="AL181" s="228">
        <f t="shared" si="133"/>
        <v>0</v>
      </c>
      <c r="AM181" s="228">
        <f t="shared" si="133"/>
        <v>0</v>
      </c>
      <c r="AN181" s="228">
        <f t="shared" si="133"/>
        <v>0</v>
      </c>
      <c r="AO181" s="228">
        <f t="shared" si="133"/>
        <v>0</v>
      </c>
      <c r="AP181" s="228">
        <f t="shared" si="133"/>
        <v>0</v>
      </c>
      <c r="AQ181" s="228">
        <f t="shared" si="133"/>
        <v>0</v>
      </c>
      <c r="AR181" s="228">
        <f t="shared" si="133"/>
        <v>0</v>
      </c>
      <c r="AS181" s="228">
        <f t="shared" si="133"/>
        <v>0</v>
      </c>
      <c r="AT181" s="228">
        <f t="shared" si="133"/>
        <v>0</v>
      </c>
      <c r="AU181" s="228">
        <f t="shared" si="133"/>
        <v>348</v>
      </c>
      <c r="AV181" s="228">
        <f t="shared" si="133"/>
        <v>76</v>
      </c>
      <c r="AW181" s="228">
        <f t="shared" si="133"/>
        <v>51</v>
      </c>
      <c r="AX181" s="228">
        <f t="shared" si="133"/>
        <v>0</v>
      </c>
      <c r="AY181" s="228">
        <f t="shared" si="133"/>
        <v>0</v>
      </c>
      <c r="AZ181" s="228">
        <f t="shared" si="133"/>
        <v>0</v>
      </c>
      <c r="BA181" s="228">
        <f t="shared" si="133"/>
        <v>0</v>
      </c>
      <c r="BB181" s="228">
        <f t="shared" si="133"/>
        <v>3</v>
      </c>
      <c r="BC181" s="228">
        <f t="shared" si="133"/>
        <v>0</v>
      </c>
      <c r="BD181" s="228">
        <f t="shared" si="133"/>
        <v>94</v>
      </c>
      <c r="BE181" s="228">
        <f t="shared" si="133"/>
        <v>55</v>
      </c>
      <c r="BF181" s="228">
        <f t="shared" si="133"/>
        <v>49</v>
      </c>
      <c r="BG181" s="228">
        <f t="shared" si="133"/>
        <v>0</v>
      </c>
      <c r="BH181" s="228">
        <f t="shared" si="133"/>
        <v>0</v>
      </c>
      <c r="BI181" s="228">
        <f t="shared" si="133"/>
        <v>0</v>
      </c>
      <c r="BJ181" s="228">
        <f t="shared" si="133"/>
        <v>0</v>
      </c>
      <c r="BK181" s="228">
        <f t="shared" si="133"/>
        <v>0</v>
      </c>
      <c r="BL181" s="228">
        <f t="shared" si="133"/>
        <v>0</v>
      </c>
      <c r="BM181" s="228">
        <f t="shared" si="133"/>
        <v>0</v>
      </c>
      <c r="BN181" s="228">
        <f t="shared" si="133"/>
        <v>0</v>
      </c>
      <c r="BO181" s="228">
        <f t="shared" si="133"/>
        <v>0</v>
      </c>
      <c r="BP181" s="228">
        <f t="shared" ref="BP181:DP181" si="134">BP57</f>
        <v>0</v>
      </c>
      <c r="BQ181" s="228">
        <f t="shared" si="134"/>
        <v>0</v>
      </c>
      <c r="BR181" s="228">
        <f t="shared" si="134"/>
        <v>0</v>
      </c>
      <c r="BS181" s="228">
        <f t="shared" si="134"/>
        <v>0</v>
      </c>
      <c r="BT181" s="228">
        <f t="shared" si="134"/>
        <v>0</v>
      </c>
      <c r="BU181" s="228">
        <f t="shared" si="134"/>
        <v>0</v>
      </c>
      <c r="BV181" s="228">
        <f t="shared" si="134"/>
        <v>0</v>
      </c>
      <c r="BW181" s="228">
        <f t="shared" si="134"/>
        <v>0</v>
      </c>
      <c r="BX181" s="228">
        <f t="shared" si="134"/>
        <v>0</v>
      </c>
      <c r="BY181" s="228">
        <f t="shared" si="134"/>
        <v>0</v>
      </c>
      <c r="BZ181" s="228">
        <f t="shared" si="134"/>
        <v>0</v>
      </c>
      <c r="CA181" s="228">
        <f t="shared" si="134"/>
        <v>0</v>
      </c>
      <c r="CB181" s="228">
        <f t="shared" si="134"/>
        <v>0</v>
      </c>
      <c r="CC181" s="228">
        <f t="shared" si="134"/>
        <v>0</v>
      </c>
      <c r="CD181" s="228">
        <f t="shared" si="134"/>
        <v>0</v>
      </c>
      <c r="CE181" s="228">
        <f t="shared" si="134"/>
        <v>0</v>
      </c>
      <c r="CF181" s="228">
        <f t="shared" si="134"/>
        <v>0</v>
      </c>
      <c r="CG181" s="228">
        <f t="shared" si="134"/>
        <v>0</v>
      </c>
      <c r="CH181" s="228">
        <f t="shared" si="134"/>
        <v>0</v>
      </c>
      <c r="CI181" s="228">
        <f t="shared" si="134"/>
        <v>0</v>
      </c>
      <c r="CJ181" s="228">
        <f t="shared" si="134"/>
        <v>0</v>
      </c>
      <c r="CK181" s="228">
        <f t="shared" si="134"/>
        <v>0</v>
      </c>
      <c r="CL181" s="228">
        <f t="shared" si="134"/>
        <v>0</v>
      </c>
      <c r="CM181" s="228">
        <f t="shared" si="134"/>
        <v>0</v>
      </c>
      <c r="CN181" s="228">
        <f t="shared" si="134"/>
        <v>0</v>
      </c>
      <c r="CO181" s="228">
        <f t="shared" si="134"/>
        <v>0</v>
      </c>
      <c r="CP181" s="228">
        <f t="shared" si="134"/>
        <v>0</v>
      </c>
      <c r="CQ181" s="228">
        <f t="shared" si="134"/>
        <v>0</v>
      </c>
      <c r="CR181" s="228">
        <f t="shared" si="134"/>
        <v>0</v>
      </c>
      <c r="CS181" s="228">
        <f t="shared" si="134"/>
        <v>0</v>
      </c>
      <c r="CT181" s="228">
        <f t="shared" si="134"/>
        <v>0</v>
      </c>
      <c r="CU181" s="228">
        <f t="shared" si="134"/>
        <v>0</v>
      </c>
      <c r="CV181" s="228">
        <f t="shared" si="134"/>
        <v>0</v>
      </c>
      <c r="CW181" s="228">
        <f t="shared" si="134"/>
        <v>0</v>
      </c>
      <c r="CX181" s="228">
        <f t="shared" si="134"/>
        <v>0</v>
      </c>
      <c r="CY181" s="228">
        <f t="shared" si="134"/>
        <v>5</v>
      </c>
      <c r="CZ181" s="228">
        <f t="shared" si="134"/>
        <v>0</v>
      </c>
      <c r="DA181" s="228">
        <f t="shared" si="134"/>
        <v>0</v>
      </c>
      <c r="DB181" s="228">
        <f t="shared" si="134"/>
        <v>0</v>
      </c>
      <c r="DC181" s="228">
        <f t="shared" si="134"/>
        <v>0</v>
      </c>
      <c r="DD181" s="228">
        <f t="shared" si="134"/>
        <v>7</v>
      </c>
      <c r="DE181" s="228">
        <f t="shared" si="134"/>
        <v>0</v>
      </c>
      <c r="DF181" s="228">
        <f t="shared" si="134"/>
        <v>0</v>
      </c>
      <c r="DG181" s="228">
        <f t="shared" si="134"/>
        <v>0</v>
      </c>
      <c r="DH181" s="228">
        <f t="shared" si="134"/>
        <v>0</v>
      </c>
      <c r="DI181" s="228">
        <f t="shared" si="134"/>
        <v>0</v>
      </c>
      <c r="DJ181" s="228">
        <f t="shared" si="134"/>
        <v>0</v>
      </c>
      <c r="DK181" s="228">
        <f t="shared" si="134"/>
        <v>0</v>
      </c>
      <c r="DL181" s="228">
        <f t="shared" si="134"/>
        <v>0</v>
      </c>
      <c r="DM181" s="228">
        <f t="shared" si="134"/>
        <v>0</v>
      </c>
      <c r="DN181" s="228">
        <f t="shared" si="134"/>
        <v>0</v>
      </c>
      <c r="DO181" s="228">
        <f t="shared" si="134"/>
        <v>0</v>
      </c>
      <c r="DP181" s="232">
        <f t="shared" si="134"/>
        <v>765</v>
      </c>
      <c r="DQ181" s="228">
        <f t="shared" si="17"/>
        <v>0</v>
      </c>
      <c r="DR181" s="228">
        <f t="shared" si="18"/>
        <v>19</v>
      </c>
      <c r="DS181" s="230">
        <f>SUM(X181:Y181)+(1-TRP!$AK$253)*AC181</f>
        <v>2</v>
      </c>
      <c r="DT181" s="228">
        <f t="shared" si="19"/>
        <v>0</v>
      </c>
      <c r="DU181" s="228">
        <f t="shared" si="20"/>
        <v>0</v>
      </c>
      <c r="DV181" s="228">
        <f t="shared" si="21"/>
        <v>0</v>
      </c>
      <c r="DW181" s="228">
        <f t="shared" si="22"/>
        <v>0</v>
      </c>
      <c r="DX181" s="228">
        <f t="shared" si="23"/>
        <v>3</v>
      </c>
      <c r="DY181" s="228">
        <f t="shared" si="24"/>
        <v>49</v>
      </c>
      <c r="DZ181" s="228">
        <f t="shared" si="25"/>
        <v>0</v>
      </c>
      <c r="EA181" s="228">
        <f t="shared" si="26"/>
        <v>0</v>
      </c>
      <c r="EB181" s="230">
        <f>TRP!$AK$253*$AC181+SUM(M181:W181,Z181:AB181,AD181:AR181,AU181:AX181,BC181:BE181,BI181:BN181,BQ181:BR181,BV181)</f>
        <v>680</v>
      </c>
      <c r="EC181" s="228">
        <f t="shared" si="27"/>
        <v>0</v>
      </c>
      <c r="ED181" s="230">
        <f>CB181+$CI181*TRP!$AV$248</f>
        <v>0</v>
      </c>
      <c r="EE181" s="228">
        <f t="shared" si="28"/>
        <v>0</v>
      </c>
      <c r="EF181" s="230">
        <f>CD181+$CI181*TRP!$AV$249</f>
        <v>0</v>
      </c>
      <c r="EG181" s="230">
        <f>CE181+$CI181*TRP!$AV$250</f>
        <v>0</v>
      </c>
      <c r="EH181" s="230">
        <f>CF181+$CI181*TRP!$AV$251</f>
        <v>0</v>
      </c>
      <c r="EI181" s="228">
        <f t="shared" si="29"/>
        <v>12</v>
      </c>
      <c r="EJ181" s="228">
        <f t="shared" si="30"/>
        <v>0</v>
      </c>
      <c r="EK181" s="228">
        <f t="shared" si="31"/>
        <v>0</v>
      </c>
      <c r="EL181" s="230">
        <f>BS181+$BP181*TRP!$AN$246</f>
        <v>0</v>
      </c>
      <c r="EM181" s="228">
        <f t="shared" si="32"/>
        <v>0</v>
      </c>
      <c r="EN181" s="230">
        <f>BU181+$BP181*TRP!$AN$247</f>
        <v>0</v>
      </c>
    </row>
    <row r="182" spans="1:144" s="228" customFormat="1" ht="10.5" x14ac:dyDescent="0.25">
      <c r="A182" s="228" t="str">
        <f>TRP!C180</f>
        <v xml:space="preserve">GF45 </v>
      </c>
      <c r="B182" s="228" t="str">
        <f>TRP!B180</f>
        <v>INDUSTRIE DU CAOUTCHOUC</v>
      </c>
      <c r="C182" s="233">
        <f>TRP!A180</f>
        <v>12</v>
      </c>
      <c r="D182" s="228">
        <f t="shared" ref="D182:BO182" si="135">D58</f>
        <v>117</v>
      </c>
      <c r="E182" s="228">
        <f t="shared" si="135"/>
        <v>10</v>
      </c>
      <c r="F182" s="228">
        <f t="shared" si="135"/>
        <v>0</v>
      </c>
      <c r="G182" s="228">
        <f t="shared" si="135"/>
        <v>6</v>
      </c>
      <c r="H182" s="228">
        <f t="shared" si="135"/>
        <v>6</v>
      </c>
      <c r="I182" s="228">
        <f t="shared" si="135"/>
        <v>5</v>
      </c>
      <c r="J182" s="228">
        <f t="shared" si="135"/>
        <v>6</v>
      </c>
      <c r="K182" s="228">
        <f t="shared" si="135"/>
        <v>20</v>
      </c>
      <c r="L182" s="228">
        <f t="shared" si="135"/>
        <v>0</v>
      </c>
      <c r="M182" s="228">
        <f t="shared" si="135"/>
        <v>0</v>
      </c>
      <c r="N182" s="228">
        <f t="shared" si="135"/>
        <v>16</v>
      </c>
      <c r="O182" s="228">
        <f t="shared" si="135"/>
        <v>5</v>
      </c>
      <c r="P182" s="228">
        <f t="shared" si="135"/>
        <v>85</v>
      </c>
      <c r="Q182" s="228">
        <f t="shared" si="135"/>
        <v>9</v>
      </c>
      <c r="R182" s="228">
        <f t="shared" si="135"/>
        <v>31</v>
      </c>
      <c r="S182" s="228">
        <f t="shared" si="135"/>
        <v>1</v>
      </c>
      <c r="T182" s="228">
        <f t="shared" si="135"/>
        <v>30</v>
      </c>
      <c r="U182" s="228">
        <f t="shared" si="135"/>
        <v>44</v>
      </c>
      <c r="V182" s="228">
        <f t="shared" si="135"/>
        <v>37</v>
      </c>
      <c r="W182" s="228">
        <f t="shared" si="135"/>
        <v>0</v>
      </c>
      <c r="X182" s="228">
        <f t="shared" si="135"/>
        <v>1496</v>
      </c>
      <c r="Y182" s="228">
        <f t="shared" si="135"/>
        <v>782</v>
      </c>
      <c r="Z182" s="228">
        <f t="shared" si="135"/>
        <v>0</v>
      </c>
      <c r="AA182" s="228">
        <f t="shared" si="135"/>
        <v>45</v>
      </c>
      <c r="AB182" s="228">
        <f t="shared" si="135"/>
        <v>141</v>
      </c>
      <c r="AC182" s="228">
        <f t="shared" si="135"/>
        <v>40</v>
      </c>
      <c r="AD182" s="228">
        <f t="shared" si="135"/>
        <v>7</v>
      </c>
      <c r="AE182" s="228">
        <f t="shared" si="135"/>
        <v>9</v>
      </c>
      <c r="AF182" s="228">
        <f t="shared" si="135"/>
        <v>34</v>
      </c>
      <c r="AG182" s="228">
        <f t="shared" si="135"/>
        <v>103</v>
      </c>
      <c r="AH182" s="228">
        <f t="shared" si="135"/>
        <v>276</v>
      </c>
      <c r="AI182" s="228">
        <f t="shared" si="135"/>
        <v>2</v>
      </c>
      <c r="AJ182" s="228">
        <f t="shared" si="135"/>
        <v>63</v>
      </c>
      <c r="AK182" s="228">
        <f t="shared" si="135"/>
        <v>19</v>
      </c>
      <c r="AL182" s="228">
        <f t="shared" si="135"/>
        <v>3</v>
      </c>
      <c r="AM182" s="228">
        <f t="shared" si="135"/>
        <v>45</v>
      </c>
      <c r="AN182" s="228">
        <f t="shared" si="135"/>
        <v>97</v>
      </c>
      <c r="AO182" s="228">
        <f t="shared" si="135"/>
        <v>0</v>
      </c>
      <c r="AP182" s="228">
        <f t="shared" si="135"/>
        <v>84</v>
      </c>
      <c r="AQ182" s="228">
        <f t="shared" si="135"/>
        <v>0</v>
      </c>
      <c r="AR182" s="228">
        <f t="shared" si="135"/>
        <v>20</v>
      </c>
      <c r="AS182" s="228">
        <f t="shared" si="135"/>
        <v>24</v>
      </c>
      <c r="AT182" s="228">
        <f t="shared" si="135"/>
        <v>40</v>
      </c>
      <c r="AU182" s="228">
        <f t="shared" si="135"/>
        <v>10</v>
      </c>
      <c r="AV182" s="228">
        <f t="shared" si="135"/>
        <v>18</v>
      </c>
      <c r="AW182" s="228">
        <f t="shared" si="135"/>
        <v>20</v>
      </c>
      <c r="AX182" s="228">
        <f t="shared" si="135"/>
        <v>5</v>
      </c>
      <c r="AY182" s="228">
        <f t="shared" si="135"/>
        <v>10</v>
      </c>
      <c r="AZ182" s="228">
        <f t="shared" si="135"/>
        <v>5</v>
      </c>
      <c r="BA182" s="228">
        <f t="shared" si="135"/>
        <v>20</v>
      </c>
      <c r="BB182" s="228">
        <f t="shared" si="135"/>
        <v>32</v>
      </c>
      <c r="BC182" s="228">
        <f t="shared" si="135"/>
        <v>91</v>
      </c>
      <c r="BD182" s="228">
        <f t="shared" si="135"/>
        <v>1</v>
      </c>
      <c r="BE182" s="228">
        <f t="shared" si="135"/>
        <v>1909</v>
      </c>
      <c r="BF182" s="228">
        <f t="shared" si="135"/>
        <v>65</v>
      </c>
      <c r="BG182" s="228">
        <f t="shared" si="135"/>
        <v>57</v>
      </c>
      <c r="BH182" s="228">
        <f t="shared" si="135"/>
        <v>34</v>
      </c>
      <c r="BI182" s="228">
        <f t="shared" si="135"/>
        <v>37</v>
      </c>
      <c r="BJ182" s="228">
        <f t="shared" si="135"/>
        <v>38</v>
      </c>
      <c r="BK182" s="228">
        <f t="shared" si="135"/>
        <v>8</v>
      </c>
      <c r="BL182" s="228">
        <f t="shared" si="135"/>
        <v>0</v>
      </c>
      <c r="BM182" s="228">
        <f t="shared" si="135"/>
        <v>178</v>
      </c>
      <c r="BN182" s="228">
        <f t="shared" si="135"/>
        <v>80</v>
      </c>
      <c r="BO182" s="228">
        <f t="shared" si="135"/>
        <v>0</v>
      </c>
      <c r="BP182" s="228">
        <f t="shared" ref="BP182:DP182" si="136">BP58</f>
        <v>0</v>
      </c>
      <c r="BQ182" s="228">
        <f t="shared" si="136"/>
        <v>0</v>
      </c>
      <c r="BR182" s="228">
        <f t="shared" si="136"/>
        <v>33</v>
      </c>
      <c r="BS182" s="228">
        <f t="shared" si="136"/>
        <v>101</v>
      </c>
      <c r="BT182" s="228">
        <f t="shared" si="136"/>
        <v>8</v>
      </c>
      <c r="BU182" s="228">
        <f t="shared" si="136"/>
        <v>2</v>
      </c>
      <c r="BV182" s="228">
        <f t="shared" si="136"/>
        <v>0</v>
      </c>
      <c r="BW182" s="228">
        <f t="shared" si="136"/>
        <v>259</v>
      </c>
      <c r="BX182" s="228">
        <f t="shared" si="136"/>
        <v>75</v>
      </c>
      <c r="BY182" s="228">
        <f t="shared" si="136"/>
        <v>49</v>
      </c>
      <c r="BZ182" s="228">
        <f t="shared" si="136"/>
        <v>48</v>
      </c>
      <c r="CA182" s="228">
        <f t="shared" si="136"/>
        <v>2</v>
      </c>
      <c r="CB182" s="228">
        <f t="shared" si="136"/>
        <v>1</v>
      </c>
      <c r="CC182" s="228">
        <f t="shared" si="136"/>
        <v>87</v>
      </c>
      <c r="CD182" s="228">
        <f t="shared" si="136"/>
        <v>353</v>
      </c>
      <c r="CE182" s="228">
        <f t="shared" si="136"/>
        <v>38</v>
      </c>
      <c r="CF182" s="228">
        <f t="shared" si="136"/>
        <v>49</v>
      </c>
      <c r="CG182" s="228">
        <f t="shared" si="136"/>
        <v>25</v>
      </c>
      <c r="CH182" s="228">
        <f t="shared" si="136"/>
        <v>0</v>
      </c>
      <c r="CI182" s="228">
        <f t="shared" si="136"/>
        <v>14</v>
      </c>
      <c r="CJ182" s="228">
        <f t="shared" si="136"/>
        <v>0</v>
      </c>
      <c r="CK182" s="228">
        <f t="shared" si="136"/>
        <v>6</v>
      </c>
      <c r="CL182" s="228">
        <f t="shared" si="136"/>
        <v>7</v>
      </c>
      <c r="CM182" s="228">
        <f t="shared" si="136"/>
        <v>3</v>
      </c>
      <c r="CN182" s="228">
        <f t="shared" si="136"/>
        <v>6</v>
      </c>
      <c r="CO182" s="228">
        <f t="shared" si="136"/>
        <v>212</v>
      </c>
      <c r="CP182" s="228">
        <f t="shared" si="136"/>
        <v>50</v>
      </c>
      <c r="CQ182" s="228">
        <f t="shared" si="136"/>
        <v>30</v>
      </c>
      <c r="CR182" s="228">
        <f t="shared" si="136"/>
        <v>4</v>
      </c>
      <c r="CS182" s="228">
        <f t="shared" si="136"/>
        <v>28</v>
      </c>
      <c r="CT182" s="228">
        <f t="shared" si="136"/>
        <v>42</v>
      </c>
      <c r="CU182" s="228">
        <f t="shared" si="136"/>
        <v>18</v>
      </c>
      <c r="CV182" s="228">
        <f t="shared" si="136"/>
        <v>21</v>
      </c>
      <c r="CW182" s="228">
        <f t="shared" si="136"/>
        <v>81</v>
      </c>
      <c r="CX182" s="228">
        <f t="shared" si="136"/>
        <v>4</v>
      </c>
      <c r="CY182" s="228">
        <f t="shared" si="136"/>
        <v>40</v>
      </c>
      <c r="CZ182" s="228">
        <f t="shared" si="136"/>
        <v>0</v>
      </c>
      <c r="DA182" s="228">
        <f t="shared" si="136"/>
        <v>12</v>
      </c>
      <c r="DB182" s="228">
        <f t="shared" si="136"/>
        <v>1</v>
      </c>
      <c r="DC182" s="228">
        <f t="shared" si="136"/>
        <v>2</v>
      </c>
      <c r="DD182" s="228">
        <f t="shared" si="136"/>
        <v>0</v>
      </c>
      <c r="DE182" s="228">
        <f t="shared" si="136"/>
        <v>5</v>
      </c>
      <c r="DF182" s="228">
        <f t="shared" si="136"/>
        <v>0</v>
      </c>
      <c r="DG182" s="228">
        <f t="shared" si="136"/>
        <v>2</v>
      </c>
      <c r="DH182" s="228">
        <f t="shared" si="136"/>
        <v>0</v>
      </c>
      <c r="DI182" s="228">
        <f t="shared" si="136"/>
        <v>149</v>
      </c>
      <c r="DJ182" s="228">
        <f t="shared" si="136"/>
        <v>0</v>
      </c>
      <c r="DK182" s="228">
        <f t="shared" si="136"/>
        <v>5</v>
      </c>
      <c r="DL182" s="228">
        <f t="shared" si="136"/>
        <v>14</v>
      </c>
      <c r="DM182" s="228">
        <f t="shared" si="136"/>
        <v>0</v>
      </c>
      <c r="DN182" s="228">
        <f t="shared" si="136"/>
        <v>0</v>
      </c>
      <c r="DO182" s="228">
        <f t="shared" si="136"/>
        <v>0</v>
      </c>
      <c r="DP182" s="232">
        <f t="shared" si="136"/>
        <v>8262</v>
      </c>
      <c r="DQ182" s="228">
        <f t="shared" si="17"/>
        <v>127</v>
      </c>
      <c r="DR182" s="228">
        <f t="shared" si="18"/>
        <v>43</v>
      </c>
      <c r="DS182" s="230">
        <f>SUM(X182:Y182)+(1-TRP!$AK$253)*AC182</f>
        <v>2306</v>
      </c>
      <c r="DT182" s="228">
        <f t="shared" si="19"/>
        <v>24</v>
      </c>
      <c r="DU182" s="228">
        <f t="shared" si="20"/>
        <v>40</v>
      </c>
      <c r="DV182" s="228">
        <f t="shared" si="21"/>
        <v>15</v>
      </c>
      <c r="DW182" s="228">
        <f t="shared" si="22"/>
        <v>20</v>
      </c>
      <c r="DX182" s="228">
        <f t="shared" si="23"/>
        <v>32</v>
      </c>
      <c r="DY182" s="228">
        <f t="shared" si="24"/>
        <v>65</v>
      </c>
      <c r="DZ182" s="228">
        <f t="shared" si="25"/>
        <v>57</v>
      </c>
      <c r="EA182" s="228">
        <f t="shared" si="26"/>
        <v>34</v>
      </c>
      <c r="EB182" s="230">
        <f>TRP!$AK$253*$AC182+SUM(M182:W182,Z182:AB182,AD182:AR182,AU182:AX182,BC182:BE182,BI182:BN182,BQ182:BR182,BV182)</f>
        <v>3646</v>
      </c>
      <c r="EC182" s="228">
        <f t="shared" si="27"/>
        <v>334</v>
      </c>
      <c r="ED182" s="230">
        <f>CB182+$CI182*TRP!$AV$248</f>
        <v>1.4340595035213437</v>
      </c>
      <c r="EE182" s="228">
        <f t="shared" si="28"/>
        <v>87</v>
      </c>
      <c r="EF182" s="230">
        <f>CD182+$CI182*TRP!$AV$249</f>
        <v>362.70474098104842</v>
      </c>
      <c r="EG182" s="230">
        <f>CE182+$CI182*TRP!$AV$250</f>
        <v>40.83070858058025</v>
      </c>
      <c r="EH182" s="230">
        <f>CF182+$CI182*TRP!$AV$251</f>
        <v>50.030490934850008</v>
      </c>
      <c r="EI182" s="228">
        <f t="shared" si="29"/>
        <v>866</v>
      </c>
      <c r="EJ182" s="228">
        <f t="shared" si="30"/>
        <v>0</v>
      </c>
      <c r="EK182" s="228">
        <f t="shared" si="31"/>
        <v>0</v>
      </c>
      <c r="EL182" s="230">
        <f>BS182+$BP182*TRP!$AN$246</f>
        <v>101</v>
      </c>
      <c r="EM182" s="228">
        <f t="shared" si="32"/>
        <v>8</v>
      </c>
      <c r="EN182" s="230">
        <f>BU182+$BP182*TRP!$AN$247</f>
        <v>2</v>
      </c>
    </row>
    <row r="183" spans="1:144" s="228" customFormat="1" ht="10.5" x14ac:dyDescent="0.25">
      <c r="A183" s="228" t="str">
        <f>TRP!C181</f>
        <v xml:space="preserve">GF46 </v>
      </c>
      <c r="B183" s="228" t="str">
        <f>TRP!B181</f>
        <v>TRANSFORMATION DES MATIERES PLASTIQUES</v>
      </c>
      <c r="C183" s="233">
        <f>TRP!A181</f>
        <v>9</v>
      </c>
      <c r="D183" s="228">
        <f t="shared" ref="D183:BO183" si="137">D59</f>
        <v>248</v>
      </c>
      <c r="E183" s="228">
        <f t="shared" si="137"/>
        <v>0</v>
      </c>
      <c r="F183" s="228">
        <f t="shared" si="137"/>
        <v>1</v>
      </c>
      <c r="G183" s="228">
        <f t="shared" si="137"/>
        <v>200</v>
      </c>
      <c r="H183" s="228">
        <f t="shared" si="137"/>
        <v>886</v>
      </c>
      <c r="I183" s="228">
        <f t="shared" si="137"/>
        <v>385</v>
      </c>
      <c r="J183" s="228">
        <f t="shared" si="137"/>
        <v>337</v>
      </c>
      <c r="K183" s="228">
        <f t="shared" si="137"/>
        <v>868</v>
      </c>
      <c r="L183" s="228">
        <f t="shared" si="137"/>
        <v>1</v>
      </c>
      <c r="M183" s="228">
        <f t="shared" si="137"/>
        <v>262</v>
      </c>
      <c r="N183" s="228">
        <f t="shared" si="137"/>
        <v>163</v>
      </c>
      <c r="O183" s="228">
        <f t="shared" si="137"/>
        <v>429</v>
      </c>
      <c r="P183" s="228">
        <f t="shared" si="137"/>
        <v>304</v>
      </c>
      <c r="Q183" s="228">
        <f t="shared" si="137"/>
        <v>677</v>
      </c>
      <c r="R183" s="228">
        <f t="shared" si="137"/>
        <v>445</v>
      </c>
      <c r="S183" s="228">
        <f t="shared" si="137"/>
        <v>8</v>
      </c>
      <c r="T183" s="228">
        <f t="shared" si="137"/>
        <v>267</v>
      </c>
      <c r="U183" s="228">
        <f t="shared" si="137"/>
        <v>146</v>
      </c>
      <c r="V183" s="228">
        <f t="shared" si="137"/>
        <v>82</v>
      </c>
      <c r="W183" s="228">
        <f t="shared" si="137"/>
        <v>48</v>
      </c>
      <c r="X183" s="228">
        <f t="shared" si="137"/>
        <v>2569</v>
      </c>
      <c r="Y183" s="228">
        <f t="shared" si="137"/>
        <v>965</v>
      </c>
      <c r="Z183" s="228">
        <f t="shared" si="137"/>
        <v>39</v>
      </c>
      <c r="AA183" s="228">
        <f t="shared" si="137"/>
        <v>43</v>
      </c>
      <c r="AB183" s="228">
        <f t="shared" si="137"/>
        <v>440</v>
      </c>
      <c r="AC183" s="228">
        <f t="shared" si="137"/>
        <v>24</v>
      </c>
      <c r="AD183" s="228">
        <f t="shared" si="137"/>
        <v>102</v>
      </c>
      <c r="AE183" s="228">
        <f t="shared" si="137"/>
        <v>132</v>
      </c>
      <c r="AF183" s="228">
        <f t="shared" si="137"/>
        <v>208</v>
      </c>
      <c r="AG183" s="228">
        <f t="shared" si="137"/>
        <v>368</v>
      </c>
      <c r="AH183" s="228">
        <f t="shared" si="137"/>
        <v>82</v>
      </c>
      <c r="AI183" s="228">
        <f t="shared" si="137"/>
        <v>12</v>
      </c>
      <c r="AJ183" s="228">
        <f t="shared" si="137"/>
        <v>111</v>
      </c>
      <c r="AK183" s="228">
        <f t="shared" si="137"/>
        <v>21</v>
      </c>
      <c r="AL183" s="228">
        <f t="shared" si="137"/>
        <v>12</v>
      </c>
      <c r="AM183" s="228">
        <f t="shared" si="137"/>
        <v>229</v>
      </c>
      <c r="AN183" s="228">
        <f t="shared" si="137"/>
        <v>328</v>
      </c>
      <c r="AO183" s="228">
        <f t="shared" si="137"/>
        <v>149</v>
      </c>
      <c r="AP183" s="228">
        <f t="shared" si="137"/>
        <v>188</v>
      </c>
      <c r="AQ183" s="228">
        <f t="shared" si="137"/>
        <v>0</v>
      </c>
      <c r="AR183" s="228">
        <f t="shared" si="137"/>
        <v>45</v>
      </c>
      <c r="AS183" s="228">
        <f t="shared" si="137"/>
        <v>41</v>
      </c>
      <c r="AT183" s="228">
        <f t="shared" si="137"/>
        <v>148</v>
      </c>
      <c r="AU183" s="228">
        <f t="shared" si="137"/>
        <v>11</v>
      </c>
      <c r="AV183" s="228">
        <f t="shared" si="137"/>
        <v>18</v>
      </c>
      <c r="AW183" s="228">
        <f t="shared" si="137"/>
        <v>19</v>
      </c>
      <c r="AX183" s="228">
        <f t="shared" si="137"/>
        <v>52</v>
      </c>
      <c r="AY183" s="228">
        <f t="shared" si="137"/>
        <v>67</v>
      </c>
      <c r="AZ183" s="228">
        <f t="shared" si="137"/>
        <v>202</v>
      </c>
      <c r="BA183" s="228">
        <f t="shared" si="137"/>
        <v>138</v>
      </c>
      <c r="BB183" s="228">
        <f t="shared" si="137"/>
        <v>312</v>
      </c>
      <c r="BC183" s="228">
        <f t="shared" si="137"/>
        <v>404</v>
      </c>
      <c r="BD183" s="228">
        <f t="shared" si="137"/>
        <v>17</v>
      </c>
      <c r="BE183" s="228">
        <f t="shared" si="137"/>
        <v>151</v>
      </c>
      <c r="BF183" s="228">
        <f t="shared" si="137"/>
        <v>1767</v>
      </c>
      <c r="BG183" s="228">
        <f t="shared" si="137"/>
        <v>86</v>
      </c>
      <c r="BH183" s="228">
        <f t="shared" si="137"/>
        <v>88</v>
      </c>
      <c r="BI183" s="228">
        <f t="shared" si="137"/>
        <v>12</v>
      </c>
      <c r="BJ183" s="228">
        <f t="shared" si="137"/>
        <v>470</v>
      </c>
      <c r="BK183" s="228">
        <f t="shared" si="137"/>
        <v>157</v>
      </c>
      <c r="BL183" s="228">
        <f t="shared" si="137"/>
        <v>0</v>
      </c>
      <c r="BM183" s="228">
        <f t="shared" si="137"/>
        <v>1056</v>
      </c>
      <c r="BN183" s="228">
        <f t="shared" si="137"/>
        <v>380</v>
      </c>
      <c r="BO183" s="228">
        <f t="shared" si="137"/>
        <v>0</v>
      </c>
      <c r="BP183" s="228">
        <f t="shared" ref="BP183:DP183" si="138">BP59</f>
        <v>0</v>
      </c>
      <c r="BQ183" s="228">
        <f t="shared" si="138"/>
        <v>0</v>
      </c>
      <c r="BR183" s="228">
        <f t="shared" si="138"/>
        <v>0</v>
      </c>
      <c r="BS183" s="228">
        <f t="shared" si="138"/>
        <v>551</v>
      </c>
      <c r="BT183" s="228">
        <f t="shared" si="138"/>
        <v>336</v>
      </c>
      <c r="BU183" s="228">
        <f t="shared" si="138"/>
        <v>4</v>
      </c>
      <c r="BV183" s="228">
        <f t="shared" si="138"/>
        <v>16</v>
      </c>
      <c r="BW183" s="228">
        <f t="shared" si="138"/>
        <v>2867</v>
      </c>
      <c r="BX183" s="228">
        <f t="shared" si="138"/>
        <v>702</v>
      </c>
      <c r="BY183" s="228">
        <f t="shared" si="138"/>
        <v>303</v>
      </c>
      <c r="BZ183" s="228">
        <f t="shared" si="138"/>
        <v>1552</v>
      </c>
      <c r="CA183" s="228">
        <f t="shared" si="138"/>
        <v>841</v>
      </c>
      <c r="CB183" s="228">
        <f t="shared" si="138"/>
        <v>1</v>
      </c>
      <c r="CC183" s="228">
        <f t="shared" si="138"/>
        <v>1</v>
      </c>
      <c r="CD183" s="228">
        <f t="shared" si="138"/>
        <v>8</v>
      </c>
      <c r="CE183" s="228">
        <f t="shared" si="138"/>
        <v>12</v>
      </c>
      <c r="CF183" s="228">
        <f t="shared" si="138"/>
        <v>28</v>
      </c>
      <c r="CG183" s="228">
        <f t="shared" si="138"/>
        <v>52</v>
      </c>
      <c r="CH183" s="228">
        <f t="shared" si="138"/>
        <v>11</v>
      </c>
      <c r="CI183" s="228">
        <f t="shared" si="138"/>
        <v>30</v>
      </c>
      <c r="CJ183" s="228">
        <f t="shared" si="138"/>
        <v>15</v>
      </c>
      <c r="CK183" s="228">
        <f t="shared" si="138"/>
        <v>24</v>
      </c>
      <c r="CL183" s="228">
        <f t="shared" si="138"/>
        <v>19</v>
      </c>
      <c r="CM183" s="228">
        <f t="shared" si="138"/>
        <v>8</v>
      </c>
      <c r="CN183" s="228">
        <f t="shared" si="138"/>
        <v>25</v>
      </c>
      <c r="CO183" s="228">
        <f t="shared" si="138"/>
        <v>375</v>
      </c>
      <c r="CP183" s="228">
        <f t="shared" si="138"/>
        <v>84</v>
      </c>
      <c r="CQ183" s="228">
        <f t="shared" si="138"/>
        <v>42</v>
      </c>
      <c r="CR183" s="228">
        <f t="shared" si="138"/>
        <v>55</v>
      </c>
      <c r="CS183" s="228">
        <f t="shared" si="138"/>
        <v>30</v>
      </c>
      <c r="CT183" s="228">
        <f t="shared" si="138"/>
        <v>41</v>
      </c>
      <c r="CU183" s="228">
        <f t="shared" si="138"/>
        <v>42</v>
      </c>
      <c r="CV183" s="228">
        <f t="shared" si="138"/>
        <v>2</v>
      </c>
      <c r="CW183" s="228">
        <f t="shared" si="138"/>
        <v>142</v>
      </c>
      <c r="CX183" s="228">
        <f t="shared" si="138"/>
        <v>7</v>
      </c>
      <c r="CY183" s="228">
        <f t="shared" si="138"/>
        <v>93</v>
      </c>
      <c r="CZ183" s="228">
        <f t="shared" si="138"/>
        <v>0</v>
      </c>
      <c r="DA183" s="228">
        <f t="shared" si="138"/>
        <v>86</v>
      </c>
      <c r="DB183" s="228">
        <f t="shared" si="138"/>
        <v>60</v>
      </c>
      <c r="DC183" s="228">
        <f t="shared" si="138"/>
        <v>89</v>
      </c>
      <c r="DD183" s="228">
        <f t="shared" si="138"/>
        <v>0</v>
      </c>
      <c r="DE183" s="228">
        <f t="shared" si="138"/>
        <v>68</v>
      </c>
      <c r="DF183" s="228">
        <f t="shared" si="138"/>
        <v>0</v>
      </c>
      <c r="DG183" s="228">
        <f t="shared" si="138"/>
        <v>7</v>
      </c>
      <c r="DH183" s="228">
        <f t="shared" si="138"/>
        <v>0</v>
      </c>
      <c r="DI183" s="228">
        <f t="shared" si="138"/>
        <v>127</v>
      </c>
      <c r="DJ183" s="228">
        <f t="shared" si="138"/>
        <v>0</v>
      </c>
      <c r="DK183" s="228">
        <f t="shared" si="138"/>
        <v>22</v>
      </c>
      <c r="DL183" s="228">
        <f t="shared" si="138"/>
        <v>37</v>
      </c>
      <c r="DM183" s="228">
        <f t="shared" si="138"/>
        <v>0</v>
      </c>
      <c r="DN183" s="228">
        <f t="shared" si="138"/>
        <v>1</v>
      </c>
      <c r="DO183" s="228">
        <f t="shared" si="138"/>
        <v>0</v>
      </c>
      <c r="DP183" s="232">
        <f t="shared" si="138"/>
        <v>26236</v>
      </c>
      <c r="DQ183" s="228">
        <f t="shared" si="17"/>
        <v>249</v>
      </c>
      <c r="DR183" s="228">
        <f t="shared" si="18"/>
        <v>2677</v>
      </c>
      <c r="DS183" s="230">
        <f>SUM(X183:Y183)+(1-TRP!$AK$253)*AC183</f>
        <v>3550.8</v>
      </c>
      <c r="DT183" s="228">
        <f t="shared" si="19"/>
        <v>41</v>
      </c>
      <c r="DU183" s="228">
        <f t="shared" si="20"/>
        <v>148</v>
      </c>
      <c r="DV183" s="228">
        <f t="shared" si="21"/>
        <v>269</v>
      </c>
      <c r="DW183" s="228">
        <f t="shared" si="22"/>
        <v>138</v>
      </c>
      <c r="DX183" s="228">
        <f t="shared" si="23"/>
        <v>312</v>
      </c>
      <c r="DY183" s="228">
        <f t="shared" si="24"/>
        <v>1767</v>
      </c>
      <c r="DZ183" s="228">
        <f t="shared" si="25"/>
        <v>86</v>
      </c>
      <c r="EA183" s="228">
        <f t="shared" si="26"/>
        <v>88</v>
      </c>
      <c r="EB183" s="230">
        <f>TRP!$AK$253*$AC183+SUM(M183:W183,Z183:AB183,AD183:AR183,AU183:AX183,BC183:BE183,BI183:BN183,BQ183:BR183,BV183)</f>
        <v>8110.2</v>
      </c>
      <c r="EC183" s="228">
        <f t="shared" si="27"/>
        <v>3569</v>
      </c>
      <c r="ED183" s="230">
        <f>CB183+$CI183*TRP!$AV$248</f>
        <v>1.9301275075457365</v>
      </c>
      <c r="EE183" s="228">
        <f t="shared" si="28"/>
        <v>1</v>
      </c>
      <c r="EF183" s="230">
        <f>CD183+$CI183*TRP!$AV$249</f>
        <v>28.795873530817993</v>
      </c>
      <c r="EG183" s="230">
        <f>CE183+$CI183*TRP!$AV$250</f>
        <v>18.065804101243398</v>
      </c>
      <c r="EH183" s="230">
        <f>CF183+$CI183*TRP!$AV$251</f>
        <v>30.208194860392876</v>
      </c>
      <c r="EI183" s="228">
        <f t="shared" si="29"/>
        <v>4259</v>
      </c>
      <c r="EJ183" s="228">
        <f t="shared" si="30"/>
        <v>1</v>
      </c>
      <c r="EK183" s="228">
        <f t="shared" si="31"/>
        <v>0</v>
      </c>
      <c r="EL183" s="230">
        <f>BS183+$BP183*TRP!$AN$246</f>
        <v>551</v>
      </c>
      <c r="EM183" s="228">
        <f t="shared" si="32"/>
        <v>336</v>
      </c>
      <c r="EN183" s="230">
        <f>BU183+$BP183*TRP!$AN$247</f>
        <v>4</v>
      </c>
    </row>
    <row r="184" spans="1:144" s="228" customFormat="1" ht="10.5" x14ac:dyDescent="0.25">
      <c r="A184" s="228" t="str">
        <f>TRP!C182</f>
        <v xml:space="preserve">GF51 </v>
      </c>
      <c r="B184" s="228" t="str">
        <f>TRP!B182</f>
        <v>SIDERURGIE ET PREMIERE TRANSFORMATION DE</v>
      </c>
      <c r="C184" s="233">
        <f>TRP!A182</f>
        <v>10</v>
      </c>
      <c r="D184" s="228">
        <f t="shared" ref="D184:BO184" si="139">D60</f>
        <v>0</v>
      </c>
      <c r="E184" s="228">
        <f t="shared" si="139"/>
        <v>26</v>
      </c>
      <c r="F184" s="228">
        <f t="shared" si="139"/>
        <v>0</v>
      </c>
      <c r="G184" s="228">
        <f t="shared" si="139"/>
        <v>0</v>
      </c>
      <c r="H184" s="228">
        <f t="shared" si="139"/>
        <v>0</v>
      </c>
      <c r="I184" s="228">
        <f t="shared" si="139"/>
        <v>0</v>
      </c>
      <c r="J184" s="228">
        <f t="shared" si="139"/>
        <v>0</v>
      </c>
      <c r="K184" s="228">
        <f t="shared" si="139"/>
        <v>0</v>
      </c>
      <c r="L184" s="228">
        <f t="shared" si="139"/>
        <v>0</v>
      </c>
      <c r="M184" s="228">
        <f t="shared" si="139"/>
        <v>7</v>
      </c>
      <c r="N184" s="228">
        <f t="shared" si="139"/>
        <v>6</v>
      </c>
      <c r="O184" s="228">
        <f t="shared" si="139"/>
        <v>0</v>
      </c>
      <c r="P184" s="228">
        <f t="shared" si="139"/>
        <v>0</v>
      </c>
      <c r="Q184" s="228">
        <f t="shared" si="139"/>
        <v>0</v>
      </c>
      <c r="R184" s="228">
        <f t="shared" si="139"/>
        <v>164</v>
      </c>
      <c r="S184" s="228">
        <f t="shared" si="139"/>
        <v>0</v>
      </c>
      <c r="T184" s="228">
        <f t="shared" si="139"/>
        <v>0</v>
      </c>
      <c r="U184" s="228">
        <f t="shared" si="139"/>
        <v>18</v>
      </c>
      <c r="V184" s="228">
        <f t="shared" si="139"/>
        <v>0</v>
      </c>
      <c r="W184" s="228">
        <f t="shared" si="139"/>
        <v>5</v>
      </c>
      <c r="X184" s="228">
        <f t="shared" si="139"/>
        <v>2256</v>
      </c>
      <c r="Y184" s="228">
        <f t="shared" si="139"/>
        <v>1357</v>
      </c>
      <c r="Z184" s="228">
        <f t="shared" si="139"/>
        <v>97</v>
      </c>
      <c r="AA184" s="228">
        <f t="shared" si="139"/>
        <v>87</v>
      </c>
      <c r="AB184" s="228">
        <f t="shared" si="139"/>
        <v>385</v>
      </c>
      <c r="AC184" s="228">
        <f t="shared" si="139"/>
        <v>23</v>
      </c>
      <c r="AD184" s="228">
        <f t="shared" si="139"/>
        <v>1545</v>
      </c>
      <c r="AE184" s="228">
        <f t="shared" si="139"/>
        <v>1395</v>
      </c>
      <c r="AF184" s="228">
        <f t="shared" si="139"/>
        <v>175</v>
      </c>
      <c r="AG184" s="228">
        <f t="shared" si="139"/>
        <v>391</v>
      </c>
      <c r="AH184" s="228">
        <f t="shared" si="139"/>
        <v>454</v>
      </c>
      <c r="AI184" s="228">
        <f t="shared" si="139"/>
        <v>42</v>
      </c>
      <c r="AJ184" s="228">
        <f t="shared" si="139"/>
        <v>879</v>
      </c>
      <c r="AK184" s="228">
        <f t="shared" si="139"/>
        <v>6</v>
      </c>
      <c r="AL184" s="228">
        <f t="shared" si="139"/>
        <v>8</v>
      </c>
      <c r="AM184" s="228">
        <f t="shared" si="139"/>
        <v>171</v>
      </c>
      <c r="AN184" s="228">
        <f t="shared" si="139"/>
        <v>148</v>
      </c>
      <c r="AO184" s="228">
        <f t="shared" si="139"/>
        <v>98</v>
      </c>
      <c r="AP184" s="228">
        <f t="shared" si="139"/>
        <v>42</v>
      </c>
      <c r="AQ184" s="228">
        <f t="shared" si="139"/>
        <v>0</v>
      </c>
      <c r="AR184" s="228">
        <f t="shared" si="139"/>
        <v>0</v>
      </c>
      <c r="AS184" s="228">
        <f t="shared" si="139"/>
        <v>15</v>
      </c>
      <c r="AT184" s="228">
        <f t="shared" si="139"/>
        <v>283</v>
      </c>
      <c r="AU184" s="228">
        <f t="shared" si="139"/>
        <v>0</v>
      </c>
      <c r="AV184" s="228">
        <f t="shared" si="139"/>
        <v>0</v>
      </c>
      <c r="AW184" s="228">
        <f t="shared" si="139"/>
        <v>0</v>
      </c>
      <c r="AX184" s="228">
        <f t="shared" si="139"/>
        <v>0</v>
      </c>
      <c r="AY184" s="228">
        <f t="shared" si="139"/>
        <v>0</v>
      </c>
      <c r="AZ184" s="228">
        <f t="shared" si="139"/>
        <v>0</v>
      </c>
      <c r="BA184" s="228">
        <f t="shared" si="139"/>
        <v>0</v>
      </c>
      <c r="BB184" s="228">
        <f t="shared" si="139"/>
        <v>96</v>
      </c>
      <c r="BC184" s="228">
        <f t="shared" si="139"/>
        <v>32</v>
      </c>
      <c r="BD184" s="228">
        <f t="shared" si="139"/>
        <v>0</v>
      </c>
      <c r="BE184" s="228">
        <f t="shared" si="139"/>
        <v>346</v>
      </c>
      <c r="BF184" s="228">
        <f t="shared" si="139"/>
        <v>133</v>
      </c>
      <c r="BG184" s="228">
        <f t="shared" si="139"/>
        <v>7915</v>
      </c>
      <c r="BH184" s="228">
        <f t="shared" si="139"/>
        <v>1</v>
      </c>
      <c r="BI184" s="228">
        <f t="shared" si="139"/>
        <v>84</v>
      </c>
      <c r="BJ184" s="228">
        <f t="shared" si="139"/>
        <v>3195</v>
      </c>
      <c r="BK184" s="228">
        <f t="shared" si="139"/>
        <v>2127</v>
      </c>
      <c r="BL184" s="228">
        <f t="shared" si="139"/>
        <v>1488</v>
      </c>
      <c r="BM184" s="228">
        <f t="shared" si="139"/>
        <v>304</v>
      </c>
      <c r="BN184" s="228">
        <f t="shared" si="139"/>
        <v>24</v>
      </c>
      <c r="BO184" s="228">
        <f t="shared" si="139"/>
        <v>0</v>
      </c>
      <c r="BP184" s="228">
        <f t="shared" ref="BP184:DP184" si="140">BP60</f>
        <v>0</v>
      </c>
      <c r="BQ184" s="228">
        <f t="shared" si="140"/>
        <v>0</v>
      </c>
      <c r="BR184" s="228">
        <f t="shared" si="140"/>
        <v>6</v>
      </c>
      <c r="BS184" s="228">
        <f t="shared" si="140"/>
        <v>87</v>
      </c>
      <c r="BT184" s="228">
        <f t="shared" si="140"/>
        <v>47</v>
      </c>
      <c r="BU184" s="228">
        <f t="shared" si="140"/>
        <v>4</v>
      </c>
      <c r="BV184" s="228">
        <f t="shared" si="140"/>
        <v>104</v>
      </c>
      <c r="BW184" s="228">
        <f t="shared" si="140"/>
        <v>1282</v>
      </c>
      <c r="BX184" s="228">
        <f t="shared" si="140"/>
        <v>1002</v>
      </c>
      <c r="BY184" s="228">
        <f t="shared" si="140"/>
        <v>39</v>
      </c>
      <c r="BZ184" s="228">
        <f t="shared" si="140"/>
        <v>33</v>
      </c>
      <c r="CA184" s="228">
        <f t="shared" si="140"/>
        <v>72</v>
      </c>
      <c r="CB184" s="228">
        <f t="shared" si="140"/>
        <v>9</v>
      </c>
      <c r="CC184" s="228">
        <f t="shared" si="140"/>
        <v>0</v>
      </c>
      <c r="CD184" s="228">
        <f t="shared" si="140"/>
        <v>7</v>
      </c>
      <c r="CE184" s="228">
        <f t="shared" si="140"/>
        <v>5</v>
      </c>
      <c r="CF184" s="228">
        <f t="shared" si="140"/>
        <v>1</v>
      </c>
      <c r="CG184" s="228">
        <f t="shared" si="140"/>
        <v>87</v>
      </c>
      <c r="CH184" s="228">
        <f t="shared" si="140"/>
        <v>0</v>
      </c>
      <c r="CI184" s="228">
        <f t="shared" si="140"/>
        <v>37</v>
      </c>
      <c r="CJ184" s="228">
        <f t="shared" si="140"/>
        <v>0</v>
      </c>
      <c r="CK184" s="228">
        <f t="shared" si="140"/>
        <v>0</v>
      </c>
      <c r="CL184" s="228">
        <f t="shared" si="140"/>
        <v>0</v>
      </c>
      <c r="CM184" s="228">
        <f t="shared" si="140"/>
        <v>0</v>
      </c>
      <c r="CN184" s="228">
        <f t="shared" si="140"/>
        <v>0</v>
      </c>
      <c r="CO184" s="228">
        <f t="shared" si="140"/>
        <v>17</v>
      </c>
      <c r="CP184" s="228">
        <f t="shared" si="140"/>
        <v>6</v>
      </c>
      <c r="CQ184" s="228">
        <f t="shared" si="140"/>
        <v>1</v>
      </c>
      <c r="CR184" s="228">
        <f t="shared" si="140"/>
        <v>2</v>
      </c>
      <c r="CS184" s="228">
        <f t="shared" si="140"/>
        <v>0</v>
      </c>
      <c r="CT184" s="228">
        <f t="shared" si="140"/>
        <v>1</v>
      </c>
      <c r="CU184" s="228">
        <f t="shared" si="140"/>
        <v>23</v>
      </c>
      <c r="CV184" s="228">
        <f t="shared" si="140"/>
        <v>2</v>
      </c>
      <c r="CW184" s="228">
        <f t="shared" si="140"/>
        <v>63</v>
      </c>
      <c r="CX184" s="228">
        <f t="shared" si="140"/>
        <v>0</v>
      </c>
      <c r="CY184" s="228">
        <f t="shared" si="140"/>
        <v>125</v>
      </c>
      <c r="CZ184" s="228">
        <f t="shared" si="140"/>
        <v>0</v>
      </c>
      <c r="DA184" s="228">
        <f t="shared" si="140"/>
        <v>0</v>
      </c>
      <c r="DB184" s="228">
        <f t="shared" si="140"/>
        <v>4</v>
      </c>
      <c r="DC184" s="228">
        <f t="shared" si="140"/>
        <v>14</v>
      </c>
      <c r="DD184" s="228">
        <f t="shared" si="140"/>
        <v>0</v>
      </c>
      <c r="DE184" s="228">
        <f t="shared" si="140"/>
        <v>0</v>
      </c>
      <c r="DF184" s="228">
        <f t="shared" si="140"/>
        <v>0</v>
      </c>
      <c r="DG184" s="228">
        <f t="shared" si="140"/>
        <v>0</v>
      </c>
      <c r="DH184" s="228">
        <f t="shared" si="140"/>
        <v>0</v>
      </c>
      <c r="DI184" s="228">
        <f t="shared" si="140"/>
        <v>0</v>
      </c>
      <c r="DJ184" s="228">
        <f t="shared" si="140"/>
        <v>0</v>
      </c>
      <c r="DK184" s="228">
        <f t="shared" si="140"/>
        <v>2</v>
      </c>
      <c r="DL184" s="228">
        <f t="shared" si="140"/>
        <v>0</v>
      </c>
      <c r="DM184" s="228">
        <f t="shared" si="140"/>
        <v>0</v>
      </c>
      <c r="DN184" s="228">
        <f t="shared" si="140"/>
        <v>0</v>
      </c>
      <c r="DO184" s="228">
        <f t="shared" si="140"/>
        <v>0</v>
      </c>
      <c r="DP184" s="232">
        <f t="shared" si="140"/>
        <v>28910</v>
      </c>
      <c r="DQ184" s="228">
        <f t="shared" si="17"/>
        <v>26</v>
      </c>
      <c r="DR184" s="228">
        <f t="shared" si="18"/>
        <v>0</v>
      </c>
      <c r="DS184" s="230">
        <f>SUM(X184:Y184)+(1-TRP!$AK$253)*AC184</f>
        <v>3629.1</v>
      </c>
      <c r="DT184" s="228">
        <f t="shared" si="19"/>
        <v>15</v>
      </c>
      <c r="DU184" s="228">
        <f t="shared" si="20"/>
        <v>283</v>
      </c>
      <c r="DV184" s="228">
        <f t="shared" si="21"/>
        <v>0</v>
      </c>
      <c r="DW184" s="228">
        <f t="shared" si="22"/>
        <v>0</v>
      </c>
      <c r="DX184" s="228">
        <f t="shared" si="23"/>
        <v>96</v>
      </c>
      <c r="DY184" s="228">
        <f t="shared" si="24"/>
        <v>133</v>
      </c>
      <c r="DZ184" s="228">
        <f t="shared" si="25"/>
        <v>7915</v>
      </c>
      <c r="EA184" s="228">
        <f t="shared" si="26"/>
        <v>1</v>
      </c>
      <c r="EB184" s="230">
        <f>TRP!$AK$253*$AC184+SUM(M184:W184,Z184:AB184,AD184:AR184,AU184:AX184,BC184:BE184,BI184:BN184,BQ184:BR184,BV184)</f>
        <v>13839.9</v>
      </c>
      <c r="EC184" s="228">
        <f t="shared" si="27"/>
        <v>2284</v>
      </c>
      <c r="ED184" s="230">
        <f>CB184+$CI184*TRP!$AV$248</f>
        <v>10.147157259306407</v>
      </c>
      <c r="EE184" s="228">
        <f t="shared" si="28"/>
        <v>0</v>
      </c>
      <c r="EF184" s="230">
        <f>CD184+$CI184*TRP!$AV$249</f>
        <v>32.648244021342194</v>
      </c>
      <c r="EG184" s="230">
        <f>CE184+$CI184*TRP!$AV$250</f>
        <v>12.481158391533523</v>
      </c>
      <c r="EH184" s="230">
        <f>CF184+$CI184*TRP!$AV$251</f>
        <v>3.7234403278178818</v>
      </c>
      <c r="EI184" s="228">
        <f t="shared" si="29"/>
        <v>491</v>
      </c>
      <c r="EJ184" s="228">
        <f t="shared" si="30"/>
        <v>0</v>
      </c>
      <c r="EK184" s="228">
        <f t="shared" si="31"/>
        <v>0</v>
      </c>
      <c r="EL184" s="230">
        <f>BS184+$BP184*TRP!$AN$246</f>
        <v>87</v>
      </c>
      <c r="EM184" s="228">
        <f t="shared" si="32"/>
        <v>47</v>
      </c>
      <c r="EN184" s="230">
        <f>BU184+$BP184*TRP!$AN$247</f>
        <v>4</v>
      </c>
    </row>
    <row r="185" spans="1:144" s="228" customFormat="1" ht="10.5" x14ac:dyDescent="0.25">
      <c r="A185" s="228" t="str">
        <f>TRP!C183</f>
        <v xml:space="preserve">GF52 </v>
      </c>
      <c r="B185" s="228" t="str">
        <f>TRP!B183</f>
        <v>PRODUCTION DE METAUX NON FERREUX</v>
      </c>
      <c r="C185" s="233">
        <f>TRP!A183</f>
        <v>11</v>
      </c>
      <c r="D185" s="228">
        <f t="shared" ref="D185:BO185" si="141">D61</f>
        <v>0</v>
      </c>
      <c r="E185" s="228">
        <f t="shared" si="141"/>
        <v>0</v>
      </c>
      <c r="F185" s="228">
        <f t="shared" si="141"/>
        <v>0</v>
      </c>
      <c r="G185" s="228">
        <f t="shared" si="141"/>
        <v>29</v>
      </c>
      <c r="H185" s="228">
        <f t="shared" si="141"/>
        <v>0</v>
      </c>
      <c r="I185" s="228">
        <f t="shared" si="141"/>
        <v>58</v>
      </c>
      <c r="J185" s="228">
        <f t="shared" si="141"/>
        <v>0</v>
      </c>
      <c r="K185" s="228">
        <f t="shared" si="141"/>
        <v>0</v>
      </c>
      <c r="L185" s="228">
        <f t="shared" si="141"/>
        <v>0</v>
      </c>
      <c r="M185" s="228">
        <f t="shared" si="141"/>
        <v>0</v>
      </c>
      <c r="N185" s="228">
        <f t="shared" si="141"/>
        <v>7</v>
      </c>
      <c r="O185" s="228">
        <f t="shared" si="141"/>
        <v>105</v>
      </c>
      <c r="P185" s="228">
        <f t="shared" si="141"/>
        <v>243</v>
      </c>
      <c r="Q185" s="228">
        <f t="shared" si="141"/>
        <v>85</v>
      </c>
      <c r="R185" s="228">
        <f t="shared" si="141"/>
        <v>41</v>
      </c>
      <c r="S185" s="228">
        <f t="shared" si="141"/>
        <v>50</v>
      </c>
      <c r="T185" s="228">
        <f t="shared" si="141"/>
        <v>0</v>
      </c>
      <c r="U185" s="228">
        <f t="shared" si="141"/>
        <v>26</v>
      </c>
      <c r="V185" s="228">
        <f t="shared" si="141"/>
        <v>40</v>
      </c>
      <c r="W185" s="228">
        <f t="shared" si="141"/>
        <v>121</v>
      </c>
      <c r="X185" s="228">
        <f t="shared" si="141"/>
        <v>220</v>
      </c>
      <c r="Y185" s="228">
        <f t="shared" si="141"/>
        <v>241</v>
      </c>
      <c r="Z185" s="228">
        <f t="shared" si="141"/>
        <v>56</v>
      </c>
      <c r="AA185" s="228">
        <f t="shared" si="141"/>
        <v>16</v>
      </c>
      <c r="AB185" s="228">
        <f t="shared" si="141"/>
        <v>53</v>
      </c>
      <c r="AC185" s="228">
        <f t="shared" si="141"/>
        <v>13</v>
      </c>
      <c r="AD185" s="228">
        <f t="shared" si="141"/>
        <v>211</v>
      </c>
      <c r="AE185" s="228">
        <f t="shared" si="141"/>
        <v>233</v>
      </c>
      <c r="AF185" s="228">
        <f t="shared" si="141"/>
        <v>266</v>
      </c>
      <c r="AG185" s="228">
        <f t="shared" si="141"/>
        <v>345</v>
      </c>
      <c r="AH185" s="228">
        <f t="shared" si="141"/>
        <v>42</v>
      </c>
      <c r="AI185" s="228">
        <f t="shared" si="141"/>
        <v>38</v>
      </c>
      <c r="AJ185" s="228">
        <f t="shared" si="141"/>
        <v>223</v>
      </c>
      <c r="AK185" s="228">
        <f t="shared" si="141"/>
        <v>9</v>
      </c>
      <c r="AL185" s="228">
        <f t="shared" si="141"/>
        <v>0</v>
      </c>
      <c r="AM185" s="228">
        <f t="shared" si="141"/>
        <v>265</v>
      </c>
      <c r="AN185" s="228">
        <f t="shared" si="141"/>
        <v>143</v>
      </c>
      <c r="AO185" s="228">
        <f t="shared" si="141"/>
        <v>164</v>
      </c>
      <c r="AP185" s="228">
        <f t="shared" si="141"/>
        <v>324</v>
      </c>
      <c r="AQ185" s="228">
        <f t="shared" si="141"/>
        <v>0</v>
      </c>
      <c r="AR185" s="228">
        <f t="shared" si="141"/>
        <v>28</v>
      </c>
      <c r="AS185" s="228">
        <f t="shared" si="141"/>
        <v>141</v>
      </c>
      <c r="AT185" s="228">
        <f t="shared" si="141"/>
        <v>110</v>
      </c>
      <c r="AU185" s="228">
        <f t="shared" si="141"/>
        <v>0</v>
      </c>
      <c r="AV185" s="228">
        <f t="shared" si="141"/>
        <v>0</v>
      </c>
      <c r="AW185" s="228">
        <f t="shared" si="141"/>
        <v>0</v>
      </c>
      <c r="AX185" s="228">
        <f t="shared" si="141"/>
        <v>39</v>
      </c>
      <c r="AY185" s="228">
        <f t="shared" si="141"/>
        <v>3</v>
      </c>
      <c r="AZ185" s="228">
        <f t="shared" si="141"/>
        <v>6</v>
      </c>
      <c r="BA185" s="228">
        <f t="shared" si="141"/>
        <v>98</v>
      </c>
      <c r="BB185" s="228">
        <f t="shared" si="141"/>
        <v>11</v>
      </c>
      <c r="BC185" s="228">
        <f t="shared" si="141"/>
        <v>58</v>
      </c>
      <c r="BD185" s="228">
        <f t="shared" si="141"/>
        <v>0</v>
      </c>
      <c r="BE185" s="228">
        <f t="shared" si="141"/>
        <v>0</v>
      </c>
      <c r="BF185" s="228">
        <f t="shared" si="141"/>
        <v>40</v>
      </c>
      <c r="BG185" s="228">
        <f t="shared" si="141"/>
        <v>817</v>
      </c>
      <c r="BH185" s="228">
        <f t="shared" si="141"/>
        <v>4969</v>
      </c>
      <c r="BI185" s="228">
        <f t="shared" si="141"/>
        <v>608</v>
      </c>
      <c r="BJ185" s="228">
        <f t="shared" si="141"/>
        <v>1475</v>
      </c>
      <c r="BK185" s="228">
        <f t="shared" si="141"/>
        <v>629</v>
      </c>
      <c r="BL185" s="228">
        <f t="shared" si="141"/>
        <v>738</v>
      </c>
      <c r="BM185" s="228">
        <f t="shared" si="141"/>
        <v>2047</v>
      </c>
      <c r="BN185" s="228">
        <f t="shared" si="141"/>
        <v>159</v>
      </c>
      <c r="BO185" s="228">
        <f t="shared" si="141"/>
        <v>0</v>
      </c>
      <c r="BP185" s="228">
        <f t="shared" ref="BP185:DP185" si="142">BP61</f>
        <v>0</v>
      </c>
      <c r="BQ185" s="228">
        <f t="shared" si="142"/>
        <v>0</v>
      </c>
      <c r="BR185" s="228">
        <f t="shared" si="142"/>
        <v>0</v>
      </c>
      <c r="BS185" s="228">
        <f t="shared" si="142"/>
        <v>71</v>
      </c>
      <c r="BT185" s="228">
        <f t="shared" si="142"/>
        <v>0</v>
      </c>
      <c r="BU185" s="228">
        <f t="shared" si="142"/>
        <v>0</v>
      </c>
      <c r="BV185" s="228">
        <f t="shared" si="142"/>
        <v>35</v>
      </c>
      <c r="BW185" s="228">
        <f t="shared" si="142"/>
        <v>1068</v>
      </c>
      <c r="BX185" s="228">
        <f t="shared" si="142"/>
        <v>157</v>
      </c>
      <c r="BY185" s="228">
        <f t="shared" si="142"/>
        <v>14</v>
      </c>
      <c r="BZ185" s="228">
        <f t="shared" si="142"/>
        <v>69</v>
      </c>
      <c r="CA185" s="228">
        <f t="shared" si="142"/>
        <v>83</v>
      </c>
      <c r="CB185" s="228">
        <f t="shared" si="142"/>
        <v>0</v>
      </c>
      <c r="CC185" s="228">
        <f t="shared" si="142"/>
        <v>0</v>
      </c>
      <c r="CD185" s="228">
        <f t="shared" si="142"/>
        <v>0</v>
      </c>
      <c r="CE185" s="228">
        <f t="shared" si="142"/>
        <v>0</v>
      </c>
      <c r="CF185" s="228">
        <f t="shared" si="142"/>
        <v>0</v>
      </c>
      <c r="CG185" s="228">
        <f t="shared" si="142"/>
        <v>0</v>
      </c>
      <c r="CH185" s="228">
        <f t="shared" si="142"/>
        <v>0</v>
      </c>
      <c r="CI185" s="228">
        <f t="shared" si="142"/>
        <v>0</v>
      </c>
      <c r="CJ185" s="228">
        <f t="shared" si="142"/>
        <v>0</v>
      </c>
      <c r="CK185" s="228">
        <f t="shared" si="142"/>
        <v>0</v>
      </c>
      <c r="CL185" s="228">
        <f t="shared" si="142"/>
        <v>0</v>
      </c>
      <c r="CM185" s="228">
        <f t="shared" si="142"/>
        <v>0</v>
      </c>
      <c r="CN185" s="228">
        <f t="shared" si="142"/>
        <v>0</v>
      </c>
      <c r="CO185" s="228">
        <f t="shared" si="142"/>
        <v>0</v>
      </c>
      <c r="CP185" s="228">
        <f t="shared" si="142"/>
        <v>6</v>
      </c>
      <c r="CQ185" s="228">
        <f t="shared" si="142"/>
        <v>1</v>
      </c>
      <c r="CR185" s="228">
        <f t="shared" si="142"/>
        <v>0</v>
      </c>
      <c r="CS185" s="228">
        <f t="shared" si="142"/>
        <v>0</v>
      </c>
      <c r="CT185" s="228">
        <f t="shared" si="142"/>
        <v>3</v>
      </c>
      <c r="CU185" s="228">
        <f t="shared" si="142"/>
        <v>0</v>
      </c>
      <c r="CV185" s="228">
        <f t="shared" si="142"/>
        <v>0</v>
      </c>
      <c r="CW185" s="228">
        <f t="shared" si="142"/>
        <v>11</v>
      </c>
      <c r="CX185" s="228">
        <f t="shared" si="142"/>
        <v>0</v>
      </c>
      <c r="CY185" s="228">
        <f t="shared" si="142"/>
        <v>197</v>
      </c>
      <c r="CZ185" s="228">
        <f t="shared" si="142"/>
        <v>0</v>
      </c>
      <c r="DA185" s="228">
        <f t="shared" si="142"/>
        <v>0</v>
      </c>
      <c r="DB185" s="228">
        <f t="shared" si="142"/>
        <v>0</v>
      </c>
      <c r="DC185" s="228">
        <f t="shared" si="142"/>
        <v>0</v>
      </c>
      <c r="DD185" s="228">
        <f t="shared" si="142"/>
        <v>0</v>
      </c>
      <c r="DE185" s="228">
        <f t="shared" si="142"/>
        <v>0</v>
      </c>
      <c r="DF185" s="228">
        <f t="shared" si="142"/>
        <v>0</v>
      </c>
      <c r="DG185" s="228">
        <f t="shared" si="142"/>
        <v>0</v>
      </c>
      <c r="DH185" s="228">
        <f t="shared" si="142"/>
        <v>0</v>
      </c>
      <c r="DI185" s="228">
        <f t="shared" si="142"/>
        <v>0</v>
      </c>
      <c r="DJ185" s="228">
        <f t="shared" si="142"/>
        <v>0</v>
      </c>
      <c r="DK185" s="228">
        <f t="shared" si="142"/>
        <v>0</v>
      </c>
      <c r="DL185" s="228">
        <f t="shared" si="142"/>
        <v>0</v>
      </c>
      <c r="DM185" s="228">
        <f t="shared" si="142"/>
        <v>0</v>
      </c>
      <c r="DN185" s="228">
        <f t="shared" si="142"/>
        <v>0</v>
      </c>
      <c r="DO185" s="228">
        <f t="shared" si="142"/>
        <v>0</v>
      </c>
      <c r="DP185" s="232">
        <f t="shared" si="142"/>
        <v>17358</v>
      </c>
      <c r="DQ185" s="228">
        <f t="shared" si="17"/>
        <v>0</v>
      </c>
      <c r="DR185" s="228">
        <f t="shared" si="18"/>
        <v>87</v>
      </c>
      <c r="DS185" s="230">
        <f>SUM(X185:Y185)+(1-TRP!$AK$253)*AC185</f>
        <v>470.1</v>
      </c>
      <c r="DT185" s="228">
        <f t="shared" si="19"/>
        <v>141</v>
      </c>
      <c r="DU185" s="228">
        <f t="shared" si="20"/>
        <v>110</v>
      </c>
      <c r="DV185" s="228">
        <f t="shared" si="21"/>
        <v>9</v>
      </c>
      <c r="DW185" s="228">
        <f t="shared" si="22"/>
        <v>98</v>
      </c>
      <c r="DX185" s="228">
        <f t="shared" si="23"/>
        <v>11</v>
      </c>
      <c r="DY185" s="228">
        <f t="shared" si="24"/>
        <v>40</v>
      </c>
      <c r="DZ185" s="228">
        <f t="shared" si="25"/>
        <v>817</v>
      </c>
      <c r="EA185" s="228">
        <f t="shared" si="26"/>
        <v>4969</v>
      </c>
      <c r="EB185" s="230">
        <f>TRP!$AK$253*$AC185+SUM(M185:W185,Z185:AB185,AD185:AR185,AU185:AX185,BC185:BE185,BI185:BN185,BQ185:BR185,BV185)</f>
        <v>8925.9</v>
      </c>
      <c r="EC185" s="228">
        <f t="shared" si="27"/>
        <v>1225</v>
      </c>
      <c r="ED185" s="230">
        <f>CB185+$CI185*TRP!$AV$248</f>
        <v>0</v>
      </c>
      <c r="EE185" s="228">
        <f t="shared" si="28"/>
        <v>0</v>
      </c>
      <c r="EF185" s="230">
        <f>CD185+$CI185*TRP!$AV$249</f>
        <v>0</v>
      </c>
      <c r="EG185" s="230">
        <f>CE185+$CI185*TRP!$AV$250</f>
        <v>0</v>
      </c>
      <c r="EH185" s="230">
        <f>CF185+$CI185*TRP!$AV$251</f>
        <v>0</v>
      </c>
      <c r="EI185" s="228">
        <f t="shared" si="29"/>
        <v>384</v>
      </c>
      <c r="EJ185" s="228">
        <f t="shared" si="30"/>
        <v>0</v>
      </c>
      <c r="EK185" s="228">
        <f t="shared" si="31"/>
        <v>0</v>
      </c>
      <c r="EL185" s="230">
        <f>BS185+$BP185*TRP!$AN$246</f>
        <v>71</v>
      </c>
      <c r="EM185" s="228">
        <f t="shared" si="32"/>
        <v>0</v>
      </c>
      <c r="EN185" s="230">
        <f>BU185+$BP185*TRP!$AN$247</f>
        <v>0</v>
      </c>
    </row>
    <row r="186" spans="1:144" s="228" customFormat="1" ht="10.5" x14ac:dyDescent="0.25">
      <c r="A186" s="228" t="str">
        <f>TRP!C184</f>
        <v xml:space="preserve">GF53 </v>
      </c>
      <c r="B186" s="228" t="str">
        <f>TRP!B184</f>
        <v>FONDERIE</v>
      </c>
      <c r="C186" s="233">
        <f>TRP!A184</f>
        <v>12</v>
      </c>
      <c r="D186" s="228">
        <f t="shared" ref="D186:BO186" si="143">D62</f>
        <v>0</v>
      </c>
      <c r="E186" s="228">
        <f t="shared" si="143"/>
        <v>0</v>
      </c>
      <c r="F186" s="228">
        <f t="shared" si="143"/>
        <v>0</v>
      </c>
      <c r="G186" s="228">
        <f t="shared" si="143"/>
        <v>0</v>
      </c>
      <c r="H186" s="228">
        <f t="shared" si="143"/>
        <v>0</v>
      </c>
      <c r="I186" s="228">
        <f t="shared" si="143"/>
        <v>0</v>
      </c>
      <c r="J186" s="228">
        <f t="shared" si="143"/>
        <v>0</v>
      </c>
      <c r="K186" s="228">
        <f t="shared" si="143"/>
        <v>0</v>
      </c>
      <c r="L186" s="228">
        <f t="shared" si="143"/>
        <v>0</v>
      </c>
      <c r="M186" s="228">
        <f t="shared" si="143"/>
        <v>0</v>
      </c>
      <c r="N186" s="228">
        <f t="shared" si="143"/>
        <v>0</v>
      </c>
      <c r="O186" s="228">
        <f t="shared" si="143"/>
        <v>0</v>
      </c>
      <c r="P186" s="228">
        <f t="shared" si="143"/>
        <v>0</v>
      </c>
      <c r="Q186" s="228">
        <f t="shared" si="143"/>
        <v>0</v>
      </c>
      <c r="R186" s="228">
        <f t="shared" si="143"/>
        <v>17</v>
      </c>
      <c r="S186" s="228">
        <f t="shared" si="143"/>
        <v>0</v>
      </c>
      <c r="T186" s="228">
        <f t="shared" si="143"/>
        <v>62</v>
      </c>
      <c r="U186" s="228">
        <f t="shared" si="143"/>
        <v>52</v>
      </c>
      <c r="V186" s="228">
        <f t="shared" si="143"/>
        <v>0</v>
      </c>
      <c r="W186" s="228">
        <f t="shared" si="143"/>
        <v>18</v>
      </c>
      <c r="X186" s="228">
        <f t="shared" si="143"/>
        <v>1643</v>
      </c>
      <c r="Y186" s="228">
        <f t="shared" si="143"/>
        <v>1268</v>
      </c>
      <c r="Z186" s="228">
        <f t="shared" si="143"/>
        <v>20</v>
      </c>
      <c r="AA186" s="228">
        <f t="shared" si="143"/>
        <v>45</v>
      </c>
      <c r="AB186" s="228">
        <f t="shared" si="143"/>
        <v>41</v>
      </c>
      <c r="AC186" s="228">
        <f t="shared" si="143"/>
        <v>33</v>
      </c>
      <c r="AD186" s="228">
        <f t="shared" si="143"/>
        <v>35</v>
      </c>
      <c r="AE186" s="228">
        <f t="shared" si="143"/>
        <v>42</v>
      </c>
      <c r="AF186" s="228">
        <f t="shared" si="143"/>
        <v>162</v>
      </c>
      <c r="AG186" s="228">
        <f t="shared" si="143"/>
        <v>513</v>
      </c>
      <c r="AH186" s="228">
        <f t="shared" si="143"/>
        <v>165</v>
      </c>
      <c r="AI186" s="228">
        <f t="shared" si="143"/>
        <v>47</v>
      </c>
      <c r="AJ186" s="228">
        <f t="shared" si="143"/>
        <v>399</v>
      </c>
      <c r="AK186" s="228">
        <f t="shared" si="143"/>
        <v>0</v>
      </c>
      <c r="AL186" s="228">
        <f t="shared" si="143"/>
        <v>0</v>
      </c>
      <c r="AM186" s="228">
        <f t="shared" si="143"/>
        <v>55</v>
      </c>
      <c r="AN186" s="228">
        <f t="shared" si="143"/>
        <v>0</v>
      </c>
      <c r="AO186" s="228">
        <f t="shared" si="143"/>
        <v>58</v>
      </c>
      <c r="AP186" s="228">
        <f t="shared" si="143"/>
        <v>86</v>
      </c>
      <c r="AQ186" s="228">
        <f t="shared" si="143"/>
        <v>0</v>
      </c>
      <c r="AR186" s="228">
        <f t="shared" si="143"/>
        <v>0</v>
      </c>
      <c r="AS186" s="228">
        <f t="shared" si="143"/>
        <v>0</v>
      </c>
      <c r="AT186" s="228">
        <f t="shared" si="143"/>
        <v>78</v>
      </c>
      <c r="AU186" s="228">
        <f t="shared" si="143"/>
        <v>0</v>
      </c>
      <c r="AV186" s="228">
        <f t="shared" si="143"/>
        <v>0</v>
      </c>
      <c r="AW186" s="228">
        <f t="shared" si="143"/>
        <v>0</v>
      </c>
      <c r="AX186" s="228">
        <f t="shared" si="143"/>
        <v>0</v>
      </c>
      <c r="AY186" s="228">
        <f t="shared" si="143"/>
        <v>0</v>
      </c>
      <c r="AZ186" s="228">
        <f t="shared" si="143"/>
        <v>0</v>
      </c>
      <c r="BA186" s="228">
        <f t="shared" si="143"/>
        <v>0</v>
      </c>
      <c r="BB186" s="228">
        <f t="shared" si="143"/>
        <v>0</v>
      </c>
      <c r="BC186" s="228">
        <f t="shared" si="143"/>
        <v>0</v>
      </c>
      <c r="BD186" s="228">
        <f t="shared" si="143"/>
        <v>0</v>
      </c>
      <c r="BE186" s="228">
        <f t="shared" si="143"/>
        <v>0</v>
      </c>
      <c r="BF186" s="228">
        <f t="shared" si="143"/>
        <v>0</v>
      </c>
      <c r="BG186" s="228">
        <f t="shared" si="143"/>
        <v>28</v>
      </c>
      <c r="BH186" s="228">
        <f t="shared" si="143"/>
        <v>25</v>
      </c>
      <c r="BI186" s="228">
        <f t="shared" si="143"/>
        <v>74</v>
      </c>
      <c r="BJ186" s="228">
        <f t="shared" si="143"/>
        <v>40</v>
      </c>
      <c r="BK186" s="228">
        <f t="shared" si="143"/>
        <v>26</v>
      </c>
      <c r="BL186" s="228">
        <f t="shared" si="143"/>
        <v>0</v>
      </c>
      <c r="BM186" s="228">
        <f t="shared" si="143"/>
        <v>156</v>
      </c>
      <c r="BN186" s="228">
        <f t="shared" si="143"/>
        <v>0</v>
      </c>
      <c r="BO186" s="228">
        <f t="shared" si="143"/>
        <v>0</v>
      </c>
      <c r="BP186" s="228">
        <f t="shared" ref="BP186:DP186" si="144">BP62</f>
        <v>0</v>
      </c>
      <c r="BQ186" s="228">
        <f t="shared" si="144"/>
        <v>0</v>
      </c>
      <c r="BR186" s="228">
        <f t="shared" si="144"/>
        <v>0</v>
      </c>
      <c r="BS186" s="228">
        <f t="shared" si="144"/>
        <v>0</v>
      </c>
      <c r="BT186" s="228">
        <f t="shared" si="144"/>
        <v>0</v>
      </c>
      <c r="BU186" s="228">
        <f t="shared" si="144"/>
        <v>0</v>
      </c>
      <c r="BV186" s="228">
        <f t="shared" si="144"/>
        <v>0</v>
      </c>
      <c r="BW186" s="228">
        <f t="shared" si="144"/>
        <v>302</v>
      </c>
      <c r="BX186" s="228">
        <f t="shared" si="144"/>
        <v>74</v>
      </c>
      <c r="BY186" s="228">
        <f t="shared" si="144"/>
        <v>0</v>
      </c>
      <c r="BZ186" s="228">
        <f t="shared" si="144"/>
        <v>0</v>
      </c>
      <c r="CA186" s="228">
        <f t="shared" si="144"/>
        <v>0</v>
      </c>
      <c r="CB186" s="228">
        <f t="shared" si="144"/>
        <v>0</v>
      </c>
      <c r="CC186" s="228">
        <f t="shared" si="144"/>
        <v>0</v>
      </c>
      <c r="CD186" s="228">
        <f t="shared" si="144"/>
        <v>0</v>
      </c>
      <c r="CE186" s="228">
        <f t="shared" si="144"/>
        <v>0</v>
      </c>
      <c r="CF186" s="228">
        <f t="shared" si="144"/>
        <v>0</v>
      </c>
      <c r="CG186" s="228">
        <f t="shared" si="144"/>
        <v>0</v>
      </c>
      <c r="CH186" s="228">
        <f t="shared" si="144"/>
        <v>0</v>
      </c>
      <c r="CI186" s="228">
        <f t="shared" si="144"/>
        <v>0</v>
      </c>
      <c r="CJ186" s="228">
        <f t="shared" si="144"/>
        <v>0</v>
      </c>
      <c r="CK186" s="228">
        <f t="shared" si="144"/>
        <v>0</v>
      </c>
      <c r="CL186" s="228">
        <f t="shared" si="144"/>
        <v>0</v>
      </c>
      <c r="CM186" s="228">
        <f t="shared" si="144"/>
        <v>0</v>
      </c>
      <c r="CN186" s="228">
        <f t="shared" si="144"/>
        <v>0</v>
      </c>
      <c r="CO186" s="228">
        <f t="shared" si="144"/>
        <v>0</v>
      </c>
      <c r="CP186" s="228">
        <f t="shared" si="144"/>
        <v>0</v>
      </c>
      <c r="CQ186" s="228">
        <f t="shared" si="144"/>
        <v>0</v>
      </c>
      <c r="CR186" s="228">
        <f t="shared" si="144"/>
        <v>0</v>
      </c>
      <c r="CS186" s="228">
        <f t="shared" si="144"/>
        <v>0</v>
      </c>
      <c r="CT186" s="228">
        <f t="shared" si="144"/>
        <v>0</v>
      </c>
      <c r="CU186" s="228">
        <f t="shared" si="144"/>
        <v>0</v>
      </c>
      <c r="CV186" s="228">
        <f t="shared" si="144"/>
        <v>0</v>
      </c>
      <c r="CW186" s="228">
        <f t="shared" si="144"/>
        <v>0</v>
      </c>
      <c r="CX186" s="228">
        <f t="shared" si="144"/>
        <v>0</v>
      </c>
      <c r="CY186" s="228">
        <f t="shared" si="144"/>
        <v>0</v>
      </c>
      <c r="CZ186" s="228">
        <f t="shared" si="144"/>
        <v>0</v>
      </c>
      <c r="DA186" s="228">
        <f t="shared" si="144"/>
        <v>8</v>
      </c>
      <c r="DB186" s="228">
        <f t="shared" si="144"/>
        <v>0</v>
      </c>
      <c r="DC186" s="228">
        <f t="shared" si="144"/>
        <v>0</v>
      </c>
      <c r="DD186" s="228">
        <f t="shared" si="144"/>
        <v>0</v>
      </c>
      <c r="DE186" s="228">
        <f t="shared" si="144"/>
        <v>0</v>
      </c>
      <c r="DF186" s="228">
        <f t="shared" si="144"/>
        <v>0</v>
      </c>
      <c r="DG186" s="228">
        <f t="shared" si="144"/>
        <v>0</v>
      </c>
      <c r="DH186" s="228">
        <f t="shared" si="144"/>
        <v>0</v>
      </c>
      <c r="DI186" s="228">
        <f t="shared" si="144"/>
        <v>0</v>
      </c>
      <c r="DJ186" s="228">
        <f t="shared" si="144"/>
        <v>0</v>
      </c>
      <c r="DK186" s="228">
        <f t="shared" si="144"/>
        <v>0</v>
      </c>
      <c r="DL186" s="228">
        <f t="shared" si="144"/>
        <v>0</v>
      </c>
      <c r="DM186" s="228">
        <f t="shared" si="144"/>
        <v>0</v>
      </c>
      <c r="DN186" s="228">
        <f t="shared" si="144"/>
        <v>0</v>
      </c>
      <c r="DO186" s="228">
        <f t="shared" si="144"/>
        <v>0</v>
      </c>
      <c r="DP186" s="232">
        <f t="shared" si="144"/>
        <v>5572</v>
      </c>
      <c r="DQ186" s="228">
        <f t="shared" si="17"/>
        <v>0</v>
      </c>
      <c r="DR186" s="228">
        <f t="shared" si="18"/>
        <v>0</v>
      </c>
      <c r="DS186" s="230">
        <f>SUM(X186:Y186)+(1-TRP!$AK$253)*AC186</f>
        <v>2934.1</v>
      </c>
      <c r="DT186" s="228">
        <f t="shared" si="19"/>
        <v>0</v>
      </c>
      <c r="DU186" s="228">
        <f t="shared" si="20"/>
        <v>78</v>
      </c>
      <c r="DV186" s="228">
        <f t="shared" si="21"/>
        <v>0</v>
      </c>
      <c r="DW186" s="228">
        <f t="shared" si="22"/>
        <v>0</v>
      </c>
      <c r="DX186" s="228">
        <f t="shared" si="23"/>
        <v>0</v>
      </c>
      <c r="DY186" s="228">
        <f t="shared" si="24"/>
        <v>0</v>
      </c>
      <c r="DZ186" s="228">
        <f t="shared" si="25"/>
        <v>28</v>
      </c>
      <c r="EA186" s="228">
        <f t="shared" si="26"/>
        <v>25</v>
      </c>
      <c r="EB186" s="230">
        <f>TRP!$AK$253*$AC186+SUM(M186:W186,Z186:AB186,AD186:AR186,AU186:AX186,BC186:BE186,BI186:BN186,BQ186:BR186,BV186)</f>
        <v>2122.9</v>
      </c>
      <c r="EC186" s="228">
        <f t="shared" si="27"/>
        <v>376</v>
      </c>
      <c r="ED186" s="230">
        <f>CB186+$CI186*TRP!$AV$248</f>
        <v>0</v>
      </c>
      <c r="EE186" s="228">
        <f t="shared" si="28"/>
        <v>0</v>
      </c>
      <c r="EF186" s="230">
        <f>CD186+$CI186*TRP!$AV$249</f>
        <v>0</v>
      </c>
      <c r="EG186" s="230">
        <f>CE186+$CI186*TRP!$AV$250</f>
        <v>0</v>
      </c>
      <c r="EH186" s="230">
        <f>CF186+$CI186*TRP!$AV$251</f>
        <v>0</v>
      </c>
      <c r="EI186" s="228">
        <f t="shared" si="29"/>
        <v>8</v>
      </c>
      <c r="EJ186" s="228">
        <f t="shared" si="30"/>
        <v>0</v>
      </c>
      <c r="EK186" s="228">
        <f t="shared" si="31"/>
        <v>0</v>
      </c>
      <c r="EL186" s="230">
        <f>BS186+$BP186*TRP!$AN$246</f>
        <v>0</v>
      </c>
      <c r="EM186" s="228">
        <f t="shared" si="32"/>
        <v>0</v>
      </c>
      <c r="EN186" s="230">
        <f>BU186+$BP186*TRP!$AN$247</f>
        <v>0</v>
      </c>
    </row>
    <row r="187" spans="1:144" s="228" customFormat="1" ht="10.5" x14ac:dyDescent="0.25">
      <c r="A187" s="228" t="str">
        <f>TRP!C185</f>
        <v xml:space="preserve">GF54 </v>
      </c>
      <c r="B187" s="228" t="str">
        <f>TRP!B185</f>
        <v>SERVICES INDUSTRIELS DU TRAVAIL DES META</v>
      </c>
      <c r="C187" s="233">
        <f>TRP!A185</f>
        <v>12</v>
      </c>
      <c r="D187" s="228">
        <f t="shared" ref="D187:BO187" si="145">D63</f>
        <v>0</v>
      </c>
      <c r="E187" s="228">
        <f t="shared" si="145"/>
        <v>0</v>
      </c>
      <c r="F187" s="228">
        <f t="shared" si="145"/>
        <v>6</v>
      </c>
      <c r="G187" s="228">
        <f t="shared" si="145"/>
        <v>244</v>
      </c>
      <c r="H187" s="228">
        <f t="shared" si="145"/>
        <v>28</v>
      </c>
      <c r="I187" s="228">
        <f t="shared" si="145"/>
        <v>459</v>
      </c>
      <c r="J187" s="228">
        <f t="shared" si="145"/>
        <v>44</v>
      </c>
      <c r="K187" s="228">
        <f t="shared" si="145"/>
        <v>405</v>
      </c>
      <c r="L187" s="228">
        <f t="shared" si="145"/>
        <v>1</v>
      </c>
      <c r="M187" s="228">
        <f t="shared" si="145"/>
        <v>72</v>
      </c>
      <c r="N187" s="228">
        <f t="shared" si="145"/>
        <v>27</v>
      </c>
      <c r="O187" s="228">
        <f t="shared" si="145"/>
        <v>26</v>
      </c>
      <c r="P187" s="228">
        <f t="shared" si="145"/>
        <v>76</v>
      </c>
      <c r="Q187" s="228">
        <f t="shared" si="145"/>
        <v>162</v>
      </c>
      <c r="R187" s="228">
        <f t="shared" si="145"/>
        <v>192</v>
      </c>
      <c r="S187" s="228">
        <f t="shared" si="145"/>
        <v>3</v>
      </c>
      <c r="T187" s="228">
        <f t="shared" si="145"/>
        <v>92</v>
      </c>
      <c r="U187" s="228">
        <f t="shared" si="145"/>
        <v>106</v>
      </c>
      <c r="V187" s="228">
        <f t="shared" si="145"/>
        <v>37</v>
      </c>
      <c r="W187" s="228">
        <f t="shared" si="145"/>
        <v>62</v>
      </c>
      <c r="X187" s="228">
        <f t="shared" si="145"/>
        <v>2677</v>
      </c>
      <c r="Y187" s="228">
        <f t="shared" si="145"/>
        <v>1474</v>
      </c>
      <c r="Z187" s="228">
        <f t="shared" si="145"/>
        <v>69</v>
      </c>
      <c r="AA187" s="228">
        <f t="shared" si="145"/>
        <v>75</v>
      </c>
      <c r="AB187" s="228">
        <f t="shared" si="145"/>
        <v>442</v>
      </c>
      <c r="AC187" s="228">
        <f t="shared" si="145"/>
        <v>43</v>
      </c>
      <c r="AD187" s="228">
        <f t="shared" si="145"/>
        <v>1274</v>
      </c>
      <c r="AE187" s="228">
        <f t="shared" si="145"/>
        <v>596</v>
      </c>
      <c r="AF187" s="228">
        <f t="shared" si="145"/>
        <v>803</v>
      </c>
      <c r="AG187" s="228">
        <f t="shared" si="145"/>
        <v>1012</v>
      </c>
      <c r="AH187" s="228">
        <f t="shared" si="145"/>
        <v>380</v>
      </c>
      <c r="AI187" s="228">
        <f t="shared" si="145"/>
        <v>56</v>
      </c>
      <c r="AJ187" s="228">
        <f t="shared" si="145"/>
        <v>654</v>
      </c>
      <c r="AK187" s="228">
        <f t="shared" si="145"/>
        <v>22</v>
      </c>
      <c r="AL187" s="228">
        <f t="shared" si="145"/>
        <v>3</v>
      </c>
      <c r="AM187" s="228">
        <f t="shared" si="145"/>
        <v>234</v>
      </c>
      <c r="AN187" s="228">
        <f t="shared" si="145"/>
        <v>318</v>
      </c>
      <c r="AO187" s="228">
        <f t="shared" si="145"/>
        <v>70</v>
      </c>
      <c r="AP187" s="228">
        <f t="shared" si="145"/>
        <v>416</v>
      </c>
      <c r="AQ187" s="228">
        <f t="shared" si="145"/>
        <v>0</v>
      </c>
      <c r="AR187" s="228">
        <f t="shared" si="145"/>
        <v>82</v>
      </c>
      <c r="AS187" s="228">
        <f t="shared" si="145"/>
        <v>38</v>
      </c>
      <c r="AT187" s="228">
        <f t="shared" si="145"/>
        <v>67</v>
      </c>
      <c r="AU187" s="228">
        <f t="shared" si="145"/>
        <v>8</v>
      </c>
      <c r="AV187" s="228">
        <f t="shared" si="145"/>
        <v>10</v>
      </c>
      <c r="AW187" s="228">
        <f t="shared" si="145"/>
        <v>8</v>
      </c>
      <c r="AX187" s="228">
        <f t="shared" si="145"/>
        <v>170</v>
      </c>
      <c r="AY187" s="228">
        <f t="shared" si="145"/>
        <v>89</v>
      </c>
      <c r="AZ187" s="228">
        <f t="shared" si="145"/>
        <v>77</v>
      </c>
      <c r="BA187" s="228">
        <f t="shared" si="145"/>
        <v>11</v>
      </c>
      <c r="BB187" s="228">
        <f t="shared" si="145"/>
        <v>206</v>
      </c>
      <c r="BC187" s="228">
        <f t="shared" si="145"/>
        <v>111</v>
      </c>
      <c r="BD187" s="228">
        <f t="shared" si="145"/>
        <v>1</v>
      </c>
      <c r="BE187" s="228">
        <f t="shared" si="145"/>
        <v>89</v>
      </c>
      <c r="BF187" s="228">
        <f t="shared" si="145"/>
        <v>102</v>
      </c>
      <c r="BG187" s="228">
        <f t="shared" si="145"/>
        <v>1062</v>
      </c>
      <c r="BH187" s="228">
        <f t="shared" si="145"/>
        <v>162</v>
      </c>
      <c r="BI187" s="228">
        <f t="shared" si="145"/>
        <v>127</v>
      </c>
      <c r="BJ187" s="228">
        <f t="shared" si="145"/>
        <v>3774</v>
      </c>
      <c r="BK187" s="228">
        <f t="shared" si="145"/>
        <v>974</v>
      </c>
      <c r="BL187" s="228">
        <f t="shared" si="145"/>
        <v>118</v>
      </c>
      <c r="BM187" s="228">
        <f t="shared" si="145"/>
        <v>1590</v>
      </c>
      <c r="BN187" s="228">
        <f t="shared" si="145"/>
        <v>243</v>
      </c>
      <c r="BO187" s="228">
        <f t="shared" si="145"/>
        <v>0</v>
      </c>
      <c r="BP187" s="228">
        <f t="shared" ref="BP187:DP187" si="146">BP63</f>
        <v>0</v>
      </c>
      <c r="BQ187" s="228">
        <f t="shared" si="146"/>
        <v>0</v>
      </c>
      <c r="BR187" s="228">
        <f t="shared" si="146"/>
        <v>7</v>
      </c>
      <c r="BS187" s="228">
        <f t="shared" si="146"/>
        <v>214</v>
      </c>
      <c r="BT187" s="228">
        <f t="shared" si="146"/>
        <v>156</v>
      </c>
      <c r="BU187" s="228">
        <f t="shared" si="146"/>
        <v>31</v>
      </c>
      <c r="BV187" s="228">
        <f t="shared" si="146"/>
        <v>146</v>
      </c>
      <c r="BW187" s="228">
        <f t="shared" si="146"/>
        <v>1140</v>
      </c>
      <c r="BX187" s="228">
        <f t="shared" si="146"/>
        <v>404</v>
      </c>
      <c r="BY187" s="228">
        <f t="shared" si="146"/>
        <v>280</v>
      </c>
      <c r="BZ187" s="228">
        <f t="shared" si="146"/>
        <v>279</v>
      </c>
      <c r="CA187" s="228">
        <f t="shared" si="146"/>
        <v>240</v>
      </c>
      <c r="CB187" s="228">
        <f t="shared" si="146"/>
        <v>3</v>
      </c>
      <c r="CC187" s="228">
        <f t="shared" si="146"/>
        <v>8</v>
      </c>
      <c r="CD187" s="228">
        <f t="shared" si="146"/>
        <v>100</v>
      </c>
      <c r="CE187" s="228">
        <f t="shared" si="146"/>
        <v>5</v>
      </c>
      <c r="CF187" s="228">
        <f t="shared" si="146"/>
        <v>13</v>
      </c>
      <c r="CG187" s="228">
        <f t="shared" si="146"/>
        <v>76</v>
      </c>
      <c r="CH187" s="228">
        <f t="shared" si="146"/>
        <v>0</v>
      </c>
      <c r="CI187" s="228">
        <f t="shared" si="146"/>
        <v>9</v>
      </c>
      <c r="CJ187" s="228">
        <f t="shared" si="146"/>
        <v>0</v>
      </c>
      <c r="CK187" s="228">
        <f t="shared" si="146"/>
        <v>0</v>
      </c>
      <c r="CL187" s="228">
        <f t="shared" si="146"/>
        <v>0</v>
      </c>
      <c r="CM187" s="228">
        <f t="shared" si="146"/>
        <v>16</v>
      </c>
      <c r="CN187" s="228">
        <f t="shared" si="146"/>
        <v>10</v>
      </c>
      <c r="CO187" s="228">
        <f t="shared" si="146"/>
        <v>72</v>
      </c>
      <c r="CP187" s="228">
        <f t="shared" si="146"/>
        <v>57</v>
      </c>
      <c r="CQ187" s="228">
        <f t="shared" si="146"/>
        <v>29</v>
      </c>
      <c r="CR187" s="228">
        <f t="shared" si="146"/>
        <v>83</v>
      </c>
      <c r="CS187" s="228">
        <f t="shared" si="146"/>
        <v>4</v>
      </c>
      <c r="CT187" s="228">
        <f t="shared" si="146"/>
        <v>31</v>
      </c>
      <c r="CU187" s="228">
        <f t="shared" si="146"/>
        <v>32</v>
      </c>
      <c r="CV187" s="228">
        <f t="shared" si="146"/>
        <v>8</v>
      </c>
      <c r="CW187" s="228">
        <f t="shared" si="146"/>
        <v>213</v>
      </c>
      <c r="CX187" s="228">
        <f t="shared" si="146"/>
        <v>1</v>
      </c>
      <c r="CY187" s="228">
        <f t="shared" si="146"/>
        <v>71</v>
      </c>
      <c r="CZ187" s="228">
        <f t="shared" si="146"/>
        <v>0</v>
      </c>
      <c r="DA187" s="228">
        <f t="shared" si="146"/>
        <v>8</v>
      </c>
      <c r="DB187" s="228">
        <f t="shared" si="146"/>
        <v>66</v>
      </c>
      <c r="DC187" s="228">
        <f t="shared" si="146"/>
        <v>80</v>
      </c>
      <c r="DD187" s="228">
        <f t="shared" si="146"/>
        <v>0</v>
      </c>
      <c r="DE187" s="228">
        <f t="shared" si="146"/>
        <v>12</v>
      </c>
      <c r="DF187" s="228">
        <f t="shared" si="146"/>
        <v>0</v>
      </c>
      <c r="DG187" s="228">
        <f t="shared" si="146"/>
        <v>0</v>
      </c>
      <c r="DH187" s="228">
        <f t="shared" si="146"/>
        <v>0</v>
      </c>
      <c r="DI187" s="228">
        <f t="shared" si="146"/>
        <v>76</v>
      </c>
      <c r="DJ187" s="228">
        <f t="shared" si="146"/>
        <v>0</v>
      </c>
      <c r="DK187" s="228">
        <f t="shared" si="146"/>
        <v>2</v>
      </c>
      <c r="DL187" s="228">
        <f t="shared" si="146"/>
        <v>42</v>
      </c>
      <c r="DM187" s="228">
        <f t="shared" si="146"/>
        <v>0</v>
      </c>
      <c r="DN187" s="228">
        <f t="shared" si="146"/>
        <v>0</v>
      </c>
      <c r="DO187" s="228">
        <f t="shared" si="146"/>
        <v>0</v>
      </c>
      <c r="DP187" s="232">
        <f t="shared" si="146"/>
        <v>25803</v>
      </c>
      <c r="DQ187" s="228">
        <f t="shared" si="17"/>
        <v>6</v>
      </c>
      <c r="DR187" s="228">
        <f t="shared" si="18"/>
        <v>1181</v>
      </c>
      <c r="DS187" s="230">
        <f>SUM(X187:Y187)+(1-TRP!$AK$253)*AC187</f>
        <v>4181.1000000000004</v>
      </c>
      <c r="DT187" s="228">
        <f t="shared" si="19"/>
        <v>38</v>
      </c>
      <c r="DU187" s="228">
        <f t="shared" si="20"/>
        <v>67</v>
      </c>
      <c r="DV187" s="228">
        <f t="shared" si="21"/>
        <v>166</v>
      </c>
      <c r="DW187" s="228">
        <f t="shared" si="22"/>
        <v>11</v>
      </c>
      <c r="DX187" s="228">
        <f t="shared" si="23"/>
        <v>206</v>
      </c>
      <c r="DY187" s="228">
        <f t="shared" si="24"/>
        <v>102</v>
      </c>
      <c r="DZ187" s="228">
        <f t="shared" si="25"/>
        <v>1062</v>
      </c>
      <c r="EA187" s="228">
        <f t="shared" si="26"/>
        <v>162</v>
      </c>
      <c r="EB187" s="230">
        <f>TRP!$AK$253*$AC187+SUM(M187:W187,Z187:AB187,AD187:AR187,AU187:AX187,BC187:BE187,BI187:BN187,BQ187:BR187,BV187)</f>
        <v>14749.9</v>
      </c>
      <c r="EC187" s="228">
        <f t="shared" si="27"/>
        <v>1544</v>
      </c>
      <c r="ED187" s="230">
        <f>CB187+$CI187*TRP!$AV$248</f>
        <v>3.2790382522637209</v>
      </c>
      <c r="EE187" s="228">
        <f t="shared" si="28"/>
        <v>8</v>
      </c>
      <c r="EF187" s="230">
        <f>CD187+$CI187*TRP!$AV$249</f>
        <v>106.2387620592454</v>
      </c>
      <c r="EG187" s="230">
        <f>CE187+$CI187*TRP!$AV$250</f>
        <v>6.8197412303730189</v>
      </c>
      <c r="EH187" s="230">
        <f>CF187+$CI187*TRP!$AV$251</f>
        <v>13.662458458117863</v>
      </c>
      <c r="EI187" s="228">
        <f t="shared" si="29"/>
        <v>1788</v>
      </c>
      <c r="EJ187" s="228">
        <f t="shared" si="30"/>
        <v>0</v>
      </c>
      <c r="EK187" s="228">
        <f t="shared" si="31"/>
        <v>0</v>
      </c>
      <c r="EL187" s="230">
        <f>BS187+$BP187*TRP!$AN$246</f>
        <v>214</v>
      </c>
      <c r="EM187" s="228">
        <f t="shared" si="32"/>
        <v>156</v>
      </c>
      <c r="EN187" s="230">
        <f>BU187+$BP187*TRP!$AN$247</f>
        <v>31</v>
      </c>
    </row>
    <row r="188" spans="1:144" s="228" customFormat="1" ht="10.5" x14ac:dyDescent="0.25">
      <c r="A188" s="228" t="str">
        <f>TRP!C186</f>
        <v xml:space="preserve">GF55 </v>
      </c>
      <c r="B188" s="228" t="str">
        <f>TRP!B186</f>
        <v>FABRICATION DE PRODUITS METALLIQUES</v>
      </c>
      <c r="C188" s="233">
        <f>TRP!A186</f>
        <v>12</v>
      </c>
      <c r="D188" s="228">
        <f t="shared" ref="D188:BO188" si="147">D64</f>
        <v>496</v>
      </c>
      <c r="E188" s="228">
        <f t="shared" si="147"/>
        <v>0</v>
      </c>
      <c r="F188" s="228">
        <f t="shared" si="147"/>
        <v>3</v>
      </c>
      <c r="G188" s="228">
        <f t="shared" si="147"/>
        <v>37</v>
      </c>
      <c r="H188" s="228">
        <f t="shared" si="147"/>
        <v>10</v>
      </c>
      <c r="I188" s="228">
        <f t="shared" si="147"/>
        <v>132</v>
      </c>
      <c r="J188" s="228">
        <f t="shared" si="147"/>
        <v>22</v>
      </c>
      <c r="K188" s="228">
        <f t="shared" si="147"/>
        <v>52</v>
      </c>
      <c r="L188" s="228">
        <f t="shared" si="147"/>
        <v>1</v>
      </c>
      <c r="M188" s="228">
        <f t="shared" si="147"/>
        <v>85</v>
      </c>
      <c r="N188" s="228">
        <f t="shared" si="147"/>
        <v>6</v>
      </c>
      <c r="O188" s="228">
        <f t="shared" si="147"/>
        <v>11</v>
      </c>
      <c r="P188" s="228">
        <f t="shared" si="147"/>
        <v>65</v>
      </c>
      <c r="Q188" s="228">
        <f t="shared" si="147"/>
        <v>84</v>
      </c>
      <c r="R188" s="228">
        <f t="shared" si="147"/>
        <v>154</v>
      </c>
      <c r="S188" s="228">
        <f t="shared" si="147"/>
        <v>10</v>
      </c>
      <c r="T188" s="228">
        <f t="shared" si="147"/>
        <v>102</v>
      </c>
      <c r="U188" s="228">
        <f t="shared" si="147"/>
        <v>81</v>
      </c>
      <c r="V188" s="228">
        <f t="shared" si="147"/>
        <v>22</v>
      </c>
      <c r="W188" s="228">
        <f t="shared" si="147"/>
        <v>26</v>
      </c>
      <c r="X188" s="228">
        <f t="shared" si="147"/>
        <v>1310</v>
      </c>
      <c r="Y188" s="228">
        <f t="shared" si="147"/>
        <v>766</v>
      </c>
      <c r="Z188" s="228">
        <f t="shared" si="147"/>
        <v>50</v>
      </c>
      <c r="AA188" s="228">
        <f t="shared" si="147"/>
        <v>77</v>
      </c>
      <c r="AB188" s="228">
        <f t="shared" si="147"/>
        <v>287</v>
      </c>
      <c r="AC188" s="228">
        <f t="shared" si="147"/>
        <v>35</v>
      </c>
      <c r="AD188" s="228">
        <f t="shared" si="147"/>
        <v>863</v>
      </c>
      <c r="AE188" s="228">
        <f t="shared" si="147"/>
        <v>525</v>
      </c>
      <c r="AF188" s="228">
        <f t="shared" si="147"/>
        <v>662</v>
      </c>
      <c r="AG188" s="228">
        <f t="shared" si="147"/>
        <v>1182</v>
      </c>
      <c r="AH188" s="228">
        <f t="shared" si="147"/>
        <v>264</v>
      </c>
      <c r="AI188" s="228">
        <f t="shared" si="147"/>
        <v>144</v>
      </c>
      <c r="AJ188" s="228">
        <f t="shared" si="147"/>
        <v>479</v>
      </c>
      <c r="AK188" s="228">
        <f t="shared" si="147"/>
        <v>25</v>
      </c>
      <c r="AL188" s="228">
        <f t="shared" si="147"/>
        <v>7</v>
      </c>
      <c r="AM188" s="228">
        <f t="shared" si="147"/>
        <v>135</v>
      </c>
      <c r="AN188" s="228">
        <f t="shared" si="147"/>
        <v>172</v>
      </c>
      <c r="AO188" s="228">
        <f t="shared" si="147"/>
        <v>276</v>
      </c>
      <c r="AP188" s="228">
        <f t="shared" si="147"/>
        <v>291</v>
      </c>
      <c r="AQ188" s="228">
        <f t="shared" si="147"/>
        <v>0</v>
      </c>
      <c r="AR188" s="228">
        <f t="shared" si="147"/>
        <v>9</v>
      </c>
      <c r="AS188" s="228">
        <f t="shared" si="147"/>
        <v>56</v>
      </c>
      <c r="AT188" s="228">
        <f t="shared" si="147"/>
        <v>220</v>
      </c>
      <c r="AU188" s="228">
        <f t="shared" si="147"/>
        <v>24</v>
      </c>
      <c r="AV188" s="228">
        <f t="shared" si="147"/>
        <v>5</v>
      </c>
      <c r="AW188" s="228">
        <f t="shared" si="147"/>
        <v>3</v>
      </c>
      <c r="AX188" s="228">
        <f t="shared" si="147"/>
        <v>184</v>
      </c>
      <c r="AY188" s="228">
        <f t="shared" si="147"/>
        <v>135</v>
      </c>
      <c r="AZ188" s="228">
        <f t="shared" si="147"/>
        <v>48</v>
      </c>
      <c r="BA188" s="228">
        <f t="shared" si="147"/>
        <v>9</v>
      </c>
      <c r="BB188" s="228">
        <f t="shared" si="147"/>
        <v>212</v>
      </c>
      <c r="BC188" s="228">
        <f t="shared" si="147"/>
        <v>227</v>
      </c>
      <c r="BD188" s="228">
        <f t="shared" si="147"/>
        <v>1</v>
      </c>
      <c r="BE188" s="228">
        <f t="shared" si="147"/>
        <v>99</v>
      </c>
      <c r="BF188" s="228">
        <f t="shared" si="147"/>
        <v>150</v>
      </c>
      <c r="BG188" s="228">
        <f t="shared" si="147"/>
        <v>1274</v>
      </c>
      <c r="BH188" s="228">
        <f t="shared" si="147"/>
        <v>244</v>
      </c>
      <c r="BI188" s="228">
        <f t="shared" si="147"/>
        <v>149</v>
      </c>
      <c r="BJ188" s="228">
        <f t="shared" si="147"/>
        <v>1442</v>
      </c>
      <c r="BK188" s="228">
        <f t="shared" si="147"/>
        <v>866</v>
      </c>
      <c r="BL188" s="228">
        <f t="shared" si="147"/>
        <v>127</v>
      </c>
      <c r="BM188" s="228">
        <f t="shared" si="147"/>
        <v>913</v>
      </c>
      <c r="BN188" s="228">
        <f t="shared" si="147"/>
        <v>173</v>
      </c>
      <c r="BO188" s="228">
        <f t="shared" si="147"/>
        <v>0</v>
      </c>
      <c r="BP188" s="228">
        <f t="shared" ref="BP188:DP188" si="148">BP64</f>
        <v>0</v>
      </c>
      <c r="BQ188" s="228">
        <f t="shared" si="148"/>
        <v>0</v>
      </c>
      <c r="BR188" s="228">
        <f t="shared" si="148"/>
        <v>16</v>
      </c>
      <c r="BS188" s="228">
        <f t="shared" si="148"/>
        <v>145</v>
      </c>
      <c r="BT188" s="228">
        <f t="shared" si="148"/>
        <v>161</v>
      </c>
      <c r="BU188" s="228">
        <f t="shared" si="148"/>
        <v>2</v>
      </c>
      <c r="BV188" s="228">
        <f t="shared" si="148"/>
        <v>53</v>
      </c>
      <c r="BW188" s="228">
        <f t="shared" si="148"/>
        <v>500</v>
      </c>
      <c r="BX188" s="228">
        <f t="shared" si="148"/>
        <v>404</v>
      </c>
      <c r="BY188" s="228">
        <f t="shared" si="148"/>
        <v>116</v>
      </c>
      <c r="BZ188" s="228">
        <f t="shared" si="148"/>
        <v>90</v>
      </c>
      <c r="CA188" s="228">
        <f t="shared" si="148"/>
        <v>132</v>
      </c>
      <c r="CB188" s="228">
        <f t="shared" si="148"/>
        <v>2</v>
      </c>
      <c r="CC188" s="228">
        <f t="shared" si="148"/>
        <v>5</v>
      </c>
      <c r="CD188" s="228">
        <f t="shared" si="148"/>
        <v>73</v>
      </c>
      <c r="CE188" s="228">
        <f t="shared" si="148"/>
        <v>5</v>
      </c>
      <c r="CF188" s="228">
        <f t="shared" si="148"/>
        <v>28</v>
      </c>
      <c r="CG188" s="228">
        <f t="shared" si="148"/>
        <v>72</v>
      </c>
      <c r="CH188" s="228">
        <f t="shared" si="148"/>
        <v>13</v>
      </c>
      <c r="CI188" s="228">
        <f t="shared" si="148"/>
        <v>81</v>
      </c>
      <c r="CJ188" s="228">
        <f t="shared" si="148"/>
        <v>7</v>
      </c>
      <c r="CK188" s="228">
        <f t="shared" si="148"/>
        <v>0</v>
      </c>
      <c r="CL188" s="228">
        <f t="shared" si="148"/>
        <v>0</v>
      </c>
      <c r="CM188" s="228">
        <f t="shared" si="148"/>
        <v>18</v>
      </c>
      <c r="CN188" s="228">
        <f t="shared" si="148"/>
        <v>82</v>
      </c>
      <c r="CO188" s="228">
        <f t="shared" si="148"/>
        <v>39</v>
      </c>
      <c r="CP188" s="228">
        <f t="shared" si="148"/>
        <v>75</v>
      </c>
      <c r="CQ188" s="228">
        <f t="shared" si="148"/>
        <v>49</v>
      </c>
      <c r="CR188" s="228">
        <f t="shared" si="148"/>
        <v>100</v>
      </c>
      <c r="CS188" s="228">
        <f t="shared" si="148"/>
        <v>19</v>
      </c>
      <c r="CT188" s="228">
        <f t="shared" si="148"/>
        <v>36</v>
      </c>
      <c r="CU188" s="228">
        <f t="shared" si="148"/>
        <v>29</v>
      </c>
      <c r="CV188" s="228">
        <f t="shared" si="148"/>
        <v>19</v>
      </c>
      <c r="CW188" s="228">
        <f t="shared" si="148"/>
        <v>245</v>
      </c>
      <c r="CX188" s="228">
        <f t="shared" si="148"/>
        <v>1</v>
      </c>
      <c r="CY188" s="228">
        <f t="shared" si="148"/>
        <v>132</v>
      </c>
      <c r="CZ188" s="228">
        <f t="shared" si="148"/>
        <v>0</v>
      </c>
      <c r="DA188" s="228">
        <f t="shared" si="148"/>
        <v>162</v>
      </c>
      <c r="DB188" s="228">
        <f t="shared" si="148"/>
        <v>44</v>
      </c>
      <c r="DC188" s="228">
        <f t="shared" si="148"/>
        <v>38</v>
      </c>
      <c r="DD188" s="228">
        <f t="shared" si="148"/>
        <v>22</v>
      </c>
      <c r="DE188" s="228">
        <f t="shared" si="148"/>
        <v>5</v>
      </c>
      <c r="DF188" s="228">
        <f t="shared" si="148"/>
        <v>0</v>
      </c>
      <c r="DG188" s="228">
        <f t="shared" si="148"/>
        <v>7</v>
      </c>
      <c r="DH188" s="228">
        <f t="shared" si="148"/>
        <v>14</v>
      </c>
      <c r="DI188" s="228">
        <f t="shared" si="148"/>
        <v>17</v>
      </c>
      <c r="DJ188" s="228">
        <f t="shared" si="148"/>
        <v>154</v>
      </c>
      <c r="DK188" s="228">
        <f t="shared" si="148"/>
        <v>0</v>
      </c>
      <c r="DL188" s="228">
        <f t="shared" si="148"/>
        <v>5</v>
      </c>
      <c r="DM188" s="228">
        <f t="shared" si="148"/>
        <v>56</v>
      </c>
      <c r="DN188" s="228">
        <f t="shared" si="148"/>
        <v>75</v>
      </c>
      <c r="DO188" s="228">
        <f t="shared" si="148"/>
        <v>0</v>
      </c>
      <c r="DP188" s="232">
        <f t="shared" si="148"/>
        <v>18867</v>
      </c>
      <c r="DQ188" s="228">
        <f t="shared" si="17"/>
        <v>499</v>
      </c>
      <c r="DR188" s="228">
        <f t="shared" si="18"/>
        <v>254</v>
      </c>
      <c r="DS188" s="230">
        <f>SUM(X188:Y188)+(1-TRP!$AK$253)*AC188</f>
        <v>2100.5</v>
      </c>
      <c r="DT188" s="228">
        <f t="shared" si="19"/>
        <v>56</v>
      </c>
      <c r="DU188" s="228">
        <f t="shared" si="20"/>
        <v>220</v>
      </c>
      <c r="DV188" s="228">
        <f t="shared" si="21"/>
        <v>183</v>
      </c>
      <c r="DW188" s="228">
        <f t="shared" si="22"/>
        <v>9</v>
      </c>
      <c r="DX188" s="228">
        <f t="shared" si="23"/>
        <v>212</v>
      </c>
      <c r="DY188" s="228">
        <f t="shared" si="24"/>
        <v>150</v>
      </c>
      <c r="DZ188" s="228">
        <f t="shared" si="25"/>
        <v>1274</v>
      </c>
      <c r="EA188" s="228">
        <f t="shared" si="26"/>
        <v>244</v>
      </c>
      <c r="EB188" s="230">
        <f>TRP!$AK$253*$AC188+SUM(M188:W188,Z188:AB188,AD188:AR188,AU188:AX188,BC188:BE188,BI188:BN188,BQ188:BR188,BV188)</f>
        <v>10386.5</v>
      </c>
      <c r="EC188" s="228">
        <f t="shared" si="27"/>
        <v>904</v>
      </c>
      <c r="ED188" s="230">
        <f>CB188+$CI188*TRP!$AV$248</f>
        <v>4.5113442703734883</v>
      </c>
      <c r="EE188" s="228">
        <f t="shared" si="28"/>
        <v>5</v>
      </c>
      <c r="EF188" s="230">
        <f>CD188+$CI188*TRP!$AV$249</f>
        <v>129.14885853320857</v>
      </c>
      <c r="EG188" s="230">
        <f>CE188+$CI188*TRP!$AV$250</f>
        <v>21.37767107335717</v>
      </c>
      <c r="EH188" s="230">
        <f>CF188+$CI188*TRP!$AV$251</f>
        <v>33.96212612306077</v>
      </c>
      <c r="EI188" s="228">
        <f t="shared" si="29"/>
        <v>1574</v>
      </c>
      <c r="EJ188" s="228">
        <f t="shared" si="30"/>
        <v>299</v>
      </c>
      <c r="EK188" s="228">
        <f t="shared" si="31"/>
        <v>0</v>
      </c>
      <c r="EL188" s="230">
        <f>BS188+$BP188*TRP!$AN$246</f>
        <v>145</v>
      </c>
      <c r="EM188" s="228">
        <f t="shared" si="32"/>
        <v>161</v>
      </c>
      <c r="EN188" s="230">
        <f>BU188+$BP188*TRP!$AN$247</f>
        <v>2</v>
      </c>
    </row>
    <row r="189" spans="1:144" s="228" customFormat="1" ht="10.5" x14ac:dyDescent="0.25">
      <c r="A189" s="228" t="str">
        <f>TRP!C187</f>
        <v xml:space="preserve">GF56 </v>
      </c>
      <c r="B189" s="228" t="str">
        <f>TRP!B187</f>
        <v>RECUPERATION</v>
      </c>
      <c r="C189" s="233">
        <f>TRP!A187</f>
        <v>12</v>
      </c>
      <c r="D189" s="228">
        <f t="shared" ref="D189:BO189" si="149">D65</f>
        <v>0</v>
      </c>
      <c r="E189" s="228">
        <f t="shared" si="149"/>
        <v>0</v>
      </c>
      <c r="F189" s="228">
        <f t="shared" si="149"/>
        <v>0</v>
      </c>
      <c r="G189" s="228">
        <f t="shared" si="149"/>
        <v>0</v>
      </c>
      <c r="H189" s="228">
        <f t="shared" si="149"/>
        <v>0</v>
      </c>
      <c r="I189" s="228">
        <f t="shared" si="149"/>
        <v>0</v>
      </c>
      <c r="J189" s="228">
        <f t="shared" si="149"/>
        <v>0</v>
      </c>
      <c r="K189" s="228">
        <f t="shared" si="149"/>
        <v>0</v>
      </c>
      <c r="L189" s="228">
        <f t="shared" si="149"/>
        <v>0</v>
      </c>
      <c r="M189" s="228">
        <f t="shared" si="149"/>
        <v>0</v>
      </c>
      <c r="N189" s="228">
        <f t="shared" si="149"/>
        <v>0</v>
      </c>
      <c r="O189" s="228">
        <f t="shared" si="149"/>
        <v>0</v>
      </c>
      <c r="P189" s="228">
        <f t="shared" si="149"/>
        <v>0</v>
      </c>
      <c r="Q189" s="228">
        <f t="shared" si="149"/>
        <v>0</v>
      </c>
      <c r="R189" s="228">
        <f t="shared" si="149"/>
        <v>0</v>
      </c>
      <c r="S189" s="228">
        <f t="shared" si="149"/>
        <v>0</v>
      </c>
      <c r="T189" s="228">
        <f t="shared" si="149"/>
        <v>0</v>
      </c>
      <c r="U189" s="228">
        <f t="shared" si="149"/>
        <v>0</v>
      </c>
      <c r="V189" s="228">
        <f t="shared" si="149"/>
        <v>0</v>
      </c>
      <c r="W189" s="228">
        <f t="shared" si="149"/>
        <v>0</v>
      </c>
      <c r="X189" s="228">
        <f t="shared" si="149"/>
        <v>0</v>
      </c>
      <c r="Y189" s="228">
        <f t="shared" si="149"/>
        <v>0</v>
      </c>
      <c r="Z189" s="228">
        <f t="shared" si="149"/>
        <v>0</v>
      </c>
      <c r="AA189" s="228">
        <f t="shared" si="149"/>
        <v>0</v>
      </c>
      <c r="AB189" s="228">
        <f t="shared" si="149"/>
        <v>0</v>
      </c>
      <c r="AC189" s="228">
        <f t="shared" si="149"/>
        <v>0</v>
      </c>
      <c r="AD189" s="228">
        <f t="shared" si="149"/>
        <v>0</v>
      </c>
      <c r="AE189" s="228">
        <f t="shared" si="149"/>
        <v>0</v>
      </c>
      <c r="AF189" s="228">
        <f t="shared" si="149"/>
        <v>0</v>
      </c>
      <c r="AG189" s="228">
        <f t="shared" si="149"/>
        <v>0</v>
      </c>
      <c r="AH189" s="228">
        <f t="shared" si="149"/>
        <v>0</v>
      </c>
      <c r="AI189" s="228">
        <f t="shared" si="149"/>
        <v>0</v>
      </c>
      <c r="AJ189" s="228">
        <f t="shared" si="149"/>
        <v>0</v>
      </c>
      <c r="AK189" s="228">
        <f t="shared" si="149"/>
        <v>0</v>
      </c>
      <c r="AL189" s="228">
        <f t="shared" si="149"/>
        <v>0</v>
      </c>
      <c r="AM189" s="228">
        <f t="shared" si="149"/>
        <v>0</v>
      </c>
      <c r="AN189" s="228">
        <f t="shared" si="149"/>
        <v>0</v>
      </c>
      <c r="AO189" s="228">
        <f t="shared" si="149"/>
        <v>0</v>
      </c>
      <c r="AP189" s="228">
        <f t="shared" si="149"/>
        <v>0</v>
      </c>
      <c r="AQ189" s="228">
        <f t="shared" si="149"/>
        <v>0</v>
      </c>
      <c r="AR189" s="228">
        <f t="shared" si="149"/>
        <v>0</v>
      </c>
      <c r="AS189" s="228">
        <f t="shared" si="149"/>
        <v>0</v>
      </c>
      <c r="AT189" s="228">
        <f t="shared" si="149"/>
        <v>0</v>
      </c>
      <c r="AU189" s="228">
        <f t="shared" si="149"/>
        <v>0</v>
      </c>
      <c r="AV189" s="228">
        <f t="shared" si="149"/>
        <v>0</v>
      </c>
      <c r="AW189" s="228">
        <f t="shared" si="149"/>
        <v>0</v>
      </c>
      <c r="AX189" s="228">
        <f t="shared" si="149"/>
        <v>0</v>
      </c>
      <c r="AY189" s="228">
        <f t="shared" si="149"/>
        <v>0</v>
      </c>
      <c r="AZ189" s="228">
        <f t="shared" si="149"/>
        <v>0</v>
      </c>
      <c r="BA189" s="228">
        <f t="shared" si="149"/>
        <v>0</v>
      </c>
      <c r="BB189" s="228">
        <f t="shared" si="149"/>
        <v>0</v>
      </c>
      <c r="BC189" s="228">
        <f t="shared" si="149"/>
        <v>0</v>
      </c>
      <c r="BD189" s="228">
        <f t="shared" si="149"/>
        <v>0</v>
      </c>
      <c r="BE189" s="228">
        <f t="shared" si="149"/>
        <v>0</v>
      </c>
      <c r="BF189" s="228">
        <f t="shared" si="149"/>
        <v>0</v>
      </c>
      <c r="BG189" s="228">
        <f t="shared" si="149"/>
        <v>0</v>
      </c>
      <c r="BH189" s="228">
        <f t="shared" si="149"/>
        <v>0</v>
      </c>
      <c r="BI189" s="228">
        <f t="shared" si="149"/>
        <v>0</v>
      </c>
      <c r="BJ189" s="228">
        <f t="shared" si="149"/>
        <v>0</v>
      </c>
      <c r="BK189" s="228">
        <f t="shared" si="149"/>
        <v>0</v>
      </c>
      <c r="BL189" s="228">
        <f t="shared" si="149"/>
        <v>0</v>
      </c>
      <c r="BM189" s="228">
        <f t="shared" si="149"/>
        <v>0</v>
      </c>
      <c r="BN189" s="228">
        <f t="shared" si="149"/>
        <v>0</v>
      </c>
      <c r="BO189" s="228">
        <f t="shared" si="149"/>
        <v>0</v>
      </c>
      <c r="BP189" s="228">
        <f t="shared" ref="BP189:DP189" si="150">BP65</f>
        <v>0</v>
      </c>
      <c r="BQ189" s="228">
        <f t="shared" si="150"/>
        <v>0</v>
      </c>
      <c r="BR189" s="228">
        <f t="shared" si="150"/>
        <v>0</v>
      </c>
      <c r="BS189" s="228">
        <f t="shared" si="150"/>
        <v>0</v>
      </c>
      <c r="BT189" s="228">
        <f t="shared" si="150"/>
        <v>0</v>
      </c>
      <c r="BU189" s="228">
        <f t="shared" si="150"/>
        <v>0</v>
      </c>
      <c r="BV189" s="228">
        <f t="shared" si="150"/>
        <v>0</v>
      </c>
      <c r="BW189" s="228">
        <f t="shared" si="150"/>
        <v>0</v>
      </c>
      <c r="BX189" s="228">
        <f t="shared" si="150"/>
        <v>0</v>
      </c>
      <c r="BY189" s="228">
        <f t="shared" si="150"/>
        <v>0</v>
      </c>
      <c r="BZ189" s="228">
        <f t="shared" si="150"/>
        <v>0</v>
      </c>
      <c r="CA189" s="228">
        <f t="shared" si="150"/>
        <v>0</v>
      </c>
      <c r="CB189" s="228">
        <f t="shared" si="150"/>
        <v>0</v>
      </c>
      <c r="CC189" s="228">
        <f t="shared" si="150"/>
        <v>0</v>
      </c>
      <c r="CD189" s="228">
        <f t="shared" si="150"/>
        <v>0</v>
      </c>
      <c r="CE189" s="228">
        <f t="shared" si="150"/>
        <v>0</v>
      </c>
      <c r="CF189" s="228">
        <f t="shared" si="150"/>
        <v>0</v>
      </c>
      <c r="CG189" s="228">
        <f t="shared" si="150"/>
        <v>0</v>
      </c>
      <c r="CH189" s="228">
        <f t="shared" si="150"/>
        <v>0</v>
      </c>
      <c r="CI189" s="228">
        <f t="shared" si="150"/>
        <v>0</v>
      </c>
      <c r="CJ189" s="228">
        <f t="shared" si="150"/>
        <v>0</v>
      </c>
      <c r="CK189" s="228">
        <f t="shared" si="150"/>
        <v>0</v>
      </c>
      <c r="CL189" s="228">
        <f t="shared" si="150"/>
        <v>0</v>
      </c>
      <c r="CM189" s="228">
        <f t="shared" si="150"/>
        <v>0</v>
      </c>
      <c r="CN189" s="228">
        <f t="shared" si="150"/>
        <v>0</v>
      </c>
      <c r="CO189" s="228">
        <f t="shared" si="150"/>
        <v>0</v>
      </c>
      <c r="CP189" s="228">
        <f t="shared" si="150"/>
        <v>0</v>
      </c>
      <c r="CQ189" s="228">
        <f t="shared" si="150"/>
        <v>0</v>
      </c>
      <c r="CR189" s="228">
        <f t="shared" si="150"/>
        <v>0</v>
      </c>
      <c r="CS189" s="228">
        <f t="shared" si="150"/>
        <v>0</v>
      </c>
      <c r="CT189" s="228">
        <f t="shared" si="150"/>
        <v>0</v>
      </c>
      <c r="CU189" s="228">
        <f t="shared" si="150"/>
        <v>0</v>
      </c>
      <c r="CV189" s="228">
        <f t="shared" si="150"/>
        <v>0</v>
      </c>
      <c r="CW189" s="228">
        <f t="shared" si="150"/>
        <v>0</v>
      </c>
      <c r="CX189" s="228">
        <f t="shared" si="150"/>
        <v>0</v>
      </c>
      <c r="CY189" s="228">
        <f t="shared" si="150"/>
        <v>0</v>
      </c>
      <c r="CZ189" s="228">
        <f t="shared" si="150"/>
        <v>0</v>
      </c>
      <c r="DA189" s="228">
        <f t="shared" si="150"/>
        <v>0</v>
      </c>
      <c r="DB189" s="228">
        <f t="shared" si="150"/>
        <v>0</v>
      </c>
      <c r="DC189" s="228">
        <f t="shared" si="150"/>
        <v>0</v>
      </c>
      <c r="DD189" s="228">
        <f t="shared" si="150"/>
        <v>0</v>
      </c>
      <c r="DE189" s="228">
        <f t="shared" si="150"/>
        <v>0</v>
      </c>
      <c r="DF189" s="228">
        <f t="shared" si="150"/>
        <v>0</v>
      </c>
      <c r="DG189" s="228">
        <f t="shared" si="150"/>
        <v>0</v>
      </c>
      <c r="DH189" s="228">
        <f t="shared" si="150"/>
        <v>0</v>
      </c>
      <c r="DI189" s="228">
        <f t="shared" si="150"/>
        <v>0</v>
      </c>
      <c r="DJ189" s="228">
        <f t="shared" si="150"/>
        <v>0</v>
      </c>
      <c r="DK189" s="228">
        <f t="shared" si="150"/>
        <v>0</v>
      </c>
      <c r="DL189" s="228">
        <f t="shared" si="150"/>
        <v>0</v>
      </c>
      <c r="DM189" s="228">
        <f t="shared" si="150"/>
        <v>0</v>
      </c>
      <c r="DN189" s="228">
        <f t="shared" si="150"/>
        <v>0</v>
      </c>
      <c r="DO189" s="228">
        <f t="shared" si="150"/>
        <v>0</v>
      </c>
      <c r="DP189" s="232">
        <f t="shared" si="150"/>
        <v>0</v>
      </c>
      <c r="DQ189" s="228">
        <f t="shared" si="17"/>
        <v>0</v>
      </c>
      <c r="DR189" s="228">
        <f t="shared" si="18"/>
        <v>0</v>
      </c>
      <c r="DS189" s="230">
        <f>SUM(X189:Y189)+(1-TRP!$AK$253)*AC189</f>
        <v>0</v>
      </c>
      <c r="DT189" s="228">
        <f t="shared" si="19"/>
        <v>0</v>
      </c>
      <c r="DU189" s="228">
        <f t="shared" si="20"/>
        <v>0</v>
      </c>
      <c r="DV189" s="228">
        <f t="shared" si="21"/>
        <v>0</v>
      </c>
      <c r="DW189" s="228">
        <f t="shared" si="22"/>
        <v>0</v>
      </c>
      <c r="DX189" s="228">
        <f t="shared" si="23"/>
        <v>0</v>
      </c>
      <c r="DY189" s="228">
        <f t="shared" si="24"/>
        <v>0</v>
      </c>
      <c r="DZ189" s="228">
        <f t="shared" si="25"/>
        <v>0</v>
      </c>
      <c r="EA189" s="228">
        <f t="shared" si="26"/>
        <v>0</v>
      </c>
      <c r="EB189" s="230">
        <f>TRP!$AK$253*$AC189+SUM(M189:W189,Z189:AB189,AD189:AR189,AU189:AX189,BC189:BE189,BI189:BN189,BQ189:BR189,BV189)</f>
        <v>0</v>
      </c>
      <c r="EC189" s="228">
        <f t="shared" si="27"/>
        <v>0</v>
      </c>
      <c r="ED189" s="230">
        <f>CB189+$CI189*TRP!$AV$248</f>
        <v>0</v>
      </c>
      <c r="EE189" s="228">
        <f t="shared" si="28"/>
        <v>0</v>
      </c>
      <c r="EF189" s="230">
        <f>CD189+$CI189*TRP!$AV$249</f>
        <v>0</v>
      </c>
      <c r="EG189" s="230">
        <f>CE189+$CI189*TRP!$AV$250</f>
        <v>0</v>
      </c>
      <c r="EH189" s="230">
        <f>CF189+$CI189*TRP!$AV$251</f>
        <v>0</v>
      </c>
      <c r="EI189" s="228">
        <f t="shared" si="29"/>
        <v>0</v>
      </c>
      <c r="EJ189" s="228">
        <f t="shared" si="30"/>
        <v>0</v>
      </c>
      <c r="EK189" s="228">
        <f t="shared" si="31"/>
        <v>0</v>
      </c>
      <c r="EL189" s="230">
        <f>BS189+$BP189*TRP!$AN$246</f>
        <v>0</v>
      </c>
      <c r="EM189" s="228">
        <f t="shared" si="32"/>
        <v>0</v>
      </c>
      <c r="EN189" s="230">
        <f>BU189+$BP189*TRP!$AN$247</f>
        <v>0</v>
      </c>
    </row>
    <row r="190" spans="1:144" s="228" customFormat="1" ht="10.5" x14ac:dyDescent="0.25">
      <c r="A190" s="228" t="str">
        <f>TRP!C188</f>
        <v xml:space="preserve">GF61 </v>
      </c>
      <c r="B190" s="228" t="str">
        <f>TRP!B188</f>
        <v>FABRICATION DE MATERIEL ELECTRIQUE</v>
      </c>
      <c r="C190" s="233">
        <f>TRP!A188</f>
        <v>12</v>
      </c>
      <c r="D190" s="228">
        <f t="shared" ref="D190:BO190" si="151">D66</f>
        <v>50</v>
      </c>
      <c r="E190" s="228">
        <f t="shared" si="151"/>
        <v>0</v>
      </c>
      <c r="F190" s="228">
        <f t="shared" si="151"/>
        <v>0</v>
      </c>
      <c r="G190" s="228">
        <f t="shared" si="151"/>
        <v>19</v>
      </c>
      <c r="H190" s="228">
        <f t="shared" si="151"/>
        <v>9</v>
      </c>
      <c r="I190" s="228">
        <f t="shared" si="151"/>
        <v>19</v>
      </c>
      <c r="J190" s="228">
        <f t="shared" si="151"/>
        <v>8</v>
      </c>
      <c r="K190" s="228">
        <f t="shared" si="151"/>
        <v>27</v>
      </c>
      <c r="L190" s="228">
        <f t="shared" si="151"/>
        <v>0</v>
      </c>
      <c r="M190" s="228">
        <f t="shared" si="151"/>
        <v>1</v>
      </c>
      <c r="N190" s="228">
        <f t="shared" si="151"/>
        <v>0</v>
      </c>
      <c r="O190" s="228">
        <f t="shared" si="151"/>
        <v>9</v>
      </c>
      <c r="P190" s="228">
        <f t="shared" si="151"/>
        <v>3</v>
      </c>
      <c r="Q190" s="228">
        <f t="shared" si="151"/>
        <v>4</v>
      </c>
      <c r="R190" s="228">
        <f t="shared" si="151"/>
        <v>64</v>
      </c>
      <c r="S190" s="228">
        <f t="shared" si="151"/>
        <v>18</v>
      </c>
      <c r="T190" s="228">
        <f t="shared" si="151"/>
        <v>67</v>
      </c>
      <c r="U190" s="228">
        <f t="shared" si="151"/>
        <v>76</v>
      </c>
      <c r="V190" s="228">
        <f t="shared" si="151"/>
        <v>118</v>
      </c>
      <c r="W190" s="228">
        <f t="shared" si="151"/>
        <v>2</v>
      </c>
      <c r="X190" s="228">
        <f t="shared" si="151"/>
        <v>864</v>
      </c>
      <c r="Y190" s="228">
        <f t="shared" si="151"/>
        <v>987</v>
      </c>
      <c r="Z190" s="228">
        <f t="shared" si="151"/>
        <v>39</v>
      </c>
      <c r="AA190" s="228">
        <f t="shared" si="151"/>
        <v>7</v>
      </c>
      <c r="AB190" s="228">
        <f t="shared" si="151"/>
        <v>179</v>
      </c>
      <c r="AC190" s="228">
        <f t="shared" si="151"/>
        <v>34</v>
      </c>
      <c r="AD190" s="228">
        <f t="shared" si="151"/>
        <v>67</v>
      </c>
      <c r="AE190" s="228">
        <f t="shared" si="151"/>
        <v>58</v>
      </c>
      <c r="AF190" s="228">
        <f t="shared" si="151"/>
        <v>275</v>
      </c>
      <c r="AG190" s="228">
        <f t="shared" si="151"/>
        <v>483</v>
      </c>
      <c r="AH190" s="228">
        <f t="shared" si="151"/>
        <v>70</v>
      </c>
      <c r="AI190" s="228">
        <f t="shared" si="151"/>
        <v>55</v>
      </c>
      <c r="AJ190" s="228">
        <f t="shared" si="151"/>
        <v>262</v>
      </c>
      <c r="AK190" s="228">
        <f t="shared" si="151"/>
        <v>23</v>
      </c>
      <c r="AL190" s="228">
        <f t="shared" si="151"/>
        <v>20</v>
      </c>
      <c r="AM190" s="228">
        <f t="shared" si="151"/>
        <v>217</v>
      </c>
      <c r="AN190" s="228">
        <f t="shared" si="151"/>
        <v>350</v>
      </c>
      <c r="AO190" s="228">
        <f t="shared" si="151"/>
        <v>18</v>
      </c>
      <c r="AP190" s="228">
        <f t="shared" si="151"/>
        <v>147</v>
      </c>
      <c r="AQ190" s="228">
        <f t="shared" si="151"/>
        <v>0</v>
      </c>
      <c r="AR190" s="228">
        <f t="shared" si="151"/>
        <v>15</v>
      </c>
      <c r="AS190" s="228">
        <f t="shared" si="151"/>
        <v>26</v>
      </c>
      <c r="AT190" s="228">
        <f t="shared" si="151"/>
        <v>79</v>
      </c>
      <c r="AU190" s="228">
        <f t="shared" si="151"/>
        <v>8</v>
      </c>
      <c r="AV190" s="228">
        <f t="shared" si="151"/>
        <v>0</v>
      </c>
      <c r="AW190" s="228">
        <f t="shared" si="151"/>
        <v>0</v>
      </c>
      <c r="AX190" s="228">
        <f t="shared" si="151"/>
        <v>14</v>
      </c>
      <c r="AY190" s="228">
        <f t="shared" si="151"/>
        <v>29</v>
      </c>
      <c r="AZ190" s="228">
        <f t="shared" si="151"/>
        <v>27</v>
      </c>
      <c r="BA190" s="228">
        <f t="shared" si="151"/>
        <v>17</v>
      </c>
      <c r="BB190" s="228">
        <f t="shared" si="151"/>
        <v>88</v>
      </c>
      <c r="BC190" s="228">
        <f t="shared" si="151"/>
        <v>28</v>
      </c>
      <c r="BD190" s="228">
        <f t="shared" si="151"/>
        <v>0</v>
      </c>
      <c r="BE190" s="228">
        <f t="shared" si="151"/>
        <v>9</v>
      </c>
      <c r="BF190" s="228">
        <f t="shared" si="151"/>
        <v>20</v>
      </c>
      <c r="BG190" s="228">
        <f t="shared" si="151"/>
        <v>125</v>
      </c>
      <c r="BH190" s="228">
        <f t="shared" si="151"/>
        <v>99</v>
      </c>
      <c r="BI190" s="228">
        <f t="shared" si="151"/>
        <v>87</v>
      </c>
      <c r="BJ190" s="228">
        <f t="shared" si="151"/>
        <v>328</v>
      </c>
      <c r="BK190" s="228">
        <f t="shared" si="151"/>
        <v>165</v>
      </c>
      <c r="BL190" s="228">
        <f t="shared" si="151"/>
        <v>0</v>
      </c>
      <c r="BM190" s="228">
        <f t="shared" si="151"/>
        <v>1826</v>
      </c>
      <c r="BN190" s="228">
        <f t="shared" si="151"/>
        <v>322</v>
      </c>
      <c r="BO190" s="228">
        <f t="shared" si="151"/>
        <v>0</v>
      </c>
      <c r="BP190" s="228">
        <f t="shared" ref="BP190:DP190" si="152">BP66</f>
        <v>0</v>
      </c>
      <c r="BQ190" s="228">
        <f t="shared" si="152"/>
        <v>0</v>
      </c>
      <c r="BR190" s="228">
        <f t="shared" si="152"/>
        <v>26</v>
      </c>
      <c r="BS190" s="228">
        <f t="shared" si="152"/>
        <v>67</v>
      </c>
      <c r="BT190" s="228">
        <f t="shared" si="152"/>
        <v>382</v>
      </c>
      <c r="BU190" s="228">
        <f t="shared" si="152"/>
        <v>7</v>
      </c>
      <c r="BV190" s="228">
        <f t="shared" si="152"/>
        <v>70</v>
      </c>
      <c r="BW190" s="228">
        <f t="shared" si="152"/>
        <v>2647</v>
      </c>
      <c r="BX190" s="228">
        <f t="shared" si="152"/>
        <v>1074</v>
      </c>
      <c r="BY190" s="228">
        <f t="shared" si="152"/>
        <v>121</v>
      </c>
      <c r="BZ190" s="228">
        <f t="shared" si="152"/>
        <v>681</v>
      </c>
      <c r="CA190" s="228">
        <f t="shared" si="152"/>
        <v>353</v>
      </c>
      <c r="CB190" s="228">
        <f t="shared" si="152"/>
        <v>3</v>
      </c>
      <c r="CC190" s="228">
        <f t="shared" si="152"/>
        <v>4</v>
      </c>
      <c r="CD190" s="228">
        <f t="shared" si="152"/>
        <v>1</v>
      </c>
      <c r="CE190" s="228">
        <f t="shared" si="152"/>
        <v>5</v>
      </c>
      <c r="CF190" s="228">
        <f t="shared" si="152"/>
        <v>4</v>
      </c>
      <c r="CG190" s="228">
        <f t="shared" si="152"/>
        <v>163</v>
      </c>
      <c r="CH190" s="228">
        <f t="shared" si="152"/>
        <v>28</v>
      </c>
      <c r="CI190" s="228">
        <f t="shared" si="152"/>
        <v>145</v>
      </c>
      <c r="CJ190" s="228">
        <f t="shared" si="152"/>
        <v>25</v>
      </c>
      <c r="CK190" s="228">
        <f t="shared" si="152"/>
        <v>13</v>
      </c>
      <c r="CL190" s="228">
        <f t="shared" si="152"/>
        <v>12</v>
      </c>
      <c r="CM190" s="228">
        <f t="shared" si="152"/>
        <v>24</v>
      </c>
      <c r="CN190" s="228">
        <f t="shared" si="152"/>
        <v>32</v>
      </c>
      <c r="CO190" s="228">
        <f t="shared" si="152"/>
        <v>1108</v>
      </c>
      <c r="CP190" s="228">
        <f t="shared" si="152"/>
        <v>430</v>
      </c>
      <c r="CQ190" s="228">
        <f t="shared" si="152"/>
        <v>229</v>
      </c>
      <c r="CR190" s="228">
        <f t="shared" si="152"/>
        <v>126</v>
      </c>
      <c r="CS190" s="228">
        <f t="shared" si="152"/>
        <v>8</v>
      </c>
      <c r="CT190" s="228">
        <f t="shared" si="152"/>
        <v>159</v>
      </c>
      <c r="CU190" s="228">
        <f t="shared" si="152"/>
        <v>23</v>
      </c>
      <c r="CV190" s="228">
        <f t="shared" si="152"/>
        <v>7</v>
      </c>
      <c r="CW190" s="228">
        <f t="shared" si="152"/>
        <v>353</v>
      </c>
      <c r="CX190" s="228">
        <f t="shared" si="152"/>
        <v>3</v>
      </c>
      <c r="CY190" s="228">
        <f t="shared" si="152"/>
        <v>372</v>
      </c>
      <c r="CZ190" s="228">
        <f t="shared" si="152"/>
        <v>0</v>
      </c>
      <c r="DA190" s="228">
        <f t="shared" si="152"/>
        <v>89</v>
      </c>
      <c r="DB190" s="228">
        <f t="shared" si="152"/>
        <v>78</v>
      </c>
      <c r="DC190" s="228">
        <f t="shared" si="152"/>
        <v>26</v>
      </c>
      <c r="DD190" s="228">
        <f t="shared" si="152"/>
        <v>22</v>
      </c>
      <c r="DE190" s="228">
        <f t="shared" si="152"/>
        <v>3</v>
      </c>
      <c r="DF190" s="228">
        <f t="shared" si="152"/>
        <v>0</v>
      </c>
      <c r="DG190" s="228">
        <f t="shared" si="152"/>
        <v>3</v>
      </c>
      <c r="DH190" s="228">
        <f t="shared" si="152"/>
        <v>14</v>
      </c>
      <c r="DI190" s="228">
        <f t="shared" si="152"/>
        <v>19</v>
      </c>
      <c r="DJ190" s="228">
        <f t="shared" si="152"/>
        <v>0</v>
      </c>
      <c r="DK190" s="228">
        <f t="shared" si="152"/>
        <v>0</v>
      </c>
      <c r="DL190" s="228">
        <f t="shared" si="152"/>
        <v>7</v>
      </c>
      <c r="DM190" s="228">
        <f t="shared" si="152"/>
        <v>4</v>
      </c>
      <c r="DN190" s="228">
        <f t="shared" si="152"/>
        <v>75</v>
      </c>
      <c r="DO190" s="228">
        <f t="shared" si="152"/>
        <v>0</v>
      </c>
      <c r="DP190" s="232">
        <f t="shared" si="152"/>
        <v>17006</v>
      </c>
      <c r="DQ190" s="228">
        <f t="shared" si="17"/>
        <v>50</v>
      </c>
      <c r="DR190" s="228">
        <f t="shared" si="18"/>
        <v>82</v>
      </c>
      <c r="DS190" s="230">
        <f>SUM(X190:Y190)+(1-TRP!$AK$253)*AC190</f>
        <v>1874.8</v>
      </c>
      <c r="DT190" s="228">
        <f t="shared" si="19"/>
        <v>26</v>
      </c>
      <c r="DU190" s="228">
        <f t="shared" si="20"/>
        <v>79</v>
      </c>
      <c r="DV190" s="228">
        <f t="shared" si="21"/>
        <v>56</v>
      </c>
      <c r="DW190" s="228">
        <f t="shared" si="22"/>
        <v>17</v>
      </c>
      <c r="DX190" s="228">
        <f t="shared" si="23"/>
        <v>88</v>
      </c>
      <c r="DY190" s="228">
        <f t="shared" si="24"/>
        <v>20</v>
      </c>
      <c r="DZ190" s="228">
        <f t="shared" si="25"/>
        <v>125</v>
      </c>
      <c r="EA190" s="228">
        <f t="shared" si="26"/>
        <v>99</v>
      </c>
      <c r="EB190" s="230">
        <f>TRP!$AK$253*$AC190+SUM(M190:W190,Z190:AB190,AD190:AR190,AU190:AX190,BC190:BE190,BI190:BN190,BQ190:BR190,BV190)</f>
        <v>5540.2</v>
      </c>
      <c r="EC190" s="228">
        <f t="shared" si="27"/>
        <v>3721</v>
      </c>
      <c r="ED190" s="230">
        <f>CB190+$CI190*TRP!$AV$248</f>
        <v>7.4956162864710594</v>
      </c>
      <c r="EE190" s="228">
        <f t="shared" si="28"/>
        <v>4</v>
      </c>
      <c r="EF190" s="230">
        <f>CD190+$CI190*TRP!$AV$249</f>
        <v>101.51338873228696</v>
      </c>
      <c r="EG190" s="230">
        <f>CE190+$CI190*TRP!$AV$250</f>
        <v>34.318053156009753</v>
      </c>
      <c r="EH190" s="230">
        <f>CF190+$CI190*TRP!$AV$251</f>
        <v>14.67294182523224</v>
      </c>
      <c r="EI190" s="228">
        <f t="shared" si="29"/>
        <v>4517</v>
      </c>
      <c r="EJ190" s="228">
        <f t="shared" si="30"/>
        <v>93</v>
      </c>
      <c r="EK190" s="228">
        <f t="shared" si="31"/>
        <v>0</v>
      </c>
      <c r="EL190" s="230">
        <f>BS190+$BP190*TRP!$AN$246</f>
        <v>67</v>
      </c>
      <c r="EM190" s="228">
        <f t="shared" si="32"/>
        <v>382</v>
      </c>
      <c r="EN190" s="230">
        <f>BU190+$BP190*TRP!$AN$247</f>
        <v>7</v>
      </c>
    </row>
    <row r="191" spans="1:144" s="228" customFormat="1" ht="10.5" x14ac:dyDescent="0.25">
      <c r="A191" s="228" t="str">
        <f>TRP!C189</f>
        <v xml:space="preserve">GF62 </v>
      </c>
      <c r="B191" s="228" t="str">
        <f>TRP!B189</f>
        <v>FABRICATION DE COMPOSANTS ELECTRONIQUES</v>
      </c>
      <c r="C191" s="233">
        <f>TRP!A189</f>
        <v>12</v>
      </c>
      <c r="D191" s="228">
        <f t="shared" ref="D191:BO191" si="153">D67</f>
        <v>0</v>
      </c>
      <c r="E191" s="228">
        <f t="shared" si="153"/>
        <v>0</v>
      </c>
      <c r="F191" s="228">
        <f t="shared" si="153"/>
        <v>0</v>
      </c>
      <c r="G191" s="228">
        <f t="shared" si="153"/>
        <v>0</v>
      </c>
      <c r="H191" s="228">
        <f t="shared" si="153"/>
        <v>7</v>
      </c>
      <c r="I191" s="228">
        <f t="shared" si="153"/>
        <v>1</v>
      </c>
      <c r="J191" s="228">
        <f t="shared" si="153"/>
        <v>7</v>
      </c>
      <c r="K191" s="228">
        <f t="shared" si="153"/>
        <v>24</v>
      </c>
      <c r="L191" s="228">
        <f t="shared" si="153"/>
        <v>0</v>
      </c>
      <c r="M191" s="228">
        <f t="shared" si="153"/>
        <v>0</v>
      </c>
      <c r="N191" s="228">
        <f t="shared" si="153"/>
        <v>0</v>
      </c>
      <c r="O191" s="228">
        <f t="shared" si="153"/>
        <v>20</v>
      </c>
      <c r="P191" s="228">
        <f t="shared" si="153"/>
        <v>0</v>
      </c>
      <c r="Q191" s="228">
        <f t="shared" si="153"/>
        <v>7</v>
      </c>
      <c r="R191" s="228">
        <f t="shared" si="153"/>
        <v>7</v>
      </c>
      <c r="S191" s="228">
        <f t="shared" si="153"/>
        <v>8</v>
      </c>
      <c r="T191" s="228">
        <f t="shared" si="153"/>
        <v>121</v>
      </c>
      <c r="U191" s="228">
        <f t="shared" si="153"/>
        <v>66</v>
      </c>
      <c r="V191" s="228">
        <f t="shared" si="153"/>
        <v>219</v>
      </c>
      <c r="W191" s="228">
        <f t="shared" si="153"/>
        <v>15</v>
      </c>
      <c r="X191" s="228">
        <f t="shared" si="153"/>
        <v>466</v>
      </c>
      <c r="Y191" s="228">
        <f t="shared" si="153"/>
        <v>518</v>
      </c>
      <c r="Z191" s="228">
        <f t="shared" si="153"/>
        <v>46</v>
      </c>
      <c r="AA191" s="228">
        <f t="shared" si="153"/>
        <v>28</v>
      </c>
      <c r="AB191" s="228">
        <f t="shared" si="153"/>
        <v>696</v>
      </c>
      <c r="AC191" s="228">
        <f t="shared" si="153"/>
        <v>6</v>
      </c>
      <c r="AD191" s="228">
        <f t="shared" si="153"/>
        <v>37</v>
      </c>
      <c r="AE191" s="228">
        <f t="shared" si="153"/>
        <v>46</v>
      </c>
      <c r="AF191" s="228">
        <f t="shared" si="153"/>
        <v>180</v>
      </c>
      <c r="AG191" s="228">
        <f t="shared" si="153"/>
        <v>357</v>
      </c>
      <c r="AH191" s="228">
        <f t="shared" si="153"/>
        <v>129</v>
      </c>
      <c r="AI191" s="228">
        <f t="shared" si="153"/>
        <v>44</v>
      </c>
      <c r="AJ191" s="228">
        <f t="shared" si="153"/>
        <v>113</v>
      </c>
      <c r="AK191" s="228">
        <f t="shared" si="153"/>
        <v>66</v>
      </c>
      <c r="AL191" s="228">
        <f t="shared" si="153"/>
        <v>104</v>
      </c>
      <c r="AM191" s="228">
        <f t="shared" si="153"/>
        <v>204</v>
      </c>
      <c r="AN191" s="228">
        <f t="shared" si="153"/>
        <v>1209</v>
      </c>
      <c r="AO191" s="228">
        <f t="shared" si="153"/>
        <v>362</v>
      </c>
      <c r="AP191" s="228">
        <f t="shared" si="153"/>
        <v>425</v>
      </c>
      <c r="AQ191" s="228">
        <f t="shared" si="153"/>
        <v>0</v>
      </c>
      <c r="AR191" s="228">
        <f t="shared" si="153"/>
        <v>22</v>
      </c>
      <c r="AS191" s="228">
        <f t="shared" si="153"/>
        <v>5</v>
      </c>
      <c r="AT191" s="228">
        <f t="shared" si="153"/>
        <v>1</v>
      </c>
      <c r="AU191" s="228">
        <f t="shared" si="153"/>
        <v>1</v>
      </c>
      <c r="AV191" s="228">
        <f t="shared" si="153"/>
        <v>1</v>
      </c>
      <c r="AW191" s="228">
        <f t="shared" si="153"/>
        <v>3</v>
      </c>
      <c r="AX191" s="228">
        <f t="shared" si="153"/>
        <v>0</v>
      </c>
      <c r="AY191" s="228">
        <f t="shared" si="153"/>
        <v>0</v>
      </c>
      <c r="AZ191" s="228">
        <f t="shared" si="153"/>
        <v>0</v>
      </c>
      <c r="BA191" s="228">
        <f t="shared" si="153"/>
        <v>9</v>
      </c>
      <c r="BB191" s="228">
        <f t="shared" si="153"/>
        <v>22</v>
      </c>
      <c r="BC191" s="228">
        <f t="shared" si="153"/>
        <v>19</v>
      </c>
      <c r="BD191" s="228">
        <f t="shared" si="153"/>
        <v>0</v>
      </c>
      <c r="BE191" s="228">
        <f t="shared" si="153"/>
        <v>21</v>
      </c>
      <c r="BF191" s="228">
        <f t="shared" si="153"/>
        <v>39</v>
      </c>
      <c r="BG191" s="228">
        <f t="shared" si="153"/>
        <v>72</v>
      </c>
      <c r="BH191" s="228">
        <f t="shared" si="153"/>
        <v>22</v>
      </c>
      <c r="BI191" s="228">
        <f t="shared" si="153"/>
        <v>15</v>
      </c>
      <c r="BJ191" s="228">
        <f t="shared" si="153"/>
        <v>42</v>
      </c>
      <c r="BK191" s="228">
        <f t="shared" si="153"/>
        <v>22</v>
      </c>
      <c r="BL191" s="228">
        <f t="shared" si="153"/>
        <v>0</v>
      </c>
      <c r="BM191" s="228">
        <f t="shared" si="153"/>
        <v>869</v>
      </c>
      <c r="BN191" s="228">
        <f t="shared" si="153"/>
        <v>1027</v>
      </c>
      <c r="BO191" s="228">
        <f t="shared" si="153"/>
        <v>0</v>
      </c>
      <c r="BP191" s="228">
        <f t="shared" ref="BP191:DP191" si="154">BP67</f>
        <v>0</v>
      </c>
      <c r="BQ191" s="228">
        <f t="shared" si="154"/>
        <v>0</v>
      </c>
      <c r="BR191" s="228">
        <f t="shared" si="154"/>
        <v>5</v>
      </c>
      <c r="BS191" s="228">
        <f t="shared" si="154"/>
        <v>77</v>
      </c>
      <c r="BT191" s="228">
        <f t="shared" si="154"/>
        <v>131</v>
      </c>
      <c r="BU191" s="228">
        <f t="shared" si="154"/>
        <v>0</v>
      </c>
      <c r="BV191" s="228">
        <f t="shared" si="154"/>
        <v>0</v>
      </c>
      <c r="BW191" s="228">
        <f t="shared" si="154"/>
        <v>299</v>
      </c>
      <c r="BX191" s="228">
        <f t="shared" si="154"/>
        <v>199</v>
      </c>
      <c r="BY191" s="228">
        <f t="shared" si="154"/>
        <v>169</v>
      </c>
      <c r="BZ191" s="228">
        <f t="shared" si="154"/>
        <v>344</v>
      </c>
      <c r="CA191" s="228">
        <f t="shared" si="154"/>
        <v>40</v>
      </c>
      <c r="CB191" s="228">
        <f t="shared" si="154"/>
        <v>2</v>
      </c>
      <c r="CC191" s="228">
        <f t="shared" si="154"/>
        <v>0</v>
      </c>
      <c r="CD191" s="228">
        <f t="shared" si="154"/>
        <v>3</v>
      </c>
      <c r="CE191" s="228">
        <f t="shared" si="154"/>
        <v>0</v>
      </c>
      <c r="CF191" s="228">
        <f t="shared" si="154"/>
        <v>0</v>
      </c>
      <c r="CG191" s="228">
        <f t="shared" si="154"/>
        <v>28</v>
      </c>
      <c r="CH191" s="228">
        <f t="shared" si="154"/>
        <v>7</v>
      </c>
      <c r="CI191" s="228">
        <f t="shared" si="154"/>
        <v>33</v>
      </c>
      <c r="CJ191" s="228">
        <f t="shared" si="154"/>
        <v>28</v>
      </c>
      <c r="CK191" s="228">
        <f t="shared" si="154"/>
        <v>13</v>
      </c>
      <c r="CL191" s="228">
        <f t="shared" si="154"/>
        <v>7</v>
      </c>
      <c r="CM191" s="228">
        <f t="shared" si="154"/>
        <v>8</v>
      </c>
      <c r="CN191" s="228">
        <f t="shared" si="154"/>
        <v>7</v>
      </c>
      <c r="CO191" s="228">
        <f t="shared" si="154"/>
        <v>1104</v>
      </c>
      <c r="CP191" s="228">
        <f t="shared" si="154"/>
        <v>702</v>
      </c>
      <c r="CQ191" s="228">
        <f t="shared" si="154"/>
        <v>87</v>
      </c>
      <c r="CR191" s="228">
        <f t="shared" si="154"/>
        <v>79</v>
      </c>
      <c r="CS191" s="228">
        <f t="shared" si="154"/>
        <v>1</v>
      </c>
      <c r="CT191" s="228">
        <f t="shared" si="154"/>
        <v>139</v>
      </c>
      <c r="CU191" s="228">
        <f t="shared" si="154"/>
        <v>16</v>
      </c>
      <c r="CV191" s="228">
        <f t="shared" si="154"/>
        <v>18</v>
      </c>
      <c r="CW191" s="228">
        <f t="shared" si="154"/>
        <v>231</v>
      </c>
      <c r="CX191" s="228">
        <f t="shared" si="154"/>
        <v>10</v>
      </c>
      <c r="CY191" s="228">
        <f t="shared" si="154"/>
        <v>265</v>
      </c>
      <c r="CZ191" s="228">
        <f t="shared" si="154"/>
        <v>0</v>
      </c>
      <c r="DA191" s="228">
        <f t="shared" si="154"/>
        <v>36</v>
      </c>
      <c r="DB191" s="228">
        <f t="shared" si="154"/>
        <v>149</v>
      </c>
      <c r="DC191" s="228">
        <f t="shared" si="154"/>
        <v>55</v>
      </c>
      <c r="DD191" s="228">
        <f t="shared" si="154"/>
        <v>0</v>
      </c>
      <c r="DE191" s="228">
        <f t="shared" si="154"/>
        <v>3</v>
      </c>
      <c r="DF191" s="228">
        <f t="shared" si="154"/>
        <v>0</v>
      </c>
      <c r="DG191" s="228">
        <f t="shared" si="154"/>
        <v>31</v>
      </c>
      <c r="DH191" s="228">
        <f t="shared" si="154"/>
        <v>0</v>
      </c>
      <c r="DI191" s="228">
        <f t="shared" si="154"/>
        <v>27</v>
      </c>
      <c r="DJ191" s="228">
        <f t="shared" si="154"/>
        <v>0</v>
      </c>
      <c r="DK191" s="228">
        <f t="shared" si="154"/>
        <v>0</v>
      </c>
      <c r="DL191" s="228">
        <f t="shared" si="154"/>
        <v>24</v>
      </c>
      <c r="DM191" s="228">
        <f t="shared" si="154"/>
        <v>0</v>
      </c>
      <c r="DN191" s="228">
        <f t="shared" si="154"/>
        <v>0</v>
      </c>
      <c r="DO191" s="228">
        <f t="shared" si="154"/>
        <v>0</v>
      </c>
      <c r="DP191" s="232">
        <f t="shared" si="154"/>
        <v>12127</v>
      </c>
      <c r="DQ191" s="228">
        <f t="shared" si="17"/>
        <v>0</v>
      </c>
      <c r="DR191" s="228">
        <f t="shared" si="18"/>
        <v>39</v>
      </c>
      <c r="DS191" s="230">
        <f>SUM(X191:Y191)+(1-TRP!$AK$253)*AC191</f>
        <v>988.2</v>
      </c>
      <c r="DT191" s="228">
        <f t="shared" si="19"/>
        <v>5</v>
      </c>
      <c r="DU191" s="228">
        <f t="shared" si="20"/>
        <v>1</v>
      </c>
      <c r="DV191" s="228">
        <f t="shared" si="21"/>
        <v>0</v>
      </c>
      <c r="DW191" s="228">
        <f t="shared" si="22"/>
        <v>9</v>
      </c>
      <c r="DX191" s="228">
        <f t="shared" si="23"/>
        <v>22</v>
      </c>
      <c r="DY191" s="228">
        <f t="shared" si="24"/>
        <v>39</v>
      </c>
      <c r="DZ191" s="228">
        <f t="shared" si="25"/>
        <v>72</v>
      </c>
      <c r="EA191" s="228">
        <f t="shared" si="26"/>
        <v>22</v>
      </c>
      <c r="EB191" s="230">
        <f>TRP!$AK$253*$AC191+SUM(M191:W191,Z191:AB191,AD191:AR191,AU191:AX191,BC191:BE191,BI191:BN191,BQ191:BR191,BV191)</f>
        <v>6557.8</v>
      </c>
      <c r="EC191" s="228">
        <f t="shared" si="27"/>
        <v>498</v>
      </c>
      <c r="ED191" s="230">
        <f>CB191+$CI191*TRP!$AV$248</f>
        <v>3.0231402583003102</v>
      </c>
      <c r="EE191" s="228">
        <f t="shared" si="28"/>
        <v>0</v>
      </c>
      <c r="EF191" s="230">
        <f>CD191+$CI191*TRP!$AV$249</f>
        <v>25.875460883899791</v>
      </c>
      <c r="EG191" s="230">
        <f>CE191+$CI191*TRP!$AV$250</f>
        <v>6.6723845113677367</v>
      </c>
      <c r="EH191" s="230">
        <f>CF191+$CI191*TRP!$AV$251</f>
        <v>2.4290143464321647</v>
      </c>
      <c r="EI191" s="228">
        <f t="shared" si="29"/>
        <v>3628</v>
      </c>
      <c r="EJ191" s="228">
        <f t="shared" si="30"/>
        <v>0</v>
      </c>
      <c r="EK191" s="228">
        <f t="shared" si="31"/>
        <v>0</v>
      </c>
      <c r="EL191" s="230">
        <f>BS191+$BP191*TRP!$AN$246</f>
        <v>77</v>
      </c>
      <c r="EM191" s="228">
        <f t="shared" si="32"/>
        <v>131</v>
      </c>
      <c r="EN191" s="230">
        <f>BU191+$BP191*TRP!$AN$247</f>
        <v>0</v>
      </c>
    </row>
    <row r="192" spans="1:144" s="228" customFormat="1" ht="10.5" x14ac:dyDescent="0.25">
      <c r="A192" s="228" t="str">
        <f>TRP!C190</f>
        <v xml:space="preserve">GG11 </v>
      </c>
      <c r="B192" s="228" t="str">
        <f>TRP!B190</f>
        <v>EXTRACTION ET AGGLOMERATION DE LA HOUILL</v>
      </c>
      <c r="C192" s="233">
        <f>TRP!A190</f>
        <v>21</v>
      </c>
      <c r="D192" s="228">
        <f t="shared" ref="D192:BO192" si="155">D68</f>
        <v>0</v>
      </c>
      <c r="E192" s="228">
        <f t="shared" si="155"/>
        <v>0</v>
      </c>
      <c r="F192" s="228">
        <f t="shared" si="155"/>
        <v>0</v>
      </c>
      <c r="G192" s="228">
        <f t="shared" si="155"/>
        <v>0</v>
      </c>
      <c r="H192" s="228">
        <f t="shared" si="155"/>
        <v>0</v>
      </c>
      <c r="I192" s="228">
        <f t="shared" si="155"/>
        <v>0</v>
      </c>
      <c r="J192" s="228">
        <f t="shared" si="155"/>
        <v>0</v>
      </c>
      <c r="K192" s="228">
        <f t="shared" si="155"/>
        <v>0</v>
      </c>
      <c r="L192" s="228">
        <f t="shared" si="155"/>
        <v>0</v>
      </c>
      <c r="M192" s="228">
        <f t="shared" si="155"/>
        <v>0</v>
      </c>
      <c r="N192" s="228">
        <f t="shared" si="155"/>
        <v>0</v>
      </c>
      <c r="O192" s="228">
        <f t="shared" si="155"/>
        <v>0</v>
      </c>
      <c r="P192" s="228">
        <f t="shared" si="155"/>
        <v>0</v>
      </c>
      <c r="Q192" s="228">
        <f t="shared" si="155"/>
        <v>0</v>
      </c>
      <c r="R192" s="228">
        <f t="shared" si="155"/>
        <v>0</v>
      </c>
      <c r="S192" s="228">
        <f t="shared" si="155"/>
        <v>0</v>
      </c>
      <c r="T192" s="228">
        <f t="shared" si="155"/>
        <v>0</v>
      </c>
      <c r="U192" s="228">
        <f t="shared" si="155"/>
        <v>0</v>
      </c>
      <c r="V192" s="228">
        <f t="shared" si="155"/>
        <v>0</v>
      </c>
      <c r="W192" s="228">
        <f t="shared" si="155"/>
        <v>0</v>
      </c>
      <c r="X192" s="228">
        <f t="shared" si="155"/>
        <v>0</v>
      </c>
      <c r="Y192" s="228">
        <f t="shared" si="155"/>
        <v>0</v>
      </c>
      <c r="Z192" s="228">
        <f t="shared" si="155"/>
        <v>0</v>
      </c>
      <c r="AA192" s="228">
        <f t="shared" si="155"/>
        <v>0</v>
      </c>
      <c r="AB192" s="228">
        <f t="shared" si="155"/>
        <v>0</v>
      </c>
      <c r="AC192" s="228">
        <f t="shared" si="155"/>
        <v>0</v>
      </c>
      <c r="AD192" s="228">
        <f t="shared" si="155"/>
        <v>0</v>
      </c>
      <c r="AE192" s="228">
        <f t="shared" si="155"/>
        <v>0</v>
      </c>
      <c r="AF192" s="228">
        <f t="shared" si="155"/>
        <v>0</v>
      </c>
      <c r="AG192" s="228">
        <f t="shared" si="155"/>
        <v>0</v>
      </c>
      <c r="AH192" s="228">
        <f t="shared" si="155"/>
        <v>0</v>
      </c>
      <c r="AI192" s="228">
        <f t="shared" si="155"/>
        <v>0</v>
      </c>
      <c r="AJ192" s="228">
        <f t="shared" si="155"/>
        <v>0</v>
      </c>
      <c r="AK192" s="228">
        <f t="shared" si="155"/>
        <v>0</v>
      </c>
      <c r="AL192" s="228">
        <f t="shared" si="155"/>
        <v>0</v>
      </c>
      <c r="AM192" s="228">
        <f t="shared" si="155"/>
        <v>0</v>
      </c>
      <c r="AN192" s="228">
        <f t="shared" si="155"/>
        <v>0</v>
      </c>
      <c r="AO192" s="228">
        <f t="shared" si="155"/>
        <v>0</v>
      </c>
      <c r="AP192" s="228">
        <f t="shared" si="155"/>
        <v>0</v>
      </c>
      <c r="AQ192" s="228">
        <f t="shared" si="155"/>
        <v>0</v>
      </c>
      <c r="AR192" s="228">
        <f t="shared" si="155"/>
        <v>0</v>
      </c>
      <c r="AS192" s="228">
        <f t="shared" si="155"/>
        <v>0</v>
      </c>
      <c r="AT192" s="228">
        <f t="shared" si="155"/>
        <v>2</v>
      </c>
      <c r="AU192" s="228">
        <f t="shared" si="155"/>
        <v>0</v>
      </c>
      <c r="AV192" s="228">
        <f t="shared" si="155"/>
        <v>0</v>
      </c>
      <c r="AW192" s="228">
        <f t="shared" si="155"/>
        <v>0</v>
      </c>
      <c r="AX192" s="228">
        <f t="shared" si="155"/>
        <v>0</v>
      </c>
      <c r="AY192" s="228">
        <f t="shared" si="155"/>
        <v>7</v>
      </c>
      <c r="AZ192" s="228">
        <f t="shared" si="155"/>
        <v>0</v>
      </c>
      <c r="BA192" s="228">
        <f t="shared" si="155"/>
        <v>10</v>
      </c>
      <c r="BB192" s="228">
        <f t="shared" si="155"/>
        <v>3</v>
      </c>
      <c r="BC192" s="228">
        <f t="shared" si="155"/>
        <v>0</v>
      </c>
      <c r="BD192" s="228">
        <f t="shared" si="155"/>
        <v>0</v>
      </c>
      <c r="BE192" s="228">
        <f t="shared" si="155"/>
        <v>0</v>
      </c>
      <c r="BF192" s="228">
        <f t="shared" si="155"/>
        <v>0</v>
      </c>
      <c r="BG192" s="228">
        <f t="shared" si="155"/>
        <v>380</v>
      </c>
      <c r="BH192" s="228">
        <f t="shared" si="155"/>
        <v>0</v>
      </c>
      <c r="BI192" s="228">
        <f t="shared" si="155"/>
        <v>0</v>
      </c>
      <c r="BJ192" s="228">
        <f t="shared" si="155"/>
        <v>0</v>
      </c>
      <c r="BK192" s="228">
        <f t="shared" si="155"/>
        <v>0</v>
      </c>
      <c r="BL192" s="228">
        <f t="shared" si="155"/>
        <v>0</v>
      </c>
      <c r="BM192" s="228">
        <f t="shared" si="155"/>
        <v>0</v>
      </c>
      <c r="BN192" s="228">
        <f t="shared" si="155"/>
        <v>0</v>
      </c>
      <c r="BO192" s="228">
        <f t="shared" si="155"/>
        <v>5</v>
      </c>
      <c r="BP192" s="228">
        <f t="shared" ref="BP192:DP192" si="156">BP68</f>
        <v>0</v>
      </c>
      <c r="BQ192" s="228">
        <f t="shared" si="156"/>
        <v>0</v>
      </c>
      <c r="BR192" s="228">
        <f t="shared" si="156"/>
        <v>486</v>
      </c>
      <c r="BS192" s="228">
        <f t="shared" si="156"/>
        <v>0</v>
      </c>
      <c r="BT192" s="228">
        <f t="shared" si="156"/>
        <v>724</v>
      </c>
      <c r="BU192" s="228">
        <f t="shared" si="156"/>
        <v>47</v>
      </c>
      <c r="BV192" s="228">
        <f t="shared" si="156"/>
        <v>0</v>
      </c>
      <c r="BW192" s="228">
        <f t="shared" si="156"/>
        <v>0</v>
      </c>
      <c r="BX192" s="228">
        <f t="shared" si="156"/>
        <v>0</v>
      </c>
      <c r="BY192" s="228">
        <f t="shared" si="156"/>
        <v>0</v>
      </c>
      <c r="BZ192" s="228">
        <f t="shared" si="156"/>
        <v>37</v>
      </c>
      <c r="CA192" s="228">
        <f t="shared" si="156"/>
        <v>0</v>
      </c>
      <c r="CB192" s="228">
        <f t="shared" si="156"/>
        <v>0</v>
      </c>
      <c r="CC192" s="228">
        <f t="shared" si="156"/>
        <v>0</v>
      </c>
      <c r="CD192" s="228">
        <f t="shared" si="156"/>
        <v>0</v>
      </c>
      <c r="CE192" s="228">
        <f t="shared" si="156"/>
        <v>0</v>
      </c>
      <c r="CF192" s="228">
        <f t="shared" si="156"/>
        <v>0</v>
      </c>
      <c r="CG192" s="228">
        <f t="shared" si="156"/>
        <v>0</v>
      </c>
      <c r="CH192" s="228">
        <f t="shared" si="156"/>
        <v>0</v>
      </c>
      <c r="CI192" s="228">
        <f t="shared" si="156"/>
        <v>0</v>
      </c>
      <c r="CJ192" s="228">
        <f t="shared" si="156"/>
        <v>0</v>
      </c>
      <c r="CK192" s="228">
        <f t="shared" si="156"/>
        <v>0</v>
      </c>
      <c r="CL192" s="228">
        <f t="shared" si="156"/>
        <v>0</v>
      </c>
      <c r="CM192" s="228">
        <f t="shared" si="156"/>
        <v>0</v>
      </c>
      <c r="CN192" s="228">
        <f t="shared" si="156"/>
        <v>0</v>
      </c>
      <c r="CO192" s="228">
        <f t="shared" si="156"/>
        <v>0</v>
      </c>
      <c r="CP192" s="228">
        <f t="shared" si="156"/>
        <v>0</v>
      </c>
      <c r="CQ192" s="228">
        <f t="shared" si="156"/>
        <v>0</v>
      </c>
      <c r="CR192" s="228">
        <f t="shared" si="156"/>
        <v>0</v>
      </c>
      <c r="CS192" s="228">
        <f t="shared" si="156"/>
        <v>0</v>
      </c>
      <c r="CT192" s="228">
        <f t="shared" si="156"/>
        <v>0</v>
      </c>
      <c r="CU192" s="228">
        <f t="shared" si="156"/>
        <v>0</v>
      </c>
      <c r="CV192" s="228">
        <f t="shared" si="156"/>
        <v>0</v>
      </c>
      <c r="CW192" s="228">
        <f t="shared" si="156"/>
        <v>0</v>
      </c>
      <c r="CX192" s="228">
        <f t="shared" si="156"/>
        <v>0</v>
      </c>
      <c r="CY192" s="228">
        <f t="shared" si="156"/>
        <v>0</v>
      </c>
      <c r="CZ192" s="228">
        <f t="shared" si="156"/>
        <v>0</v>
      </c>
      <c r="DA192" s="228">
        <f t="shared" si="156"/>
        <v>0</v>
      </c>
      <c r="DB192" s="228">
        <f t="shared" si="156"/>
        <v>0</v>
      </c>
      <c r="DC192" s="228">
        <f t="shared" si="156"/>
        <v>0</v>
      </c>
      <c r="DD192" s="228">
        <f t="shared" si="156"/>
        <v>0</v>
      </c>
      <c r="DE192" s="228">
        <f t="shared" si="156"/>
        <v>0</v>
      </c>
      <c r="DF192" s="228">
        <f t="shared" si="156"/>
        <v>0</v>
      </c>
      <c r="DG192" s="228">
        <f t="shared" si="156"/>
        <v>0</v>
      </c>
      <c r="DH192" s="228">
        <f t="shared" si="156"/>
        <v>1</v>
      </c>
      <c r="DI192" s="228">
        <f t="shared" si="156"/>
        <v>0</v>
      </c>
      <c r="DJ192" s="228">
        <f t="shared" si="156"/>
        <v>0</v>
      </c>
      <c r="DK192" s="228">
        <f t="shared" si="156"/>
        <v>0</v>
      </c>
      <c r="DL192" s="228">
        <f t="shared" si="156"/>
        <v>0</v>
      </c>
      <c r="DM192" s="228">
        <f t="shared" si="156"/>
        <v>0</v>
      </c>
      <c r="DN192" s="228">
        <f t="shared" si="156"/>
        <v>105</v>
      </c>
      <c r="DO192" s="228">
        <f t="shared" si="156"/>
        <v>0</v>
      </c>
      <c r="DP192" s="232">
        <f t="shared" si="156"/>
        <v>1807</v>
      </c>
      <c r="DQ192" s="228">
        <f t="shared" si="17"/>
        <v>0</v>
      </c>
      <c r="DR192" s="228">
        <f t="shared" si="18"/>
        <v>0</v>
      </c>
      <c r="DS192" s="230">
        <f>SUM(X192:Y192)+(1-TRP!$AK$253)*AC192</f>
        <v>0</v>
      </c>
      <c r="DT192" s="228">
        <f t="shared" si="19"/>
        <v>0</v>
      </c>
      <c r="DU192" s="228">
        <f t="shared" si="20"/>
        <v>2</v>
      </c>
      <c r="DV192" s="228">
        <f t="shared" si="21"/>
        <v>7</v>
      </c>
      <c r="DW192" s="228">
        <f t="shared" si="22"/>
        <v>10</v>
      </c>
      <c r="DX192" s="228">
        <f t="shared" si="23"/>
        <v>3</v>
      </c>
      <c r="DY192" s="228">
        <f t="shared" si="24"/>
        <v>0</v>
      </c>
      <c r="DZ192" s="228">
        <f t="shared" si="25"/>
        <v>380</v>
      </c>
      <c r="EA192" s="228">
        <f t="shared" si="26"/>
        <v>0</v>
      </c>
      <c r="EB192" s="230">
        <f>TRP!$AK$253*$AC192+SUM(M192:W192,Z192:AB192,AD192:AR192,AU192:AX192,BC192:BE192,BI192:BN192,BQ192:BR192,BV192)</f>
        <v>486</v>
      </c>
      <c r="EC192" s="228">
        <f t="shared" si="27"/>
        <v>0</v>
      </c>
      <c r="ED192" s="230">
        <f>CB192+$CI192*TRP!$AV$248</f>
        <v>0</v>
      </c>
      <c r="EE192" s="228">
        <f t="shared" si="28"/>
        <v>0</v>
      </c>
      <c r="EF192" s="230">
        <f>CD192+$CI192*TRP!$AV$249</f>
        <v>0</v>
      </c>
      <c r="EG192" s="230">
        <f>CE192+$CI192*TRP!$AV$250</f>
        <v>0</v>
      </c>
      <c r="EH192" s="230">
        <f>CF192+$CI192*TRP!$AV$251</f>
        <v>0</v>
      </c>
      <c r="EI192" s="228">
        <f t="shared" si="29"/>
        <v>37</v>
      </c>
      <c r="EJ192" s="228">
        <f t="shared" si="30"/>
        <v>106</v>
      </c>
      <c r="EK192" s="228">
        <f t="shared" si="31"/>
        <v>5</v>
      </c>
      <c r="EL192" s="230">
        <f>BS192+$BP192*TRP!$AN$246</f>
        <v>0</v>
      </c>
      <c r="EM192" s="228">
        <f t="shared" si="32"/>
        <v>724</v>
      </c>
      <c r="EN192" s="230">
        <f>BU192+$BP192*TRP!$AN$247</f>
        <v>47</v>
      </c>
    </row>
    <row r="193" spans="1:144" s="228" customFormat="1" ht="10.5" x14ac:dyDescent="0.25">
      <c r="A193" s="228" t="str">
        <f>TRP!C191</f>
        <v xml:space="preserve">GG12 </v>
      </c>
      <c r="B193" s="228" t="str">
        <f>TRP!B191</f>
        <v>EXTRACTION D HYDROCARBURES  SERVICES ANN</v>
      </c>
      <c r="C193" s="233" t="str">
        <f>TRP!A191</f>
        <v>122-24</v>
      </c>
      <c r="D193" s="228">
        <f t="shared" ref="D193:BO193" si="157">D69</f>
        <v>0</v>
      </c>
      <c r="E193" s="228">
        <f t="shared" si="157"/>
        <v>0</v>
      </c>
      <c r="F193" s="228">
        <f t="shared" si="157"/>
        <v>0</v>
      </c>
      <c r="G193" s="228">
        <f t="shared" si="157"/>
        <v>0</v>
      </c>
      <c r="H193" s="228">
        <f t="shared" si="157"/>
        <v>0</v>
      </c>
      <c r="I193" s="228">
        <f t="shared" si="157"/>
        <v>0</v>
      </c>
      <c r="J193" s="228">
        <f t="shared" si="157"/>
        <v>0</v>
      </c>
      <c r="K193" s="228">
        <f t="shared" si="157"/>
        <v>0</v>
      </c>
      <c r="L193" s="228">
        <f t="shared" si="157"/>
        <v>0</v>
      </c>
      <c r="M193" s="228">
        <f t="shared" si="157"/>
        <v>0</v>
      </c>
      <c r="N193" s="228">
        <f t="shared" si="157"/>
        <v>0</v>
      </c>
      <c r="O193" s="228">
        <f t="shared" si="157"/>
        <v>0</v>
      </c>
      <c r="P193" s="228">
        <f t="shared" si="157"/>
        <v>0</v>
      </c>
      <c r="Q193" s="228">
        <f t="shared" si="157"/>
        <v>0</v>
      </c>
      <c r="R193" s="228">
        <f t="shared" si="157"/>
        <v>0</v>
      </c>
      <c r="S193" s="228">
        <f t="shared" si="157"/>
        <v>0</v>
      </c>
      <c r="T193" s="228">
        <f t="shared" si="157"/>
        <v>0</v>
      </c>
      <c r="U193" s="228">
        <f t="shared" si="157"/>
        <v>0</v>
      </c>
      <c r="V193" s="228">
        <f t="shared" si="157"/>
        <v>0</v>
      </c>
      <c r="W193" s="228">
        <f t="shared" si="157"/>
        <v>0</v>
      </c>
      <c r="X193" s="228">
        <f t="shared" si="157"/>
        <v>0</v>
      </c>
      <c r="Y193" s="228">
        <f t="shared" si="157"/>
        <v>0</v>
      </c>
      <c r="Z193" s="228">
        <f t="shared" si="157"/>
        <v>0</v>
      </c>
      <c r="AA193" s="228">
        <f t="shared" si="157"/>
        <v>0</v>
      </c>
      <c r="AB193" s="228">
        <f t="shared" si="157"/>
        <v>0</v>
      </c>
      <c r="AC193" s="228">
        <f t="shared" si="157"/>
        <v>0</v>
      </c>
      <c r="AD193" s="228">
        <f t="shared" si="157"/>
        <v>0</v>
      </c>
      <c r="AE193" s="228">
        <f t="shared" si="157"/>
        <v>0</v>
      </c>
      <c r="AF193" s="228">
        <f t="shared" si="157"/>
        <v>0</v>
      </c>
      <c r="AG193" s="228">
        <f t="shared" si="157"/>
        <v>0</v>
      </c>
      <c r="AH193" s="228">
        <f t="shared" si="157"/>
        <v>0</v>
      </c>
      <c r="AI193" s="228">
        <f t="shared" si="157"/>
        <v>0</v>
      </c>
      <c r="AJ193" s="228">
        <f t="shared" si="157"/>
        <v>0</v>
      </c>
      <c r="AK193" s="228">
        <f t="shared" si="157"/>
        <v>0</v>
      </c>
      <c r="AL193" s="228">
        <f t="shared" si="157"/>
        <v>0</v>
      </c>
      <c r="AM193" s="228">
        <f t="shared" si="157"/>
        <v>0</v>
      </c>
      <c r="AN193" s="228">
        <f t="shared" si="157"/>
        <v>0</v>
      </c>
      <c r="AO193" s="228">
        <f t="shared" si="157"/>
        <v>0</v>
      </c>
      <c r="AP193" s="228">
        <f t="shared" si="157"/>
        <v>0</v>
      </c>
      <c r="AQ193" s="228">
        <f t="shared" si="157"/>
        <v>0</v>
      </c>
      <c r="AR193" s="228">
        <f t="shared" si="157"/>
        <v>0</v>
      </c>
      <c r="AS193" s="228">
        <f t="shared" si="157"/>
        <v>0</v>
      </c>
      <c r="AT193" s="228">
        <f t="shared" si="157"/>
        <v>0</v>
      </c>
      <c r="AU193" s="228">
        <f t="shared" si="157"/>
        <v>0</v>
      </c>
      <c r="AV193" s="228">
        <f t="shared" si="157"/>
        <v>0</v>
      </c>
      <c r="AW193" s="228">
        <f t="shared" si="157"/>
        <v>0</v>
      </c>
      <c r="AX193" s="228">
        <f t="shared" si="157"/>
        <v>0</v>
      </c>
      <c r="AY193" s="228">
        <f t="shared" si="157"/>
        <v>0</v>
      </c>
      <c r="AZ193" s="228">
        <f t="shared" si="157"/>
        <v>0</v>
      </c>
      <c r="BA193" s="228">
        <f t="shared" si="157"/>
        <v>24</v>
      </c>
      <c r="BB193" s="228">
        <f t="shared" si="157"/>
        <v>0</v>
      </c>
      <c r="BC193" s="228">
        <f t="shared" si="157"/>
        <v>0</v>
      </c>
      <c r="BD193" s="228">
        <f t="shared" si="157"/>
        <v>0</v>
      </c>
      <c r="BE193" s="228">
        <f t="shared" si="157"/>
        <v>0</v>
      </c>
      <c r="BF193" s="228">
        <f t="shared" si="157"/>
        <v>0</v>
      </c>
      <c r="BG193" s="228">
        <f t="shared" si="157"/>
        <v>0</v>
      </c>
      <c r="BH193" s="228">
        <f t="shared" si="157"/>
        <v>0</v>
      </c>
      <c r="BI193" s="228">
        <f t="shared" si="157"/>
        <v>0</v>
      </c>
      <c r="BJ193" s="228">
        <f t="shared" si="157"/>
        <v>0</v>
      </c>
      <c r="BK193" s="228">
        <f t="shared" si="157"/>
        <v>0</v>
      </c>
      <c r="BL193" s="228">
        <f t="shared" si="157"/>
        <v>0</v>
      </c>
      <c r="BM193" s="228">
        <f t="shared" si="157"/>
        <v>0</v>
      </c>
      <c r="BN193" s="228">
        <f t="shared" si="157"/>
        <v>0</v>
      </c>
      <c r="BO193" s="228">
        <f t="shared" si="157"/>
        <v>0</v>
      </c>
      <c r="BP193" s="228">
        <f t="shared" ref="BP193:DP193" si="158">BP69</f>
        <v>9</v>
      </c>
      <c r="BQ193" s="228">
        <f t="shared" si="158"/>
        <v>0</v>
      </c>
      <c r="BR193" s="228">
        <f t="shared" si="158"/>
        <v>0</v>
      </c>
      <c r="BS193" s="228">
        <f t="shared" si="158"/>
        <v>32416</v>
      </c>
      <c r="BT193" s="228">
        <f t="shared" si="158"/>
        <v>0</v>
      </c>
      <c r="BU193" s="228">
        <f t="shared" si="158"/>
        <v>9701</v>
      </c>
      <c r="BV193" s="228">
        <f t="shared" si="158"/>
        <v>0</v>
      </c>
      <c r="BW193" s="228">
        <f t="shared" si="158"/>
        <v>0</v>
      </c>
      <c r="BX193" s="228">
        <f t="shared" si="158"/>
        <v>0</v>
      </c>
      <c r="BY193" s="228">
        <f t="shared" si="158"/>
        <v>0</v>
      </c>
      <c r="BZ193" s="228">
        <f t="shared" si="158"/>
        <v>0</v>
      </c>
      <c r="CA193" s="228">
        <f t="shared" si="158"/>
        <v>0</v>
      </c>
      <c r="CB193" s="228">
        <f t="shared" si="158"/>
        <v>0</v>
      </c>
      <c r="CC193" s="228">
        <f t="shared" si="158"/>
        <v>0</v>
      </c>
      <c r="CD193" s="228">
        <f t="shared" si="158"/>
        <v>0</v>
      </c>
      <c r="CE193" s="228">
        <f t="shared" si="158"/>
        <v>0</v>
      </c>
      <c r="CF193" s="228">
        <f t="shared" si="158"/>
        <v>0</v>
      </c>
      <c r="CG193" s="228">
        <f t="shared" si="158"/>
        <v>0</v>
      </c>
      <c r="CH193" s="228">
        <f t="shared" si="158"/>
        <v>0</v>
      </c>
      <c r="CI193" s="228">
        <f t="shared" si="158"/>
        <v>0</v>
      </c>
      <c r="CJ193" s="228">
        <f t="shared" si="158"/>
        <v>0</v>
      </c>
      <c r="CK193" s="228">
        <f t="shared" si="158"/>
        <v>0</v>
      </c>
      <c r="CL193" s="228">
        <f t="shared" si="158"/>
        <v>0</v>
      </c>
      <c r="CM193" s="228">
        <f t="shared" si="158"/>
        <v>0</v>
      </c>
      <c r="CN193" s="228">
        <f t="shared" si="158"/>
        <v>0</v>
      </c>
      <c r="CO193" s="228">
        <f t="shared" si="158"/>
        <v>0</v>
      </c>
      <c r="CP193" s="228">
        <f t="shared" si="158"/>
        <v>0</v>
      </c>
      <c r="CQ193" s="228">
        <f t="shared" si="158"/>
        <v>0</v>
      </c>
      <c r="CR193" s="228">
        <f t="shared" si="158"/>
        <v>0</v>
      </c>
      <c r="CS193" s="228">
        <f t="shared" si="158"/>
        <v>0</v>
      </c>
      <c r="CT193" s="228">
        <f t="shared" si="158"/>
        <v>0</v>
      </c>
      <c r="CU193" s="228">
        <f t="shared" si="158"/>
        <v>0</v>
      </c>
      <c r="CV193" s="228">
        <f t="shared" si="158"/>
        <v>0</v>
      </c>
      <c r="CW193" s="228">
        <f t="shared" si="158"/>
        <v>0</v>
      </c>
      <c r="CX193" s="228">
        <f t="shared" si="158"/>
        <v>0</v>
      </c>
      <c r="CY193" s="228">
        <f t="shared" si="158"/>
        <v>0</v>
      </c>
      <c r="CZ193" s="228">
        <f t="shared" si="158"/>
        <v>0</v>
      </c>
      <c r="DA193" s="228">
        <f t="shared" si="158"/>
        <v>0</v>
      </c>
      <c r="DB193" s="228">
        <f t="shared" si="158"/>
        <v>0</v>
      </c>
      <c r="DC193" s="228">
        <f t="shared" si="158"/>
        <v>0</v>
      </c>
      <c r="DD193" s="228">
        <f t="shared" si="158"/>
        <v>0</v>
      </c>
      <c r="DE193" s="228">
        <f t="shared" si="158"/>
        <v>0</v>
      </c>
      <c r="DF193" s="228">
        <f t="shared" si="158"/>
        <v>0</v>
      </c>
      <c r="DG193" s="228">
        <f t="shared" si="158"/>
        <v>0</v>
      </c>
      <c r="DH193" s="228">
        <f t="shared" si="158"/>
        <v>0</v>
      </c>
      <c r="DI193" s="228">
        <f t="shared" si="158"/>
        <v>0</v>
      </c>
      <c r="DJ193" s="228">
        <f t="shared" si="158"/>
        <v>0</v>
      </c>
      <c r="DK193" s="228">
        <f t="shared" si="158"/>
        <v>0</v>
      </c>
      <c r="DL193" s="228">
        <f t="shared" si="158"/>
        <v>0</v>
      </c>
      <c r="DM193" s="228">
        <f t="shared" si="158"/>
        <v>0</v>
      </c>
      <c r="DN193" s="228">
        <f t="shared" si="158"/>
        <v>0</v>
      </c>
      <c r="DO193" s="228">
        <f t="shared" si="158"/>
        <v>0</v>
      </c>
      <c r="DP193" s="232">
        <f t="shared" si="158"/>
        <v>42150</v>
      </c>
      <c r="DQ193" s="228">
        <f t="shared" si="17"/>
        <v>0</v>
      </c>
      <c r="DR193" s="228">
        <f t="shared" si="18"/>
        <v>0</v>
      </c>
      <c r="DS193" s="230">
        <f>SUM(X193:Y193)+(1-TRP!$AK$253)*AC193</f>
        <v>0</v>
      </c>
      <c r="DT193" s="228">
        <f t="shared" si="19"/>
        <v>0</v>
      </c>
      <c r="DU193" s="228">
        <f t="shared" si="20"/>
        <v>0</v>
      </c>
      <c r="DV193" s="228">
        <f t="shared" si="21"/>
        <v>0</v>
      </c>
      <c r="DW193" s="228">
        <f t="shared" si="22"/>
        <v>24</v>
      </c>
      <c r="DX193" s="228">
        <f t="shared" si="23"/>
        <v>0</v>
      </c>
      <c r="DY193" s="228">
        <f t="shared" si="24"/>
        <v>0</v>
      </c>
      <c r="DZ193" s="228">
        <f t="shared" si="25"/>
        <v>0</v>
      </c>
      <c r="EA193" s="228">
        <f t="shared" si="26"/>
        <v>0</v>
      </c>
      <c r="EB193" s="230">
        <f>TRP!$AK$253*$AC193+SUM(M193:W193,Z193:AB193,AD193:AR193,AU193:AX193,BC193:BE193,BI193:BN193,BQ193:BR193,BV193)</f>
        <v>0</v>
      </c>
      <c r="EC193" s="228">
        <f t="shared" si="27"/>
        <v>0</v>
      </c>
      <c r="ED193" s="230">
        <f>CB193+$CI193*TRP!$AV$248</f>
        <v>0</v>
      </c>
      <c r="EE193" s="228">
        <f t="shared" si="28"/>
        <v>0</v>
      </c>
      <c r="EF193" s="230">
        <f>CD193+$CI193*TRP!$AV$249</f>
        <v>0</v>
      </c>
      <c r="EG193" s="230">
        <f>CE193+$CI193*TRP!$AV$250</f>
        <v>0</v>
      </c>
      <c r="EH193" s="230">
        <f>CF193+$CI193*TRP!$AV$251</f>
        <v>0</v>
      </c>
      <c r="EI193" s="228">
        <f t="shared" si="29"/>
        <v>0</v>
      </c>
      <c r="EJ193" s="228">
        <f t="shared" si="30"/>
        <v>0</v>
      </c>
      <c r="EK193" s="228">
        <f t="shared" si="31"/>
        <v>0</v>
      </c>
      <c r="EL193" s="230">
        <f>BS193+$BP193*TRP!$AN$246</f>
        <v>32422.651295915239</v>
      </c>
      <c r="EM193" s="228">
        <f t="shared" si="32"/>
        <v>0</v>
      </c>
      <c r="EN193" s="230">
        <f>BU193+$BP193*TRP!$AN$247</f>
        <v>9703.3487040847594</v>
      </c>
    </row>
    <row r="194" spans="1:144" s="228" customFormat="1" ht="10.5" x14ac:dyDescent="0.25">
      <c r="A194" s="228" t="str">
        <f>TRP!C192</f>
        <v xml:space="preserve">GG13 </v>
      </c>
      <c r="B194" s="228" t="str">
        <f>TRP!B192</f>
        <v>EXTRACTION DE MINERAIS D URANIUM</v>
      </c>
      <c r="C194" s="233">
        <f>TRP!A192</f>
        <v>12</v>
      </c>
      <c r="D194" s="228">
        <f t="shared" ref="D194:BO194" si="159">D70</f>
        <v>0</v>
      </c>
      <c r="E194" s="228">
        <f t="shared" si="159"/>
        <v>0</v>
      </c>
      <c r="F194" s="228">
        <f t="shared" si="159"/>
        <v>0</v>
      </c>
      <c r="G194" s="228">
        <f t="shared" si="159"/>
        <v>0</v>
      </c>
      <c r="H194" s="228">
        <f t="shared" si="159"/>
        <v>0</v>
      </c>
      <c r="I194" s="228">
        <f t="shared" si="159"/>
        <v>0</v>
      </c>
      <c r="J194" s="228">
        <f t="shared" si="159"/>
        <v>0</v>
      </c>
      <c r="K194" s="228">
        <f t="shared" si="159"/>
        <v>0</v>
      </c>
      <c r="L194" s="228">
        <f t="shared" si="159"/>
        <v>0</v>
      </c>
      <c r="M194" s="228">
        <f t="shared" si="159"/>
        <v>0</v>
      </c>
      <c r="N194" s="228">
        <f t="shared" si="159"/>
        <v>0</v>
      </c>
      <c r="O194" s="228">
        <f t="shared" si="159"/>
        <v>0</v>
      </c>
      <c r="P194" s="228">
        <f t="shared" si="159"/>
        <v>0</v>
      </c>
      <c r="Q194" s="228">
        <f t="shared" si="159"/>
        <v>0</v>
      </c>
      <c r="R194" s="228">
        <f t="shared" si="159"/>
        <v>0</v>
      </c>
      <c r="S194" s="228">
        <f t="shared" si="159"/>
        <v>0</v>
      </c>
      <c r="T194" s="228">
        <f t="shared" si="159"/>
        <v>0</v>
      </c>
      <c r="U194" s="228">
        <f t="shared" si="159"/>
        <v>0</v>
      </c>
      <c r="V194" s="228">
        <f t="shared" si="159"/>
        <v>0</v>
      </c>
      <c r="W194" s="228">
        <f t="shared" si="159"/>
        <v>0</v>
      </c>
      <c r="X194" s="228">
        <f t="shared" si="159"/>
        <v>0</v>
      </c>
      <c r="Y194" s="228">
        <f t="shared" si="159"/>
        <v>0</v>
      </c>
      <c r="Z194" s="228">
        <f t="shared" si="159"/>
        <v>0</v>
      </c>
      <c r="AA194" s="228">
        <f t="shared" si="159"/>
        <v>0</v>
      </c>
      <c r="AB194" s="228">
        <f t="shared" si="159"/>
        <v>0</v>
      </c>
      <c r="AC194" s="228">
        <f t="shared" si="159"/>
        <v>0</v>
      </c>
      <c r="AD194" s="228">
        <f t="shared" si="159"/>
        <v>0</v>
      </c>
      <c r="AE194" s="228">
        <f t="shared" si="159"/>
        <v>0</v>
      </c>
      <c r="AF194" s="228">
        <f t="shared" si="159"/>
        <v>0</v>
      </c>
      <c r="AG194" s="228">
        <f t="shared" si="159"/>
        <v>0</v>
      </c>
      <c r="AH194" s="228">
        <f t="shared" si="159"/>
        <v>0</v>
      </c>
      <c r="AI194" s="228">
        <f t="shared" si="159"/>
        <v>0</v>
      </c>
      <c r="AJ194" s="228">
        <f t="shared" si="159"/>
        <v>0</v>
      </c>
      <c r="AK194" s="228">
        <f t="shared" si="159"/>
        <v>0</v>
      </c>
      <c r="AL194" s="228">
        <f t="shared" si="159"/>
        <v>0</v>
      </c>
      <c r="AM194" s="228">
        <f t="shared" si="159"/>
        <v>0</v>
      </c>
      <c r="AN194" s="228">
        <f t="shared" si="159"/>
        <v>0</v>
      </c>
      <c r="AO194" s="228">
        <f t="shared" si="159"/>
        <v>0</v>
      </c>
      <c r="AP194" s="228">
        <f t="shared" si="159"/>
        <v>0</v>
      </c>
      <c r="AQ194" s="228">
        <f t="shared" si="159"/>
        <v>0</v>
      </c>
      <c r="AR194" s="228">
        <f t="shared" si="159"/>
        <v>0</v>
      </c>
      <c r="AS194" s="228">
        <f t="shared" si="159"/>
        <v>0</v>
      </c>
      <c r="AT194" s="228">
        <f t="shared" si="159"/>
        <v>0</v>
      </c>
      <c r="AU194" s="228">
        <f t="shared" si="159"/>
        <v>0</v>
      </c>
      <c r="AV194" s="228">
        <f t="shared" si="159"/>
        <v>0</v>
      </c>
      <c r="AW194" s="228">
        <f t="shared" si="159"/>
        <v>0</v>
      </c>
      <c r="AX194" s="228">
        <f t="shared" si="159"/>
        <v>0</v>
      </c>
      <c r="AY194" s="228">
        <f t="shared" si="159"/>
        <v>0</v>
      </c>
      <c r="AZ194" s="228">
        <f t="shared" si="159"/>
        <v>0</v>
      </c>
      <c r="BA194" s="228">
        <f t="shared" si="159"/>
        <v>0</v>
      </c>
      <c r="BB194" s="228">
        <f t="shared" si="159"/>
        <v>0</v>
      </c>
      <c r="BC194" s="228">
        <f t="shared" si="159"/>
        <v>0</v>
      </c>
      <c r="BD194" s="228">
        <f t="shared" si="159"/>
        <v>0</v>
      </c>
      <c r="BE194" s="228">
        <f t="shared" si="159"/>
        <v>0</v>
      </c>
      <c r="BF194" s="228">
        <f t="shared" si="159"/>
        <v>0</v>
      </c>
      <c r="BG194" s="228">
        <f t="shared" si="159"/>
        <v>0</v>
      </c>
      <c r="BH194" s="228">
        <f t="shared" si="159"/>
        <v>0</v>
      </c>
      <c r="BI194" s="228">
        <f t="shared" si="159"/>
        <v>0</v>
      </c>
      <c r="BJ194" s="228">
        <f t="shared" si="159"/>
        <v>0</v>
      </c>
      <c r="BK194" s="228">
        <f t="shared" si="159"/>
        <v>0</v>
      </c>
      <c r="BL194" s="228">
        <f t="shared" si="159"/>
        <v>0</v>
      </c>
      <c r="BM194" s="228">
        <f t="shared" si="159"/>
        <v>0</v>
      </c>
      <c r="BN194" s="228">
        <f t="shared" si="159"/>
        <v>0</v>
      </c>
      <c r="BO194" s="228">
        <f t="shared" si="159"/>
        <v>0</v>
      </c>
      <c r="BP194" s="228">
        <f t="shared" ref="BP194:DP194" si="160">BP70</f>
        <v>0</v>
      </c>
      <c r="BQ194" s="228">
        <f t="shared" si="160"/>
        <v>2</v>
      </c>
      <c r="BR194" s="228">
        <f t="shared" si="160"/>
        <v>0</v>
      </c>
      <c r="BS194" s="228">
        <f t="shared" si="160"/>
        <v>0</v>
      </c>
      <c r="BT194" s="228">
        <f t="shared" si="160"/>
        <v>0</v>
      </c>
      <c r="BU194" s="228">
        <f t="shared" si="160"/>
        <v>0</v>
      </c>
      <c r="BV194" s="228">
        <f t="shared" si="160"/>
        <v>0</v>
      </c>
      <c r="BW194" s="228">
        <f t="shared" si="160"/>
        <v>0</v>
      </c>
      <c r="BX194" s="228">
        <f t="shared" si="160"/>
        <v>0</v>
      </c>
      <c r="BY194" s="228">
        <f t="shared" si="160"/>
        <v>0</v>
      </c>
      <c r="BZ194" s="228">
        <f t="shared" si="160"/>
        <v>0</v>
      </c>
      <c r="CA194" s="228">
        <f t="shared" si="160"/>
        <v>0</v>
      </c>
      <c r="CB194" s="228">
        <f t="shared" si="160"/>
        <v>0</v>
      </c>
      <c r="CC194" s="228">
        <f t="shared" si="160"/>
        <v>0</v>
      </c>
      <c r="CD194" s="228">
        <f t="shared" si="160"/>
        <v>0</v>
      </c>
      <c r="CE194" s="228">
        <f t="shared" si="160"/>
        <v>0</v>
      </c>
      <c r="CF194" s="228">
        <f t="shared" si="160"/>
        <v>0</v>
      </c>
      <c r="CG194" s="228">
        <f t="shared" si="160"/>
        <v>0</v>
      </c>
      <c r="CH194" s="228">
        <f t="shared" si="160"/>
        <v>0</v>
      </c>
      <c r="CI194" s="228">
        <f t="shared" si="160"/>
        <v>0</v>
      </c>
      <c r="CJ194" s="228">
        <f t="shared" si="160"/>
        <v>0</v>
      </c>
      <c r="CK194" s="228">
        <f t="shared" si="160"/>
        <v>0</v>
      </c>
      <c r="CL194" s="228">
        <f t="shared" si="160"/>
        <v>0</v>
      </c>
      <c r="CM194" s="228">
        <f t="shared" si="160"/>
        <v>0</v>
      </c>
      <c r="CN194" s="228">
        <f t="shared" si="160"/>
        <v>0</v>
      </c>
      <c r="CO194" s="228">
        <f t="shared" si="160"/>
        <v>0</v>
      </c>
      <c r="CP194" s="228">
        <f t="shared" si="160"/>
        <v>0</v>
      </c>
      <c r="CQ194" s="228">
        <f t="shared" si="160"/>
        <v>0</v>
      </c>
      <c r="CR194" s="228">
        <f t="shared" si="160"/>
        <v>0</v>
      </c>
      <c r="CS194" s="228">
        <f t="shared" si="160"/>
        <v>0</v>
      </c>
      <c r="CT194" s="228">
        <f t="shared" si="160"/>
        <v>0</v>
      </c>
      <c r="CU194" s="228">
        <f t="shared" si="160"/>
        <v>0</v>
      </c>
      <c r="CV194" s="228">
        <f t="shared" si="160"/>
        <v>0</v>
      </c>
      <c r="CW194" s="228">
        <f t="shared" si="160"/>
        <v>0</v>
      </c>
      <c r="CX194" s="228">
        <f t="shared" si="160"/>
        <v>0</v>
      </c>
      <c r="CY194" s="228">
        <f t="shared" si="160"/>
        <v>0</v>
      </c>
      <c r="CZ194" s="228">
        <f t="shared" si="160"/>
        <v>0</v>
      </c>
      <c r="DA194" s="228">
        <f t="shared" si="160"/>
        <v>0</v>
      </c>
      <c r="DB194" s="228">
        <f t="shared" si="160"/>
        <v>0</v>
      </c>
      <c r="DC194" s="228">
        <f t="shared" si="160"/>
        <v>0</v>
      </c>
      <c r="DD194" s="228">
        <f t="shared" si="160"/>
        <v>0</v>
      </c>
      <c r="DE194" s="228">
        <f t="shared" si="160"/>
        <v>0</v>
      </c>
      <c r="DF194" s="228">
        <f t="shared" si="160"/>
        <v>0</v>
      </c>
      <c r="DG194" s="228">
        <f t="shared" si="160"/>
        <v>0</v>
      </c>
      <c r="DH194" s="228">
        <f t="shared" si="160"/>
        <v>0</v>
      </c>
      <c r="DI194" s="228">
        <f t="shared" si="160"/>
        <v>0</v>
      </c>
      <c r="DJ194" s="228">
        <f t="shared" si="160"/>
        <v>0</v>
      </c>
      <c r="DK194" s="228">
        <f t="shared" si="160"/>
        <v>0</v>
      </c>
      <c r="DL194" s="228">
        <f t="shared" si="160"/>
        <v>0</v>
      </c>
      <c r="DM194" s="228">
        <f t="shared" si="160"/>
        <v>0</v>
      </c>
      <c r="DN194" s="228">
        <f t="shared" si="160"/>
        <v>0</v>
      </c>
      <c r="DO194" s="228">
        <f t="shared" si="160"/>
        <v>0</v>
      </c>
      <c r="DP194" s="232">
        <f t="shared" si="160"/>
        <v>2</v>
      </c>
      <c r="DQ194" s="228">
        <f t="shared" ref="DQ194:DQ253" si="161">SUM(D194:F194)</f>
        <v>0</v>
      </c>
      <c r="DR194" s="228">
        <f t="shared" ref="DR194:DR253" si="162">SUM(G194:L194)</f>
        <v>0</v>
      </c>
      <c r="DS194" s="230">
        <f>SUM(X194:Y194)+(1-TRP!$AK$253)*AC194</f>
        <v>0</v>
      </c>
      <c r="DT194" s="228">
        <f t="shared" ref="DT194:DT253" si="163">AS194</f>
        <v>0</v>
      </c>
      <c r="DU194" s="228">
        <f t="shared" ref="DU194:DU253" si="164">AT194</f>
        <v>0</v>
      </c>
      <c r="DV194" s="228">
        <f t="shared" ref="DV194:DV253" si="165">SUM(AY194:AZ194)</f>
        <v>0</v>
      </c>
      <c r="DW194" s="228">
        <f t="shared" ref="DW194:DW253" si="166">BA194</f>
        <v>0</v>
      </c>
      <c r="DX194" s="228">
        <f t="shared" ref="DX194:DX253" si="167">BB194</f>
        <v>0</v>
      </c>
      <c r="DY194" s="228">
        <f t="shared" ref="DY194:DY253" si="168">BF194</f>
        <v>0</v>
      </c>
      <c r="DZ194" s="228">
        <f t="shared" ref="DZ194:DZ253" si="169">BG194</f>
        <v>0</v>
      </c>
      <c r="EA194" s="228">
        <f t="shared" ref="EA194:EA253" si="170">BH194</f>
        <v>0</v>
      </c>
      <c r="EB194" s="230">
        <f>TRP!$AK$253*$AC194+SUM(M194:W194,Z194:AB194,AD194:AR194,AU194:AX194,BC194:BE194,BI194:BN194,BQ194:BR194,BV194)</f>
        <v>2</v>
      </c>
      <c r="EC194" s="228">
        <f t="shared" ref="EC194:EC253" si="171">SUM(BW194:BX194)</f>
        <v>0</v>
      </c>
      <c r="ED194" s="230">
        <f>CB194+$CI194*TRP!$AV$248</f>
        <v>0</v>
      </c>
      <c r="EE194" s="228">
        <f t="shared" ref="EE194:EE253" si="172">CC194</f>
        <v>0</v>
      </c>
      <c r="EF194" s="230">
        <f>CD194+$CI194*TRP!$AV$249</f>
        <v>0</v>
      </c>
      <c r="EG194" s="230">
        <f>CE194+$CI194*TRP!$AV$250</f>
        <v>0</v>
      </c>
      <c r="EH194" s="230">
        <f>CF194+$CI194*TRP!$AV$251</f>
        <v>0</v>
      </c>
      <c r="EI194" s="228">
        <f t="shared" ref="EI194:EI253" si="173">SUM(BY194:CA194,CG194:CH194,CJ194:CY194,DA194:DG194,DI194,DK194:DL194)</f>
        <v>0</v>
      </c>
      <c r="EJ194" s="228">
        <f t="shared" ref="EJ194:EJ253" si="174">SUM(DM194:DO194,DJ194,DH194,CZ194)</f>
        <v>0</v>
      </c>
      <c r="EK194" s="228">
        <f t="shared" ref="EK194:EK253" si="175">BO194</f>
        <v>0</v>
      </c>
      <c r="EL194" s="230">
        <f>BS194+$BP194*TRP!$AN$246</f>
        <v>0</v>
      </c>
      <c r="EM194" s="228">
        <f t="shared" ref="EM194:EM253" si="176">BT194</f>
        <v>0</v>
      </c>
      <c r="EN194" s="230">
        <f>BU194+$BP194*TRP!$AN$247</f>
        <v>0</v>
      </c>
    </row>
    <row r="195" spans="1:144" s="228" customFormat="1" ht="10.5" x14ac:dyDescent="0.25">
      <c r="A195" s="228" t="str">
        <f>TRP!C193</f>
        <v xml:space="preserve">GG14 </v>
      </c>
      <c r="B195" s="228" t="str">
        <f>TRP!B193</f>
        <v>COKEFACTION ET INDUSTRIE NUCLEAIRE</v>
      </c>
      <c r="C195" s="233">
        <f>TRP!A193</f>
        <v>12</v>
      </c>
      <c r="D195" s="228">
        <f t="shared" ref="D195:BO195" si="177">D71</f>
        <v>0</v>
      </c>
      <c r="E195" s="228">
        <f t="shared" si="177"/>
        <v>0</v>
      </c>
      <c r="F195" s="228">
        <f t="shared" si="177"/>
        <v>0</v>
      </c>
      <c r="G195" s="228">
        <f t="shared" si="177"/>
        <v>0</v>
      </c>
      <c r="H195" s="228">
        <f t="shared" si="177"/>
        <v>0</v>
      </c>
      <c r="I195" s="228">
        <f t="shared" si="177"/>
        <v>0</v>
      </c>
      <c r="J195" s="228">
        <f t="shared" si="177"/>
        <v>0</v>
      </c>
      <c r="K195" s="228">
        <f t="shared" si="177"/>
        <v>0</v>
      </c>
      <c r="L195" s="228">
        <f t="shared" si="177"/>
        <v>0</v>
      </c>
      <c r="M195" s="228">
        <f t="shared" si="177"/>
        <v>0</v>
      </c>
      <c r="N195" s="228">
        <f t="shared" si="177"/>
        <v>0</v>
      </c>
      <c r="O195" s="228">
        <f t="shared" si="177"/>
        <v>0</v>
      </c>
      <c r="P195" s="228">
        <f t="shared" si="177"/>
        <v>0</v>
      </c>
      <c r="Q195" s="228">
        <f t="shared" si="177"/>
        <v>0</v>
      </c>
      <c r="R195" s="228">
        <f t="shared" si="177"/>
        <v>0</v>
      </c>
      <c r="S195" s="228">
        <f t="shared" si="177"/>
        <v>0</v>
      </c>
      <c r="T195" s="228">
        <f t="shared" si="177"/>
        <v>0</v>
      </c>
      <c r="U195" s="228">
        <f t="shared" si="177"/>
        <v>0</v>
      </c>
      <c r="V195" s="228">
        <f t="shared" si="177"/>
        <v>0</v>
      </c>
      <c r="W195" s="228">
        <f t="shared" si="177"/>
        <v>0</v>
      </c>
      <c r="X195" s="228">
        <f t="shared" si="177"/>
        <v>0</v>
      </c>
      <c r="Y195" s="228">
        <f t="shared" si="177"/>
        <v>0</v>
      </c>
      <c r="Z195" s="228">
        <f t="shared" si="177"/>
        <v>0</v>
      </c>
      <c r="AA195" s="228">
        <f t="shared" si="177"/>
        <v>0</v>
      </c>
      <c r="AB195" s="228">
        <f t="shared" si="177"/>
        <v>0</v>
      </c>
      <c r="AC195" s="228">
        <f t="shared" si="177"/>
        <v>0</v>
      </c>
      <c r="AD195" s="228">
        <f t="shared" si="177"/>
        <v>0</v>
      </c>
      <c r="AE195" s="228">
        <f t="shared" si="177"/>
        <v>0</v>
      </c>
      <c r="AF195" s="228">
        <f t="shared" si="177"/>
        <v>0</v>
      </c>
      <c r="AG195" s="228">
        <f t="shared" si="177"/>
        <v>0</v>
      </c>
      <c r="AH195" s="228">
        <f t="shared" si="177"/>
        <v>0</v>
      </c>
      <c r="AI195" s="228">
        <f t="shared" si="177"/>
        <v>0</v>
      </c>
      <c r="AJ195" s="228">
        <f t="shared" si="177"/>
        <v>0</v>
      </c>
      <c r="AK195" s="228">
        <f t="shared" si="177"/>
        <v>0</v>
      </c>
      <c r="AL195" s="228">
        <f t="shared" si="177"/>
        <v>0</v>
      </c>
      <c r="AM195" s="228">
        <f t="shared" si="177"/>
        <v>0</v>
      </c>
      <c r="AN195" s="228">
        <f t="shared" si="177"/>
        <v>0</v>
      </c>
      <c r="AO195" s="228">
        <f t="shared" si="177"/>
        <v>0</v>
      </c>
      <c r="AP195" s="228">
        <f t="shared" si="177"/>
        <v>0</v>
      </c>
      <c r="AQ195" s="228">
        <f t="shared" si="177"/>
        <v>0</v>
      </c>
      <c r="AR195" s="228">
        <f t="shared" si="177"/>
        <v>0</v>
      </c>
      <c r="AS195" s="228">
        <f t="shared" si="177"/>
        <v>0</v>
      </c>
      <c r="AT195" s="228">
        <f t="shared" si="177"/>
        <v>0</v>
      </c>
      <c r="AU195" s="228">
        <f t="shared" si="177"/>
        <v>0</v>
      </c>
      <c r="AV195" s="228">
        <f t="shared" si="177"/>
        <v>0</v>
      </c>
      <c r="AW195" s="228">
        <f t="shared" si="177"/>
        <v>0</v>
      </c>
      <c r="AX195" s="228">
        <f t="shared" si="177"/>
        <v>0</v>
      </c>
      <c r="AY195" s="228">
        <f t="shared" si="177"/>
        <v>0</v>
      </c>
      <c r="AZ195" s="228">
        <f t="shared" si="177"/>
        <v>0</v>
      </c>
      <c r="BA195" s="228">
        <f t="shared" si="177"/>
        <v>0</v>
      </c>
      <c r="BB195" s="228">
        <f t="shared" si="177"/>
        <v>0</v>
      </c>
      <c r="BC195" s="228">
        <f t="shared" si="177"/>
        <v>0</v>
      </c>
      <c r="BD195" s="228">
        <f t="shared" si="177"/>
        <v>0</v>
      </c>
      <c r="BE195" s="228">
        <f t="shared" si="177"/>
        <v>0</v>
      </c>
      <c r="BF195" s="228">
        <f t="shared" si="177"/>
        <v>0</v>
      </c>
      <c r="BG195" s="228">
        <f t="shared" si="177"/>
        <v>153</v>
      </c>
      <c r="BH195" s="228">
        <f t="shared" si="177"/>
        <v>0</v>
      </c>
      <c r="BI195" s="228">
        <f t="shared" si="177"/>
        <v>0</v>
      </c>
      <c r="BJ195" s="228">
        <f t="shared" si="177"/>
        <v>0</v>
      </c>
      <c r="BK195" s="228">
        <f t="shared" si="177"/>
        <v>0</v>
      </c>
      <c r="BL195" s="228">
        <f t="shared" si="177"/>
        <v>0</v>
      </c>
      <c r="BM195" s="228">
        <f t="shared" si="177"/>
        <v>0</v>
      </c>
      <c r="BN195" s="228">
        <f t="shared" si="177"/>
        <v>0</v>
      </c>
      <c r="BO195" s="228">
        <f t="shared" si="177"/>
        <v>0</v>
      </c>
      <c r="BP195" s="228">
        <f t="shared" ref="BP195:DP195" si="178">BP71</f>
        <v>0</v>
      </c>
      <c r="BQ195" s="228">
        <f t="shared" si="178"/>
        <v>0</v>
      </c>
      <c r="BR195" s="228">
        <f t="shared" si="178"/>
        <v>1019</v>
      </c>
      <c r="BS195" s="228">
        <f t="shared" si="178"/>
        <v>0</v>
      </c>
      <c r="BT195" s="228">
        <f t="shared" si="178"/>
        <v>3116</v>
      </c>
      <c r="BU195" s="228">
        <f t="shared" si="178"/>
        <v>3</v>
      </c>
      <c r="BV195" s="228">
        <f t="shared" si="178"/>
        <v>0</v>
      </c>
      <c r="BW195" s="228">
        <f t="shared" si="178"/>
        <v>0</v>
      </c>
      <c r="BX195" s="228">
        <f t="shared" si="178"/>
        <v>0</v>
      </c>
      <c r="BY195" s="228">
        <f t="shared" si="178"/>
        <v>0</v>
      </c>
      <c r="BZ195" s="228">
        <f t="shared" si="178"/>
        <v>0</v>
      </c>
      <c r="CA195" s="228">
        <f t="shared" si="178"/>
        <v>0</v>
      </c>
      <c r="CB195" s="228">
        <f t="shared" si="178"/>
        <v>0</v>
      </c>
      <c r="CC195" s="228">
        <f t="shared" si="178"/>
        <v>0</v>
      </c>
      <c r="CD195" s="228">
        <f t="shared" si="178"/>
        <v>0</v>
      </c>
      <c r="CE195" s="228">
        <f t="shared" si="178"/>
        <v>0</v>
      </c>
      <c r="CF195" s="228">
        <f t="shared" si="178"/>
        <v>0</v>
      </c>
      <c r="CG195" s="228">
        <f t="shared" si="178"/>
        <v>0</v>
      </c>
      <c r="CH195" s="228">
        <f t="shared" si="178"/>
        <v>0</v>
      </c>
      <c r="CI195" s="228">
        <f t="shared" si="178"/>
        <v>0</v>
      </c>
      <c r="CJ195" s="228">
        <f t="shared" si="178"/>
        <v>0</v>
      </c>
      <c r="CK195" s="228">
        <f t="shared" si="178"/>
        <v>0</v>
      </c>
      <c r="CL195" s="228">
        <f t="shared" si="178"/>
        <v>0</v>
      </c>
      <c r="CM195" s="228">
        <f t="shared" si="178"/>
        <v>0</v>
      </c>
      <c r="CN195" s="228">
        <f t="shared" si="178"/>
        <v>0</v>
      </c>
      <c r="CO195" s="228">
        <f t="shared" si="178"/>
        <v>0</v>
      </c>
      <c r="CP195" s="228">
        <f t="shared" si="178"/>
        <v>0</v>
      </c>
      <c r="CQ195" s="228">
        <f t="shared" si="178"/>
        <v>0</v>
      </c>
      <c r="CR195" s="228">
        <f t="shared" si="178"/>
        <v>0</v>
      </c>
      <c r="CS195" s="228">
        <f t="shared" si="178"/>
        <v>0</v>
      </c>
      <c r="CT195" s="228">
        <f t="shared" si="178"/>
        <v>0</v>
      </c>
      <c r="CU195" s="228">
        <f t="shared" si="178"/>
        <v>0</v>
      </c>
      <c r="CV195" s="228">
        <f t="shared" si="178"/>
        <v>0</v>
      </c>
      <c r="CW195" s="228">
        <f t="shared" si="178"/>
        <v>0</v>
      </c>
      <c r="CX195" s="228">
        <f t="shared" si="178"/>
        <v>0</v>
      </c>
      <c r="CY195" s="228">
        <f t="shared" si="178"/>
        <v>0</v>
      </c>
      <c r="CZ195" s="228">
        <f t="shared" si="178"/>
        <v>259</v>
      </c>
      <c r="DA195" s="228">
        <f t="shared" si="178"/>
        <v>0</v>
      </c>
      <c r="DB195" s="228">
        <f t="shared" si="178"/>
        <v>0</v>
      </c>
      <c r="DC195" s="228">
        <f t="shared" si="178"/>
        <v>0</v>
      </c>
      <c r="DD195" s="228">
        <f t="shared" si="178"/>
        <v>0</v>
      </c>
      <c r="DE195" s="228">
        <f t="shared" si="178"/>
        <v>0</v>
      </c>
      <c r="DF195" s="228">
        <f t="shared" si="178"/>
        <v>0</v>
      </c>
      <c r="DG195" s="228">
        <f t="shared" si="178"/>
        <v>0</v>
      </c>
      <c r="DH195" s="228">
        <f t="shared" si="178"/>
        <v>0</v>
      </c>
      <c r="DI195" s="228">
        <f t="shared" si="178"/>
        <v>0</v>
      </c>
      <c r="DJ195" s="228">
        <f t="shared" si="178"/>
        <v>0</v>
      </c>
      <c r="DK195" s="228">
        <f t="shared" si="178"/>
        <v>0</v>
      </c>
      <c r="DL195" s="228">
        <f t="shared" si="178"/>
        <v>0</v>
      </c>
      <c r="DM195" s="228">
        <f t="shared" si="178"/>
        <v>0</v>
      </c>
      <c r="DN195" s="228">
        <f t="shared" si="178"/>
        <v>0</v>
      </c>
      <c r="DO195" s="228">
        <f t="shared" si="178"/>
        <v>1</v>
      </c>
      <c r="DP195" s="232">
        <f t="shared" si="178"/>
        <v>4551</v>
      </c>
      <c r="DQ195" s="228">
        <f t="shared" si="161"/>
        <v>0</v>
      </c>
      <c r="DR195" s="228">
        <f t="shared" si="162"/>
        <v>0</v>
      </c>
      <c r="DS195" s="230">
        <f>SUM(X195:Y195)+(1-TRP!$AK$253)*AC195</f>
        <v>0</v>
      </c>
      <c r="DT195" s="228">
        <f t="shared" si="163"/>
        <v>0</v>
      </c>
      <c r="DU195" s="228">
        <f t="shared" si="164"/>
        <v>0</v>
      </c>
      <c r="DV195" s="228">
        <f t="shared" si="165"/>
        <v>0</v>
      </c>
      <c r="DW195" s="228">
        <f t="shared" si="166"/>
        <v>0</v>
      </c>
      <c r="DX195" s="228">
        <f t="shared" si="167"/>
        <v>0</v>
      </c>
      <c r="DY195" s="228">
        <f t="shared" si="168"/>
        <v>0</v>
      </c>
      <c r="DZ195" s="228">
        <f t="shared" si="169"/>
        <v>153</v>
      </c>
      <c r="EA195" s="228">
        <f t="shared" si="170"/>
        <v>0</v>
      </c>
      <c r="EB195" s="230">
        <f>TRP!$AK$253*$AC195+SUM(M195:W195,Z195:AB195,AD195:AR195,AU195:AX195,BC195:BE195,BI195:BN195,BQ195:BR195,BV195)</f>
        <v>1019</v>
      </c>
      <c r="EC195" s="228">
        <f t="shared" si="171"/>
        <v>0</v>
      </c>
      <c r="ED195" s="230">
        <f>CB195+$CI195*TRP!$AV$248</f>
        <v>0</v>
      </c>
      <c r="EE195" s="228">
        <f t="shared" si="172"/>
        <v>0</v>
      </c>
      <c r="EF195" s="230">
        <f>CD195+$CI195*TRP!$AV$249</f>
        <v>0</v>
      </c>
      <c r="EG195" s="230">
        <f>CE195+$CI195*TRP!$AV$250</f>
        <v>0</v>
      </c>
      <c r="EH195" s="230">
        <f>CF195+$CI195*TRP!$AV$251</f>
        <v>0</v>
      </c>
      <c r="EI195" s="228">
        <f t="shared" si="173"/>
        <v>0</v>
      </c>
      <c r="EJ195" s="228">
        <f t="shared" si="174"/>
        <v>260</v>
      </c>
      <c r="EK195" s="228">
        <f t="shared" si="175"/>
        <v>0</v>
      </c>
      <c r="EL195" s="230">
        <f>BS195+$BP195*TRP!$AN$246</f>
        <v>0</v>
      </c>
      <c r="EM195" s="228">
        <f t="shared" si="176"/>
        <v>3116</v>
      </c>
      <c r="EN195" s="230">
        <f>BU195+$BP195*TRP!$AN$247</f>
        <v>3</v>
      </c>
    </row>
    <row r="196" spans="1:144" s="228" customFormat="1" ht="10.5" x14ac:dyDescent="0.25">
      <c r="A196" s="228" t="str">
        <f>TRP!C194</f>
        <v xml:space="preserve">GG15 </v>
      </c>
      <c r="B196" s="228" t="str">
        <f>TRP!B194</f>
        <v>RAFFINAGE DE PETROLE</v>
      </c>
      <c r="C196" s="233">
        <f>TRP!A194</f>
        <v>122</v>
      </c>
      <c r="D196" s="228">
        <f t="shared" ref="D196:BO196" si="179">D72</f>
        <v>3447</v>
      </c>
      <c r="E196" s="228">
        <f t="shared" si="179"/>
        <v>173</v>
      </c>
      <c r="F196" s="228">
        <f t="shared" si="179"/>
        <v>311</v>
      </c>
      <c r="G196" s="228">
        <f t="shared" si="179"/>
        <v>156</v>
      </c>
      <c r="H196" s="228">
        <f t="shared" si="179"/>
        <v>251</v>
      </c>
      <c r="I196" s="228">
        <f t="shared" si="179"/>
        <v>107</v>
      </c>
      <c r="J196" s="228">
        <f t="shared" si="179"/>
        <v>185</v>
      </c>
      <c r="K196" s="228">
        <f t="shared" si="179"/>
        <v>284</v>
      </c>
      <c r="L196" s="228">
        <f t="shared" si="179"/>
        <v>1</v>
      </c>
      <c r="M196" s="228">
        <f t="shared" si="179"/>
        <v>84</v>
      </c>
      <c r="N196" s="228">
        <f t="shared" si="179"/>
        <v>24</v>
      </c>
      <c r="O196" s="228">
        <f t="shared" si="179"/>
        <v>252</v>
      </c>
      <c r="P196" s="228">
        <f t="shared" si="179"/>
        <v>122</v>
      </c>
      <c r="Q196" s="228">
        <f t="shared" si="179"/>
        <v>140</v>
      </c>
      <c r="R196" s="228">
        <f t="shared" si="179"/>
        <v>117</v>
      </c>
      <c r="S196" s="228">
        <f t="shared" si="179"/>
        <v>13</v>
      </c>
      <c r="T196" s="228">
        <f t="shared" si="179"/>
        <v>46</v>
      </c>
      <c r="U196" s="228">
        <f t="shared" si="179"/>
        <v>24</v>
      </c>
      <c r="V196" s="228">
        <f t="shared" si="179"/>
        <v>9</v>
      </c>
      <c r="W196" s="228">
        <f t="shared" si="179"/>
        <v>22</v>
      </c>
      <c r="X196" s="228">
        <f t="shared" si="179"/>
        <v>384</v>
      </c>
      <c r="Y196" s="228">
        <f t="shared" si="179"/>
        <v>84</v>
      </c>
      <c r="Z196" s="228">
        <f t="shared" si="179"/>
        <v>16</v>
      </c>
      <c r="AA196" s="228">
        <f t="shared" si="179"/>
        <v>18</v>
      </c>
      <c r="AB196" s="228">
        <f t="shared" si="179"/>
        <v>77</v>
      </c>
      <c r="AC196" s="228">
        <f t="shared" si="179"/>
        <v>10</v>
      </c>
      <c r="AD196" s="228">
        <f t="shared" si="179"/>
        <v>36</v>
      </c>
      <c r="AE196" s="228">
        <f t="shared" si="179"/>
        <v>55</v>
      </c>
      <c r="AF196" s="228">
        <f t="shared" si="179"/>
        <v>77</v>
      </c>
      <c r="AG196" s="228">
        <f t="shared" si="179"/>
        <v>113</v>
      </c>
      <c r="AH196" s="228">
        <f t="shared" si="179"/>
        <v>42</v>
      </c>
      <c r="AI196" s="228">
        <f t="shared" si="179"/>
        <v>17</v>
      </c>
      <c r="AJ196" s="228">
        <f t="shared" si="179"/>
        <v>78</v>
      </c>
      <c r="AK196" s="228">
        <f t="shared" si="179"/>
        <v>15</v>
      </c>
      <c r="AL196" s="228">
        <f t="shared" si="179"/>
        <v>5</v>
      </c>
      <c r="AM196" s="228">
        <f t="shared" si="179"/>
        <v>28</v>
      </c>
      <c r="AN196" s="228">
        <f t="shared" si="179"/>
        <v>36</v>
      </c>
      <c r="AO196" s="228">
        <f t="shared" si="179"/>
        <v>30</v>
      </c>
      <c r="AP196" s="228">
        <f t="shared" si="179"/>
        <v>53</v>
      </c>
      <c r="AQ196" s="228">
        <f t="shared" si="179"/>
        <v>14</v>
      </c>
      <c r="AR196" s="228">
        <f t="shared" si="179"/>
        <v>281</v>
      </c>
      <c r="AS196" s="228">
        <f t="shared" si="179"/>
        <v>91</v>
      </c>
      <c r="AT196" s="228">
        <f t="shared" si="179"/>
        <v>533</v>
      </c>
      <c r="AU196" s="228">
        <f t="shared" si="179"/>
        <v>55</v>
      </c>
      <c r="AV196" s="228">
        <f t="shared" si="179"/>
        <v>33</v>
      </c>
      <c r="AW196" s="228">
        <f t="shared" si="179"/>
        <v>23</v>
      </c>
      <c r="AX196" s="228">
        <f t="shared" si="179"/>
        <v>118</v>
      </c>
      <c r="AY196" s="228">
        <f t="shared" si="179"/>
        <v>126</v>
      </c>
      <c r="AZ196" s="228">
        <f t="shared" si="179"/>
        <v>76</v>
      </c>
      <c r="BA196" s="228">
        <f t="shared" si="179"/>
        <v>112</v>
      </c>
      <c r="BB196" s="228">
        <f t="shared" si="179"/>
        <v>6931</v>
      </c>
      <c r="BC196" s="228">
        <f t="shared" si="179"/>
        <v>131</v>
      </c>
      <c r="BD196" s="228">
        <f t="shared" si="179"/>
        <v>10</v>
      </c>
      <c r="BE196" s="228">
        <f t="shared" si="179"/>
        <v>88</v>
      </c>
      <c r="BF196" s="228">
        <f t="shared" si="179"/>
        <v>168</v>
      </c>
      <c r="BG196" s="228">
        <f t="shared" si="179"/>
        <v>0</v>
      </c>
      <c r="BH196" s="228">
        <f t="shared" si="179"/>
        <v>0</v>
      </c>
      <c r="BI196" s="228">
        <f t="shared" si="179"/>
        <v>43</v>
      </c>
      <c r="BJ196" s="228">
        <f t="shared" si="179"/>
        <v>94</v>
      </c>
      <c r="BK196" s="228">
        <f t="shared" si="179"/>
        <v>103</v>
      </c>
      <c r="BL196" s="228">
        <f t="shared" si="179"/>
        <v>137</v>
      </c>
      <c r="BM196" s="228">
        <f t="shared" si="179"/>
        <v>65</v>
      </c>
      <c r="BN196" s="228">
        <f t="shared" si="179"/>
        <v>25</v>
      </c>
      <c r="BO196" s="228">
        <f t="shared" si="179"/>
        <v>0</v>
      </c>
      <c r="BP196" s="228">
        <f t="shared" ref="BP196:DP196" si="180">BP72</f>
        <v>5</v>
      </c>
      <c r="BQ196" s="228">
        <f t="shared" si="180"/>
        <v>0</v>
      </c>
      <c r="BR196" s="228">
        <f t="shared" si="180"/>
        <v>46</v>
      </c>
      <c r="BS196" s="228">
        <f t="shared" si="180"/>
        <v>7434</v>
      </c>
      <c r="BT196" s="228">
        <f t="shared" si="180"/>
        <v>490</v>
      </c>
      <c r="BU196" s="228">
        <f t="shared" si="180"/>
        <v>121</v>
      </c>
      <c r="BV196" s="228">
        <f t="shared" si="180"/>
        <v>135</v>
      </c>
      <c r="BW196" s="228">
        <f t="shared" si="180"/>
        <v>1537</v>
      </c>
      <c r="BX196" s="228">
        <f t="shared" si="180"/>
        <v>2241</v>
      </c>
      <c r="BY196" s="228">
        <f t="shared" si="180"/>
        <v>720</v>
      </c>
      <c r="BZ196" s="228">
        <f t="shared" si="180"/>
        <v>7007</v>
      </c>
      <c r="CA196" s="228">
        <f t="shared" si="180"/>
        <v>2369</v>
      </c>
      <c r="CB196" s="228">
        <f t="shared" si="180"/>
        <v>121</v>
      </c>
      <c r="CC196" s="228">
        <f t="shared" si="180"/>
        <v>1407</v>
      </c>
      <c r="CD196" s="228">
        <f t="shared" si="180"/>
        <v>6850</v>
      </c>
      <c r="CE196" s="228">
        <f t="shared" si="180"/>
        <v>951</v>
      </c>
      <c r="CF196" s="228">
        <f t="shared" si="180"/>
        <v>2459</v>
      </c>
      <c r="CG196" s="228">
        <f t="shared" si="180"/>
        <v>763</v>
      </c>
      <c r="CH196" s="228">
        <f t="shared" si="180"/>
        <v>281</v>
      </c>
      <c r="CI196" s="228">
        <f t="shared" si="180"/>
        <v>0</v>
      </c>
      <c r="CJ196" s="228">
        <f t="shared" si="180"/>
        <v>305</v>
      </c>
      <c r="CK196" s="228">
        <f t="shared" si="180"/>
        <v>92</v>
      </c>
      <c r="CL196" s="228">
        <f t="shared" si="180"/>
        <v>57</v>
      </c>
      <c r="CM196" s="228">
        <f t="shared" si="180"/>
        <v>164</v>
      </c>
      <c r="CN196" s="228">
        <f t="shared" si="180"/>
        <v>185</v>
      </c>
      <c r="CO196" s="228">
        <f t="shared" si="180"/>
        <v>751</v>
      </c>
      <c r="CP196" s="228">
        <f t="shared" si="180"/>
        <v>707</v>
      </c>
      <c r="CQ196" s="228">
        <f t="shared" si="180"/>
        <v>361</v>
      </c>
      <c r="CR196" s="228">
        <f t="shared" si="180"/>
        <v>321</v>
      </c>
      <c r="CS196" s="228">
        <f t="shared" si="180"/>
        <v>223</v>
      </c>
      <c r="CT196" s="228">
        <f t="shared" si="180"/>
        <v>510</v>
      </c>
      <c r="CU196" s="228">
        <f t="shared" si="180"/>
        <v>240</v>
      </c>
      <c r="CV196" s="228">
        <f t="shared" si="180"/>
        <v>41</v>
      </c>
      <c r="CW196" s="228">
        <f t="shared" si="180"/>
        <v>993</v>
      </c>
      <c r="CX196" s="228">
        <f t="shared" si="180"/>
        <v>118</v>
      </c>
      <c r="CY196" s="228">
        <f t="shared" si="180"/>
        <v>275</v>
      </c>
      <c r="CZ196" s="228">
        <f t="shared" si="180"/>
        <v>22</v>
      </c>
      <c r="DA196" s="228">
        <f t="shared" si="180"/>
        <v>1006</v>
      </c>
      <c r="DB196" s="228">
        <f t="shared" si="180"/>
        <v>331</v>
      </c>
      <c r="DC196" s="228">
        <f t="shared" si="180"/>
        <v>328</v>
      </c>
      <c r="DD196" s="228">
        <f t="shared" si="180"/>
        <v>395</v>
      </c>
      <c r="DE196" s="228">
        <f t="shared" si="180"/>
        <v>76</v>
      </c>
      <c r="DF196" s="228">
        <f t="shared" si="180"/>
        <v>0</v>
      </c>
      <c r="DG196" s="228">
        <f t="shared" si="180"/>
        <v>237</v>
      </c>
      <c r="DH196" s="228">
        <f t="shared" si="180"/>
        <v>208</v>
      </c>
      <c r="DI196" s="228">
        <f t="shared" si="180"/>
        <v>172</v>
      </c>
      <c r="DJ196" s="228">
        <f t="shared" si="180"/>
        <v>91</v>
      </c>
      <c r="DK196" s="228">
        <f t="shared" si="180"/>
        <v>15</v>
      </c>
      <c r="DL196" s="228">
        <f t="shared" si="180"/>
        <v>157</v>
      </c>
      <c r="DM196" s="228">
        <f t="shared" si="180"/>
        <v>95</v>
      </c>
      <c r="DN196" s="228">
        <f t="shared" si="180"/>
        <v>1328</v>
      </c>
      <c r="DO196" s="228">
        <f t="shared" si="180"/>
        <v>123</v>
      </c>
      <c r="DP196" s="232">
        <f t="shared" si="180"/>
        <v>61063</v>
      </c>
      <c r="DQ196" s="228">
        <f t="shared" si="161"/>
        <v>3931</v>
      </c>
      <c r="DR196" s="228">
        <f t="shared" si="162"/>
        <v>984</v>
      </c>
      <c r="DS196" s="230">
        <f>SUM(X196:Y196)+(1-TRP!$AK$253)*AC196</f>
        <v>475</v>
      </c>
      <c r="DT196" s="228">
        <f t="shared" si="163"/>
        <v>91</v>
      </c>
      <c r="DU196" s="228">
        <f t="shared" si="164"/>
        <v>533</v>
      </c>
      <c r="DV196" s="228">
        <f t="shared" si="165"/>
        <v>202</v>
      </c>
      <c r="DW196" s="228">
        <f t="shared" si="166"/>
        <v>112</v>
      </c>
      <c r="DX196" s="228">
        <f t="shared" si="167"/>
        <v>6931</v>
      </c>
      <c r="DY196" s="228">
        <f t="shared" si="168"/>
        <v>168</v>
      </c>
      <c r="DZ196" s="228">
        <f t="shared" si="169"/>
        <v>0</v>
      </c>
      <c r="EA196" s="228">
        <f t="shared" si="170"/>
        <v>0</v>
      </c>
      <c r="EB196" s="230">
        <f>TRP!$AK$253*$AC196+SUM(M196:W196,Z196:AB196,AD196:AR196,AU196:AX196,BC196:BE196,BI196:BN196,BQ196:BR196,BV196)</f>
        <v>2953</v>
      </c>
      <c r="EC196" s="228">
        <f t="shared" si="171"/>
        <v>3778</v>
      </c>
      <c r="ED196" s="230">
        <f>CB196+$CI196*TRP!$AV$248</f>
        <v>121</v>
      </c>
      <c r="EE196" s="228">
        <f t="shared" si="172"/>
        <v>1407</v>
      </c>
      <c r="EF196" s="230">
        <f>CD196+$CI196*TRP!$AV$249</f>
        <v>6850</v>
      </c>
      <c r="EG196" s="230">
        <f>CE196+$CI196*TRP!$AV$250</f>
        <v>951</v>
      </c>
      <c r="EH196" s="230">
        <f>CF196+$CI196*TRP!$AV$251</f>
        <v>2459</v>
      </c>
      <c r="EI196" s="228">
        <f t="shared" si="173"/>
        <v>19200</v>
      </c>
      <c r="EJ196" s="228">
        <f t="shared" si="174"/>
        <v>1867</v>
      </c>
      <c r="EK196" s="228">
        <f t="shared" si="175"/>
        <v>0</v>
      </c>
      <c r="EL196" s="230">
        <f>BS196+$BP196*TRP!$AN$246</f>
        <v>7437.6951643973553</v>
      </c>
      <c r="EM196" s="228">
        <f t="shared" si="176"/>
        <v>490</v>
      </c>
      <c r="EN196" s="230">
        <f>BU196+$BP196*TRP!$AN$247</f>
        <v>122.30483560264437</v>
      </c>
    </row>
    <row r="197" spans="1:144" s="228" customFormat="1" ht="10.5" x14ac:dyDescent="0.25">
      <c r="A197" s="228" t="str">
        <f>TRP!C195</f>
        <v xml:space="preserve">GG2A </v>
      </c>
      <c r="B197" s="228" t="str">
        <f>TRP!B195</f>
        <v>PRODUCTION ET DISTRIBUTION D ELECTRICITE</v>
      </c>
      <c r="C197" s="233">
        <f>TRP!A195</f>
        <v>23</v>
      </c>
      <c r="D197" s="228">
        <f t="shared" ref="D197:BO197" si="181">D73</f>
        <v>453</v>
      </c>
      <c r="E197" s="228">
        <f t="shared" si="181"/>
        <v>211</v>
      </c>
      <c r="F197" s="228">
        <f t="shared" si="181"/>
        <v>120</v>
      </c>
      <c r="G197" s="228">
        <f t="shared" si="181"/>
        <v>214</v>
      </c>
      <c r="H197" s="228">
        <f t="shared" si="181"/>
        <v>206</v>
      </c>
      <c r="I197" s="228">
        <f t="shared" si="181"/>
        <v>109</v>
      </c>
      <c r="J197" s="228">
        <f t="shared" si="181"/>
        <v>218</v>
      </c>
      <c r="K197" s="228">
        <f t="shared" si="181"/>
        <v>571</v>
      </c>
      <c r="L197" s="228">
        <f t="shared" si="181"/>
        <v>5</v>
      </c>
      <c r="M197" s="228">
        <f t="shared" si="181"/>
        <v>11</v>
      </c>
      <c r="N197" s="228">
        <f t="shared" si="181"/>
        <v>11</v>
      </c>
      <c r="O197" s="228">
        <f t="shared" si="181"/>
        <v>115</v>
      </c>
      <c r="P197" s="228">
        <f t="shared" si="181"/>
        <v>155</v>
      </c>
      <c r="Q197" s="228">
        <f t="shared" si="181"/>
        <v>38</v>
      </c>
      <c r="R197" s="228">
        <f t="shared" si="181"/>
        <v>63</v>
      </c>
      <c r="S197" s="228">
        <f t="shared" si="181"/>
        <v>5</v>
      </c>
      <c r="T197" s="228">
        <f t="shared" si="181"/>
        <v>19</v>
      </c>
      <c r="U197" s="228">
        <f t="shared" si="181"/>
        <v>20</v>
      </c>
      <c r="V197" s="228">
        <f t="shared" si="181"/>
        <v>3</v>
      </c>
      <c r="W197" s="228">
        <f t="shared" si="181"/>
        <v>7</v>
      </c>
      <c r="X197" s="228">
        <f t="shared" si="181"/>
        <v>233</v>
      </c>
      <c r="Y197" s="228">
        <f t="shared" si="181"/>
        <v>149</v>
      </c>
      <c r="Z197" s="228">
        <f t="shared" si="181"/>
        <v>100</v>
      </c>
      <c r="AA197" s="228">
        <f t="shared" si="181"/>
        <v>8</v>
      </c>
      <c r="AB197" s="228">
        <f t="shared" si="181"/>
        <v>107</v>
      </c>
      <c r="AC197" s="228">
        <f t="shared" si="181"/>
        <v>3</v>
      </c>
      <c r="AD197" s="228">
        <f t="shared" si="181"/>
        <v>21</v>
      </c>
      <c r="AE197" s="228">
        <f t="shared" si="181"/>
        <v>32</v>
      </c>
      <c r="AF197" s="228">
        <f t="shared" si="181"/>
        <v>61</v>
      </c>
      <c r="AG197" s="228">
        <f t="shared" si="181"/>
        <v>54</v>
      </c>
      <c r="AH197" s="228">
        <f t="shared" si="181"/>
        <v>17</v>
      </c>
      <c r="AI197" s="228">
        <f t="shared" si="181"/>
        <v>7</v>
      </c>
      <c r="AJ197" s="228">
        <f t="shared" si="181"/>
        <v>54</v>
      </c>
      <c r="AK197" s="228">
        <f t="shared" si="181"/>
        <v>7</v>
      </c>
      <c r="AL197" s="228">
        <f t="shared" si="181"/>
        <v>63</v>
      </c>
      <c r="AM197" s="228">
        <f t="shared" si="181"/>
        <v>22</v>
      </c>
      <c r="AN197" s="228">
        <f t="shared" si="181"/>
        <v>25</v>
      </c>
      <c r="AO197" s="228">
        <f t="shared" si="181"/>
        <v>26</v>
      </c>
      <c r="AP197" s="228">
        <f t="shared" si="181"/>
        <v>36</v>
      </c>
      <c r="AQ197" s="228">
        <f t="shared" si="181"/>
        <v>0</v>
      </c>
      <c r="AR197" s="228">
        <f t="shared" si="181"/>
        <v>118</v>
      </c>
      <c r="AS197" s="228">
        <f t="shared" si="181"/>
        <v>184</v>
      </c>
      <c r="AT197" s="228">
        <f t="shared" si="181"/>
        <v>304</v>
      </c>
      <c r="AU197" s="228">
        <f t="shared" si="181"/>
        <v>79</v>
      </c>
      <c r="AV197" s="228">
        <f t="shared" si="181"/>
        <v>29</v>
      </c>
      <c r="AW197" s="228">
        <f t="shared" si="181"/>
        <v>5</v>
      </c>
      <c r="AX197" s="228">
        <f t="shared" si="181"/>
        <v>151</v>
      </c>
      <c r="AY197" s="228">
        <f t="shared" si="181"/>
        <v>524</v>
      </c>
      <c r="AZ197" s="228">
        <f t="shared" si="181"/>
        <v>122</v>
      </c>
      <c r="BA197" s="228">
        <f t="shared" si="181"/>
        <v>351</v>
      </c>
      <c r="BB197" s="228">
        <f t="shared" si="181"/>
        <v>413</v>
      </c>
      <c r="BC197" s="228">
        <f t="shared" si="181"/>
        <v>81</v>
      </c>
      <c r="BD197" s="228">
        <f t="shared" si="181"/>
        <v>27</v>
      </c>
      <c r="BE197" s="228">
        <f t="shared" si="181"/>
        <v>122</v>
      </c>
      <c r="BF197" s="228">
        <f t="shared" si="181"/>
        <v>400</v>
      </c>
      <c r="BG197" s="228">
        <f t="shared" si="181"/>
        <v>520</v>
      </c>
      <c r="BH197" s="228">
        <f t="shared" si="181"/>
        <v>259</v>
      </c>
      <c r="BI197" s="228">
        <f t="shared" si="181"/>
        <v>134</v>
      </c>
      <c r="BJ197" s="228">
        <f t="shared" si="181"/>
        <v>271</v>
      </c>
      <c r="BK197" s="228">
        <f t="shared" si="181"/>
        <v>145</v>
      </c>
      <c r="BL197" s="228">
        <f t="shared" si="181"/>
        <v>26</v>
      </c>
      <c r="BM197" s="228">
        <f t="shared" si="181"/>
        <v>173</v>
      </c>
      <c r="BN197" s="228">
        <f t="shared" si="181"/>
        <v>76</v>
      </c>
      <c r="BO197" s="228">
        <f t="shared" si="181"/>
        <v>3</v>
      </c>
      <c r="BP197" s="228">
        <f t="shared" ref="BP197:DP197" si="182">BP73</f>
        <v>3</v>
      </c>
      <c r="BQ197" s="228">
        <f t="shared" si="182"/>
        <v>0</v>
      </c>
      <c r="BR197" s="228">
        <f t="shared" si="182"/>
        <v>180</v>
      </c>
      <c r="BS197" s="228">
        <f t="shared" si="182"/>
        <v>201</v>
      </c>
      <c r="BT197" s="228">
        <f t="shared" si="182"/>
        <v>10864</v>
      </c>
      <c r="BU197" s="228">
        <f t="shared" si="182"/>
        <v>99</v>
      </c>
      <c r="BV197" s="228">
        <f t="shared" si="182"/>
        <v>217</v>
      </c>
      <c r="BW197" s="228">
        <f t="shared" si="182"/>
        <v>242</v>
      </c>
      <c r="BX197" s="228">
        <f t="shared" si="182"/>
        <v>324</v>
      </c>
      <c r="BY197" s="228">
        <f t="shared" si="182"/>
        <v>318</v>
      </c>
      <c r="BZ197" s="228">
        <f t="shared" si="182"/>
        <v>719</v>
      </c>
      <c r="CA197" s="228">
        <f t="shared" si="182"/>
        <v>1071</v>
      </c>
      <c r="CB197" s="228">
        <f t="shared" si="182"/>
        <v>382</v>
      </c>
      <c r="CC197" s="228">
        <f t="shared" si="182"/>
        <v>143</v>
      </c>
      <c r="CD197" s="228">
        <f t="shared" si="182"/>
        <v>49</v>
      </c>
      <c r="CE197" s="228">
        <f t="shared" si="182"/>
        <v>0</v>
      </c>
      <c r="CF197" s="228">
        <f t="shared" si="182"/>
        <v>10</v>
      </c>
      <c r="CG197" s="228">
        <f t="shared" si="182"/>
        <v>84</v>
      </c>
      <c r="CH197" s="228">
        <f t="shared" si="182"/>
        <v>3</v>
      </c>
      <c r="CI197" s="228">
        <f t="shared" si="182"/>
        <v>45</v>
      </c>
      <c r="CJ197" s="228">
        <f t="shared" si="182"/>
        <v>230</v>
      </c>
      <c r="CK197" s="228">
        <f t="shared" si="182"/>
        <v>77</v>
      </c>
      <c r="CL197" s="228">
        <f t="shared" si="182"/>
        <v>100</v>
      </c>
      <c r="CM197" s="228">
        <f t="shared" si="182"/>
        <v>164</v>
      </c>
      <c r="CN197" s="228">
        <f t="shared" si="182"/>
        <v>481</v>
      </c>
      <c r="CO197" s="228">
        <f t="shared" si="182"/>
        <v>562</v>
      </c>
      <c r="CP197" s="228">
        <f t="shared" si="182"/>
        <v>86</v>
      </c>
      <c r="CQ197" s="228">
        <f t="shared" si="182"/>
        <v>124</v>
      </c>
      <c r="CR197" s="228">
        <f t="shared" si="182"/>
        <v>219</v>
      </c>
      <c r="CS197" s="228">
        <f t="shared" si="182"/>
        <v>62</v>
      </c>
      <c r="CT197" s="228">
        <f t="shared" si="182"/>
        <v>103</v>
      </c>
      <c r="CU197" s="228">
        <f t="shared" si="182"/>
        <v>22</v>
      </c>
      <c r="CV197" s="228">
        <f t="shared" si="182"/>
        <v>9</v>
      </c>
      <c r="CW197" s="228">
        <f t="shared" si="182"/>
        <v>146</v>
      </c>
      <c r="CX197" s="228">
        <f t="shared" si="182"/>
        <v>80</v>
      </c>
      <c r="CY197" s="228">
        <f t="shared" si="182"/>
        <v>64</v>
      </c>
      <c r="CZ197" s="228">
        <f t="shared" si="182"/>
        <v>94</v>
      </c>
      <c r="DA197" s="228">
        <f t="shared" si="182"/>
        <v>738</v>
      </c>
      <c r="DB197" s="228">
        <f t="shared" si="182"/>
        <v>100</v>
      </c>
      <c r="DC197" s="228">
        <f t="shared" si="182"/>
        <v>121</v>
      </c>
      <c r="DD197" s="228">
        <f t="shared" si="182"/>
        <v>799</v>
      </c>
      <c r="DE197" s="228">
        <f t="shared" si="182"/>
        <v>78</v>
      </c>
      <c r="DF197" s="228">
        <f t="shared" si="182"/>
        <v>0</v>
      </c>
      <c r="DG197" s="228">
        <f t="shared" si="182"/>
        <v>48</v>
      </c>
      <c r="DH197" s="228">
        <f t="shared" si="182"/>
        <v>901</v>
      </c>
      <c r="DI197" s="228">
        <f t="shared" si="182"/>
        <v>182</v>
      </c>
      <c r="DJ197" s="228">
        <f t="shared" si="182"/>
        <v>12</v>
      </c>
      <c r="DK197" s="228">
        <f t="shared" si="182"/>
        <v>4</v>
      </c>
      <c r="DL197" s="228">
        <f t="shared" si="182"/>
        <v>100</v>
      </c>
      <c r="DM197" s="228">
        <f t="shared" si="182"/>
        <v>290</v>
      </c>
      <c r="DN197" s="228">
        <f t="shared" si="182"/>
        <v>1526</v>
      </c>
      <c r="DO197" s="228">
        <f t="shared" si="182"/>
        <v>152</v>
      </c>
      <c r="DP197" s="232">
        <f t="shared" si="182"/>
        <v>30724</v>
      </c>
      <c r="DQ197" s="228">
        <f t="shared" si="161"/>
        <v>784</v>
      </c>
      <c r="DR197" s="228">
        <f t="shared" si="162"/>
        <v>1323</v>
      </c>
      <c r="DS197" s="230">
        <f>SUM(X197:Y197)+(1-TRP!$AK$253)*AC197</f>
        <v>384.1</v>
      </c>
      <c r="DT197" s="228">
        <f t="shared" si="163"/>
        <v>184</v>
      </c>
      <c r="DU197" s="228">
        <f t="shared" si="164"/>
        <v>304</v>
      </c>
      <c r="DV197" s="228">
        <f t="shared" si="165"/>
        <v>646</v>
      </c>
      <c r="DW197" s="228">
        <f t="shared" si="166"/>
        <v>351</v>
      </c>
      <c r="DX197" s="228">
        <f t="shared" si="167"/>
        <v>413</v>
      </c>
      <c r="DY197" s="228">
        <f t="shared" si="168"/>
        <v>400</v>
      </c>
      <c r="DZ197" s="228">
        <f t="shared" si="169"/>
        <v>520</v>
      </c>
      <c r="EA197" s="228">
        <f t="shared" si="170"/>
        <v>259</v>
      </c>
      <c r="EB197" s="230">
        <f>TRP!$AK$253*$AC197+SUM(M197:W197,Z197:AB197,AD197:AR197,AU197:AX197,BC197:BE197,BI197:BN197,BQ197:BR197,BV197)</f>
        <v>2921.9</v>
      </c>
      <c r="EC197" s="228">
        <f t="shared" si="171"/>
        <v>566</v>
      </c>
      <c r="ED197" s="230">
        <f>CB197+$CI197*TRP!$AV$248</f>
        <v>383.39519126131859</v>
      </c>
      <c r="EE197" s="228">
        <f t="shared" si="172"/>
        <v>143</v>
      </c>
      <c r="EF197" s="230">
        <f>CD197+$CI197*TRP!$AV$249</f>
        <v>80.193810296226985</v>
      </c>
      <c r="EG197" s="230">
        <f>CE197+$CI197*TRP!$AV$250</f>
        <v>9.0987061518650947</v>
      </c>
      <c r="EH197" s="230">
        <f>CF197+$CI197*TRP!$AV$251</f>
        <v>13.312292290589316</v>
      </c>
      <c r="EI197" s="228">
        <f t="shared" si="173"/>
        <v>6894</v>
      </c>
      <c r="EJ197" s="228">
        <f t="shared" si="174"/>
        <v>2975</v>
      </c>
      <c r="EK197" s="228">
        <f t="shared" si="175"/>
        <v>3</v>
      </c>
      <c r="EL197" s="230">
        <f>BS197+$BP197*TRP!$AN$246</f>
        <v>203.21709863841338</v>
      </c>
      <c r="EM197" s="228">
        <f t="shared" si="176"/>
        <v>10864</v>
      </c>
      <c r="EN197" s="230">
        <f>BU197+$BP197*TRP!$AN$247</f>
        <v>99.782901361586624</v>
      </c>
    </row>
    <row r="198" spans="1:144" s="228" customFormat="1" ht="10.5" x14ac:dyDescent="0.25">
      <c r="A198" s="228" t="str">
        <f>TRP!C196</f>
        <v xml:space="preserve">GG2B </v>
      </c>
      <c r="B198" s="228" t="str">
        <f>TRP!B196</f>
        <v>PRODUCTION ET DISTRIBUTION DE COMBUSTIBLE GAZEUX</v>
      </c>
      <c r="C198" s="233">
        <f>TRP!A196</f>
        <v>124</v>
      </c>
      <c r="D198" s="228">
        <f t="shared" ref="D198:BO198" si="183">D74</f>
        <v>148</v>
      </c>
      <c r="E198" s="228">
        <f t="shared" si="183"/>
        <v>5</v>
      </c>
      <c r="F198" s="228">
        <f t="shared" si="183"/>
        <v>22</v>
      </c>
      <c r="G198" s="228">
        <f t="shared" si="183"/>
        <v>89</v>
      </c>
      <c r="H198" s="228">
        <f t="shared" si="183"/>
        <v>347</v>
      </c>
      <c r="I198" s="228">
        <f t="shared" si="183"/>
        <v>66</v>
      </c>
      <c r="J198" s="228">
        <f t="shared" si="183"/>
        <v>178</v>
      </c>
      <c r="K198" s="228">
        <f t="shared" si="183"/>
        <v>366</v>
      </c>
      <c r="L198" s="228">
        <f t="shared" si="183"/>
        <v>1</v>
      </c>
      <c r="M198" s="228">
        <f t="shared" si="183"/>
        <v>3</v>
      </c>
      <c r="N198" s="228">
        <f t="shared" si="183"/>
        <v>15</v>
      </c>
      <c r="O198" s="228">
        <f t="shared" si="183"/>
        <v>37</v>
      </c>
      <c r="P198" s="228">
        <f t="shared" si="183"/>
        <v>116</v>
      </c>
      <c r="Q198" s="228">
        <f t="shared" si="183"/>
        <v>22</v>
      </c>
      <c r="R198" s="228">
        <f t="shared" si="183"/>
        <v>14</v>
      </c>
      <c r="S198" s="228">
        <f t="shared" si="183"/>
        <v>1</v>
      </c>
      <c r="T198" s="228">
        <f t="shared" si="183"/>
        <v>7</v>
      </c>
      <c r="U198" s="228">
        <f t="shared" si="183"/>
        <v>11</v>
      </c>
      <c r="V198" s="228">
        <f t="shared" si="183"/>
        <v>2</v>
      </c>
      <c r="W198" s="228">
        <f t="shared" si="183"/>
        <v>1</v>
      </c>
      <c r="X198" s="228">
        <f t="shared" si="183"/>
        <v>139</v>
      </c>
      <c r="Y198" s="228">
        <f t="shared" si="183"/>
        <v>55</v>
      </c>
      <c r="Z198" s="228">
        <f t="shared" si="183"/>
        <v>16</v>
      </c>
      <c r="AA198" s="228">
        <f t="shared" si="183"/>
        <v>7</v>
      </c>
      <c r="AB198" s="228">
        <f t="shared" si="183"/>
        <v>50</v>
      </c>
      <c r="AC198" s="228">
        <f t="shared" si="183"/>
        <v>6</v>
      </c>
      <c r="AD198" s="228">
        <f t="shared" si="183"/>
        <v>13</v>
      </c>
      <c r="AE198" s="228">
        <f t="shared" si="183"/>
        <v>18</v>
      </c>
      <c r="AF198" s="228">
        <f t="shared" si="183"/>
        <v>25</v>
      </c>
      <c r="AG198" s="228">
        <f t="shared" si="183"/>
        <v>26</v>
      </c>
      <c r="AH198" s="228">
        <f t="shared" si="183"/>
        <v>9</v>
      </c>
      <c r="AI198" s="228">
        <f t="shared" si="183"/>
        <v>7</v>
      </c>
      <c r="AJ198" s="228">
        <f t="shared" si="183"/>
        <v>22</v>
      </c>
      <c r="AK198" s="228">
        <f t="shared" si="183"/>
        <v>4</v>
      </c>
      <c r="AL198" s="228">
        <f t="shared" si="183"/>
        <v>6</v>
      </c>
      <c r="AM198" s="228">
        <f t="shared" si="183"/>
        <v>11</v>
      </c>
      <c r="AN198" s="228">
        <f t="shared" si="183"/>
        <v>6</v>
      </c>
      <c r="AO198" s="228">
        <f t="shared" si="183"/>
        <v>5</v>
      </c>
      <c r="AP198" s="228">
        <f t="shared" si="183"/>
        <v>12</v>
      </c>
      <c r="AQ198" s="228">
        <f t="shared" si="183"/>
        <v>0</v>
      </c>
      <c r="AR198" s="228">
        <f t="shared" si="183"/>
        <v>70</v>
      </c>
      <c r="AS198" s="228">
        <f t="shared" si="183"/>
        <v>198</v>
      </c>
      <c r="AT198" s="228">
        <f t="shared" si="183"/>
        <v>310</v>
      </c>
      <c r="AU198" s="228">
        <f t="shared" si="183"/>
        <v>60</v>
      </c>
      <c r="AV198" s="228">
        <f t="shared" si="183"/>
        <v>19</v>
      </c>
      <c r="AW198" s="228">
        <f t="shared" si="183"/>
        <v>5</v>
      </c>
      <c r="AX198" s="228">
        <f t="shared" si="183"/>
        <v>22</v>
      </c>
      <c r="AY198" s="228">
        <f t="shared" si="183"/>
        <v>373</v>
      </c>
      <c r="AZ198" s="228">
        <f t="shared" si="183"/>
        <v>78</v>
      </c>
      <c r="BA198" s="228">
        <f t="shared" si="183"/>
        <v>581</v>
      </c>
      <c r="BB198" s="228">
        <f t="shared" si="183"/>
        <v>846</v>
      </c>
      <c r="BC198" s="228">
        <f t="shared" si="183"/>
        <v>77</v>
      </c>
      <c r="BD198" s="228">
        <f t="shared" si="183"/>
        <v>20</v>
      </c>
      <c r="BE198" s="228">
        <f t="shared" si="183"/>
        <v>116</v>
      </c>
      <c r="BF198" s="228">
        <f t="shared" si="183"/>
        <v>79</v>
      </c>
      <c r="BG198" s="228">
        <f t="shared" si="183"/>
        <v>328</v>
      </c>
      <c r="BH198" s="228">
        <f t="shared" si="183"/>
        <v>102</v>
      </c>
      <c r="BI198" s="228">
        <f t="shared" si="183"/>
        <v>52</v>
      </c>
      <c r="BJ198" s="228">
        <f t="shared" si="183"/>
        <v>114</v>
      </c>
      <c r="BK198" s="228">
        <f t="shared" si="183"/>
        <v>65</v>
      </c>
      <c r="BL198" s="228">
        <f t="shared" si="183"/>
        <v>16</v>
      </c>
      <c r="BM198" s="228">
        <f t="shared" si="183"/>
        <v>47</v>
      </c>
      <c r="BN198" s="228">
        <f t="shared" si="183"/>
        <v>16</v>
      </c>
      <c r="BO198" s="228">
        <f t="shared" si="183"/>
        <v>0</v>
      </c>
      <c r="BP198" s="228">
        <f t="shared" ref="BP198:DP198" si="184">BP74</f>
        <v>0</v>
      </c>
      <c r="BQ198" s="228">
        <f t="shared" si="184"/>
        <v>0</v>
      </c>
      <c r="BR198" s="228">
        <f t="shared" si="184"/>
        <v>24</v>
      </c>
      <c r="BS198" s="228">
        <f t="shared" si="184"/>
        <v>21</v>
      </c>
      <c r="BT198" s="228">
        <f t="shared" si="184"/>
        <v>436</v>
      </c>
      <c r="BU198" s="228">
        <f t="shared" si="184"/>
        <v>6684</v>
      </c>
      <c r="BV198" s="228">
        <f t="shared" si="184"/>
        <v>27</v>
      </c>
      <c r="BW198" s="228">
        <f t="shared" si="184"/>
        <v>42</v>
      </c>
      <c r="BX198" s="228">
        <f t="shared" si="184"/>
        <v>6</v>
      </c>
      <c r="BY198" s="228">
        <f t="shared" si="184"/>
        <v>25</v>
      </c>
      <c r="BZ198" s="228">
        <f t="shared" si="184"/>
        <v>150</v>
      </c>
      <c r="CA198" s="228">
        <f t="shared" si="184"/>
        <v>274</v>
      </c>
      <c r="CB198" s="228">
        <f t="shared" si="184"/>
        <v>46</v>
      </c>
      <c r="CC198" s="228">
        <f t="shared" si="184"/>
        <v>63</v>
      </c>
      <c r="CD198" s="228">
        <f t="shared" si="184"/>
        <v>52</v>
      </c>
      <c r="CE198" s="228">
        <f t="shared" si="184"/>
        <v>0</v>
      </c>
      <c r="CF198" s="228">
        <f t="shared" si="184"/>
        <v>1</v>
      </c>
      <c r="CG198" s="228">
        <f t="shared" si="184"/>
        <v>194</v>
      </c>
      <c r="CH198" s="228">
        <f t="shared" si="184"/>
        <v>2</v>
      </c>
      <c r="CI198" s="228">
        <f t="shared" si="184"/>
        <v>14</v>
      </c>
      <c r="CJ198" s="228">
        <f t="shared" si="184"/>
        <v>63</v>
      </c>
      <c r="CK198" s="228">
        <f t="shared" si="184"/>
        <v>34</v>
      </c>
      <c r="CL198" s="228">
        <f t="shared" si="184"/>
        <v>26</v>
      </c>
      <c r="CM198" s="228">
        <f t="shared" si="184"/>
        <v>10</v>
      </c>
      <c r="CN198" s="228">
        <f t="shared" si="184"/>
        <v>41</v>
      </c>
      <c r="CO198" s="228">
        <f t="shared" si="184"/>
        <v>138</v>
      </c>
      <c r="CP198" s="228">
        <f t="shared" si="184"/>
        <v>16</v>
      </c>
      <c r="CQ198" s="228">
        <f t="shared" si="184"/>
        <v>57</v>
      </c>
      <c r="CR198" s="228">
        <f t="shared" si="184"/>
        <v>85</v>
      </c>
      <c r="CS198" s="228">
        <f t="shared" si="184"/>
        <v>19</v>
      </c>
      <c r="CT198" s="228">
        <f t="shared" si="184"/>
        <v>27</v>
      </c>
      <c r="CU198" s="228">
        <f t="shared" si="184"/>
        <v>2</v>
      </c>
      <c r="CV198" s="228">
        <f t="shared" si="184"/>
        <v>1</v>
      </c>
      <c r="CW198" s="228">
        <f t="shared" si="184"/>
        <v>34</v>
      </c>
      <c r="CX198" s="228">
        <f t="shared" si="184"/>
        <v>40</v>
      </c>
      <c r="CY198" s="228">
        <f t="shared" si="184"/>
        <v>7</v>
      </c>
      <c r="CZ198" s="228">
        <f t="shared" si="184"/>
        <v>19</v>
      </c>
      <c r="DA198" s="228">
        <f t="shared" si="184"/>
        <v>424</v>
      </c>
      <c r="DB198" s="228">
        <f t="shared" si="184"/>
        <v>56</v>
      </c>
      <c r="DC198" s="228">
        <f t="shared" si="184"/>
        <v>69</v>
      </c>
      <c r="DD198" s="228">
        <f t="shared" si="184"/>
        <v>216</v>
      </c>
      <c r="DE198" s="228">
        <f t="shared" si="184"/>
        <v>47</v>
      </c>
      <c r="DF198" s="228">
        <f t="shared" si="184"/>
        <v>0</v>
      </c>
      <c r="DG198" s="228">
        <f t="shared" si="184"/>
        <v>132</v>
      </c>
      <c r="DH198" s="228">
        <f t="shared" si="184"/>
        <v>534</v>
      </c>
      <c r="DI198" s="228">
        <f t="shared" si="184"/>
        <v>256</v>
      </c>
      <c r="DJ198" s="228">
        <f t="shared" si="184"/>
        <v>426</v>
      </c>
      <c r="DK198" s="228">
        <f t="shared" si="184"/>
        <v>7</v>
      </c>
      <c r="DL198" s="228">
        <f t="shared" si="184"/>
        <v>187</v>
      </c>
      <c r="DM198" s="228">
        <f t="shared" si="184"/>
        <v>124</v>
      </c>
      <c r="DN198" s="228">
        <f t="shared" si="184"/>
        <v>330</v>
      </c>
      <c r="DO198" s="228">
        <f t="shared" si="184"/>
        <v>61</v>
      </c>
      <c r="DP198" s="232">
        <f t="shared" si="184"/>
        <v>17031</v>
      </c>
      <c r="DQ198" s="228">
        <f t="shared" si="161"/>
        <v>175</v>
      </c>
      <c r="DR198" s="228">
        <f t="shared" si="162"/>
        <v>1047</v>
      </c>
      <c r="DS198" s="230">
        <f>SUM(X198:Y198)+(1-TRP!$AK$253)*AC198</f>
        <v>198.2</v>
      </c>
      <c r="DT198" s="228">
        <f t="shared" si="163"/>
        <v>198</v>
      </c>
      <c r="DU198" s="228">
        <f t="shared" si="164"/>
        <v>310</v>
      </c>
      <c r="DV198" s="228">
        <f t="shared" si="165"/>
        <v>451</v>
      </c>
      <c r="DW198" s="228">
        <f t="shared" si="166"/>
        <v>581</v>
      </c>
      <c r="DX198" s="228">
        <f t="shared" si="167"/>
        <v>846</v>
      </c>
      <c r="DY198" s="228">
        <f t="shared" si="168"/>
        <v>79</v>
      </c>
      <c r="DZ198" s="228">
        <f t="shared" si="169"/>
        <v>328</v>
      </c>
      <c r="EA198" s="228">
        <f t="shared" si="170"/>
        <v>102</v>
      </c>
      <c r="EB198" s="230">
        <f>TRP!$AK$253*$AC198+SUM(M198:W198,Z198:AB198,AD198:AR198,AU198:AX198,BC198:BE198,BI198:BN198,BQ198:BR198,BV198)</f>
        <v>1217.8</v>
      </c>
      <c r="EC198" s="228">
        <f t="shared" si="171"/>
        <v>48</v>
      </c>
      <c r="ED198" s="230">
        <f>CB198+$CI198*TRP!$AV$248</f>
        <v>46.434059503521347</v>
      </c>
      <c r="EE198" s="228">
        <f t="shared" si="172"/>
        <v>63</v>
      </c>
      <c r="EF198" s="230">
        <f>CD198+$CI198*TRP!$AV$249</f>
        <v>61.704740981048396</v>
      </c>
      <c r="EG198" s="230">
        <f>CE198+$CI198*TRP!$AV$250</f>
        <v>2.8307085805802519</v>
      </c>
      <c r="EH198" s="230">
        <f>CF198+$CI198*TRP!$AV$251</f>
        <v>2.0304909348500093</v>
      </c>
      <c r="EI198" s="228">
        <f t="shared" si="173"/>
        <v>2639</v>
      </c>
      <c r="EJ198" s="228">
        <f t="shared" si="174"/>
        <v>1494</v>
      </c>
      <c r="EK198" s="228">
        <f t="shared" si="175"/>
        <v>0</v>
      </c>
      <c r="EL198" s="230">
        <f>BS198+$BP198*TRP!$AN$246</f>
        <v>21</v>
      </c>
      <c r="EM198" s="228">
        <f t="shared" si="176"/>
        <v>436</v>
      </c>
      <c r="EN198" s="230">
        <f>BU198+$BP198*TRP!$AN$247</f>
        <v>6684</v>
      </c>
    </row>
    <row r="199" spans="1:144" s="228" customFormat="1" ht="10.5" x14ac:dyDescent="0.25">
      <c r="A199" s="228" t="str">
        <f>TRP!C197</f>
        <v xml:space="preserve">GG22 </v>
      </c>
      <c r="B199" s="228" t="str">
        <f>TRP!B197</f>
        <v>CAPTAGE  TRAITEMENT ET DISTRIBUTION D EA</v>
      </c>
      <c r="C199" s="233">
        <f>TRP!A197</f>
        <v>12</v>
      </c>
      <c r="D199" s="228">
        <f t="shared" ref="D199:BO199" si="185">D75</f>
        <v>332</v>
      </c>
      <c r="E199" s="228">
        <f t="shared" si="185"/>
        <v>1</v>
      </c>
      <c r="F199" s="228">
        <f t="shared" si="185"/>
        <v>22</v>
      </c>
      <c r="G199" s="228">
        <f t="shared" si="185"/>
        <v>129</v>
      </c>
      <c r="H199" s="228">
        <f t="shared" si="185"/>
        <v>23</v>
      </c>
      <c r="I199" s="228">
        <f t="shared" si="185"/>
        <v>75</v>
      </c>
      <c r="J199" s="228">
        <f t="shared" si="185"/>
        <v>8</v>
      </c>
      <c r="K199" s="228">
        <f t="shared" si="185"/>
        <v>143</v>
      </c>
      <c r="L199" s="228">
        <f t="shared" si="185"/>
        <v>1</v>
      </c>
      <c r="M199" s="228">
        <f t="shared" si="185"/>
        <v>9</v>
      </c>
      <c r="N199" s="228">
        <f t="shared" si="185"/>
        <v>3</v>
      </c>
      <c r="O199" s="228">
        <f t="shared" si="185"/>
        <v>24</v>
      </c>
      <c r="P199" s="228">
        <f t="shared" si="185"/>
        <v>13</v>
      </c>
      <c r="Q199" s="228">
        <f t="shared" si="185"/>
        <v>8</v>
      </c>
      <c r="R199" s="228">
        <f t="shared" si="185"/>
        <v>7</v>
      </c>
      <c r="S199" s="228">
        <f t="shared" si="185"/>
        <v>6</v>
      </c>
      <c r="T199" s="228">
        <f t="shared" si="185"/>
        <v>10</v>
      </c>
      <c r="U199" s="228">
        <f t="shared" si="185"/>
        <v>1</v>
      </c>
      <c r="V199" s="228">
        <f t="shared" si="185"/>
        <v>3</v>
      </c>
      <c r="W199" s="228">
        <f t="shared" si="185"/>
        <v>1</v>
      </c>
      <c r="X199" s="228">
        <f t="shared" si="185"/>
        <v>23</v>
      </c>
      <c r="Y199" s="228">
        <f t="shared" si="185"/>
        <v>12</v>
      </c>
      <c r="Z199" s="228">
        <f t="shared" si="185"/>
        <v>4</v>
      </c>
      <c r="AA199" s="228">
        <f t="shared" si="185"/>
        <v>4</v>
      </c>
      <c r="AB199" s="228">
        <f t="shared" si="185"/>
        <v>22</v>
      </c>
      <c r="AC199" s="228">
        <f t="shared" si="185"/>
        <v>2</v>
      </c>
      <c r="AD199" s="228">
        <f t="shared" si="185"/>
        <v>14</v>
      </c>
      <c r="AE199" s="228">
        <f t="shared" si="185"/>
        <v>22</v>
      </c>
      <c r="AF199" s="228">
        <f t="shared" si="185"/>
        <v>24</v>
      </c>
      <c r="AG199" s="228">
        <f t="shared" si="185"/>
        <v>35</v>
      </c>
      <c r="AH199" s="228">
        <f t="shared" si="185"/>
        <v>4</v>
      </c>
      <c r="AI199" s="228">
        <f t="shared" si="185"/>
        <v>1</v>
      </c>
      <c r="AJ199" s="228">
        <f t="shared" si="185"/>
        <v>14</v>
      </c>
      <c r="AK199" s="228">
        <f t="shared" si="185"/>
        <v>7</v>
      </c>
      <c r="AL199" s="228">
        <f t="shared" si="185"/>
        <v>1</v>
      </c>
      <c r="AM199" s="228">
        <f t="shared" si="185"/>
        <v>9</v>
      </c>
      <c r="AN199" s="228">
        <f t="shared" si="185"/>
        <v>9</v>
      </c>
      <c r="AO199" s="228">
        <f t="shared" si="185"/>
        <v>12</v>
      </c>
      <c r="AP199" s="228">
        <f t="shared" si="185"/>
        <v>15</v>
      </c>
      <c r="AQ199" s="228">
        <f t="shared" si="185"/>
        <v>0</v>
      </c>
      <c r="AR199" s="228">
        <f t="shared" si="185"/>
        <v>0</v>
      </c>
      <c r="AS199" s="228">
        <f t="shared" si="185"/>
        <v>10</v>
      </c>
      <c r="AT199" s="228">
        <f t="shared" si="185"/>
        <v>17</v>
      </c>
      <c r="AU199" s="228">
        <f t="shared" si="185"/>
        <v>12</v>
      </c>
      <c r="AV199" s="228">
        <f t="shared" si="185"/>
        <v>12</v>
      </c>
      <c r="AW199" s="228">
        <f t="shared" si="185"/>
        <v>3</v>
      </c>
      <c r="AX199" s="228">
        <f t="shared" si="185"/>
        <v>22</v>
      </c>
      <c r="AY199" s="228">
        <f t="shared" si="185"/>
        <v>21</v>
      </c>
      <c r="AZ199" s="228">
        <f t="shared" si="185"/>
        <v>26</v>
      </c>
      <c r="BA199" s="228">
        <f t="shared" si="185"/>
        <v>17</v>
      </c>
      <c r="BB199" s="228">
        <f t="shared" si="185"/>
        <v>43</v>
      </c>
      <c r="BC199" s="228">
        <f t="shared" si="185"/>
        <v>32</v>
      </c>
      <c r="BD199" s="228">
        <f t="shared" si="185"/>
        <v>6</v>
      </c>
      <c r="BE199" s="228">
        <f t="shared" si="185"/>
        <v>10</v>
      </c>
      <c r="BF199" s="228">
        <f t="shared" si="185"/>
        <v>28</v>
      </c>
      <c r="BG199" s="228">
        <f t="shared" si="185"/>
        <v>81</v>
      </c>
      <c r="BH199" s="228">
        <f t="shared" si="185"/>
        <v>17</v>
      </c>
      <c r="BI199" s="228">
        <f t="shared" si="185"/>
        <v>20</v>
      </c>
      <c r="BJ199" s="228">
        <f t="shared" si="185"/>
        <v>39</v>
      </c>
      <c r="BK199" s="228">
        <f t="shared" si="185"/>
        <v>26</v>
      </c>
      <c r="BL199" s="228">
        <f t="shared" si="185"/>
        <v>6</v>
      </c>
      <c r="BM199" s="228">
        <f t="shared" si="185"/>
        <v>16</v>
      </c>
      <c r="BN199" s="228">
        <f t="shared" si="185"/>
        <v>11</v>
      </c>
      <c r="BO199" s="228">
        <f t="shared" si="185"/>
        <v>0</v>
      </c>
      <c r="BP199" s="228">
        <f t="shared" ref="BP199:DP199" si="186">BP75</f>
        <v>0</v>
      </c>
      <c r="BQ199" s="228">
        <f t="shared" si="186"/>
        <v>0</v>
      </c>
      <c r="BR199" s="228">
        <f t="shared" si="186"/>
        <v>5</v>
      </c>
      <c r="BS199" s="228">
        <f t="shared" si="186"/>
        <v>63</v>
      </c>
      <c r="BT199" s="228">
        <f t="shared" si="186"/>
        <v>72</v>
      </c>
      <c r="BU199" s="228">
        <f t="shared" si="186"/>
        <v>30</v>
      </c>
      <c r="BV199" s="228">
        <f t="shared" si="186"/>
        <v>1361</v>
      </c>
      <c r="BW199" s="228">
        <f t="shared" si="186"/>
        <v>120</v>
      </c>
      <c r="BX199" s="228">
        <f t="shared" si="186"/>
        <v>47</v>
      </c>
      <c r="BY199" s="228">
        <f t="shared" si="186"/>
        <v>52</v>
      </c>
      <c r="BZ199" s="228">
        <f t="shared" si="186"/>
        <v>209</v>
      </c>
      <c r="CA199" s="228">
        <f t="shared" si="186"/>
        <v>154</v>
      </c>
      <c r="CB199" s="228">
        <f t="shared" si="186"/>
        <v>1</v>
      </c>
      <c r="CC199" s="228">
        <f t="shared" si="186"/>
        <v>2</v>
      </c>
      <c r="CD199" s="228">
        <f t="shared" si="186"/>
        <v>7</v>
      </c>
      <c r="CE199" s="228">
        <f t="shared" si="186"/>
        <v>2</v>
      </c>
      <c r="CF199" s="228">
        <f t="shared" si="186"/>
        <v>8</v>
      </c>
      <c r="CG199" s="228">
        <f t="shared" si="186"/>
        <v>20</v>
      </c>
      <c r="CH199" s="228">
        <f t="shared" si="186"/>
        <v>22</v>
      </c>
      <c r="CI199" s="228">
        <f t="shared" si="186"/>
        <v>20</v>
      </c>
      <c r="CJ199" s="228">
        <f t="shared" si="186"/>
        <v>35</v>
      </c>
      <c r="CK199" s="228">
        <f t="shared" si="186"/>
        <v>6</v>
      </c>
      <c r="CL199" s="228">
        <f t="shared" si="186"/>
        <v>58</v>
      </c>
      <c r="CM199" s="228">
        <f t="shared" si="186"/>
        <v>4</v>
      </c>
      <c r="CN199" s="228">
        <f t="shared" si="186"/>
        <v>10</v>
      </c>
      <c r="CO199" s="228">
        <f t="shared" si="186"/>
        <v>48</v>
      </c>
      <c r="CP199" s="228">
        <f t="shared" si="186"/>
        <v>14</v>
      </c>
      <c r="CQ199" s="228">
        <f t="shared" si="186"/>
        <v>5</v>
      </c>
      <c r="CR199" s="228">
        <f t="shared" si="186"/>
        <v>4</v>
      </c>
      <c r="CS199" s="228">
        <f t="shared" si="186"/>
        <v>1</v>
      </c>
      <c r="CT199" s="228">
        <f t="shared" si="186"/>
        <v>14</v>
      </c>
      <c r="CU199" s="228">
        <f t="shared" si="186"/>
        <v>4</v>
      </c>
      <c r="CV199" s="228">
        <f t="shared" si="186"/>
        <v>2</v>
      </c>
      <c r="CW199" s="228">
        <f t="shared" si="186"/>
        <v>77</v>
      </c>
      <c r="CX199" s="228">
        <f t="shared" si="186"/>
        <v>23</v>
      </c>
      <c r="CY199" s="228">
        <f t="shared" si="186"/>
        <v>25</v>
      </c>
      <c r="CZ199" s="228">
        <f t="shared" si="186"/>
        <v>10</v>
      </c>
      <c r="DA199" s="228">
        <f t="shared" si="186"/>
        <v>145</v>
      </c>
      <c r="DB199" s="228">
        <f t="shared" si="186"/>
        <v>1</v>
      </c>
      <c r="DC199" s="228">
        <f t="shared" si="186"/>
        <v>42</v>
      </c>
      <c r="DD199" s="228">
        <f t="shared" si="186"/>
        <v>214</v>
      </c>
      <c r="DE199" s="228">
        <f t="shared" si="186"/>
        <v>7</v>
      </c>
      <c r="DF199" s="228">
        <f t="shared" si="186"/>
        <v>0</v>
      </c>
      <c r="DG199" s="228">
        <f t="shared" si="186"/>
        <v>44</v>
      </c>
      <c r="DH199" s="228">
        <f t="shared" si="186"/>
        <v>170</v>
      </c>
      <c r="DI199" s="228">
        <f t="shared" si="186"/>
        <v>106</v>
      </c>
      <c r="DJ199" s="228">
        <f t="shared" si="186"/>
        <v>367</v>
      </c>
      <c r="DK199" s="228">
        <f t="shared" si="186"/>
        <v>0</v>
      </c>
      <c r="DL199" s="228">
        <f t="shared" si="186"/>
        <v>1</v>
      </c>
      <c r="DM199" s="228">
        <f t="shared" si="186"/>
        <v>86</v>
      </c>
      <c r="DN199" s="228">
        <f t="shared" si="186"/>
        <v>299</v>
      </c>
      <c r="DO199" s="228">
        <f t="shared" si="186"/>
        <v>30</v>
      </c>
      <c r="DP199" s="232">
        <f t="shared" si="186"/>
        <v>5575</v>
      </c>
      <c r="DQ199" s="228">
        <f t="shared" si="161"/>
        <v>355</v>
      </c>
      <c r="DR199" s="228">
        <f t="shared" si="162"/>
        <v>379</v>
      </c>
      <c r="DS199" s="230">
        <f>SUM(X199:Y199)+(1-TRP!$AK$253)*AC199</f>
        <v>36.4</v>
      </c>
      <c r="DT199" s="228">
        <f t="shared" si="163"/>
        <v>10</v>
      </c>
      <c r="DU199" s="228">
        <f t="shared" si="164"/>
        <v>17</v>
      </c>
      <c r="DV199" s="228">
        <f t="shared" si="165"/>
        <v>47</v>
      </c>
      <c r="DW199" s="228">
        <f t="shared" si="166"/>
        <v>17</v>
      </c>
      <c r="DX199" s="228">
        <f t="shared" si="167"/>
        <v>43</v>
      </c>
      <c r="DY199" s="228">
        <f t="shared" si="168"/>
        <v>28</v>
      </c>
      <c r="DZ199" s="228">
        <f t="shared" si="169"/>
        <v>81</v>
      </c>
      <c r="EA199" s="228">
        <f t="shared" si="170"/>
        <v>17</v>
      </c>
      <c r="EB199" s="230">
        <f>TRP!$AK$253*$AC199+SUM(M199:W199,Z199:AB199,AD199:AR199,AU199:AX199,BC199:BE199,BI199:BN199,BQ199:BR199,BV199)</f>
        <v>1863.6</v>
      </c>
      <c r="EC199" s="228">
        <f t="shared" si="171"/>
        <v>167</v>
      </c>
      <c r="ED199" s="230">
        <f>CB199+$CI199*TRP!$AV$248</f>
        <v>1.6200850050304909</v>
      </c>
      <c r="EE199" s="228">
        <f t="shared" si="172"/>
        <v>2</v>
      </c>
      <c r="EF199" s="230">
        <f>CD199+$CI199*TRP!$AV$249</f>
        <v>20.863915687211993</v>
      </c>
      <c r="EG199" s="230">
        <f>CE199+$CI199*TRP!$AV$250</f>
        <v>6.0438694008289309</v>
      </c>
      <c r="EH199" s="230">
        <f>CF199+$CI199*TRP!$AV$251</f>
        <v>9.4721299069285845</v>
      </c>
      <c r="EI199" s="228">
        <f t="shared" si="173"/>
        <v>1347</v>
      </c>
      <c r="EJ199" s="228">
        <f t="shared" si="174"/>
        <v>962</v>
      </c>
      <c r="EK199" s="228">
        <f t="shared" si="175"/>
        <v>0</v>
      </c>
      <c r="EL199" s="230">
        <f>BS199+$BP199*TRP!$AN$246</f>
        <v>63</v>
      </c>
      <c r="EM199" s="228">
        <f t="shared" si="176"/>
        <v>72</v>
      </c>
      <c r="EN199" s="230">
        <f>BU199+$BP199*TRP!$AN$247</f>
        <v>30</v>
      </c>
    </row>
    <row r="200" spans="1:144" s="228" customFormat="1" ht="10.5" x14ac:dyDescent="0.25">
      <c r="A200" s="228" t="str">
        <f>TRP!C198</f>
        <v xml:space="preserve">GH01 </v>
      </c>
      <c r="B200" s="228" t="str">
        <f>TRP!B198</f>
        <v>BATIMENT</v>
      </c>
      <c r="C200" s="233">
        <f>TRP!A198</f>
        <v>13</v>
      </c>
      <c r="D200" s="228">
        <f t="shared" ref="D200:BO200" si="187">D76</f>
        <v>242</v>
      </c>
      <c r="E200" s="228">
        <f t="shared" si="187"/>
        <v>4</v>
      </c>
      <c r="F200" s="228">
        <f t="shared" si="187"/>
        <v>0</v>
      </c>
      <c r="G200" s="228">
        <f t="shared" si="187"/>
        <v>11</v>
      </c>
      <c r="H200" s="228">
        <f t="shared" si="187"/>
        <v>15</v>
      </c>
      <c r="I200" s="228">
        <f t="shared" si="187"/>
        <v>21</v>
      </c>
      <c r="J200" s="228">
        <f t="shared" si="187"/>
        <v>13</v>
      </c>
      <c r="K200" s="228">
        <f t="shared" si="187"/>
        <v>37</v>
      </c>
      <c r="L200" s="228">
        <f t="shared" si="187"/>
        <v>1</v>
      </c>
      <c r="M200" s="228">
        <f t="shared" si="187"/>
        <v>19</v>
      </c>
      <c r="N200" s="228">
        <f t="shared" si="187"/>
        <v>14</v>
      </c>
      <c r="O200" s="228">
        <f t="shared" si="187"/>
        <v>21</v>
      </c>
      <c r="P200" s="228">
        <f t="shared" si="187"/>
        <v>34</v>
      </c>
      <c r="Q200" s="228">
        <f t="shared" si="187"/>
        <v>43</v>
      </c>
      <c r="R200" s="228">
        <f t="shared" si="187"/>
        <v>24</v>
      </c>
      <c r="S200" s="228">
        <f t="shared" si="187"/>
        <v>0</v>
      </c>
      <c r="T200" s="228">
        <f t="shared" si="187"/>
        <v>13</v>
      </c>
      <c r="U200" s="228">
        <f t="shared" si="187"/>
        <v>10</v>
      </c>
      <c r="V200" s="228">
        <f t="shared" si="187"/>
        <v>7</v>
      </c>
      <c r="W200" s="228">
        <f t="shared" si="187"/>
        <v>5</v>
      </c>
      <c r="X200" s="228">
        <f t="shared" si="187"/>
        <v>77</v>
      </c>
      <c r="Y200" s="228">
        <f t="shared" si="187"/>
        <v>41</v>
      </c>
      <c r="Z200" s="228">
        <f t="shared" si="187"/>
        <v>11</v>
      </c>
      <c r="AA200" s="228">
        <f t="shared" si="187"/>
        <v>4</v>
      </c>
      <c r="AB200" s="228">
        <f t="shared" si="187"/>
        <v>55</v>
      </c>
      <c r="AC200" s="228">
        <f t="shared" si="187"/>
        <v>6</v>
      </c>
      <c r="AD200" s="228">
        <f t="shared" si="187"/>
        <v>25</v>
      </c>
      <c r="AE200" s="228">
        <f t="shared" si="187"/>
        <v>13</v>
      </c>
      <c r="AF200" s="228">
        <f t="shared" si="187"/>
        <v>20</v>
      </c>
      <c r="AG200" s="228">
        <f t="shared" si="187"/>
        <v>30</v>
      </c>
      <c r="AH200" s="228">
        <f t="shared" si="187"/>
        <v>3</v>
      </c>
      <c r="AI200" s="228">
        <f t="shared" si="187"/>
        <v>1</v>
      </c>
      <c r="AJ200" s="228">
        <f t="shared" si="187"/>
        <v>26</v>
      </c>
      <c r="AK200" s="228">
        <f t="shared" si="187"/>
        <v>6</v>
      </c>
      <c r="AL200" s="228">
        <f t="shared" si="187"/>
        <v>1</v>
      </c>
      <c r="AM200" s="228">
        <f t="shared" si="187"/>
        <v>3</v>
      </c>
      <c r="AN200" s="228">
        <f t="shared" si="187"/>
        <v>10</v>
      </c>
      <c r="AO200" s="228">
        <f t="shared" si="187"/>
        <v>9</v>
      </c>
      <c r="AP200" s="228">
        <f t="shared" si="187"/>
        <v>7</v>
      </c>
      <c r="AQ200" s="228">
        <f t="shared" si="187"/>
        <v>0</v>
      </c>
      <c r="AR200" s="228">
        <f t="shared" si="187"/>
        <v>36</v>
      </c>
      <c r="AS200" s="228">
        <f t="shared" si="187"/>
        <v>21</v>
      </c>
      <c r="AT200" s="228">
        <f t="shared" si="187"/>
        <v>45</v>
      </c>
      <c r="AU200" s="228">
        <f t="shared" si="187"/>
        <v>7</v>
      </c>
      <c r="AV200" s="228">
        <f t="shared" si="187"/>
        <v>6</v>
      </c>
      <c r="AW200" s="228">
        <f t="shared" si="187"/>
        <v>1</v>
      </c>
      <c r="AX200" s="228">
        <f t="shared" si="187"/>
        <v>15</v>
      </c>
      <c r="AY200" s="228">
        <f t="shared" si="187"/>
        <v>6</v>
      </c>
      <c r="AZ200" s="228">
        <f t="shared" si="187"/>
        <v>13</v>
      </c>
      <c r="BA200" s="228">
        <f t="shared" si="187"/>
        <v>8</v>
      </c>
      <c r="BB200" s="228">
        <f t="shared" si="187"/>
        <v>41</v>
      </c>
      <c r="BC200" s="228">
        <f t="shared" si="187"/>
        <v>28</v>
      </c>
      <c r="BD200" s="228">
        <f t="shared" si="187"/>
        <v>2</v>
      </c>
      <c r="BE200" s="228">
        <f t="shared" si="187"/>
        <v>0</v>
      </c>
      <c r="BF200" s="228">
        <f t="shared" si="187"/>
        <v>19</v>
      </c>
      <c r="BG200" s="228">
        <f t="shared" si="187"/>
        <v>11</v>
      </c>
      <c r="BH200" s="228">
        <f t="shared" si="187"/>
        <v>14</v>
      </c>
      <c r="BI200" s="228">
        <f t="shared" si="187"/>
        <v>12</v>
      </c>
      <c r="BJ200" s="228">
        <f t="shared" si="187"/>
        <v>37</v>
      </c>
      <c r="BK200" s="228">
        <f t="shared" si="187"/>
        <v>6</v>
      </c>
      <c r="BL200" s="228">
        <f t="shared" si="187"/>
        <v>0</v>
      </c>
      <c r="BM200" s="228">
        <f t="shared" si="187"/>
        <v>28</v>
      </c>
      <c r="BN200" s="228">
        <f t="shared" si="187"/>
        <v>6</v>
      </c>
      <c r="BO200" s="228">
        <f t="shared" si="187"/>
        <v>0</v>
      </c>
      <c r="BP200" s="228">
        <f t="shared" ref="BP200:DP200" si="188">BP76</f>
        <v>0</v>
      </c>
      <c r="BQ200" s="228">
        <f t="shared" si="188"/>
        <v>0</v>
      </c>
      <c r="BR200" s="228">
        <f t="shared" si="188"/>
        <v>5</v>
      </c>
      <c r="BS200" s="228">
        <f t="shared" si="188"/>
        <v>256</v>
      </c>
      <c r="BT200" s="228">
        <f t="shared" si="188"/>
        <v>1488</v>
      </c>
      <c r="BU200" s="228">
        <f t="shared" si="188"/>
        <v>69</v>
      </c>
      <c r="BV200" s="228">
        <f t="shared" si="188"/>
        <v>356</v>
      </c>
      <c r="BW200" s="228">
        <f t="shared" si="188"/>
        <v>23262</v>
      </c>
      <c r="BX200" s="228">
        <f t="shared" si="188"/>
        <v>14</v>
      </c>
      <c r="BY200" s="228">
        <f t="shared" si="188"/>
        <v>198</v>
      </c>
      <c r="BZ200" s="228">
        <f t="shared" si="188"/>
        <v>270</v>
      </c>
      <c r="CA200" s="228">
        <f t="shared" si="188"/>
        <v>172</v>
      </c>
      <c r="CB200" s="228">
        <f t="shared" si="188"/>
        <v>8</v>
      </c>
      <c r="CC200" s="228">
        <f t="shared" si="188"/>
        <v>31</v>
      </c>
      <c r="CD200" s="228">
        <f t="shared" si="188"/>
        <v>49</v>
      </c>
      <c r="CE200" s="228">
        <f t="shared" si="188"/>
        <v>43</v>
      </c>
      <c r="CF200" s="228">
        <f t="shared" si="188"/>
        <v>86</v>
      </c>
      <c r="CG200" s="228">
        <f t="shared" si="188"/>
        <v>135</v>
      </c>
      <c r="CH200" s="228">
        <f t="shared" si="188"/>
        <v>35</v>
      </c>
      <c r="CI200" s="228">
        <f t="shared" si="188"/>
        <v>55</v>
      </c>
      <c r="CJ200" s="228">
        <f t="shared" si="188"/>
        <v>314</v>
      </c>
      <c r="CK200" s="228">
        <f t="shared" si="188"/>
        <v>415</v>
      </c>
      <c r="CL200" s="228">
        <f t="shared" si="188"/>
        <v>384</v>
      </c>
      <c r="CM200" s="228">
        <f t="shared" si="188"/>
        <v>1379</v>
      </c>
      <c r="CN200" s="228">
        <f t="shared" si="188"/>
        <v>3018</v>
      </c>
      <c r="CO200" s="228">
        <f t="shared" si="188"/>
        <v>811</v>
      </c>
      <c r="CP200" s="228">
        <f t="shared" si="188"/>
        <v>176</v>
      </c>
      <c r="CQ200" s="228">
        <f t="shared" si="188"/>
        <v>97</v>
      </c>
      <c r="CR200" s="228">
        <f t="shared" si="188"/>
        <v>129</v>
      </c>
      <c r="CS200" s="228">
        <f t="shared" si="188"/>
        <v>6</v>
      </c>
      <c r="CT200" s="228">
        <f t="shared" si="188"/>
        <v>73</v>
      </c>
      <c r="CU200" s="228">
        <f t="shared" si="188"/>
        <v>26</v>
      </c>
      <c r="CV200" s="228">
        <f t="shared" si="188"/>
        <v>18</v>
      </c>
      <c r="CW200" s="228">
        <f t="shared" si="188"/>
        <v>475</v>
      </c>
      <c r="CX200" s="228">
        <f t="shared" si="188"/>
        <v>6</v>
      </c>
      <c r="CY200" s="228">
        <f t="shared" si="188"/>
        <v>165</v>
      </c>
      <c r="CZ200" s="228">
        <f t="shared" si="188"/>
        <v>65</v>
      </c>
      <c r="DA200" s="228">
        <f t="shared" si="188"/>
        <v>135</v>
      </c>
      <c r="DB200" s="228">
        <f t="shared" si="188"/>
        <v>495</v>
      </c>
      <c r="DC200" s="228">
        <f t="shared" si="188"/>
        <v>98</v>
      </c>
      <c r="DD200" s="228">
        <f t="shared" si="188"/>
        <v>821</v>
      </c>
      <c r="DE200" s="228">
        <f t="shared" si="188"/>
        <v>48</v>
      </c>
      <c r="DF200" s="228">
        <f t="shared" si="188"/>
        <v>0</v>
      </c>
      <c r="DG200" s="228">
        <f t="shared" si="188"/>
        <v>134</v>
      </c>
      <c r="DH200" s="228">
        <f t="shared" si="188"/>
        <v>1092</v>
      </c>
      <c r="DI200" s="228">
        <f t="shared" si="188"/>
        <v>199</v>
      </c>
      <c r="DJ200" s="228">
        <f t="shared" si="188"/>
        <v>262</v>
      </c>
      <c r="DK200" s="228">
        <f t="shared" si="188"/>
        <v>2</v>
      </c>
      <c r="DL200" s="228">
        <f t="shared" si="188"/>
        <v>187</v>
      </c>
      <c r="DM200" s="228">
        <f t="shared" si="188"/>
        <v>408</v>
      </c>
      <c r="DN200" s="228">
        <f t="shared" si="188"/>
        <v>1664</v>
      </c>
      <c r="DO200" s="228">
        <f t="shared" si="188"/>
        <v>150</v>
      </c>
      <c r="DP200" s="232">
        <f t="shared" si="188"/>
        <v>41028</v>
      </c>
      <c r="DQ200" s="228">
        <f t="shared" si="161"/>
        <v>246</v>
      </c>
      <c r="DR200" s="228">
        <f t="shared" si="162"/>
        <v>98</v>
      </c>
      <c r="DS200" s="230">
        <f>SUM(X200:Y200)+(1-TRP!$AK$253)*AC200</f>
        <v>122.2</v>
      </c>
      <c r="DT200" s="228">
        <f t="shared" si="163"/>
        <v>21</v>
      </c>
      <c r="DU200" s="228">
        <f t="shared" si="164"/>
        <v>45</v>
      </c>
      <c r="DV200" s="228">
        <f t="shared" si="165"/>
        <v>19</v>
      </c>
      <c r="DW200" s="228">
        <f t="shared" si="166"/>
        <v>8</v>
      </c>
      <c r="DX200" s="228">
        <f t="shared" si="167"/>
        <v>41</v>
      </c>
      <c r="DY200" s="228">
        <f t="shared" si="168"/>
        <v>19</v>
      </c>
      <c r="DZ200" s="228">
        <f t="shared" si="169"/>
        <v>11</v>
      </c>
      <c r="EA200" s="228">
        <f t="shared" si="170"/>
        <v>14</v>
      </c>
      <c r="EB200" s="230">
        <f>TRP!$AK$253*$AC200+SUM(M200:W200,Z200:AB200,AD200:AR200,AU200:AX200,BC200:BE200,BI200:BN200,BQ200:BR200,BV200)</f>
        <v>960.8</v>
      </c>
      <c r="EC200" s="228">
        <f t="shared" si="171"/>
        <v>23276</v>
      </c>
      <c r="ED200" s="230">
        <f>CB200+$CI200*TRP!$AV$248</f>
        <v>9.7052337638338493</v>
      </c>
      <c r="EE200" s="228">
        <f t="shared" si="172"/>
        <v>31</v>
      </c>
      <c r="EF200" s="230">
        <f>CD200+$CI200*TRP!$AV$249</f>
        <v>87.125768139832985</v>
      </c>
      <c r="EG200" s="230">
        <f>CE200+$CI200*TRP!$AV$250</f>
        <v>54.120640852279564</v>
      </c>
      <c r="EH200" s="230">
        <f>CF200+$CI200*TRP!$AV$251</f>
        <v>90.048357244053605</v>
      </c>
      <c r="EI200" s="228">
        <f t="shared" si="173"/>
        <v>10421</v>
      </c>
      <c r="EJ200" s="228">
        <f t="shared" si="174"/>
        <v>3641</v>
      </c>
      <c r="EK200" s="228">
        <f t="shared" si="175"/>
        <v>0</v>
      </c>
      <c r="EL200" s="230">
        <f>BS200+$BP200*TRP!$AN$246</f>
        <v>256</v>
      </c>
      <c r="EM200" s="228">
        <f t="shared" si="176"/>
        <v>1488</v>
      </c>
      <c r="EN200" s="230">
        <f>BU200+$BP200*TRP!$AN$247</f>
        <v>69</v>
      </c>
    </row>
    <row r="201" spans="1:144" s="228" customFormat="1" ht="10.5" x14ac:dyDescent="0.25">
      <c r="A201" s="228" t="str">
        <f>TRP!C199</f>
        <v xml:space="preserve">GH02 </v>
      </c>
      <c r="B201" s="228" t="str">
        <f>TRP!B199</f>
        <v>TRAVAUX PUBLICS</v>
      </c>
      <c r="C201" s="233">
        <f>TRP!A199</f>
        <v>13</v>
      </c>
      <c r="D201" s="228">
        <f t="shared" ref="D201:BO201" si="189">D77</f>
        <v>0</v>
      </c>
      <c r="E201" s="228">
        <f t="shared" si="189"/>
        <v>0</v>
      </c>
      <c r="F201" s="228">
        <f t="shared" si="189"/>
        <v>8</v>
      </c>
      <c r="G201" s="228">
        <f t="shared" si="189"/>
        <v>13</v>
      </c>
      <c r="H201" s="228">
        <f t="shared" si="189"/>
        <v>13</v>
      </c>
      <c r="I201" s="228">
        <f t="shared" si="189"/>
        <v>14</v>
      </c>
      <c r="J201" s="228">
        <f t="shared" si="189"/>
        <v>8</v>
      </c>
      <c r="K201" s="228">
        <f t="shared" si="189"/>
        <v>38</v>
      </c>
      <c r="L201" s="228">
        <f t="shared" si="189"/>
        <v>2</v>
      </c>
      <c r="M201" s="228">
        <f t="shared" si="189"/>
        <v>23</v>
      </c>
      <c r="N201" s="228">
        <f t="shared" si="189"/>
        <v>8</v>
      </c>
      <c r="O201" s="228">
        <f t="shared" si="189"/>
        <v>8</v>
      </c>
      <c r="P201" s="228">
        <f t="shared" si="189"/>
        <v>25</v>
      </c>
      <c r="Q201" s="228">
        <f t="shared" si="189"/>
        <v>24</v>
      </c>
      <c r="R201" s="228">
        <f t="shared" si="189"/>
        <v>14</v>
      </c>
      <c r="S201" s="228">
        <f t="shared" si="189"/>
        <v>7</v>
      </c>
      <c r="T201" s="228">
        <f t="shared" si="189"/>
        <v>14</v>
      </c>
      <c r="U201" s="228">
        <f t="shared" si="189"/>
        <v>7</v>
      </c>
      <c r="V201" s="228">
        <f t="shared" si="189"/>
        <v>7</v>
      </c>
      <c r="W201" s="228">
        <f t="shared" si="189"/>
        <v>12</v>
      </c>
      <c r="X201" s="228">
        <f t="shared" si="189"/>
        <v>14</v>
      </c>
      <c r="Y201" s="228">
        <f t="shared" si="189"/>
        <v>16</v>
      </c>
      <c r="Z201" s="228">
        <f t="shared" si="189"/>
        <v>5</v>
      </c>
      <c r="AA201" s="228">
        <f t="shared" si="189"/>
        <v>12</v>
      </c>
      <c r="AB201" s="228">
        <f t="shared" si="189"/>
        <v>14</v>
      </c>
      <c r="AC201" s="228">
        <f t="shared" si="189"/>
        <v>12</v>
      </c>
      <c r="AD201" s="228">
        <f t="shared" si="189"/>
        <v>20</v>
      </c>
      <c r="AE201" s="228">
        <f t="shared" si="189"/>
        <v>9</v>
      </c>
      <c r="AF201" s="228">
        <f t="shared" si="189"/>
        <v>15</v>
      </c>
      <c r="AG201" s="228">
        <f t="shared" si="189"/>
        <v>20</v>
      </c>
      <c r="AH201" s="228">
        <f t="shared" si="189"/>
        <v>12</v>
      </c>
      <c r="AI201" s="228">
        <f t="shared" si="189"/>
        <v>8</v>
      </c>
      <c r="AJ201" s="228">
        <f t="shared" si="189"/>
        <v>14</v>
      </c>
      <c r="AK201" s="228">
        <f t="shared" si="189"/>
        <v>7</v>
      </c>
      <c r="AL201" s="228">
        <f t="shared" si="189"/>
        <v>3</v>
      </c>
      <c r="AM201" s="228">
        <f t="shared" si="189"/>
        <v>9</v>
      </c>
      <c r="AN201" s="228">
        <f t="shared" si="189"/>
        <v>14</v>
      </c>
      <c r="AO201" s="228">
        <f t="shared" si="189"/>
        <v>12</v>
      </c>
      <c r="AP201" s="228">
        <f t="shared" si="189"/>
        <v>7</v>
      </c>
      <c r="AQ201" s="228">
        <f t="shared" si="189"/>
        <v>4</v>
      </c>
      <c r="AR201" s="228">
        <f t="shared" si="189"/>
        <v>15</v>
      </c>
      <c r="AS201" s="228">
        <f t="shared" si="189"/>
        <v>13</v>
      </c>
      <c r="AT201" s="228">
        <f t="shared" si="189"/>
        <v>21</v>
      </c>
      <c r="AU201" s="228">
        <f t="shared" si="189"/>
        <v>8</v>
      </c>
      <c r="AV201" s="228">
        <f t="shared" si="189"/>
        <v>10</v>
      </c>
      <c r="AW201" s="228">
        <f t="shared" si="189"/>
        <v>8</v>
      </c>
      <c r="AX201" s="228">
        <f t="shared" si="189"/>
        <v>14</v>
      </c>
      <c r="AY201" s="228">
        <f t="shared" si="189"/>
        <v>17</v>
      </c>
      <c r="AZ201" s="228">
        <f t="shared" si="189"/>
        <v>9</v>
      </c>
      <c r="BA201" s="228">
        <f t="shared" si="189"/>
        <v>16</v>
      </c>
      <c r="BB201" s="228">
        <f t="shared" si="189"/>
        <v>22</v>
      </c>
      <c r="BC201" s="228">
        <f t="shared" si="189"/>
        <v>13</v>
      </c>
      <c r="BD201" s="228">
        <f t="shared" si="189"/>
        <v>9</v>
      </c>
      <c r="BE201" s="228">
        <f t="shared" si="189"/>
        <v>0</v>
      </c>
      <c r="BF201" s="228">
        <f t="shared" si="189"/>
        <v>24</v>
      </c>
      <c r="BG201" s="228">
        <f t="shared" si="189"/>
        <v>45</v>
      </c>
      <c r="BH201" s="228">
        <f t="shared" si="189"/>
        <v>36</v>
      </c>
      <c r="BI201" s="228">
        <f t="shared" si="189"/>
        <v>27</v>
      </c>
      <c r="BJ201" s="228">
        <f t="shared" si="189"/>
        <v>33</v>
      </c>
      <c r="BK201" s="228">
        <f t="shared" si="189"/>
        <v>20</v>
      </c>
      <c r="BL201" s="228">
        <f t="shared" si="189"/>
        <v>16</v>
      </c>
      <c r="BM201" s="228">
        <f t="shared" si="189"/>
        <v>14</v>
      </c>
      <c r="BN201" s="228">
        <f t="shared" si="189"/>
        <v>9</v>
      </c>
      <c r="BO201" s="228">
        <f t="shared" si="189"/>
        <v>0</v>
      </c>
      <c r="BP201" s="228">
        <f t="shared" ref="BP201:DP201" si="190">BP77</f>
        <v>9</v>
      </c>
      <c r="BQ201" s="228">
        <f t="shared" si="190"/>
        <v>0</v>
      </c>
      <c r="BR201" s="228">
        <f t="shared" si="190"/>
        <v>5</v>
      </c>
      <c r="BS201" s="228">
        <f t="shared" si="190"/>
        <v>318</v>
      </c>
      <c r="BT201" s="228">
        <f t="shared" si="190"/>
        <v>995</v>
      </c>
      <c r="BU201" s="228">
        <f t="shared" si="190"/>
        <v>135</v>
      </c>
      <c r="BV201" s="228">
        <f t="shared" si="190"/>
        <v>193</v>
      </c>
      <c r="BW201" s="228">
        <f t="shared" si="190"/>
        <v>62</v>
      </c>
      <c r="BX201" s="228">
        <f t="shared" si="190"/>
        <v>6118</v>
      </c>
      <c r="BY201" s="228">
        <f t="shared" si="190"/>
        <v>56</v>
      </c>
      <c r="BZ201" s="228">
        <f t="shared" si="190"/>
        <v>61</v>
      </c>
      <c r="CA201" s="228">
        <f t="shared" si="190"/>
        <v>147</v>
      </c>
      <c r="CB201" s="228">
        <f t="shared" si="190"/>
        <v>20</v>
      </c>
      <c r="CC201" s="228">
        <f t="shared" si="190"/>
        <v>30</v>
      </c>
      <c r="CD201" s="228">
        <f t="shared" si="190"/>
        <v>41</v>
      </c>
      <c r="CE201" s="228">
        <f t="shared" si="190"/>
        <v>97</v>
      </c>
      <c r="CF201" s="228">
        <f t="shared" si="190"/>
        <v>40</v>
      </c>
      <c r="CG201" s="228">
        <f t="shared" si="190"/>
        <v>33</v>
      </c>
      <c r="CH201" s="228">
        <f t="shared" si="190"/>
        <v>14</v>
      </c>
      <c r="CI201" s="228">
        <f t="shared" si="190"/>
        <v>43</v>
      </c>
      <c r="CJ201" s="228">
        <f t="shared" si="190"/>
        <v>0</v>
      </c>
      <c r="CK201" s="228">
        <f t="shared" si="190"/>
        <v>0</v>
      </c>
      <c r="CL201" s="228">
        <f t="shared" si="190"/>
        <v>0</v>
      </c>
      <c r="CM201" s="228">
        <f t="shared" si="190"/>
        <v>15</v>
      </c>
      <c r="CN201" s="228">
        <f t="shared" si="190"/>
        <v>34</v>
      </c>
      <c r="CO201" s="228">
        <f t="shared" si="190"/>
        <v>287</v>
      </c>
      <c r="CP201" s="228">
        <f t="shared" si="190"/>
        <v>97</v>
      </c>
      <c r="CQ201" s="228">
        <f t="shared" si="190"/>
        <v>97</v>
      </c>
      <c r="CR201" s="228">
        <f t="shared" si="190"/>
        <v>58</v>
      </c>
      <c r="CS201" s="228">
        <f t="shared" si="190"/>
        <v>22</v>
      </c>
      <c r="CT201" s="228">
        <f t="shared" si="190"/>
        <v>61</v>
      </c>
      <c r="CU201" s="228">
        <f t="shared" si="190"/>
        <v>28</v>
      </c>
      <c r="CV201" s="228">
        <f t="shared" si="190"/>
        <v>21</v>
      </c>
      <c r="CW201" s="228">
        <f t="shared" si="190"/>
        <v>210</v>
      </c>
      <c r="CX201" s="228">
        <f t="shared" si="190"/>
        <v>20</v>
      </c>
      <c r="CY201" s="228">
        <f t="shared" si="190"/>
        <v>89</v>
      </c>
      <c r="CZ201" s="228">
        <f t="shared" si="190"/>
        <v>657</v>
      </c>
      <c r="DA201" s="228">
        <f t="shared" si="190"/>
        <v>12</v>
      </c>
      <c r="DB201" s="228">
        <f t="shared" si="190"/>
        <v>26</v>
      </c>
      <c r="DC201" s="228">
        <f t="shared" si="190"/>
        <v>23</v>
      </c>
      <c r="DD201" s="228">
        <f t="shared" si="190"/>
        <v>142</v>
      </c>
      <c r="DE201" s="228">
        <f t="shared" si="190"/>
        <v>3</v>
      </c>
      <c r="DF201" s="228">
        <f t="shared" si="190"/>
        <v>0</v>
      </c>
      <c r="DG201" s="228">
        <f t="shared" si="190"/>
        <v>28</v>
      </c>
      <c r="DH201" s="228">
        <f t="shared" si="190"/>
        <v>128</v>
      </c>
      <c r="DI201" s="228">
        <f t="shared" si="190"/>
        <v>8</v>
      </c>
      <c r="DJ201" s="228">
        <f t="shared" si="190"/>
        <v>2</v>
      </c>
      <c r="DK201" s="228">
        <f t="shared" si="190"/>
        <v>2</v>
      </c>
      <c r="DL201" s="228">
        <f t="shared" si="190"/>
        <v>16</v>
      </c>
      <c r="DM201" s="228">
        <f t="shared" si="190"/>
        <v>13</v>
      </c>
      <c r="DN201" s="228">
        <f t="shared" si="190"/>
        <v>2096</v>
      </c>
      <c r="DO201" s="228">
        <f t="shared" si="190"/>
        <v>0</v>
      </c>
      <c r="DP201" s="232">
        <f t="shared" si="190"/>
        <v>13483</v>
      </c>
      <c r="DQ201" s="228">
        <f t="shared" si="161"/>
        <v>8</v>
      </c>
      <c r="DR201" s="228">
        <f t="shared" si="162"/>
        <v>88</v>
      </c>
      <c r="DS201" s="230">
        <f>SUM(X201:Y201)+(1-TRP!$AK$253)*AC201</f>
        <v>38.4</v>
      </c>
      <c r="DT201" s="228">
        <f t="shared" si="163"/>
        <v>13</v>
      </c>
      <c r="DU201" s="228">
        <f t="shared" si="164"/>
        <v>21</v>
      </c>
      <c r="DV201" s="228">
        <f t="shared" si="165"/>
        <v>26</v>
      </c>
      <c r="DW201" s="228">
        <f t="shared" si="166"/>
        <v>16</v>
      </c>
      <c r="DX201" s="228">
        <f t="shared" si="167"/>
        <v>22</v>
      </c>
      <c r="DY201" s="228">
        <f t="shared" si="168"/>
        <v>24</v>
      </c>
      <c r="DZ201" s="228">
        <f t="shared" si="169"/>
        <v>45</v>
      </c>
      <c r="EA201" s="228">
        <f t="shared" si="170"/>
        <v>36</v>
      </c>
      <c r="EB201" s="230">
        <f>TRP!$AK$253*$AC201+SUM(M201:W201,Z201:AB201,AD201:AR201,AU201:AX201,BC201:BE201,BI201:BN201,BQ201:BR201,BV201)</f>
        <v>731.6</v>
      </c>
      <c r="EC201" s="228">
        <f t="shared" si="171"/>
        <v>6180</v>
      </c>
      <c r="ED201" s="230">
        <f>CB201+$CI201*TRP!$AV$248</f>
        <v>21.333182760815557</v>
      </c>
      <c r="EE201" s="228">
        <f t="shared" si="172"/>
        <v>30</v>
      </c>
      <c r="EF201" s="230">
        <f>CD201+$CI201*TRP!$AV$249</f>
        <v>70.807418727505791</v>
      </c>
      <c r="EG201" s="230">
        <f>CE201+$CI201*TRP!$AV$250</f>
        <v>105.6943192117822</v>
      </c>
      <c r="EH201" s="230">
        <f>CF201+$CI201*TRP!$AV$251</f>
        <v>43.165079299896455</v>
      </c>
      <c r="EI201" s="228">
        <f t="shared" si="173"/>
        <v>1610</v>
      </c>
      <c r="EJ201" s="228">
        <f t="shared" si="174"/>
        <v>2896</v>
      </c>
      <c r="EK201" s="228">
        <f t="shared" si="175"/>
        <v>0</v>
      </c>
      <c r="EL201" s="230">
        <f>BS201+$BP201*TRP!$AN$246</f>
        <v>324.65129591524015</v>
      </c>
      <c r="EM201" s="228">
        <f t="shared" si="176"/>
        <v>995</v>
      </c>
      <c r="EN201" s="230">
        <f>BU201+$BP201*TRP!$AN$247</f>
        <v>137.34870408475987</v>
      </c>
    </row>
    <row r="202" spans="1:144" s="228" customFormat="1" ht="10.5" x14ac:dyDescent="0.25">
      <c r="A202" s="228" t="str">
        <f>TRP!C200</f>
        <v xml:space="preserve">GJ10 </v>
      </c>
      <c r="B202" s="228" t="str">
        <f>TRP!B200</f>
        <v>COMMERCE ET REPARATION AUTOMOBILE</v>
      </c>
      <c r="C202" s="233">
        <f>TRP!A200</f>
        <v>19</v>
      </c>
      <c r="D202" s="228">
        <f t="shared" ref="D202:BO202" si="191">D78</f>
        <v>209</v>
      </c>
      <c r="E202" s="228">
        <f t="shared" si="191"/>
        <v>4</v>
      </c>
      <c r="F202" s="228">
        <f t="shared" si="191"/>
        <v>0</v>
      </c>
      <c r="G202" s="228">
        <f t="shared" si="191"/>
        <v>15</v>
      </c>
      <c r="H202" s="228">
        <f t="shared" si="191"/>
        <v>6</v>
      </c>
      <c r="I202" s="228">
        <f t="shared" si="191"/>
        <v>5</v>
      </c>
      <c r="J202" s="228">
        <f t="shared" si="191"/>
        <v>11</v>
      </c>
      <c r="K202" s="228">
        <f t="shared" si="191"/>
        <v>24</v>
      </c>
      <c r="L202" s="228">
        <f t="shared" si="191"/>
        <v>1</v>
      </c>
      <c r="M202" s="228">
        <f t="shared" si="191"/>
        <v>9</v>
      </c>
      <c r="N202" s="228">
        <f t="shared" si="191"/>
        <v>0</v>
      </c>
      <c r="O202" s="228">
        <f t="shared" si="191"/>
        <v>24</v>
      </c>
      <c r="P202" s="228">
        <f t="shared" si="191"/>
        <v>5</v>
      </c>
      <c r="Q202" s="228">
        <f t="shared" si="191"/>
        <v>5</v>
      </c>
      <c r="R202" s="228">
        <f t="shared" si="191"/>
        <v>19</v>
      </c>
      <c r="S202" s="228">
        <f t="shared" si="191"/>
        <v>0</v>
      </c>
      <c r="T202" s="228">
        <f t="shared" si="191"/>
        <v>1</v>
      </c>
      <c r="U202" s="228">
        <f t="shared" si="191"/>
        <v>4</v>
      </c>
      <c r="V202" s="228">
        <f t="shared" si="191"/>
        <v>4</v>
      </c>
      <c r="W202" s="228">
        <f t="shared" si="191"/>
        <v>4</v>
      </c>
      <c r="X202" s="228">
        <f t="shared" si="191"/>
        <v>41</v>
      </c>
      <c r="Y202" s="228">
        <f t="shared" si="191"/>
        <v>26</v>
      </c>
      <c r="Z202" s="228">
        <f t="shared" si="191"/>
        <v>10</v>
      </c>
      <c r="AA202" s="228">
        <f t="shared" si="191"/>
        <v>0</v>
      </c>
      <c r="AB202" s="228">
        <f t="shared" si="191"/>
        <v>31</v>
      </c>
      <c r="AC202" s="228">
        <f t="shared" si="191"/>
        <v>5</v>
      </c>
      <c r="AD202" s="228">
        <f t="shared" si="191"/>
        <v>0</v>
      </c>
      <c r="AE202" s="228">
        <f t="shared" si="191"/>
        <v>0</v>
      </c>
      <c r="AF202" s="228">
        <f t="shared" si="191"/>
        <v>0</v>
      </c>
      <c r="AG202" s="228">
        <f t="shared" si="191"/>
        <v>0</v>
      </c>
      <c r="AH202" s="228">
        <f t="shared" si="191"/>
        <v>8</v>
      </c>
      <c r="AI202" s="228">
        <f t="shared" si="191"/>
        <v>0</v>
      </c>
      <c r="AJ202" s="228">
        <f t="shared" si="191"/>
        <v>0</v>
      </c>
      <c r="AK202" s="228">
        <f t="shared" si="191"/>
        <v>0</v>
      </c>
      <c r="AL202" s="228">
        <f t="shared" si="191"/>
        <v>0</v>
      </c>
      <c r="AM202" s="228">
        <f t="shared" si="191"/>
        <v>0</v>
      </c>
      <c r="AN202" s="228">
        <f t="shared" si="191"/>
        <v>0</v>
      </c>
      <c r="AO202" s="228">
        <f t="shared" si="191"/>
        <v>0</v>
      </c>
      <c r="AP202" s="228">
        <f t="shared" si="191"/>
        <v>0</v>
      </c>
      <c r="AQ202" s="228">
        <f t="shared" si="191"/>
        <v>0</v>
      </c>
      <c r="AR202" s="228">
        <f t="shared" si="191"/>
        <v>17</v>
      </c>
      <c r="AS202" s="228">
        <f t="shared" si="191"/>
        <v>8</v>
      </c>
      <c r="AT202" s="228">
        <f t="shared" si="191"/>
        <v>67</v>
      </c>
      <c r="AU202" s="228">
        <f t="shared" si="191"/>
        <v>5</v>
      </c>
      <c r="AV202" s="228">
        <f t="shared" si="191"/>
        <v>3</v>
      </c>
      <c r="AW202" s="228">
        <f t="shared" si="191"/>
        <v>1</v>
      </c>
      <c r="AX202" s="228">
        <f t="shared" si="191"/>
        <v>17</v>
      </c>
      <c r="AY202" s="228">
        <f t="shared" si="191"/>
        <v>9</v>
      </c>
      <c r="AZ202" s="228">
        <f t="shared" si="191"/>
        <v>18</v>
      </c>
      <c r="BA202" s="228">
        <f t="shared" si="191"/>
        <v>4</v>
      </c>
      <c r="BB202" s="228">
        <f t="shared" si="191"/>
        <v>4</v>
      </c>
      <c r="BC202" s="228">
        <f t="shared" si="191"/>
        <v>12</v>
      </c>
      <c r="BD202" s="228">
        <f t="shared" si="191"/>
        <v>0</v>
      </c>
      <c r="BE202" s="228">
        <f t="shared" si="191"/>
        <v>5</v>
      </c>
      <c r="BF202" s="228">
        <f t="shared" si="191"/>
        <v>20</v>
      </c>
      <c r="BG202" s="228">
        <f t="shared" si="191"/>
        <v>26</v>
      </c>
      <c r="BH202" s="228">
        <f t="shared" si="191"/>
        <v>16</v>
      </c>
      <c r="BI202" s="228">
        <f t="shared" si="191"/>
        <v>10</v>
      </c>
      <c r="BJ202" s="228">
        <f t="shared" si="191"/>
        <v>5</v>
      </c>
      <c r="BK202" s="228">
        <f t="shared" si="191"/>
        <v>5</v>
      </c>
      <c r="BL202" s="228">
        <f t="shared" si="191"/>
        <v>5</v>
      </c>
      <c r="BM202" s="228">
        <f t="shared" si="191"/>
        <v>4</v>
      </c>
      <c r="BN202" s="228">
        <f t="shared" si="191"/>
        <v>6</v>
      </c>
      <c r="BO202" s="228">
        <f t="shared" si="191"/>
        <v>0</v>
      </c>
      <c r="BP202" s="228">
        <f t="shared" ref="BP202:DP202" si="192">BP78</f>
        <v>0</v>
      </c>
      <c r="BQ202" s="228">
        <f t="shared" si="192"/>
        <v>0</v>
      </c>
      <c r="BR202" s="228">
        <f t="shared" si="192"/>
        <v>0</v>
      </c>
      <c r="BS202" s="228">
        <f t="shared" si="192"/>
        <v>16</v>
      </c>
      <c r="BT202" s="228">
        <f t="shared" si="192"/>
        <v>5</v>
      </c>
      <c r="BU202" s="228">
        <f t="shared" si="192"/>
        <v>1</v>
      </c>
      <c r="BV202" s="228">
        <f t="shared" si="192"/>
        <v>5</v>
      </c>
      <c r="BW202" s="228">
        <f t="shared" si="192"/>
        <v>49</v>
      </c>
      <c r="BX202" s="228">
        <f t="shared" si="192"/>
        <v>24</v>
      </c>
      <c r="BY202" s="228">
        <f t="shared" si="192"/>
        <v>261</v>
      </c>
      <c r="BZ202" s="228">
        <f t="shared" si="192"/>
        <v>515</v>
      </c>
      <c r="CA202" s="228">
        <f t="shared" si="192"/>
        <v>115</v>
      </c>
      <c r="CB202" s="228">
        <f t="shared" si="192"/>
        <v>0</v>
      </c>
      <c r="CC202" s="228">
        <f t="shared" si="192"/>
        <v>93</v>
      </c>
      <c r="CD202" s="228">
        <f t="shared" si="192"/>
        <v>785</v>
      </c>
      <c r="CE202" s="228">
        <f t="shared" si="192"/>
        <v>0</v>
      </c>
      <c r="CF202" s="228">
        <f t="shared" si="192"/>
        <v>23</v>
      </c>
      <c r="CG202" s="228">
        <f t="shared" si="192"/>
        <v>21</v>
      </c>
      <c r="CH202" s="228">
        <f t="shared" si="192"/>
        <v>0</v>
      </c>
      <c r="CI202" s="228">
        <f t="shared" si="192"/>
        <v>0</v>
      </c>
      <c r="CJ202" s="228">
        <f t="shared" si="192"/>
        <v>15</v>
      </c>
      <c r="CK202" s="228">
        <f t="shared" si="192"/>
        <v>51</v>
      </c>
      <c r="CL202" s="228">
        <f t="shared" si="192"/>
        <v>15</v>
      </c>
      <c r="CM202" s="228">
        <f t="shared" si="192"/>
        <v>16</v>
      </c>
      <c r="CN202" s="228">
        <f t="shared" si="192"/>
        <v>21</v>
      </c>
      <c r="CO202" s="228">
        <f t="shared" si="192"/>
        <v>7</v>
      </c>
      <c r="CP202" s="228">
        <f t="shared" si="192"/>
        <v>19</v>
      </c>
      <c r="CQ202" s="228">
        <f t="shared" si="192"/>
        <v>22</v>
      </c>
      <c r="CR202" s="228">
        <f t="shared" si="192"/>
        <v>9</v>
      </c>
      <c r="CS202" s="228">
        <f t="shared" si="192"/>
        <v>5</v>
      </c>
      <c r="CT202" s="228">
        <f t="shared" si="192"/>
        <v>14</v>
      </c>
      <c r="CU202" s="228">
        <f t="shared" si="192"/>
        <v>27</v>
      </c>
      <c r="CV202" s="228">
        <f t="shared" si="192"/>
        <v>18</v>
      </c>
      <c r="CW202" s="228">
        <f t="shared" si="192"/>
        <v>34</v>
      </c>
      <c r="CX202" s="228">
        <f t="shared" si="192"/>
        <v>1</v>
      </c>
      <c r="CY202" s="228">
        <f t="shared" si="192"/>
        <v>24</v>
      </c>
      <c r="CZ202" s="228">
        <f t="shared" si="192"/>
        <v>2</v>
      </c>
      <c r="DA202" s="228">
        <f t="shared" si="192"/>
        <v>48</v>
      </c>
      <c r="DB202" s="228">
        <f t="shared" si="192"/>
        <v>30</v>
      </c>
      <c r="DC202" s="228">
        <f t="shared" si="192"/>
        <v>24</v>
      </c>
      <c r="DD202" s="228">
        <f t="shared" si="192"/>
        <v>112</v>
      </c>
      <c r="DE202" s="228">
        <f t="shared" si="192"/>
        <v>0</v>
      </c>
      <c r="DF202" s="228">
        <f t="shared" si="192"/>
        <v>0</v>
      </c>
      <c r="DG202" s="228">
        <f t="shared" si="192"/>
        <v>7</v>
      </c>
      <c r="DH202" s="228">
        <f t="shared" si="192"/>
        <v>20</v>
      </c>
      <c r="DI202" s="228">
        <f t="shared" si="192"/>
        <v>11</v>
      </c>
      <c r="DJ202" s="228">
        <f t="shared" si="192"/>
        <v>0</v>
      </c>
      <c r="DK202" s="228">
        <f t="shared" si="192"/>
        <v>4</v>
      </c>
      <c r="DL202" s="228">
        <f t="shared" si="192"/>
        <v>66</v>
      </c>
      <c r="DM202" s="228">
        <f t="shared" si="192"/>
        <v>43</v>
      </c>
      <c r="DN202" s="228">
        <f t="shared" si="192"/>
        <v>269</v>
      </c>
      <c r="DO202" s="228">
        <f t="shared" si="192"/>
        <v>68</v>
      </c>
      <c r="DP202" s="232">
        <f t="shared" si="192"/>
        <v>3653</v>
      </c>
      <c r="DQ202" s="228">
        <f t="shared" si="161"/>
        <v>213</v>
      </c>
      <c r="DR202" s="228">
        <f t="shared" si="162"/>
        <v>62</v>
      </c>
      <c r="DS202" s="230">
        <f>SUM(X202:Y202)+(1-TRP!$AK$253)*AC202</f>
        <v>70.5</v>
      </c>
      <c r="DT202" s="228">
        <f t="shared" si="163"/>
        <v>8</v>
      </c>
      <c r="DU202" s="228">
        <f t="shared" si="164"/>
        <v>67</v>
      </c>
      <c r="DV202" s="228">
        <f t="shared" si="165"/>
        <v>27</v>
      </c>
      <c r="DW202" s="228">
        <f t="shared" si="166"/>
        <v>4</v>
      </c>
      <c r="DX202" s="228">
        <f t="shared" si="167"/>
        <v>4</v>
      </c>
      <c r="DY202" s="228">
        <f t="shared" si="168"/>
        <v>20</v>
      </c>
      <c r="DZ202" s="228">
        <f t="shared" si="169"/>
        <v>26</v>
      </c>
      <c r="EA202" s="228">
        <f t="shared" si="170"/>
        <v>16</v>
      </c>
      <c r="EB202" s="230">
        <f>TRP!$AK$253*$AC202+SUM(M202:W202,Z202:AB202,AD202:AR202,AU202:AX202,BC202:BE202,BI202:BN202,BQ202:BR202,BV202)</f>
        <v>225.5</v>
      </c>
      <c r="EC202" s="228">
        <f t="shared" si="171"/>
        <v>73</v>
      </c>
      <c r="ED202" s="230">
        <f>CB202+$CI202*TRP!$AV$248</f>
        <v>0</v>
      </c>
      <c r="EE202" s="228">
        <f t="shared" si="172"/>
        <v>93</v>
      </c>
      <c r="EF202" s="230">
        <f>CD202+$CI202*TRP!$AV$249</f>
        <v>785</v>
      </c>
      <c r="EG202" s="230">
        <f>CE202+$CI202*TRP!$AV$250</f>
        <v>0</v>
      </c>
      <c r="EH202" s="230">
        <f>CF202+$CI202*TRP!$AV$251</f>
        <v>23</v>
      </c>
      <c r="EI202" s="228">
        <f t="shared" si="173"/>
        <v>1512</v>
      </c>
      <c r="EJ202" s="228">
        <f t="shared" si="174"/>
        <v>402</v>
      </c>
      <c r="EK202" s="228">
        <f t="shared" si="175"/>
        <v>0</v>
      </c>
      <c r="EL202" s="230">
        <f>BS202+$BP202*TRP!$AN$246</f>
        <v>16</v>
      </c>
      <c r="EM202" s="228">
        <f t="shared" si="176"/>
        <v>5</v>
      </c>
      <c r="EN202" s="230">
        <f>BU202+$BP202*TRP!$AN$247</f>
        <v>1</v>
      </c>
    </row>
    <row r="203" spans="1:144" s="228" customFormat="1" ht="10.5" x14ac:dyDescent="0.25">
      <c r="A203" s="228" t="str">
        <f>TRP!C201</f>
        <v xml:space="preserve">GJ20 </v>
      </c>
      <c r="B203" s="228" t="str">
        <f>TRP!B201</f>
        <v>COMMERCE DE GROS  INTERMEDIAIRES</v>
      </c>
      <c r="C203" s="233">
        <f>TRP!A201</f>
        <v>19</v>
      </c>
      <c r="D203" s="228">
        <f t="shared" ref="D203:BO203" si="193">D79</f>
        <v>3</v>
      </c>
      <c r="E203" s="228">
        <f t="shared" si="193"/>
        <v>0</v>
      </c>
      <c r="F203" s="228">
        <f t="shared" si="193"/>
        <v>0</v>
      </c>
      <c r="G203" s="228">
        <f t="shared" si="193"/>
        <v>142</v>
      </c>
      <c r="H203" s="228">
        <f t="shared" si="193"/>
        <v>203</v>
      </c>
      <c r="I203" s="228">
        <f t="shared" si="193"/>
        <v>188</v>
      </c>
      <c r="J203" s="228">
        <f t="shared" si="193"/>
        <v>219</v>
      </c>
      <c r="K203" s="228">
        <f t="shared" si="193"/>
        <v>311</v>
      </c>
      <c r="L203" s="228">
        <f t="shared" si="193"/>
        <v>1</v>
      </c>
      <c r="M203" s="228">
        <f t="shared" si="193"/>
        <v>143</v>
      </c>
      <c r="N203" s="228">
        <f t="shared" si="193"/>
        <v>55</v>
      </c>
      <c r="O203" s="228">
        <f t="shared" si="193"/>
        <v>497</v>
      </c>
      <c r="P203" s="228">
        <f t="shared" si="193"/>
        <v>567</v>
      </c>
      <c r="Q203" s="228">
        <f t="shared" si="193"/>
        <v>184</v>
      </c>
      <c r="R203" s="228">
        <f t="shared" si="193"/>
        <v>156</v>
      </c>
      <c r="S203" s="228">
        <f t="shared" si="193"/>
        <v>19</v>
      </c>
      <c r="T203" s="228">
        <f t="shared" si="193"/>
        <v>42</v>
      </c>
      <c r="U203" s="228">
        <f t="shared" si="193"/>
        <v>44</v>
      </c>
      <c r="V203" s="228">
        <f t="shared" si="193"/>
        <v>44</v>
      </c>
      <c r="W203" s="228">
        <f t="shared" si="193"/>
        <v>22</v>
      </c>
      <c r="X203" s="228">
        <f t="shared" si="193"/>
        <v>515</v>
      </c>
      <c r="Y203" s="228">
        <f t="shared" si="193"/>
        <v>475</v>
      </c>
      <c r="Z203" s="228">
        <f t="shared" si="193"/>
        <v>47</v>
      </c>
      <c r="AA203" s="228">
        <f t="shared" si="193"/>
        <v>0</v>
      </c>
      <c r="AB203" s="228">
        <f t="shared" si="193"/>
        <v>489</v>
      </c>
      <c r="AC203" s="228">
        <f t="shared" si="193"/>
        <v>3</v>
      </c>
      <c r="AD203" s="228">
        <f t="shared" si="193"/>
        <v>44</v>
      </c>
      <c r="AE203" s="228">
        <f t="shared" si="193"/>
        <v>124</v>
      </c>
      <c r="AF203" s="228">
        <f t="shared" si="193"/>
        <v>134</v>
      </c>
      <c r="AG203" s="228">
        <f t="shared" si="193"/>
        <v>336</v>
      </c>
      <c r="AH203" s="228">
        <f t="shared" si="193"/>
        <v>20</v>
      </c>
      <c r="AI203" s="228">
        <f t="shared" si="193"/>
        <v>8</v>
      </c>
      <c r="AJ203" s="228">
        <f t="shared" si="193"/>
        <v>84</v>
      </c>
      <c r="AK203" s="228">
        <f t="shared" si="193"/>
        <v>64</v>
      </c>
      <c r="AL203" s="228">
        <f t="shared" si="193"/>
        <v>26</v>
      </c>
      <c r="AM203" s="228">
        <f t="shared" si="193"/>
        <v>132</v>
      </c>
      <c r="AN203" s="228">
        <f t="shared" si="193"/>
        <v>85</v>
      </c>
      <c r="AO203" s="228">
        <f t="shared" si="193"/>
        <v>54</v>
      </c>
      <c r="AP203" s="228">
        <f t="shared" si="193"/>
        <v>169</v>
      </c>
      <c r="AQ203" s="228">
        <f t="shared" si="193"/>
        <v>0</v>
      </c>
      <c r="AR203" s="228">
        <f t="shared" si="193"/>
        <v>76</v>
      </c>
      <c r="AS203" s="228">
        <f t="shared" si="193"/>
        <v>147</v>
      </c>
      <c r="AT203" s="228">
        <f t="shared" si="193"/>
        <v>331</v>
      </c>
      <c r="AU203" s="228">
        <f t="shared" si="193"/>
        <v>44</v>
      </c>
      <c r="AV203" s="228">
        <f t="shared" si="193"/>
        <v>17</v>
      </c>
      <c r="AW203" s="228">
        <f t="shared" si="193"/>
        <v>11</v>
      </c>
      <c r="AX203" s="228">
        <f t="shared" si="193"/>
        <v>107</v>
      </c>
      <c r="AY203" s="228">
        <f t="shared" si="193"/>
        <v>40</v>
      </c>
      <c r="AZ203" s="228">
        <f t="shared" si="193"/>
        <v>28</v>
      </c>
      <c r="BA203" s="228">
        <f t="shared" si="193"/>
        <v>43</v>
      </c>
      <c r="BB203" s="228">
        <f t="shared" si="193"/>
        <v>161</v>
      </c>
      <c r="BC203" s="228">
        <f t="shared" si="193"/>
        <v>114</v>
      </c>
      <c r="BD203" s="228">
        <f t="shared" si="193"/>
        <v>0</v>
      </c>
      <c r="BE203" s="228">
        <f t="shared" si="193"/>
        <v>37</v>
      </c>
      <c r="BF203" s="228">
        <f t="shared" si="193"/>
        <v>273</v>
      </c>
      <c r="BG203" s="228">
        <f t="shared" si="193"/>
        <v>206</v>
      </c>
      <c r="BH203" s="228">
        <f t="shared" si="193"/>
        <v>41</v>
      </c>
      <c r="BI203" s="228">
        <f t="shared" si="193"/>
        <v>59</v>
      </c>
      <c r="BJ203" s="228">
        <f t="shared" si="193"/>
        <v>246</v>
      </c>
      <c r="BK203" s="228">
        <f t="shared" si="193"/>
        <v>143</v>
      </c>
      <c r="BL203" s="228">
        <f t="shared" si="193"/>
        <v>49</v>
      </c>
      <c r="BM203" s="228">
        <f t="shared" si="193"/>
        <v>151</v>
      </c>
      <c r="BN203" s="228">
        <f t="shared" si="193"/>
        <v>44</v>
      </c>
      <c r="BO203" s="228">
        <f t="shared" si="193"/>
        <v>0</v>
      </c>
      <c r="BP203" s="228">
        <f t="shared" ref="BP203:DP203" si="194">BP79</f>
        <v>0</v>
      </c>
      <c r="BQ203" s="228">
        <f t="shared" si="194"/>
        <v>0</v>
      </c>
      <c r="BR203" s="228">
        <f t="shared" si="194"/>
        <v>10</v>
      </c>
      <c r="BS203" s="228">
        <f t="shared" si="194"/>
        <v>267</v>
      </c>
      <c r="BT203" s="228">
        <f t="shared" si="194"/>
        <v>132</v>
      </c>
      <c r="BU203" s="228">
        <f t="shared" si="194"/>
        <v>11</v>
      </c>
      <c r="BV203" s="228">
        <f t="shared" si="194"/>
        <v>153</v>
      </c>
      <c r="BW203" s="228">
        <f t="shared" si="194"/>
        <v>1684</v>
      </c>
      <c r="BX203" s="228">
        <f t="shared" si="194"/>
        <v>512</v>
      </c>
      <c r="BY203" s="228">
        <f t="shared" si="194"/>
        <v>109</v>
      </c>
      <c r="BZ203" s="228">
        <f t="shared" si="194"/>
        <v>10976</v>
      </c>
      <c r="CA203" s="228">
        <f t="shared" si="194"/>
        <v>525</v>
      </c>
      <c r="CB203" s="228">
        <f t="shared" si="194"/>
        <v>0</v>
      </c>
      <c r="CC203" s="228">
        <f t="shared" si="194"/>
        <v>69</v>
      </c>
      <c r="CD203" s="228">
        <f t="shared" si="194"/>
        <v>1088</v>
      </c>
      <c r="CE203" s="228">
        <f t="shared" si="194"/>
        <v>108</v>
      </c>
      <c r="CF203" s="228">
        <f t="shared" si="194"/>
        <v>270</v>
      </c>
      <c r="CG203" s="228">
        <f t="shared" si="194"/>
        <v>299</v>
      </c>
      <c r="CH203" s="228">
        <f t="shared" si="194"/>
        <v>48</v>
      </c>
      <c r="CI203" s="228">
        <f t="shared" si="194"/>
        <v>303</v>
      </c>
      <c r="CJ203" s="228">
        <f t="shared" si="194"/>
        <v>27</v>
      </c>
      <c r="CK203" s="228">
        <f t="shared" si="194"/>
        <v>17</v>
      </c>
      <c r="CL203" s="228">
        <f t="shared" si="194"/>
        <v>44</v>
      </c>
      <c r="CM203" s="228">
        <f t="shared" si="194"/>
        <v>588</v>
      </c>
      <c r="CN203" s="228">
        <f t="shared" si="194"/>
        <v>1163</v>
      </c>
      <c r="CO203" s="228">
        <f t="shared" si="194"/>
        <v>197</v>
      </c>
      <c r="CP203" s="228">
        <f t="shared" si="194"/>
        <v>386</v>
      </c>
      <c r="CQ203" s="228">
        <f t="shared" si="194"/>
        <v>460</v>
      </c>
      <c r="CR203" s="228">
        <f t="shared" si="194"/>
        <v>990</v>
      </c>
      <c r="CS203" s="228">
        <f t="shared" si="194"/>
        <v>27</v>
      </c>
      <c r="CT203" s="228">
        <f t="shared" si="194"/>
        <v>317</v>
      </c>
      <c r="CU203" s="228">
        <f t="shared" si="194"/>
        <v>44</v>
      </c>
      <c r="CV203" s="228">
        <f t="shared" si="194"/>
        <v>20</v>
      </c>
      <c r="CW203" s="228">
        <f t="shared" si="194"/>
        <v>1741</v>
      </c>
      <c r="CX203" s="228">
        <f t="shared" si="194"/>
        <v>23</v>
      </c>
      <c r="CY203" s="228">
        <f t="shared" si="194"/>
        <v>455</v>
      </c>
      <c r="CZ203" s="228">
        <f t="shared" si="194"/>
        <v>0</v>
      </c>
      <c r="DA203" s="228">
        <f t="shared" si="194"/>
        <v>194</v>
      </c>
      <c r="DB203" s="228">
        <f t="shared" si="194"/>
        <v>391</v>
      </c>
      <c r="DC203" s="228">
        <f t="shared" si="194"/>
        <v>96</v>
      </c>
      <c r="DD203" s="228">
        <f t="shared" si="194"/>
        <v>0</v>
      </c>
      <c r="DE203" s="228">
        <f t="shared" si="194"/>
        <v>65</v>
      </c>
      <c r="DF203" s="228">
        <f t="shared" si="194"/>
        <v>0</v>
      </c>
      <c r="DG203" s="228">
        <f t="shared" si="194"/>
        <v>71</v>
      </c>
      <c r="DH203" s="228">
        <f t="shared" si="194"/>
        <v>0</v>
      </c>
      <c r="DI203" s="228">
        <f t="shared" si="194"/>
        <v>703</v>
      </c>
      <c r="DJ203" s="228">
        <f t="shared" si="194"/>
        <v>0</v>
      </c>
      <c r="DK203" s="228">
        <f t="shared" si="194"/>
        <v>4</v>
      </c>
      <c r="DL203" s="228">
        <f t="shared" si="194"/>
        <v>223</v>
      </c>
      <c r="DM203" s="228">
        <f t="shared" si="194"/>
        <v>0</v>
      </c>
      <c r="DN203" s="228">
        <f t="shared" si="194"/>
        <v>0</v>
      </c>
      <c r="DO203" s="228">
        <f t="shared" si="194"/>
        <v>0</v>
      </c>
      <c r="DP203" s="232">
        <f t="shared" si="194"/>
        <v>32827</v>
      </c>
      <c r="DQ203" s="228">
        <f t="shared" si="161"/>
        <v>3</v>
      </c>
      <c r="DR203" s="228">
        <f t="shared" si="162"/>
        <v>1064</v>
      </c>
      <c r="DS203" s="230">
        <f>SUM(X203:Y203)+(1-TRP!$AK$253)*AC203</f>
        <v>992.1</v>
      </c>
      <c r="DT203" s="228">
        <f t="shared" si="163"/>
        <v>147</v>
      </c>
      <c r="DU203" s="228">
        <f t="shared" si="164"/>
        <v>331</v>
      </c>
      <c r="DV203" s="228">
        <f t="shared" si="165"/>
        <v>68</v>
      </c>
      <c r="DW203" s="228">
        <f t="shared" si="166"/>
        <v>43</v>
      </c>
      <c r="DX203" s="228">
        <f t="shared" si="167"/>
        <v>161</v>
      </c>
      <c r="DY203" s="228">
        <f t="shared" si="168"/>
        <v>273</v>
      </c>
      <c r="DZ203" s="228">
        <f t="shared" si="169"/>
        <v>206</v>
      </c>
      <c r="EA203" s="228">
        <f t="shared" si="170"/>
        <v>41</v>
      </c>
      <c r="EB203" s="230">
        <f>TRP!$AK$253*$AC203+SUM(M203:W203,Z203:AB203,AD203:AR203,AU203:AX203,BC203:BE203,BI203:BN203,BQ203:BR203,BV203)</f>
        <v>4850.8999999999996</v>
      </c>
      <c r="EC203" s="228">
        <f t="shared" si="171"/>
        <v>2196</v>
      </c>
      <c r="ED203" s="230">
        <f>CB203+$CI203*TRP!$AV$248</f>
        <v>9.3942878262119383</v>
      </c>
      <c r="EE203" s="228">
        <f t="shared" si="172"/>
        <v>69</v>
      </c>
      <c r="EF203" s="230">
        <f>CD203+$CI203*TRP!$AV$249</f>
        <v>1298.0383226612616</v>
      </c>
      <c r="EG203" s="230">
        <f>CE203+$CI203*TRP!$AV$250</f>
        <v>169.26462142255832</v>
      </c>
      <c r="EH203" s="230">
        <f>CF203+$CI203*TRP!$AV$251</f>
        <v>292.30276808996808</v>
      </c>
      <c r="EI203" s="228">
        <f t="shared" si="173"/>
        <v>20203</v>
      </c>
      <c r="EJ203" s="228">
        <f t="shared" si="174"/>
        <v>0</v>
      </c>
      <c r="EK203" s="228">
        <f t="shared" si="175"/>
        <v>0</v>
      </c>
      <c r="EL203" s="230">
        <f>BS203+$BP203*TRP!$AN$246</f>
        <v>267</v>
      </c>
      <c r="EM203" s="228">
        <f t="shared" si="176"/>
        <v>132</v>
      </c>
      <c r="EN203" s="230">
        <f>BU203+$BP203*TRP!$AN$247</f>
        <v>11</v>
      </c>
    </row>
    <row r="204" spans="1:144" s="228" customFormat="1" ht="10.5" x14ac:dyDescent="0.25">
      <c r="A204" s="228" t="str">
        <f>TRP!C202</f>
        <v xml:space="preserve">GJ30 </v>
      </c>
      <c r="B204" s="228" t="str">
        <f>TRP!B202</f>
        <v>COMMERCE DE DETAIL ET REPARATIONS</v>
      </c>
      <c r="C204" s="233">
        <f>TRP!A202</f>
        <v>19</v>
      </c>
      <c r="D204" s="228">
        <f t="shared" ref="D204:BO204" si="195">D80</f>
        <v>1</v>
      </c>
      <c r="E204" s="228">
        <f t="shared" si="195"/>
        <v>0</v>
      </c>
      <c r="F204" s="228">
        <f t="shared" si="195"/>
        <v>0</v>
      </c>
      <c r="G204" s="228">
        <f t="shared" si="195"/>
        <v>0</v>
      </c>
      <c r="H204" s="228">
        <f t="shared" si="195"/>
        <v>0</v>
      </c>
      <c r="I204" s="228">
        <f t="shared" si="195"/>
        <v>0</v>
      </c>
      <c r="J204" s="228">
        <f t="shared" si="195"/>
        <v>0</v>
      </c>
      <c r="K204" s="228">
        <f t="shared" si="195"/>
        <v>15</v>
      </c>
      <c r="L204" s="228">
        <f t="shared" si="195"/>
        <v>0</v>
      </c>
      <c r="M204" s="228">
        <f t="shared" si="195"/>
        <v>0</v>
      </c>
      <c r="N204" s="228">
        <f t="shared" si="195"/>
        <v>0</v>
      </c>
      <c r="O204" s="228">
        <f t="shared" si="195"/>
        <v>3</v>
      </c>
      <c r="P204" s="228">
        <f t="shared" si="195"/>
        <v>0</v>
      </c>
      <c r="Q204" s="228">
        <f t="shared" si="195"/>
        <v>0</v>
      </c>
      <c r="R204" s="228">
        <f t="shared" si="195"/>
        <v>0</v>
      </c>
      <c r="S204" s="228">
        <f t="shared" si="195"/>
        <v>0</v>
      </c>
      <c r="T204" s="228">
        <f t="shared" si="195"/>
        <v>0</v>
      </c>
      <c r="U204" s="228">
        <f t="shared" si="195"/>
        <v>0</v>
      </c>
      <c r="V204" s="228">
        <f t="shared" si="195"/>
        <v>0</v>
      </c>
      <c r="W204" s="228">
        <f t="shared" si="195"/>
        <v>0</v>
      </c>
      <c r="X204" s="228">
        <f t="shared" si="195"/>
        <v>5</v>
      </c>
      <c r="Y204" s="228">
        <f t="shared" si="195"/>
        <v>0</v>
      </c>
      <c r="Z204" s="228">
        <f t="shared" si="195"/>
        <v>0</v>
      </c>
      <c r="AA204" s="228">
        <f t="shared" si="195"/>
        <v>0</v>
      </c>
      <c r="AB204" s="228">
        <f t="shared" si="195"/>
        <v>0</v>
      </c>
      <c r="AC204" s="228">
        <f t="shared" si="195"/>
        <v>0</v>
      </c>
      <c r="AD204" s="228">
        <f t="shared" si="195"/>
        <v>0</v>
      </c>
      <c r="AE204" s="228">
        <f t="shared" si="195"/>
        <v>0</v>
      </c>
      <c r="AF204" s="228">
        <f t="shared" si="195"/>
        <v>0</v>
      </c>
      <c r="AG204" s="228">
        <f t="shared" si="195"/>
        <v>5</v>
      </c>
      <c r="AH204" s="228">
        <f t="shared" si="195"/>
        <v>0</v>
      </c>
      <c r="AI204" s="228">
        <f t="shared" si="195"/>
        <v>0</v>
      </c>
      <c r="AJ204" s="228">
        <f t="shared" si="195"/>
        <v>0</v>
      </c>
      <c r="AK204" s="228">
        <f t="shared" si="195"/>
        <v>0</v>
      </c>
      <c r="AL204" s="228">
        <f t="shared" si="195"/>
        <v>0</v>
      </c>
      <c r="AM204" s="228">
        <f t="shared" si="195"/>
        <v>0</v>
      </c>
      <c r="AN204" s="228">
        <f t="shared" si="195"/>
        <v>4</v>
      </c>
      <c r="AO204" s="228">
        <f t="shared" si="195"/>
        <v>0</v>
      </c>
      <c r="AP204" s="228">
        <f t="shared" si="195"/>
        <v>0</v>
      </c>
      <c r="AQ204" s="228">
        <f t="shared" si="195"/>
        <v>0</v>
      </c>
      <c r="AR204" s="228">
        <f t="shared" si="195"/>
        <v>0</v>
      </c>
      <c r="AS204" s="228">
        <f t="shared" si="195"/>
        <v>0</v>
      </c>
      <c r="AT204" s="228">
        <f t="shared" si="195"/>
        <v>0</v>
      </c>
      <c r="AU204" s="228">
        <f t="shared" si="195"/>
        <v>0</v>
      </c>
      <c r="AV204" s="228">
        <f t="shared" si="195"/>
        <v>0</v>
      </c>
      <c r="AW204" s="228">
        <f t="shared" si="195"/>
        <v>0</v>
      </c>
      <c r="AX204" s="228">
        <f t="shared" si="195"/>
        <v>0</v>
      </c>
      <c r="AY204" s="228">
        <f t="shared" si="195"/>
        <v>0</v>
      </c>
      <c r="AZ204" s="228">
        <f t="shared" si="195"/>
        <v>0</v>
      </c>
      <c r="BA204" s="228">
        <f t="shared" si="195"/>
        <v>0</v>
      </c>
      <c r="BB204" s="228">
        <f t="shared" si="195"/>
        <v>0</v>
      </c>
      <c r="BC204" s="228">
        <f t="shared" si="195"/>
        <v>4</v>
      </c>
      <c r="BD204" s="228">
        <f t="shared" si="195"/>
        <v>0</v>
      </c>
      <c r="BE204" s="228">
        <f t="shared" si="195"/>
        <v>0</v>
      </c>
      <c r="BF204" s="228">
        <f t="shared" si="195"/>
        <v>0</v>
      </c>
      <c r="BG204" s="228">
        <f t="shared" si="195"/>
        <v>0</v>
      </c>
      <c r="BH204" s="228">
        <f t="shared" si="195"/>
        <v>0</v>
      </c>
      <c r="BI204" s="228">
        <f t="shared" si="195"/>
        <v>0</v>
      </c>
      <c r="BJ204" s="228">
        <f t="shared" si="195"/>
        <v>0</v>
      </c>
      <c r="BK204" s="228">
        <f t="shared" si="195"/>
        <v>0</v>
      </c>
      <c r="BL204" s="228">
        <f t="shared" si="195"/>
        <v>0</v>
      </c>
      <c r="BM204" s="228">
        <f t="shared" si="195"/>
        <v>0</v>
      </c>
      <c r="BN204" s="228">
        <f t="shared" si="195"/>
        <v>0</v>
      </c>
      <c r="BO204" s="228">
        <f t="shared" si="195"/>
        <v>0</v>
      </c>
      <c r="BP204" s="228">
        <f t="shared" ref="BP204:DP204" si="196">BP80</f>
        <v>0</v>
      </c>
      <c r="BQ204" s="228">
        <f t="shared" si="196"/>
        <v>0</v>
      </c>
      <c r="BR204" s="228">
        <f t="shared" si="196"/>
        <v>0</v>
      </c>
      <c r="BS204" s="228">
        <f t="shared" si="196"/>
        <v>7</v>
      </c>
      <c r="BT204" s="228">
        <f t="shared" si="196"/>
        <v>0</v>
      </c>
      <c r="BU204" s="228">
        <f t="shared" si="196"/>
        <v>0</v>
      </c>
      <c r="BV204" s="228">
        <f t="shared" si="196"/>
        <v>0</v>
      </c>
      <c r="BW204" s="228">
        <f t="shared" si="196"/>
        <v>4</v>
      </c>
      <c r="BX204" s="228">
        <f t="shared" si="196"/>
        <v>0</v>
      </c>
      <c r="BY204" s="228">
        <f t="shared" si="196"/>
        <v>0</v>
      </c>
      <c r="BZ204" s="228">
        <f t="shared" si="196"/>
        <v>4</v>
      </c>
      <c r="CA204" s="228">
        <f t="shared" si="196"/>
        <v>0</v>
      </c>
      <c r="CB204" s="228">
        <f t="shared" si="196"/>
        <v>0</v>
      </c>
      <c r="CC204" s="228">
        <f t="shared" si="196"/>
        <v>0</v>
      </c>
      <c r="CD204" s="228">
        <f t="shared" si="196"/>
        <v>4</v>
      </c>
      <c r="CE204" s="228">
        <f t="shared" si="196"/>
        <v>0</v>
      </c>
      <c r="CF204" s="228">
        <f t="shared" si="196"/>
        <v>0</v>
      </c>
      <c r="CG204" s="228">
        <f t="shared" si="196"/>
        <v>0</v>
      </c>
      <c r="CH204" s="228">
        <f t="shared" si="196"/>
        <v>0</v>
      </c>
      <c r="CI204" s="228">
        <f t="shared" si="196"/>
        <v>0</v>
      </c>
      <c r="CJ204" s="228">
        <f t="shared" si="196"/>
        <v>0</v>
      </c>
      <c r="CK204" s="228">
        <f t="shared" si="196"/>
        <v>2</v>
      </c>
      <c r="CL204" s="228">
        <f t="shared" si="196"/>
        <v>0</v>
      </c>
      <c r="CM204" s="228">
        <f t="shared" si="196"/>
        <v>0</v>
      </c>
      <c r="CN204" s="228">
        <f t="shared" si="196"/>
        <v>5</v>
      </c>
      <c r="CO204" s="228">
        <f t="shared" si="196"/>
        <v>0</v>
      </c>
      <c r="CP204" s="228">
        <f t="shared" si="196"/>
        <v>5</v>
      </c>
      <c r="CQ204" s="228">
        <f t="shared" si="196"/>
        <v>0</v>
      </c>
      <c r="CR204" s="228">
        <f t="shared" si="196"/>
        <v>0</v>
      </c>
      <c r="CS204" s="228">
        <f t="shared" si="196"/>
        <v>0</v>
      </c>
      <c r="CT204" s="228">
        <f t="shared" si="196"/>
        <v>0</v>
      </c>
      <c r="CU204" s="228">
        <f t="shared" si="196"/>
        <v>0</v>
      </c>
      <c r="CV204" s="228">
        <f t="shared" si="196"/>
        <v>0</v>
      </c>
      <c r="CW204" s="228">
        <f t="shared" si="196"/>
        <v>0</v>
      </c>
      <c r="CX204" s="228">
        <f t="shared" si="196"/>
        <v>0</v>
      </c>
      <c r="CY204" s="228">
        <f t="shared" si="196"/>
        <v>0</v>
      </c>
      <c r="CZ204" s="228">
        <f t="shared" si="196"/>
        <v>0</v>
      </c>
      <c r="DA204" s="228">
        <f t="shared" si="196"/>
        <v>5</v>
      </c>
      <c r="DB204" s="228">
        <f t="shared" si="196"/>
        <v>0</v>
      </c>
      <c r="DC204" s="228">
        <f t="shared" si="196"/>
        <v>0</v>
      </c>
      <c r="DD204" s="228">
        <f t="shared" si="196"/>
        <v>47</v>
      </c>
      <c r="DE204" s="228">
        <f t="shared" si="196"/>
        <v>0</v>
      </c>
      <c r="DF204" s="228">
        <f t="shared" si="196"/>
        <v>0</v>
      </c>
      <c r="DG204" s="228">
        <f t="shared" si="196"/>
        <v>0</v>
      </c>
      <c r="DH204" s="228">
        <f t="shared" si="196"/>
        <v>37</v>
      </c>
      <c r="DI204" s="228">
        <f t="shared" si="196"/>
        <v>0</v>
      </c>
      <c r="DJ204" s="228">
        <f t="shared" si="196"/>
        <v>56</v>
      </c>
      <c r="DK204" s="228">
        <f t="shared" si="196"/>
        <v>0</v>
      </c>
      <c r="DL204" s="228">
        <f t="shared" si="196"/>
        <v>0</v>
      </c>
      <c r="DM204" s="228">
        <f t="shared" si="196"/>
        <v>6</v>
      </c>
      <c r="DN204" s="228">
        <f t="shared" si="196"/>
        <v>156</v>
      </c>
      <c r="DO204" s="228">
        <f t="shared" si="196"/>
        <v>0</v>
      </c>
      <c r="DP204" s="232">
        <f t="shared" si="196"/>
        <v>375</v>
      </c>
      <c r="DQ204" s="228">
        <f t="shared" si="161"/>
        <v>1</v>
      </c>
      <c r="DR204" s="228">
        <f t="shared" si="162"/>
        <v>15</v>
      </c>
      <c r="DS204" s="230">
        <f>SUM(X204:Y204)+(1-TRP!$AK$253)*AC204</f>
        <v>5</v>
      </c>
      <c r="DT204" s="228">
        <f t="shared" si="163"/>
        <v>0</v>
      </c>
      <c r="DU204" s="228">
        <f t="shared" si="164"/>
        <v>0</v>
      </c>
      <c r="DV204" s="228">
        <f t="shared" si="165"/>
        <v>0</v>
      </c>
      <c r="DW204" s="228">
        <f t="shared" si="166"/>
        <v>0</v>
      </c>
      <c r="DX204" s="228">
        <f t="shared" si="167"/>
        <v>0</v>
      </c>
      <c r="DY204" s="228">
        <f t="shared" si="168"/>
        <v>0</v>
      </c>
      <c r="DZ204" s="228">
        <f t="shared" si="169"/>
        <v>0</v>
      </c>
      <c r="EA204" s="228">
        <f t="shared" si="170"/>
        <v>0</v>
      </c>
      <c r="EB204" s="230">
        <f>TRP!$AK$253*$AC204+SUM(M204:W204,Z204:AB204,AD204:AR204,AU204:AX204,BC204:BE204,BI204:BN204,BQ204:BR204,BV204)</f>
        <v>16</v>
      </c>
      <c r="EC204" s="228">
        <f t="shared" si="171"/>
        <v>4</v>
      </c>
      <c r="ED204" s="230">
        <f>CB204+$CI204*TRP!$AV$248</f>
        <v>0</v>
      </c>
      <c r="EE204" s="228">
        <f t="shared" si="172"/>
        <v>0</v>
      </c>
      <c r="EF204" s="230">
        <f>CD204+$CI204*TRP!$AV$249</f>
        <v>4</v>
      </c>
      <c r="EG204" s="230">
        <f>CE204+$CI204*TRP!$AV$250</f>
        <v>0</v>
      </c>
      <c r="EH204" s="230">
        <f>CF204+$CI204*TRP!$AV$251</f>
        <v>0</v>
      </c>
      <c r="EI204" s="228">
        <f t="shared" si="173"/>
        <v>68</v>
      </c>
      <c r="EJ204" s="228">
        <f t="shared" si="174"/>
        <v>255</v>
      </c>
      <c r="EK204" s="228">
        <f t="shared" si="175"/>
        <v>0</v>
      </c>
      <c r="EL204" s="230">
        <f>BS204+$BP204*TRP!$AN$246</f>
        <v>7</v>
      </c>
      <c r="EM204" s="228">
        <f t="shared" si="176"/>
        <v>0</v>
      </c>
      <c r="EN204" s="230">
        <f>BU204+$BP204*TRP!$AN$247</f>
        <v>0</v>
      </c>
    </row>
    <row r="205" spans="1:144" s="228" customFormat="1" ht="10.5" x14ac:dyDescent="0.25">
      <c r="A205" s="228" t="str">
        <f>TRP!C203</f>
        <v xml:space="preserve">GK01 </v>
      </c>
      <c r="B205" s="228" t="str">
        <f>TRP!B203</f>
        <v>TRANSPORTS FERROVIAIRES</v>
      </c>
      <c r="C205" s="233">
        <f>TRP!A203</f>
        <v>114</v>
      </c>
      <c r="D205" s="228">
        <f t="shared" ref="D205:BO205" si="197">D81</f>
        <v>0</v>
      </c>
      <c r="E205" s="228">
        <f t="shared" si="197"/>
        <v>0</v>
      </c>
      <c r="F205" s="228">
        <f t="shared" si="197"/>
        <v>1</v>
      </c>
      <c r="G205" s="228">
        <f t="shared" si="197"/>
        <v>1</v>
      </c>
      <c r="H205" s="228">
        <f t="shared" si="197"/>
        <v>1</v>
      </c>
      <c r="I205" s="228">
        <f t="shared" si="197"/>
        <v>2</v>
      </c>
      <c r="J205" s="228">
        <f t="shared" si="197"/>
        <v>1</v>
      </c>
      <c r="K205" s="228">
        <f t="shared" si="197"/>
        <v>7</v>
      </c>
      <c r="L205" s="228">
        <f t="shared" si="197"/>
        <v>0</v>
      </c>
      <c r="M205" s="228">
        <f t="shared" si="197"/>
        <v>1</v>
      </c>
      <c r="N205" s="228">
        <f t="shared" si="197"/>
        <v>1</v>
      </c>
      <c r="O205" s="228">
        <f t="shared" si="197"/>
        <v>7</v>
      </c>
      <c r="P205" s="228">
        <f t="shared" si="197"/>
        <v>17</v>
      </c>
      <c r="Q205" s="228">
        <f t="shared" si="197"/>
        <v>10</v>
      </c>
      <c r="R205" s="228">
        <f t="shared" si="197"/>
        <v>2</v>
      </c>
      <c r="S205" s="228">
        <f t="shared" si="197"/>
        <v>1</v>
      </c>
      <c r="T205" s="228">
        <f t="shared" si="197"/>
        <v>7</v>
      </c>
      <c r="U205" s="228">
        <f t="shared" si="197"/>
        <v>2</v>
      </c>
      <c r="V205" s="228">
        <f t="shared" si="197"/>
        <v>4</v>
      </c>
      <c r="W205" s="228">
        <f t="shared" si="197"/>
        <v>1</v>
      </c>
      <c r="X205" s="228">
        <f t="shared" si="197"/>
        <v>2</v>
      </c>
      <c r="Y205" s="228">
        <f t="shared" si="197"/>
        <v>1</v>
      </c>
      <c r="Z205" s="228">
        <f t="shared" si="197"/>
        <v>1</v>
      </c>
      <c r="AA205" s="228">
        <f t="shared" si="197"/>
        <v>0</v>
      </c>
      <c r="AB205" s="228">
        <f t="shared" si="197"/>
        <v>1</v>
      </c>
      <c r="AC205" s="228">
        <f t="shared" si="197"/>
        <v>0</v>
      </c>
      <c r="AD205" s="228">
        <f t="shared" si="197"/>
        <v>1</v>
      </c>
      <c r="AE205" s="228">
        <f t="shared" si="197"/>
        <v>1</v>
      </c>
      <c r="AF205" s="228">
        <f t="shared" si="197"/>
        <v>2</v>
      </c>
      <c r="AG205" s="228">
        <f t="shared" si="197"/>
        <v>1</v>
      </c>
      <c r="AH205" s="228">
        <f t="shared" si="197"/>
        <v>1</v>
      </c>
      <c r="AI205" s="228">
        <f t="shared" si="197"/>
        <v>1</v>
      </c>
      <c r="AJ205" s="228">
        <f t="shared" si="197"/>
        <v>1</v>
      </c>
      <c r="AK205" s="228">
        <f t="shared" si="197"/>
        <v>1</v>
      </c>
      <c r="AL205" s="228">
        <f t="shared" si="197"/>
        <v>1</v>
      </c>
      <c r="AM205" s="228">
        <f t="shared" si="197"/>
        <v>1</v>
      </c>
      <c r="AN205" s="228">
        <f t="shared" si="197"/>
        <v>3</v>
      </c>
      <c r="AO205" s="228">
        <f t="shared" si="197"/>
        <v>1</v>
      </c>
      <c r="AP205" s="228">
        <f t="shared" si="197"/>
        <v>6</v>
      </c>
      <c r="AQ205" s="228">
        <f t="shared" si="197"/>
        <v>0</v>
      </c>
      <c r="AR205" s="228">
        <f t="shared" si="197"/>
        <v>1</v>
      </c>
      <c r="AS205" s="228">
        <f t="shared" si="197"/>
        <v>1</v>
      </c>
      <c r="AT205" s="228">
        <f t="shared" si="197"/>
        <v>1</v>
      </c>
      <c r="AU205" s="228">
        <f t="shared" si="197"/>
        <v>1</v>
      </c>
      <c r="AV205" s="228">
        <f t="shared" si="197"/>
        <v>1</v>
      </c>
      <c r="AW205" s="228">
        <f t="shared" si="197"/>
        <v>1</v>
      </c>
      <c r="AX205" s="228">
        <f t="shared" si="197"/>
        <v>1</v>
      </c>
      <c r="AY205" s="228">
        <f t="shared" si="197"/>
        <v>1</v>
      </c>
      <c r="AZ205" s="228">
        <f t="shared" si="197"/>
        <v>4</v>
      </c>
      <c r="BA205" s="228">
        <f t="shared" si="197"/>
        <v>2</v>
      </c>
      <c r="BB205" s="228">
        <f t="shared" si="197"/>
        <v>4</v>
      </c>
      <c r="BC205" s="228">
        <f t="shared" si="197"/>
        <v>3</v>
      </c>
      <c r="BD205" s="228">
        <f t="shared" si="197"/>
        <v>1</v>
      </c>
      <c r="BE205" s="228">
        <f t="shared" si="197"/>
        <v>1</v>
      </c>
      <c r="BF205" s="228">
        <f t="shared" si="197"/>
        <v>4</v>
      </c>
      <c r="BG205" s="228">
        <f t="shared" si="197"/>
        <v>4</v>
      </c>
      <c r="BH205" s="228">
        <f t="shared" si="197"/>
        <v>2</v>
      </c>
      <c r="BI205" s="228">
        <f t="shared" si="197"/>
        <v>1</v>
      </c>
      <c r="BJ205" s="228">
        <f t="shared" si="197"/>
        <v>6</v>
      </c>
      <c r="BK205" s="228">
        <f t="shared" si="197"/>
        <v>7</v>
      </c>
      <c r="BL205" s="228">
        <f t="shared" si="197"/>
        <v>1</v>
      </c>
      <c r="BM205" s="228">
        <f t="shared" si="197"/>
        <v>2</v>
      </c>
      <c r="BN205" s="228">
        <f t="shared" si="197"/>
        <v>0</v>
      </c>
      <c r="BO205" s="228">
        <f t="shared" si="197"/>
        <v>0</v>
      </c>
      <c r="BP205" s="228">
        <f t="shared" ref="BP205:DP205" si="198">BP81</f>
        <v>0</v>
      </c>
      <c r="BQ205" s="228">
        <f t="shared" si="198"/>
        <v>0</v>
      </c>
      <c r="BR205" s="228">
        <f t="shared" si="198"/>
        <v>6</v>
      </c>
      <c r="BS205" s="228">
        <f t="shared" si="198"/>
        <v>17</v>
      </c>
      <c r="BT205" s="228">
        <f t="shared" si="198"/>
        <v>7</v>
      </c>
      <c r="BU205" s="228">
        <f t="shared" si="198"/>
        <v>1</v>
      </c>
      <c r="BV205" s="228">
        <f t="shared" si="198"/>
        <v>3</v>
      </c>
      <c r="BW205" s="228">
        <f t="shared" si="198"/>
        <v>23</v>
      </c>
      <c r="BX205" s="228">
        <f t="shared" si="198"/>
        <v>6</v>
      </c>
      <c r="BY205" s="228">
        <f t="shared" si="198"/>
        <v>23</v>
      </c>
      <c r="BZ205" s="228">
        <f t="shared" si="198"/>
        <v>225</v>
      </c>
      <c r="CA205" s="228">
        <f t="shared" si="198"/>
        <v>117</v>
      </c>
      <c r="CB205" s="228">
        <f t="shared" si="198"/>
        <v>18</v>
      </c>
      <c r="CC205" s="228">
        <f t="shared" si="198"/>
        <v>1</v>
      </c>
      <c r="CD205" s="228">
        <f t="shared" si="198"/>
        <v>2</v>
      </c>
      <c r="CE205" s="228">
        <f t="shared" si="198"/>
        <v>1</v>
      </c>
      <c r="CF205" s="228">
        <f t="shared" si="198"/>
        <v>4</v>
      </c>
      <c r="CG205" s="228">
        <f t="shared" si="198"/>
        <v>6</v>
      </c>
      <c r="CH205" s="228">
        <f t="shared" si="198"/>
        <v>9</v>
      </c>
      <c r="CI205" s="228">
        <f t="shared" si="198"/>
        <v>6</v>
      </c>
      <c r="CJ205" s="228">
        <f t="shared" si="198"/>
        <v>35</v>
      </c>
      <c r="CK205" s="228">
        <f t="shared" si="198"/>
        <v>19</v>
      </c>
      <c r="CL205" s="228">
        <f t="shared" si="198"/>
        <v>19</v>
      </c>
      <c r="CM205" s="228">
        <f t="shared" si="198"/>
        <v>2</v>
      </c>
      <c r="CN205" s="228">
        <f t="shared" si="198"/>
        <v>2</v>
      </c>
      <c r="CO205" s="228">
        <f t="shared" si="198"/>
        <v>24</v>
      </c>
      <c r="CP205" s="228">
        <f t="shared" si="198"/>
        <v>27</v>
      </c>
      <c r="CQ205" s="228">
        <f t="shared" si="198"/>
        <v>23</v>
      </c>
      <c r="CR205" s="228">
        <f t="shared" si="198"/>
        <v>20</v>
      </c>
      <c r="CS205" s="228">
        <f t="shared" si="198"/>
        <v>15</v>
      </c>
      <c r="CT205" s="228">
        <f t="shared" si="198"/>
        <v>34</v>
      </c>
      <c r="CU205" s="228">
        <f t="shared" si="198"/>
        <v>23</v>
      </c>
      <c r="CV205" s="228">
        <f t="shared" si="198"/>
        <v>10</v>
      </c>
      <c r="CW205" s="228">
        <f t="shared" si="198"/>
        <v>23</v>
      </c>
      <c r="CX205" s="228">
        <f t="shared" si="198"/>
        <v>4</v>
      </c>
      <c r="CY205" s="228">
        <f t="shared" si="198"/>
        <v>4</v>
      </c>
      <c r="CZ205" s="228">
        <f t="shared" si="198"/>
        <v>133</v>
      </c>
      <c r="DA205" s="228">
        <f t="shared" si="198"/>
        <v>15</v>
      </c>
      <c r="DB205" s="228">
        <f t="shared" si="198"/>
        <v>4</v>
      </c>
      <c r="DC205" s="228">
        <f t="shared" si="198"/>
        <v>6</v>
      </c>
      <c r="DD205" s="228">
        <f t="shared" si="198"/>
        <v>70</v>
      </c>
      <c r="DE205" s="228">
        <f t="shared" si="198"/>
        <v>4</v>
      </c>
      <c r="DF205" s="228">
        <f t="shared" si="198"/>
        <v>0</v>
      </c>
      <c r="DG205" s="228">
        <f t="shared" si="198"/>
        <v>18</v>
      </c>
      <c r="DH205" s="228">
        <f t="shared" si="198"/>
        <v>294</v>
      </c>
      <c r="DI205" s="228">
        <f t="shared" si="198"/>
        <v>11</v>
      </c>
      <c r="DJ205" s="228">
        <f t="shared" si="198"/>
        <v>0</v>
      </c>
      <c r="DK205" s="228">
        <f t="shared" si="198"/>
        <v>4</v>
      </c>
      <c r="DL205" s="228">
        <f t="shared" si="198"/>
        <v>4</v>
      </c>
      <c r="DM205" s="228">
        <f t="shared" si="198"/>
        <v>22</v>
      </c>
      <c r="DN205" s="228">
        <f t="shared" si="198"/>
        <v>205</v>
      </c>
      <c r="DO205" s="228">
        <f t="shared" si="198"/>
        <v>121</v>
      </c>
      <c r="DP205" s="232">
        <f t="shared" si="198"/>
        <v>1812</v>
      </c>
      <c r="DQ205" s="228">
        <f t="shared" si="161"/>
        <v>1</v>
      </c>
      <c r="DR205" s="228">
        <f t="shared" si="162"/>
        <v>12</v>
      </c>
      <c r="DS205" s="230">
        <f>SUM(X205:Y205)+(1-TRP!$AK$253)*AC205</f>
        <v>3</v>
      </c>
      <c r="DT205" s="228">
        <f t="shared" si="163"/>
        <v>1</v>
      </c>
      <c r="DU205" s="228">
        <f t="shared" si="164"/>
        <v>1</v>
      </c>
      <c r="DV205" s="228">
        <f t="shared" si="165"/>
        <v>5</v>
      </c>
      <c r="DW205" s="228">
        <f t="shared" si="166"/>
        <v>2</v>
      </c>
      <c r="DX205" s="228">
        <f t="shared" si="167"/>
        <v>4</v>
      </c>
      <c r="DY205" s="228">
        <f t="shared" si="168"/>
        <v>4</v>
      </c>
      <c r="DZ205" s="228">
        <f t="shared" si="169"/>
        <v>4</v>
      </c>
      <c r="EA205" s="228">
        <f t="shared" si="170"/>
        <v>2</v>
      </c>
      <c r="EB205" s="230">
        <f>TRP!$AK$253*$AC205+SUM(M205:W205,Z205:AB205,AD205:AR205,AU205:AX205,BC205:BE205,BI205:BN205,BQ205:BR205,BV205)</f>
        <v>112</v>
      </c>
      <c r="EC205" s="228">
        <f t="shared" si="171"/>
        <v>29</v>
      </c>
      <c r="ED205" s="230">
        <f>CB205+$CI205*TRP!$AV$248</f>
        <v>18.186025501509146</v>
      </c>
      <c r="EE205" s="228">
        <f t="shared" si="172"/>
        <v>1</v>
      </c>
      <c r="EF205" s="230">
        <f>CD205+$CI205*TRP!$AV$249</f>
        <v>6.159174706163598</v>
      </c>
      <c r="EG205" s="230">
        <f>CE205+$CI205*TRP!$AV$250</f>
        <v>2.2131608202486794</v>
      </c>
      <c r="EH205" s="230">
        <f>CF205+$CI205*TRP!$AV$251</f>
        <v>4.4416389720785752</v>
      </c>
      <c r="EI205" s="228">
        <f t="shared" si="173"/>
        <v>800</v>
      </c>
      <c r="EJ205" s="228">
        <f t="shared" si="174"/>
        <v>775</v>
      </c>
      <c r="EK205" s="228">
        <f t="shared" si="175"/>
        <v>0</v>
      </c>
      <c r="EL205" s="230">
        <f>BS205+$BP205*TRP!$AN$246</f>
        <v>17</v>
      </c>
      <c r="EM205" s="228">
        <f t="shared" si="176"/>
        <v>7</v>
      </c>
      <c r="EN205" s="230">
        <f>BU205+$BP205*TRP!$AN$247</f>
        <v>1</v>
      </c>
    </row>
    <row r="206" spans="1:144" s="228" customFormat="1" ht="10.5" x14ac:dyDescent="0.25">
      <c r="A206" s="228" t="str">
        <f>TRP!C204</f>
        <v xml:space="preserve">GK02 </v>
      </c>
      <c r="B206" s="228" t="str">
        <f>TRP!B204</f>
        <v>TRANSPORT ROUTIER DE VOYAGEURS</v>
      </c>
      <c r="C206" s="233">
        <f>TRP!A204</f>
        <v>15</v>
      </c>
      <c r="D206" s="228">
        <f t="shared" ref="D206:BO206" si="199">D82</f>
        <v>0</v>
      </c>
      <c r="E206" s="228">
        <f t="shared" si="199"/>
        <v>0</v>
      </c>
      <c r="F206" s="228">
        <f t="shared" si="199"/>
        <v>0</v>
      </c>
      <c r="G206" s="228">
        <f t="shared" si="199"/>
        <v>15</v>
      </c>
      <c r="H206" s="228">
        <f t="shared" si="199"/>
        <v>23</v>
      </c>
      <c r="I206" s="228">
        <f t="shared" si="199"/>
        <v>11</v>
      </c>
      <c r="J206" s="228">
        <f t="shared" si="199"/>
        <v>1</v>
      </c>
      <c r="K206" s="228">
        <f t="shared" si="199"/>
        <v>41</v>
      </c>
      <c r="L206" s="228">
        <f t="shared" si="199"/>
        <v>0</v>
      </c>
      <c r="M206" s="228">
        <f t="shared" si="199"/>
        <v>7</v>
      </c>
      <c r="N206" s="228">
        <f t="shared" si="199"/>
        <v>1</v>
      </c>
      <c r="O206" s="228">
        <f t="shared" si="199"/>
        <v>21</v>
      </c>
      <c r="P206" s="228">
        <f t="shared" si="199"/>
        <v>40</v>
      </c>
      <c r="Q206" s="228">
        <f t="shared" si="199"/>
        <v>21</v>
      </c>
      <c r="R206" s="228">
        <f t="shared" si="199"/>
        <v>11</v>
      </c>
      <c r="S206" s="228">
        <f t="shared" si="199"/>
        <v>1</v>
      </c>
      <c r="T206" s="228">
        <f t="shared" si="199"/>
        <v>2</v>
      </c>
      <c r="U206" s="228">
        <f t="shared" si="199"/>
        <v>2</v>
      </c>
      <c r="V206" s="228">
        <f t="shared" si="199"/>
        <v>1</v>
      </c>
      <c r="W206" s="228">
        <f t="shared" si="199"/>
        <v>1</v>
      </c>
      <c r="X206" s="228">
        <f t="shared" si="199"/>
        <v>16</v>
      </c>
      <c r="Y206" s="228">
        <f t="shared" si="199"/>
        <v>8</v>
      </c>
      <c r="Z206" s="228">
        <f t="shared" si="199"/>
        <v>2</v>
      </c>
      <c r="AA206" s="228">
        <f t="shared" si="199"/>
        <v>0</v>
      </c>
      <c r="AB206" s="228">
        <f t="shared" si="199"/>
        <v>5</v>
      </c>
      <c r="AC206" s="228">
        <f t="shared" si="199"/>
        <v>0</v>
      </c>
      <c r="AD206" s="228">
        <f t="shared" si="199"/>
        <v>1</v>
      </c>
      <c r="AE206" s="228">
        <f t="shared" si="199"/>
        <v>3</v>
      </c>
      <c r="AF206" s="228">
        <f t="shared" si="199"/>
        <v>5</v>
      </c>
      <c r="AG206" s="228">
        <f t="shared" si="199"/>
        <v>3</v>
      </c>
      <c r="AH206" s="228">
        <f t="shared" si="199"/>
        <v>1</v>
      </c>
      <c r="AI206" s="228">
        <f t="shared" si="199"/>
        <v>1</v>
      </c>
      <c r="AJ206" s="228">
        <f t="shared" si="199"/>
        <v>8</v>
      </c>
      <c r="AK206" s="228">
        <f t="shared" si="199"/>
        <v>1</v>
      </c>
      <c r="AL206" s="228">
        <f t="shared" si="199"/>
        <v>2</v>
      </c>
      <c r="AM206" s="228">
        <f t="shared" si="199"/>
        <v>1</v>
      </c>
      <c r="AN206" s="228">
        <f t="shared" si="199"/>
        <v>4</v>
      </c>
      <c r="AO206" s="228">
        <f t="shared" si="199"/>
        <v>1</v>
      </c>
      <c r="AP206" s="228">
        <f t="shared" si="199"/>
        <v>8</v>
      </c>
      <c r="AQ206" s="228">
        <f t="shared" si="199"/>
        <v>0</v>
      </c>
      <c r="AR206" s="228">
        <f t="shared" si="199"/>
        <v>1</v>
      </c>
      <c r="AS206" s="228">
        <f t="shared" si="199"/>
        <v>2</v>
      </c>
      <c r="AT206" s="228">
        <f t="shared" si="199"/>
        <v>8</v>
      </c>
      <c r="AU206" s="228">
        <f t="shared" si="199"/>
        <v>1</v>
      </c>
      <c r="AV206" s="228">
        <f t="shared" si="199"/>
        <v>1</v>
      </c>
      <c r="AW206" s="228">
        <f t="shared" si="199"/>
        <v>1</v>
      </c>
      <c r="AX206" s="228">
        <f t="shared" si="199"/>
        <v>2</v>
      </c>
      <c r="AY206" s="228">
        <f t="shared" si="199"/>
        <v>2</v>
      </c>
      <c r="AZ206" s="228">
        <f t="shared" si="199"/>
        <v>2</v>
      </c>
      <c r="BA206" s="228">
        <f t="shared" si="199"/>
        <v>1</v>
      </c>
      <c r="BB206" s="228">
        <f t="shared" si="199"/>
        <v>12</v>
      </c>
      <c r="BC206" s="228">
        <f t="shared" si="199"/>
        <v>7</v>
      </c>
      <c r="BD206" s="228">
        <f t="shared" si="199"/>
        <v>0</v>
      </c>
      <c r="BE206" s="228">
        <f t="shared" si="199"/>
        <v>2</v>
      </c>
      <c r="BF206" s="228">
        <f t="shared" si="199"/>
        <v>11</v>
      </c>
      <c r="BG206" s="228">
        <f t="shared" si="199"/>
        <v>3</v>
      </c>
      <c r="BH206" s="228">
        <f t="shared" si="199"/>
        <v>1</v>
      </c>
      <c r="BI206" s="228">
        <f t="shared" si="199"/>
        <v>2</v>
      </c>
      <c r="BJ206" s="228">
        <f t="shared" si="199"/>
        <v>5</v>
      </c>
      <c r="BK206" s="228">
        <f t="shared" si="199"/>
        <v>2</v>
      </c>
      <c r="BL206" s="228">
        <f t="shared" si="199"/>
        <v>15</v>
      </c>
      <c r="BM206" s="228">
        <f t="shared" si="199"/>
        <v>2</v>
      </c>
      <c r="BN206" s="228">
        <f t="shared" si="199"/>
        <v>1</v>
      </c>
      <c r="BO206" s="228">
        <f t="shared" si="199"/>
        <v>0</v>
      </c>
      <c r="BP206" s="228">
        <f t="shared" ref="BP206:DP206" si="200">BP82</f>
        <v>0</v>
      </c>
      <c r="BQ206" s="228">
        <f t="shared" si="200"/>
        <v>0</v>
      </c>
      <c r="BR206" s="228">
        <f t="shared" si="200"/>
        <v>6</v>
      </c>
      <c r="BS206" s="228">
        <f t="shared" si="200"/>
        <v>21</v>
      </c>
      <c r="BT206" s="228">
        <f t="shared" si="200"/>
        <v>14</v>
      </c>
      <c r="BU206" s="228">
        <f t="shared" si="200"/>
        <v>2</v>
      </c>
      <c r="BV206" s="228">
        <f t="shared" si="200"/>
        <v>6</v>
      </c>
      <c r="BW206" s="228">
        <f t="shared" si="200"/>
        <v>41</v>
      </c>
      <c r="BX206" s="228">
        <f t="shared" si="200"/>
        <v>19</v>
      </c>
      <c r="BY206" s="228">
        <f t="shared" si="200"/>
        <v>18</v>
      </c>
      <c r="BZ206" s="228">
        <f t="shared" si="200"/>
        <v>491</v>
      </c>
      <c r="CA206" s="228">
        <f t="shared" si="200"/>
        <v>201</v>
      </c>
      <c r="CB206" s="228">
        <f t="shared" si="200"/>
        <v>2</v>
      </c>
      <c r="CC206" s="228">
        <f t="shared" si="200"/>
        <v>397</v>
      </c>
      <c r="CD206" s="228">
        <f t="shared" si="200"/>
        <v>14</v>
      </c>
      <c r="CE206" s="228">
        <f t="shared" si="200"/>
        <v>16</v>
      </c>
      <c r="CF206" s="228">
        <f t="shared" si="200"/>
        <v>25</v>
      </c>
      <c r="CG206" s="228">
        <f t="shared" si="200"/>
        <v>12</v>
      </c>
      <c r="CH206" s="228">
        <f t="shared" si="200"/>
        <v>16</v>
      </c>
      <c r="CI206" s="228">
        <f t="shared" si="200"/>
        <v>19</v>
      </c>
      <c r="CJ206" s="228">
        <f t="shared" si="200"/>
        <v>35</v>
      </c>
      <c r="CK206" s="228">
        <f t="shared" si="200"/>
        <v>19</v>
      </c>
      <c r="CL206" s="228">
        <f t="shared" si="200"/>
        <v>20</v>
      </c>
      <c r="CM206" s="228">
        <f t="shared" si="200"/>
        <v>37</v>
      </c>
      <c r="CN206" s="228">
        <f t="shared" si="200"/>
        <v>49</v>
      </c>
      <c r="CO206" s="228">
        <f t="shared" si="200"/>
        <v>63</v>
      </c>
      <c r="CP206" s="228">
        <f t="shared" si="200"/>
        <v>25</v>
      </c>
      <c r="CQ206" s="228">
        <f t="shared" si="200"/>
        <v>24</v>
      </c>
      <c r="CR206" s="228">
        <f t="shared" si="200"/>
        <v>22</v>
      </c>
      <c r="CS206" s="228">
        <f t="shared" si="200"/>
        <v>9</v>
      </c>
      <c r="CT206" s="228">
        <f t="shared" si="200"/>
        <v>22</v>
      </c>
      <c r="CU206" s="228">
        <f t="shared" si="200"/>
        <v>5</v>
      </c>
      <c r="CV206" s="228">
        <f t="shared" si="200"/>
        <v>5</v>
      </c>
      <c r="CW206" s="228">
        <f t="shared" si="200"/>
        <v>70</v>
      </c>
      <c r="CX206" s="228">
        <f t="shared" si="200"/>
        <v>0</v>
      </c>
      <c r="CY206" s="228">
        <f t="shared" si="200"/>
        <v>15</v>
      </c>
      <c r="CZ206" s="228">
        <f t="shared" si="200"/>
        <v>0</v>
      </c>
      <c r="DA206" s="228">
        <f t="shared" si="200"/>
        <v>21</v>
      </c>
      <c r="DB206" s="228">
        <f t="shared" si="200"/>
        <v>2</v>
      </c>
      <c r="DC206" s="228">
        <f t="shared" si="200"/>
        <v>25</v>
      </c>
      <c r="DD206" s="228">
        <f t="shared" si="200"/>
        <v>132</v>
      </c>
      <c r="DE206" s="228">
        <f t="shared" si="200"/>
        <v>1</v>
      </c>
      <c r="DF206" s="228">
        <f t="shared" si="200"/>
        <v>0</v>
      </c>
      <c r="DG206" s="228">
        <f t="shared" si="200"/>
        <v>50</v>
      </c>
      <c r="DH206" s="228">
        <f t="shared" si="200"/>
        <v>761</v>
      </c>
      <c r="DI206" s="228">
        <f t="shared" si="200"/>
        <v>25</v>
      </c>
      <c r="DJ206" s="228">
        <f t="shared" si="200"/>
        <v>16</v>
      </c>
      <c r="DK206" s="228">
        <f t="shared" si="200"/>
        <v>0</v>
      </c>
      <c r="DL206" s="228">
        <f t="shared" si="200"/>
        <v>6</v>
      </c>
      <c r="DM206" s="228">
        <f t="shared" si="200"/>
        <v>209</v>
      </c>
      <c r="DN206" s="228">
        <f t="shared" si="200"/>
        <v>759</v>
      </c>
      <c r="DO206" s="228">
        <f t="shared" si="200"/>
        <v>115</v>
      </c>
      <c r="DP206" s="232">
        <f t="shared" si="200"/>
        <v>4215</v>
      </c>
      <c r="DQ206" s="228">
        <f t="shared" si="161"/>
        <v>0</v>
      </c>
      <c r="DR206" s="228">
        <f t="shared" si="162"/>
        <v>91</v>
      </c>
      <c r="DS206" s="230">
        <f>SUM(X206:Y206)+(1-TRP!$AK$253)*AC206</f>
        <v>24</v>
      </c>
      <c r="DT206" s="228">
        <f t="shared" si="163"/>
        <v>2</v>
      </c>
      <c r="DU206" s="228">
        <f t="shared" si="164"/>
        <v>8</v>
      </c>
      <c r="DV206" s="228">
        <f t="shared" si="165"/>
        <v>4</v>
      </c>
      <c r="DW206" s="228">
        <f t="shared" si="166"/>
        <v>1</v>
      </c>
      <c r="DX206" s="228">
        <f t="shared" si="167"/>
        <v>12</v>
      </c>
      <c r="DY206" s="228">
        <f t="shared" si="168"/>
        <v>11</v>
      </c>
      <c r="DZ206" s="228">
        <f t="shared" si="169"/>
        <v>3</v>
      </c>
      <c r="EA206" s="228">
        <f t="shared" si="170"/>
        <v>1</v>
      </c>
      <c r="EB206" s="230">
        <f>TRP!$AK$253*$AC206+SUM(M206:W206,Z206:AB206,AD206:AR206,AU206:AX206,BC206:BE206,BI206:BN206,BQ206:BR206,BV206)</f>
        <v>208</v>
      </c>
      <c r="EC206" s="228">
        <f t="shared" si="171"/>
        <v>60</v>
      </c>
      <c r="ED206" s="230">
        <f>CB206+$CI206*TRP!$AV$248</f>
        <v>2.5890807547789665</v>
      </c>
      <c r="EE206" s="228">
        <f t="shared" si="172"/>
        <v>397</v>
      </c>
      <c r="EF206" s="230">
        <f>CD206+$CI206*TRP!$AV$249</f>
        <v>27.170719902851395</v>
      </c>
      <c r="EG206" s="230">
        <f>CE206+$CI206*TRP!$AV$250</f>
        <v>19.841675930787485</v>
      </c>
      <c r="EH206" s="230">
        <f>CF206+$CI206*TRP!$AV$251</f>
        <v>26.398523411582154</v>
      </c>
      <c r="EI206" s="228">
        <f t="shared" si="173"/>
        <v>1420</v>
      </c>
      <c r="EJ206" s="228">
        <f t="shared" si="174"/>
        <v>1860</v>
      </c>
      <c r="EK206" s="228">
        <f t="shared" si="175"/>
        <v>0</v>
      </c>
      <c r="EL206" s="230">
        <f>BS206+$BP206*TRP!$AN$246</f>
        <v>21</v>
      </c>
      <c r="EM206" s="228">
        <f t="shared" si="176"/>
        <v>14</v>
      </c>
      <c r="EN206" s="230">
        <f>BU206+$BP206*TRP!$AN$247</f>
        <v>2</v>
      </c>
    </row>
    <row r="207" spans="1:144" s="228" customFormat="1" ht="10.5" x14ac:dyDescent="0.25">
      <c r="A207" s="228" t="str">
        <f>TRP!C205</f>
        <v xml:space="preserve">GK03 </v>
      </c>
      <c r="B207" s="228" t="str">
        <f>TRP!B205</f>
        <v>TRANSPORT ROUTIER (OU PAR CONDUITES) DE marchandises</v>
      </c>
      <c r="C207" s="233">
        <f>TRP!A205</f>
        <v>116</v>
      </c>
      <c r="D207" s="228">
        <f t="shared" ref="D207:BO207" si="201">D83</f>
        <v>37</v>
      </c>
      <c r="E207" s="228">
        <f t="shared" si="201"/>
        <v>0</v>
      </c>
      <c r="F207" s="228">
        <f t="shared" si="201"/>
        <v>0</v>
      </c>
      <c r="G207" s="228">
        <f t="shared" si="201"/>
        <v>2</v>
      </c>
      <c r="H207" s="228">
        <f t="shared" si="201"/>
        <v>3</v>
      </c>
      <c r="I207" s="228">
        <f t="shared" si="201"/>
        <v>2</v>
      </c>
      <c r="J207" s="228">
        <f t="shared" si="201"/>
        <v>1</v>
      </c>
      <c r="K207" s="228">
        <f t="shared" si="201"/>
        <v>5</v>
      </c>
      <c r="L207" s="228">
        <f t="shared" si="201"/>
        <v>0</v>
      </c>
      <c r="M207" s="228">
        <f t="shared" si="201"/>
        <v>7</v>
      </c>
      <c r="N207" s="228">
        <f t="shared" si="201"/>
        <v>1</v>
      </c>
      <c r="O207" s="228">
        <f t="shared" si="201"/>
        <v>17</v>
      </c>
      <c r="P207" s="228">
        <f t="shared" si="201"/>
        <v>4</v>
      </c>
      <c r="Q207" s="228">
        <f t="shared" si="201"/>
        <v>2</v>
      </c>
      <c r="R207" s="228">
        <f t="shared" si="201"/>
        <v>1</v>
      </c>
      <c r="S207" s="228">
        <f t="shared" si="201"/>
        <v>0</v>
      </c>
      <c r="T207" s="228">
        <f t="shared" si="201"/>
        <v>1</v>
      </c>
      <c r="U207" s="228">
        <f t="shared" si="201"/>
        <v>0</v>
      </c>
      <c r="V207" s="228">
        <f t="shared" si="201"/>
        <v>1</v>
      </c>
      <c r="W207" s="228">
        <f t="shared" si="201"/>
        <v>2</v>
      </c>
      <c r="X207" s="228">
        <f t="shared" si="201"/>
        <v>5</v>
      </c>
      <c r="Y207" s="228">
        <f t="shared" si="201"/>
        <v>3</v>
      </c>
      <c r="Z207" s="228">
        <f t="shared" si="201"/>
        <v>1</v>
      </c>
      <c r="AA207" s="228">
        <f t="shared" si="201"/>
        <v>0</v>
      </c>
      <c r="AB207" s="228">
        <f t="shared" si="201"/>
        <v>1</v>
      </c>
      <c r="AC207" s="228">
        <f t="shared" si="201"/>
        <v>0</v>
      </c>
      <c r="AD207" s="228">
        <f t="shared" si="201"/>
        <v>1</v>
      </c>
      <c r="AE207" s="228">
        <f t="shared" si="201"/>
        <v>1</v>
      </c>
      <c r="AF207" s="228">
        <f t="shared" si="201"/>
        <v>2</v>
      </c>
      <c r="AG207" s="228">
        <f t="shared" si="201"/>
        <v>2</v>
      </c>
      <c r="AH207" s="228">
        <f t="shared" si="201"/>
        <v>1</v>
      </c>
      <c r="AI207" s="228">
        <f t="shared" si="201"/>
        <v>0</v>
      </c>
      <c r="AJ207" s="228">
        <f t="shared" si="201"/>
        <v>2</v>
      </c>
      <c r="AK207" s="228">
        <f t="shared" si="201"/>
        <v>0</v>
      </c>
      <c r="AL207" s="228">
        <f t="shared" si="201"/>
        <v>1</v>
      </c>
      <c r="AM207" s="228">
        <f t="shared" si="201"/>
        <v>0</v>
      </c>
      <c r="AN207" s="228">
        <f t="shared" si="201"/>
        <v>1</v>
      </c>
      <c r="AO207" s="228">
        <f t="shared" si="201"/>
        <v>1</v>
      </c>
      <c r="AP207" s="228">
        <f t="shared" si="201"/>
        <v>4</v>
      </c>
      <c r="AQ207" s="228">
        <f t="shared" si="201"/>
        <v>0</v>
      </c>
      <c r="AR207" s="228">
        <f t="shared" si="201"/>
        <v>1</v>
      </c>
      <c r="AS207" s="228">
        <f t="shared" si="201"/>
        <v>2</v>
      </c>
      <c r="AT207" s="228">
        <f t="shared" si="201"/>
        <v>2</v>
      </c>
      <c r="AU207" s="228">
        <f t="shared" si="201"/>
        <v>1</v>
      </c>
      <c r="AV207" s="228">
        <f t="shared" si="201"/>
        <v>1</v>
      </c>
      <c r="AW207" s="228">
        <f t="shared" si="201"/>
        <v>1</v>
      </c>
      <c r="AX207" s="228">
        <f t="shared" si="201"/>
        <v>1</v>
      </c>
      <c r="AY207" s="228">
        <f t="shared" si="201"/>
        <v>1</v>
      </c>
      <c r="AZ207" s="228">
        <f t="shared" si="201"/>
        <v>2</v>
      </c>
      <c r="BA207" s="228">
        <f t="shared" si="201"/>
        <v>1</v>
      </c>
      <c r="BB207" s="228">
        <f t="shared" si="201"/>
        <v>3</v>
      </c>
      <c r="BC207" s="228">
        <f t="shared" si="201"/>
        <v>2</v>
      </c>
      <c r="BD207" s="228">
        <f t="shared" si="201"/>
        <v>0</v>
      </c>
      <c r="BE207" s="228">
        <f t="shared" si="201"/>
        <v>1</v>
      </c>
      <c r="BF207" s="228">
        <f t="shared" si="201"/>
        <v>5</v>
      </c>
      <c r="BG207" s="228">
        <f t="shared" si="201"/>
        <v>3</v>
      </c>
      <c r="BH207" s="228">
        <f t="shared" si="201"/>
        <v>1</v>
      </c>
      <c r="BI207" s="228">
        <f t="shared" si="201"/>
        <v>1</v>
      </c>
      <c r="BJ207" s="228">
        <f t="shared" si="201"/>
        <v>3</v>
      </c>
      <c r="BK207" s="228">
        <f t="shared" si="201"/>
        <v>2</v>
      </c>
      <c r="BL207" s="228">
        <f t="shared" si="201"/>
        <v>1</v>
      </c>
      <c r="BM207" s="228">
        <f t="shared" si="201"/>
        <v>1</v>
      </c>
      <c r="BN207" s="228">
        <f t="shared" si="201"/>
        <v>0</v>
      </c>
      <c r="BO207" s="228">
        <f t="shared" si="201"/>
        <v>0</v>
      </c>
      <c r="BP207" s="228">
        <f t="shared" ref="BP207:DP207" si="202">BP83</f>
        <v>0</v>
      </c>
      <c r="BQ207" s="228">
        <f t="shared" si="202"/>
        <v>0</v>
      </c>
      <c r="BR207" s="228">
        <f t="shared" si="202"/>
        <v>5</v>
      </c>
      <c r="BS207" s="228">
        <f t="shared" si="202"/>
        <v>4</v>
      </c>
      <c r="BT207" s="228">
        <f t="shared" si="202"/>
        <v>2</v>
      </c>
      <c r="BU207" s="228">
        <f t="shared" si="202"/>
        <v>1</v>
      </c>
      <c r="BV207" s="228">
        <f t="shared" si="202"/>
        <v>1</v>
      </c>
      <c r="BW207" s="228">
        <f t="shared" si="202"/>
        <v>22</v>
      </c>
      <c r="BX207" s="228">
        <f t="shared" si="202"/>
        <v>3</v>
      </c>
      <c r="BY207" s="228">
        <f t="shared" si="202"/>
        <v>317</v>
      </c>
      <c r="BZ207" s="228">
        <f t="shared" si="202"/>
        <v>3756</v>
      </c>
      <c r="CA207" s="228">
        <f t="shared" si="202"/>
        <v>1242</v>
      </c>
      <c r="CB207" s="228">
        <f t="shared" si="202"/>
        <v>2</v>
      </c>
      <c r="CC207" s="228">
        <f t="shared" si="202"/>
        <v>28</v>
      </c>
      <c r="CD207" s="228">
        <f t="shared" si="202"/>
        <v>4284</v>
      </c>
      <c r="CE207" s="228">
        <f t="shared" si="202"/>
        <v>0</v>
      </c>
      <c r="CF207" s="228">
        <f t="shared" si="202"/>
        <v>2</v>
      </c>
      <c r="CG207" s="228">
        <f t="shared" si="202"/>
        <v>79</v>
      </c>
      <c r="CH207" s="228">
        <f t="shared" si="202"/>
        <v>2</v>
      </c>
      <c r="CI207" s="228">
        <f t="shared" si="202"/>
        <v>68</v>
      </c>
      <c r="CJ207" s="228">
        <f t="shared" si="202"/>
        <v>8</v>
      </c>
      <c r="CK207" s="228">
        <f t="shared" si="202"/>
        <v>4</v>
      </c>
      <c r="CL207" s="228">
        <f t="shared" si="202"/>
        <v>1</v>
      </c>
      <c r="CM207" s="228">
        <f t="shared" si="202"/>
        <v>1</v>
      </c>
      <c r="CN207" s="228">
        <f t="shared" si="202"/>
        <v>3</v>
      </c>
      <c r="CO207" s="228">
        <f t="shared" si="202"/>
        <v>6</v>
      </c>
      <c r="CP207" s="228">
        <f t="shared" si="202"/>
        <v>3</v>
      </c>
      <c r="CQ207" s="228">
        <f t="shared" si="202"/>
        <v>2</v>
      </c>
      <c r="CR207" s="228">
        <f t="shared" si="202"/>
        <v>1</v>
      </c>
      <c r="CS207" s="228">
        <f t="shared" si="202"/>
        <v>1</v>
      </c>
      <c r="CT207" s="228">
        <f t="shared" si="202"/>
        <v>3</v>
      </c>
      <c r="CU207" s="228">
        <f t="shared" si="202"/>
        <v>2</v>
      </c>
      <c r="CV207" s="228">
        <f t="shared" si="202"/>
        <v>2</v>
      </c>
      <c r="CW207" s="228">
        <f t="shared" si="202"/>
        <v>5</v>
      </c>
      <c r="CX207" s="228">
        <f t="shared" si="202"/>
        <v>1</v>
      </c>
      <c r="CY207" s="228">
        <f t="shared" si="202"/>
        <v>3</v>
      </c>
      <c r="CZ207" s="228">
        <f t="shared" si="202"/>
        <v>0</v>
      </c>
      <c r="DA207" s="228">
        <f t="shared" si="202"/>
        <v>2</v>
      </c>
      <c r="DB207" s="228">
        <f t="shared" si="202"/>
        <v>3</v>
      </c>
      <c r="DC207" s="228">
        <f t="shared" si="202"/>
        <v>2</v>
      </c>
      <c r="DD207" s="228">
        <f t="shared" si="202"/>
        <v>17</v>
      </c>
      <c r="DE207" s="228">
        <f t="shared" si="202"/>
        <v>1</v>
      </c>
      <c r="DF207" s="228">
        <f t="shared" si="202"/>
        <v>0</v>
      </c>
      <c r="DG207" s="228">
        <f t="shared" si="202"/>
        <v>1</v>
      </c>
      <c r="DH207" s="228">
        <f t="shared" si="202"/>
        <v>15</v>
      </c>
      <c r="DI207" s="228">
        <f t="shared" si="202"/>
        <v>12</v>
      </c>
      <c r="DJ207" s="228">
        <f t="shared" si="202"/>
        <v>311</v>
      </c>
      <c r="DK207" s="228">
        <f t="shared" si="202"/>
        <v>5</v>
      </c>
      <c r="DL207" s="228">
        <f t="shared" si="202"/>
        <v>6</v>
      </c>
      <c r="DM207" s="228">
        <f t="shared" si="202"/>
        <v>2</v>
      </c>
      <c r="DN207" s="228">
        <f t="shared" si="202"/>
        <v>382</v>
      </c>
      <c r="DO207" s="228">
        <f t="shared" si="202"/>
        <v>0</v>
      </c>
      <c r="DP207" s="232">
        <f t="shared" si="202"/>
        <v>10771</v>
      </c>
      <c r="DQ207" s="228">
        <f t="shared" si="161"/>
        <v>37</v>
      </c>
      <c r="DR207" s="228">
        <f t="shared" si="162"/>
        <v>13</v>
      </c>
      <c r="DS207" s="230">
        <f>SUM(X207:Y207)+(1-TRP!$AK$253)*AC207</f>
        <v>8</v>
      </c>
      <c r="DT207" s="228">
        <f t="shared" si="163"/>
        <v>2</v>
      </c>
      <c r="DU207" s="228">
        <f t="shared" si="164"/>
        <v>2</v>
      </c>
      <c r="DV207" s="228">
        <f t="shared" si="165"/>
        <v>3</v>
      </c>
      <c r="DW207" s="228">
        <f t="shared" si="166"/>
        <v>1</v>
      </c>
      <c r="DX207" s="228">
        <f t="shared" si="167"/>
        <v>3</v>
      </c>
      <c r="DY207" s="228">
        <f t="shared" si="168"/>
        <v>5</v>
      </c>
      <c r="DZ207" s="228">
        <f t="shared" si="169"/>
        <v>3</v>
      </c>
      <c r="EA207" s="228">
        <f t="shared" si="170"/>
        <v>1</v>
      </c>
      <c r="EB207" s="230">
        <f>TRP!$AK$253*$AC207+SUM(M207:W207,Z207:AB207,AD207:AR207,AU207:AX207,BC207:BE207,BI207:BN207,BQ207:BR207,BV207)</f>
        <v>76</v>
      </c>
      <c r="EC207" s="228">
        <f t="shared" si="171"/>
        <v>25</v>
      </c>
      <c r="ED207" s="230">
        <f>CB207+$CI207*TRP!$AV$248</f>
        <v>4.1082890171036688</v>
      </c>
      <c r="EE207" s="228">
        <f t="shared" si="172"/>
        <v>28</v>
      </c>
      <c r="EF207" s="230">
        <f>CD207+$CI207*TRP!$AV$249</f>
        <v>4331.1373133365205</v>
      </c>
      <c r="EG207" s="230">
        <f>CE207+$CI207*TRP!$AV$250</f>
        <v>13.749155962818365</v>
      </c>
      <c r="EH207" s="230">
        <f>CF207+$CI207*TRP!$AV$251</f>
        <v>7.0052416835571885</v>
      </c>
      <c r="EI207" s="228">
        <f t="shared" si="173"/>
        <v>5491</v>
      </c>
      <c r="EJ207" s="228">
        <f t="shared" si="174"/>
        <v>710</v>
      </c>
      <c r="EK207" s="228">
        <f t="shared" si="175"/>
        <v>0</v>
      </c>
      <c r="EL207" s="230">
        <f>BS207+$BP207*TRP!$AN$246</f>
        <v>4</v>
      </c>
      <c r="EM207" s="228">
        <f t="shared" si="176"/>
        <v>2</v>
      </c>
      <c r="EN207" s="230">
        <f>BU207+$BP207*TRP!$AN$247</f>
        <v>1</v>
      </c>
    </row>
    <row r="208" spans="1:144" s="228" customFormat="1" ht="10.5" x14ac:dyDescent="0.25">
      <c r="A208" s="228" t="str">
        <f>TRP!C206</f>
        <v xml:space="preserve">GK04 </v>
      </c>
      <c r="B208" s="228" t="str">
        <f>TRP!B206</f>
        <v>TRANSPORTS PAR EAU</v>
      </c>
      <c r="C208" s="233">
        <f>TRP!A206</f>
        <v>117</v>
      </c>
      <c r="D208" s="228">
        <f t="shared" ref="D208:BO208" si="203">D84</f>
        <v>0</v>
      </c>
      <c r="E208" s="228">
        <f t="shared" si="203"/>
        <v>0</v>
      </c>
      <c r="F208" s="228">
        <f t="shared" si="203"/>
        <v>0</v>
      </c>
      <c r="G208" s="228">
        <f t="shared" si="203"/>
        <v>0</v>
      </c>
      <c r="H208" s="228">
        <f t="shared" si="203"/>
        <v>0</v>
      </c>
      <c r="I208" s="228">
        <f t="shared" si="203"/>
        <v>0</v>
      </c>
      <c r="J208" s="228">
        <f t="shared" si="203"/>
        <v>0</v>
      </c>
      <c r="K208" s="228">
        <f t="shared" si="203"/>
        <v>0</v>
      </c>
      <c r="L208" s="228">
        <f t="shared" si="203"/>
        <v>0</v>
      </c>
      <c r="M208" s="228">
        <f t="shared" si="203"/>
        <v>0</v>
      </c>
      <c r="N208" s="228">
        <f t="shared" si="203"/>
        <v>0</v>
      </c>
      <c r="O208" s="228">
        <f t="shared" si="203"/>
        <v>0</v>
      </c>
      <c r="P208" s="228">
        <f t="shared" si="203"/>
        <v>0</v>
      </c>
      <c r="Q208" s="228">
        <f t="shared" si="203"/>
        <v>0</v>
      </c>
      <c r="R208" s="228">
        <f t="shared" si="203"/>
        <v>0</v>
      </c>
      <c r="S208" s="228">
        <f t="shared" si="203"/>
        <v>0</v>
      </c>
      <c r="T208" s="228">
        <f t="shared" si="203"/>
        <v>0</v>
      </c>
      <c r="U208" s="228">
        <f t="shared" si="203"/>
        <v>0</v>
      </c>
      <c r="V208" s="228">
        <f t="shared" si="203"/>
        <v>0</v>
      </c>
      <c r="W208" s="228">
        <f t="shared" si="203"/>
        <v>0</v>
      </c>
      <c r="X208" s="228">
        <f t="shared" si="203"/>
        <v>0</v>
      </c>
      <c r="Y208" s="228">
        <f t="shared" si="203"/>
        <v>0</v>
      </c>
      <c r="Z208" s="228">
        <f t="shared" si="203"/>
        <v>0</v>
      </c>
      <c r="AA208" s="228">
        <f t="shared" si="203"/>
        <v>0</v>
      </c>
      <c r="AB208" s="228">
        <f t="shared" si="203"/>
        <v>0</v>
      </c>
      <c r="AC208" s="228">
        <f t="shared" si="203"/>
        <v>0</v>
      </c>
      <c r="AD208" s="228">
        <f t="shared" si="203"/>
        <v>0</v>
      </c>
      <c r="AE208" s="228">
        <f t="shared" si="203"/>
        <v>0</v>
      </c>
      <c r="AF208" s="228">
        <f t="shared" si="203"/>
        <v>0</v>
      </c>
      <c r="AG208" s="228">
        <f t="shared" si="203"/>
        <v>0</v>
      </c>
      <c r="AH208" s="228">
        <f t="shared" si="203"/>
        <v>0</v>
      </c>
      <c r="AI208" s="228">
        <f t="shared" si="203"/>
        <v>0</v>
      </c>
      <c r="AJ208" s="228">
        <f t="shared" si="203"/>
        <v>0</v>
      </c>
      <c r="AK208" s="228">
        <f t="shared" si="203"/>
        <v>0</v>
      </c>
      <c r="AL208" s="228">
        <f t="shared" si="203"/>
        <v>0</v>
      </c>
      <c r="AM208" s="228">
        <f t="shared" si="203"/>
        <v>0</v>
      </c>
      <c r="AN208" s="228">
        <f t="shared" si="203"/>
        <v>0</v>
      </c>
      <c r="AO208" s="228">
        <f t="shared" si="203"/>
        <v>0</v>
      </c>
      <c r="AP208" s="228">
        <f t="shared" si="203"/>
        <v>0</v>
      </c>
      <c r="AQ208" s="228">
        <f t="shared" si="203"/>
        <v>0</v>
      </c>
      <c r="AR208" s="228">
        <f t="shared" si="203"/>
        <v>0</v>
      </c>
      <c r="AS208" s="228">
        <f t="shared" si="203"/>
        <v>0</v>
      </c>
      <c r="AT208" s="228">
        <f t="shared" si="203"/>
        <v>0</v>
      </c>
      <c r="AU208" s="228">
        <f t="shared" si="203"/>
        <v>0</v>
      </c>
      <c r="AV208" s="228">
        <f t="shared" si="203"/>
        <v>0</v>
      </c>
      <c r="AW208" s="228">
        <f t="shared" si="203"/>
        <v>0</v>
      </c>
      <c r="AX208" s="228">
        <f t="shared" si="203"/>
        <v>0</v>
      </c>
      <c r="AY208" s="228">
        <f t="shared" si="203"/>
        <v>0</v>
      </c>
      <c r="AZ208" s="228">
        <f t="shared" si="203"/>
        <v>0</v>
      </c>
      <c r="BA208" s="228">
        <f t="shared" si="203"/>
        <v>0</v>
      </c>
      <c r="BB208" s="228">
        <f t="shared" si="203"/>
        <v>0</v>
      </c>
      <c r="BC208" s="228">
        <f t="shared" si="203"/>
        <v>0</v>
      </c>
      <c r="BD208" s="228">
        <f t="shared" si="203"/>
        <v>0</v>
      </c>
      <c r="BE208" s="228">
        <f t="shared" si="203"/>
        <v>0</v>
      </c>
      <c r="BF208" s="228">
        <f t="shared" si="203"/>
        <v>0</v>
      </c>
      <c r="BG208" s="228">
        <f t="shared" si="203"/>
        <v>0</v>
      </c>
      <c r="BH208" s="228">
        <f t="shared" si="203"/>
        <v>0</v>
      </c>
      <c r="BI208" s="228">
        <f t="shared" si="203"/>
        <v>0</v>
      </c>
      <c r="BJ208" s="228">
        <f t="shared" si="203"/>
        <v>0</v>
      </c>
      <c r="BK208" s="228">
        <f t="shared" si="203"/>
        <v>0</v>
      </c>
      <c r="BL208" s="228">
        <f t="shared" si="203"/>
        <v>0</v>
      </c>
      <c r="BM208" s="228">
        <f t="shared" si="203"/>
        <v>0</v>
      </c>
      <c r="BN208" s="228">
        <f t="shared" si="203"/>
        <v>0</v>
      </c>
      <c r="BO208" s="228">
        <f t="shared" si="203"/>
        <v>0</v>
      </c>
      <c r="BP208" s="228">
        <f t="shared" ref="BP208:DP208" si="204">BP84</f>
        <v>0</v>
      </c>
      <c r="BQ208" s="228">
        <f t="shared" si="204"/>
        <v>0</v>
      </c>
      <c r="BR208" s="228">
        <f t="shared" si="204"/>
        <v>0</v>
      </c>
      <c r="BS208" s="228">
        <f t="shared" si="204"/>
        <v>0</v>
      </c>
      <c r="BT208" s="228">
        <f t="shared" si="204"/>
        <v>0</v>
      </c>
      <c r="BU208" s="228">
        <f t="shared" si="204"/>
        <v>0</v>
      </c>
      <c r="BV208" s="228">
        <f t="shared" si="204"/>
        <v>0</v>
      </c>
      <c r="BW208" s="228">
        <f t="shared" si="204"/>
        <v>0</v>
      </c>
      <c r="BX208" s="228">
        <f t="shared" si="204"/>
        <v>0</v>
      </c>
      <c r="BY208" s="228">
        <f t="shared" si="204"/>
        <v>0</v>
      </c>
      <c r="BZ208" s="228">
        <f t="shared" si="204"/>
        <v>0</v>
      </c>
      <c r="CA208" s="228">
        <f t="shared" si="204"/>
        <v>0</v>
      </c>
      <c r="CB208" s="228">
        <f t="shared" si="204"/>
        <v>0</v>
      </c>
      <c r="CC208" s="228">
        <f t="shared" si="204"/>
        <v>0</v>
      </c>
      <c r="CD208" s="228">
        <f t="shared" si="204"/>
        <v>0</v>
      </c>
      <c r="CE208" s="228">
        <f t="shared" si="204"/>
        <v>1571</v>
      </c>
      <c r="CF208" s="228">
        <f t="shared" si="204"/>
        <v>0</v>
      </c>
      <c r="CG208" s="228">
        <f t="shared" si="204"/>
        <v>100</v>
      </c>
      <c r="CH208" s="228">
        <f t="shared" si="204"/>
        <v>0</v>
      </c>
      <c r="CI208" s="228">
        <f t="shared" si="204"/>
        <v>106</v>
      </c>
      <c r="CJ208" s="228">
        <f t="shared" si="204"/>
        <v>0</v>
      </c>
      <c r="CK208" s="228">
        <f t="shared" si="204"/>
        <v>0</v>
      </c>
      <c r="CL208" s="228">
        <f t="shared" si="204"/>
        <v>0</v>
      </c>
      <c r="CM208" s="228">
        <f t="shared" si="204"/>
        <v>0</v>
      </c>
      <c r="CN208" s="228">
        <f t="shared" si="204"/>
        <v>0</v>
      </c>
      <c r="CO208" s="228">
        <f t="shared" si="204"/>
        <v>0</v>
      </c>
      <c r="CP208" s="228">
        <f t="shared" si="204"/>
        <v>0</v>
      </c>
      <c r="CQ208" s="228">
        <f t="shared" si="204"/>
        <v>0</v>
      </c>
      <c r="CR208" s="228">
        <f t="shared" si="204"/>
        <v>0</v>
      </c>
      <c r="CS208" s="228">
        <f t="shared" si="204"/>
        <v>0</v>
      </c>
      <c r="CT208" s="228">
        <f t="shared" si="204"/>
        <v>0</v>
      </c>
      <c r="CU208" s="228">
        <f t="shared" si="204"/>
        <v>0</v>
      </c>
      <c r="CV208" s="228">
        <f t="shared" si="204"/>
        <v>0</v>
      </c>
      <c r="CW208" s="228">
        <f t="shared" si="204"/>
        <v>0</v>
      </c>
      <c r="CX208" s="228">
        <f t="shared" si="204"/>
        <v>0</v>
      </c>
      <c r="CY208" s="228">
        <f t="shared" si="204"/>
        <v>0</v>
      </c>
      <c r="CZ208" s="228">
        <f t="shared" si="204"/>
        <v>0</v>
      </c>
      <c r="DA208" s="228">
        <f t="shared" si="204"/>
        <v>0</v>
      </c>
      <c r="DB208" s="228">
        <f t="shared" si="204"/>
        <v>0</v>
      </c>
      <c r="DC208" s="228">
        <f t="shared" si="204"/>
        <v>0</v>
      </c>
      <c r="DD208" s="228">
        <f t="shared" si="204"/>
        <v>0</v>
      </c>
      <c r="DE208" s="228">
        <f t="shared" si="204"/>
        <v>0</v>
      </c>
      <c r="DF208" s="228">
        <f t="shared" si="204"/>
        <v>0</v>
      </c>
      <c r="DG208" s="228">
        <f t="shared" si="204"/>
        <v>0</v>
      </c>
      <c r="DH208" s="228">
        <f t="shared" si="204"/>
        <v>0</v>
      </c>
      <c r="DI208" s="228">
        <f t="shared" si="204"/>
        <v>0</v>
      </c>
      <c r="DJ208" s="228">
        <f t="shared" si="204"/>
        <v>0</v>
      </c>
      <c r="DK208" s="228">
        <f t="shared" si="204"/>
        <v>0</v>
      </c>
      <c r="DL208" s="228">
        <f t="shared" si="204"/>
        <v>0</v>
      </c>
      <c r="DM208" s="228">
        <f t="shared" si="204"/>
        <v>0</v>
      </c>
      <c r="DN208" s="228">
        <f t="shared" si="204"/>
        <v>2</v>
      </c>
      <c r="DO208" s="228">
        <f t="shared" si="204"/>
        <v>0</v>
      </c>
      <c r="DP208" s="232">
        <f t="shared" si="204"/>
        <v>1779</v>
      </c>
      <c r="DQ208" s="228">
        <f t="shared" si="161"/>
        <v>0</v>
      </c>
      <c r="DR208" s="228">
        <f t="shared" si="162"/>
        <v>0</v>
      </c>
      <c r="DS208" s="230">
        <f>SUM(X208:Y208)+(1-TRP!$AK$253)*AC208</f>
        <v>0</v>
      </c>
      <c r="DT208" s="228">
        <f t="shared" si="163"/>
        <v>0</v>
      </c>
      <c r="DU208" s="228">
        <f t="shared" si="164"/>
        <v>0</v>
      </c>
      <c r="DV208" s="228">
        <f t="shared" si="165"/>
        <v>0</v>
      </c>
      <c r="DW208" s="228">
        <f t="shared" si="166"/>
        <v>0</v>
      </c>
      <c r="DX208" s="228">
        <f t="shared" si="167"/>
        <v>0</v>
      </c>
      <c r="DY208" s="228">
        <f t="shared" si="168"/>
        <v>0</v>
      </c>
      <c r="DZ208" s="228">
        <f t="shared" si="169"/>
        <v>0</v>
      </c>
      <c r="EA208" s="228">
        <f t="shared" si="170"/>
        <v>0</v>
      </c>
      <c r="EB208" s="230">
        <f>TRP!$AK$253*$AC208+SUM(M208:W208,Z208:AB208,AD208:AR208,AU208:AX208,BC208:BE208,BI208:BN208,BQ208:BR208,BV208)</f>
        <v>0</v>
      </c>
      <c r="EC208" s="228">
        <f t="shared" si="171"/>
        <v>0</v>
      </c>
      <c r="ED208" s="230">
        <f>CB208+$CI208*TRP!$AV$248</f>
        <v>3.2864505266616022</v>
      </c>
      <c r="EE208" s="228">
        <f t="shared" si="172"/>
        <v>0</v>
      </c>
      <c r="EF208" s="230">
        <f>CD208+$CI208*TRP!$AV$249</f>
        <v>73.478753142223567</v>
      </c>
      <c r="EG208" s="230">
        <f>CE208+$CI208*TRP!$AV$250</f>
        <v>1592.4325078243933</v>
      </c>
      <c r="EH208" s="230">
        <f>CF208+$CI208*TRP!$AV$251</f>
        <v>7.8022885067214993</v>
      </c>
      <c r="EI208" s="228">
        <f t="shared" si="173"/>
        <v>100</v>
      </c>
      <c r="EJ208" s="228">
        <f t="shared" si="174"/>
        <v>2</v>
      </c>
      <c r="EK208" s="228">
        <f t="shared" si="175"/>
        <v>0</v>
      </c>
      <c r="EL208" s="230">
        <f>BS208+$BP208*TRP!$AN$246</f>
        <v>0</v>
      </c>
      <c r="EM208" s="228">
        <f t="shared" si="176"/>
        <v>0</v>
      </c>
      <c r="EN208" s="230">
        <f>BU208+$BP208*TRP!$AN$247</f>
        <v>0</v>
      </c>
    </row>
    <row r="209" spans="1:144" s="228" customFormat="1" ht="10.5" x14ac:dyDescent="0.25">
      <c r="A209" s="228" t="str">
        <f>TRP!C207</f>
        <v xml:space="preserve">GK05 </v>
      </c>
      <c r="B209" s="228" t="str">
        <f>TRP!B207</f>
        <v>TRANSPORTS AERIENS</v>
      </c>
      <c r="C209" s="233">
        <f>TRP!A207</f>
        <v>118</v>
      </c>
      <c r="D209" s="228">
        <f t="shared" ref="D209:BO209" si="205">D85</f>
        <v>4</v>
      </c>
      <c r="E209" s="228">
        <f t="shared" si="205"/>
        <v>0</v>
      </c>
      <c r="F209" s="228">
        <f t="shared" si="205"/>
        <v>5</v>
      </c>
      <c r="G209" s="228">
        <f t="shared" si="205"/>
        <v>19</v>
      </c>
      <c r="H209" s="228">
        <f t="shared" si="205"/>
        <v>23</v>
      </c>
      <c r="I209" s="228">
        <f t="shared" si="205"/>
        <v>40</v>
      </c>
      <c r="J209" s="228">
        <f t="shared" si="205"/>
        <v>13</v>
      </c>
      <c r="K209" s="228">
        <f t="shared" si="205"/>
        <v>46</v>
      </c>
      <c r="L209" s="228">
        <f t="shared" si="205"/>
        <v>1</v>
      </c>
      <c r="M209" s="228">
        <f t="shared" si="205"/>
        <v>21</v>
      </c>
      <c r="N209" s="228">
        <f t="shared" si="205"/>
        <v>5</v>
      </c>
      <c r="O209" s="228">
        <f t="shared" si="205"/>
        <v>40</v>
      </c>
      <c r="P209" s="228">
        <f t="shared" si="205"/>
        <v>81</v>
      </c>
      <c r="Q209" s="228">
        <f t="shared" si="205"/>
        <v>44</v>
      </c>
      <c r="R209" s="228">
        <f t="shared" si="205"/>
        <v>4</v>
      </c>
      <c r="S209" s="228">
        <f t="shared" si="205"/>
        <v>1</v>
      </c>
      <c r="T209" s="228">
        <f t="shared" si="205"/>
        <v>1</v>
      </c>
      <c r="U209" s="228">
        <f t="shared" si="205"/>
        <v>2</v>
      </c>
      <c r="V209" s="228">
        <f t="shared" si="205"/>
        <v>2</v>
      </c>
      <c r="W209" s="228">
        <f t="shared" si="205"/>
        <v>3</v>
      </c>
      <c r="X209" s="228">
        <f t="shared" si="205"/>
        <v>16</v>
      </c>
      <c r="Y209" s="228">
        <f t="shared" si="205"/>
        <v>26</v>
      </c>
      <c r="Z209" s="228">
        <f t="shared" si="205"/>
        <v>2</v>
      </c>
      <c r="AA209" s="228">
        <f t="shared" si="205"/>
        <v>10</v>
      </c>
      <c r="AB209" s="228">
        <f t="shared" si="205"/>
        <v>38</v>
      </c>
      <c r="AC209" s="228">
        <f t="shared" si="205"/>
        <v>1</v>
      </c>
      <c r="AD209" s="228">
        <f t="shared" si="205"/>
        <v>3</v>
      </c>
      <c r="AE209" s="228">
        <f t="shared" si="205"/>
        <v>1</v>
      </c>
      <c r="AF209" s="228">
        <f t="shared" si="205"/>
        <v>8</v>
      </c>
      <c r="AG209" s="228">
        <f t="shared" si="205"/>
        <v>5</v>
      </c>
      <c r="AH209" s="228">
        <f t="shared" si="205"/>
        <v>3</v>
      </c>
      <c r="AI209" s="228">
        <f t="shared" si="205"/>
        <v>3</v>
      </c>
      <c r="AJ209" s="228">
        <f t="shared" si="205"/>
        <v>4</v>
      </c>
      <c r="AK209" s="228">
        <f t="shared" si="205"/>
        <v>4</v>
      </c>
      <c r="AL209" s="228">
        <f t="shared" si="205"/>
        <v>1</v>
      </c>
      <c r="AM209" s="228">
        <f t="shared" si="205"/>
        <v>4</v>
      </c>
      <c r="AN209" s="228">
        <f t="shared" si="205"/>
        <v>9</v>
      </c>
      <c r="AO209" s="228">
        <f t="shared" si="205"/>
        <v>3</v>
      </c>
      <c r="AP209" s="228">
        <f t="shared" si="205"/>
        <v>10</v>
      </c>
      <c r="AQ209" s="228">
        <f t="shared" si="205"/>
        <v>0</v>
      </c>
      <c r="AR209" s="228">
        <f t="shared" si="205"/>
        <v>8</v>
      </c>
      <c r="AS209" s="228">
        <f t="shared" si="205"/>
        <v>12</v>
      </c>
      <c r="AT209" s="228">
        <f t="shared" si="205"/>
        <v>39</v>
      </c>
      <c r="AU209" s="228">
        <f t="shared" si="205"/>
        <v>12</v>
      </c>
      <c r="AV209" s="228">
        <f t="shared" si="205"/>
        <v>9</v>
      </c>
      <c r="AW209" s="228">
        <f t="shared" si="205"/>
        <v>3</v>
      </c>
      <c r="AX209" s="228">
        <f t="shared" si="205"/>
        <v>5</v>
      </c>
      <c r="AY209" s="228">
        <f t="shared" si="205"/>
        <v>9</v>
      </c>
      <c r="AZ209" s="228">
        <f t="shared" si="205"/>
        <v>9</v>
      </c>
      <c r="BA209" s="228">
        <f t="shared" si="205"/>
        <v>12</v>
      </c>
      <c r="BB209" s="228">
        <f t="shared" si="205"/>
        <v>24</v>
      </c>
      <c r="BC209" s="228">
        <f t="shared" si="205"/>
        <v>12</v>
      </c>
      <c r="BD209" s="228">
        <f t="shared" si="205"/>
        <v>1</v>
      </c>
      <c r="BE209" s="228">
        <f t="shared" si="205"/>
        <v>14</v>
      </c>
      <c r="BF209" s="228">
        <f t="shared" si="205"/>
        <v>27</v>
      </c>
      <c r="BG209" s="228">
        <f t="shared" si="205"/>
        <v>17</v>
      </c>
      <c r="BH209" s="228">
        <f t="shared" si="205"/>
        <v>10</v>
      </c>
      <c r="BI209" s="228">
        <f t="shared" si="205"/>
        <v>8</v>
      </c>
      <c r="BJ209" s="228">
        <f t="shared" si="205"/>
        <v>13</v>
      </c>
      <c r="BK209" s="228">
        <f t="shared" si="205"/>
        <v>19</v>
      </c>
      <c r="BL209" s="228">
        <f t="shared" si="205"/>
        <v>11</v>
      </c>
      <c r="BM209" s="228">
        <f t="shared" si="205"/>
        <v>26</v>
      </c>
      <c r="BN209" s="228">
        <f t="shared" si="205"/>
        <v>6</v>
      </c>
      <c r="BO209" s="228">
        <f t="shared" si="205"/>
        <v>0</v>
      </c>
      <c r="BP209" s="228">
        <f t="shared" ref="BP209:DP209" si="206">BP85</f>
        <v>0</v>
      </c>
      <c r="BQ209" s="228">
        <f t="shared" si="206"/>
        <v>0</v>
      </c>
      <c r="BR209" s="228">
        <f t="shared" si="206"/>
        <v>0</v>
      </c>
      <c r="BS209" s="228">
        <f t="shared" si="206"/>
        <v>53</v>
      </c>
      <c r="BT209" s="228">
        <f t="shared" si="206"/>
        <v>28</v>
      </c>
      <c r="BU209" s="228">
        <f t="shared" si="206"/>
        <v>4</v>
      </c>
      <c r="BV209" s="228">
        <f t="shared" si="206"/>
        <v>8</v>
      </c>
      <c r="BW209" s="228">
        <f t="shared" si="206"/>
        <v>94</v>
      </c>
      <c r="BX209" s="228">
        <f t="shared" si="206"/>
        <v>45</v>
      </c>
      <c r="BY209" s="228">
        <f t="shared" si="206"/>
        <v>90</v>
      </c>
      <c r="BZ209" s="228">
        <f t="shared" si="206"/>
        <v>468</v>
      </c>
      <c r="CA209" s="228">
        <f t="shared" si="206"/>
        <v>452</v>
      </c>
      <c r="CB209" s="228">
        <f t="shared" si="206"/>
        <v>3</v>
      </c>
      <c r="CC209" s="228">
        <f t="shared" si="206"/>
        <v>15</v>
      </c>
      <c r="CD209" s="228">
        <f t="shared" si="206"/>
        <v>38</v>
      </c>
      <c r="CE209" s="228">
        <f t="shared" si="206"/>
        <v>32</v>
      </c>
      <c r="CF209" s="228">
        <f t="shared" si="206"/>
        <v>2392</v>
      </c>
      <c r="CG209" s="228">
        <f t="shared" si="206"/>
        <v>186</v>
      </c>
      <c r="CH209" s="228">
        <f t="shared" si="206"/>
        <v>182</v>
      </c>
      <c r="CI209" s="228">
        <f t="shared" si="206"/>
        <v>197</v>
      </c>
      <c r="CJ209" s="228">
        <f t="shared" si="206"/>
        <v>355</v>
      </c>
      <c r="CK209" s="228">
        <f t="shared" si="206"/>
        <v>126</v>
      </c>
      <c r="CL209" s="228">
        <f t="shared" si="206"/>
        <v>186</v>
      </c>
      <c r="CM209" s="228">
        <f t="shared" si="206"/>
        <v>33</v>
      </c>
      <c r="CN209" s="228">
        <f t="shared" si="206"/>
        <v>77</v>
      </c>
      <c r="CO209" s="228">
        <f t="shared" si="206"/>
        <v>60</v>
      </c>
      <c r="CP209" s="228">
        <f t="shared" si="206"/>
        <v>175</v>
      </c>
      <c r="CQ209" s="228">
        <f t="shared" si="206"/>
        <v>170</v>
      </c>
      <c r="CR209" s="228">
        <f t="shared" si="206"/>
        <v>140</v>
      </c>
      <c r="CS209" s="228">
        <f t="shared" si="206"/>
        <v>74</v>
      </c>
      <c r="CT209" s="228">
        <f t="shared" si="206"/>
        <v>199</v>
      </c>
      <c r="CU209" s="228">
        <f t="shared" si="206"/>
        <v>107</v>
      </c>
      <c r="CV209" s="228">
        <f t="shared" si="206"/>
        <v>34</v>
      </c>
      <c r="CW209" s="228">
        <f t="shared" si="206"/>
        <v>347</v>
      </c>
      <c r="CX209" s="228">
        <f t="shared" si="206"/>
        <v>15</v>
      </c>
      <c r="CY209" s="228">
        <f t="shared" si="206"/>
        <v>97</v>
      </c>
      <c r="CZ209" s="228">
        <f t="shared" si="206"/>
        <v>100</v>
      </c>
      <c r="DA209" s="228">
        <f t="shared" si="206"/>
        <v>127</v>
      </c>
      <c r="DB209" s="228">
        <f t="shared" si="206"/>
        <v>160</v>
      </c>
      <c r="DC209" s="228">
        <f t="shared" si="206"/>
        <v>98</v>
      </c>
      <c r="DD209" s="228">
        <f t="shared" si="206"/>
        <v>29</v>
      </c>
      <c r="DE209" s="228">
        <f t="shared" si="206"/>
        <v>34</v>
      </c>
      <c r="DF209" s="228">
        <f t="shared" si="206"/>
        <v>0</v>
      </c>
      <c r="DG209" s="228">
        <f t="shared" si="206"/>
        <v>97</v>
      </c>
      <c r="DH209" s="228">
        <f t="shared" si="206"/>
        <v>0</v>
      </c>
      <c r="DI209" s="228">
        <f t="shared" si="206"/>
        <v>125</v>
      </c>
      <c r="DJ209" s="228">
        <f t="shared" si="206"/>
        <v>0</v>
      </c>
      <c r="DK209" s="228">
        <f t="shared" si="206"/>
        <v>4</v>
      </c>
      <c r="DL209" s="228">
        <f t="shared" si="206"/>
        <v>58</v>
      </c>
      <c r="DM209" s="228">
        <f t="shared" si="206"/>
        <v>11</v>
      </c>
      <c r="DN209" s="228">
        <f t="shared" si="206"/>
        <v>151</v>
      </c>
      <c r="DO209" s="228">
        <f t="shared" si="206"/>
        <v>50</v>
      </c>
      <c r="DP209" s="232">
        <f t="shared" si="206"/>
        <v>8338</v>
      </c>
      <c r="DQ209" s="228">
        <f t="shared" si="161"/>
        <v>9</v>
      </c>
      <c r="DR209" s="228">
        <f t="shared" si="162"/>
        <v>142</v>
      </c>
      <c r="DS209" s="230">
        <f>SUM(X209:Y209)+(1-TRP!$AK$253)*AC209</f>
        <v>42.7</v>
      </c>
      <c r="DT209" s="228">
        <f t="shared" si="163"/>
        <v>12</v>
      </c>
      <c r="DU209" s="228">
        <f t="shared" si="164"/>
        <v>39</v>
      </c>
      <c r="DV209" s="228">
        <f t="shared" si="165"/>
        <v>18</v>
      </c>
      <c r="DW209" s="228">
        <f t="shared" si="166"/>
        <v>12</v>
      </c>
      <c r="DX209" s="228">
        <f t="shared" si="167"/>
        <v>24</v>
      </c>
      <c r="DY209" s="228">
        <f t="shared" si="168"/>
        <v>27</v>
      </c>
      <c r="DZ209" s="228">
        <f t="shared" si="169"/>
        <v>17</v>
      </c>
      <c r="EA209" s="228">
        <f t="shared" si="170"/>
        <v>10</v>
      </c>
      <c r="EB209" s="230">
        <f>TRP!$AK$253*$AC209+SUM(M209:W209,Z209:AB209,AD209:AR209,AU209:AX209,BC209:BE209,BI209:BN209,BQ209:BR209,BV209)</f>
        <v>467.3</v>
      </c>
      <c r="EC209" s="228">
        <f t="shared" si="171"/>
        <v>139</v>
      </c>
      <c r="ED209" s="230">
        <f>CB209+$CI209*TRP!$AV$248</f>
        <v>9.1078372995503365</v>
      </c>
      <c r="EE209" s="228">
        <f t="shared" si="172"/>
        <v>15</v>
      </c>
      <c r="EF209" s="230">
        <f>CD209+$CI209*TRP!$AV$249</f>
        <v>174.55956951903815</v>
      </c>
      <c r="EG209" s="230">
        <f>CE209+$CI209*TRP!$AV$250</f>
        <v>71.832113598164966</v>
      </c>
      <c r="EH209" s="230">
        <f>CF209+$CI209*TRP!$AV$251</f>
        <v>2406.5004795832465</v>
      </c>
      <c r="EI209" s="228">
        <f t="shared" si="173"/>
        <v>4305</v>
      </c>
      <c r="EJ209" s="228">
        <f t="shared" si="174"/>
        <v>312</v>
      </c>
      <c r="EK209" s="228">
        <f t="shared" si="175"/>
        <v>0</v>
      </c>
      <c r="EL209" s="230">
        <f>BS209+$BP209*TRP!$AN$246</f>
        <v>53</v>
      </c>
      <c r="EM209" s="228">
        <f t="shared" si="176"/>
        <v>28</v>
      </c>
      <c r="EN209" s="230">
        <f>BU209+$BP209*TRP!$AN$247</f>
        <v>4</v>
      </c>
    </row>
    <row r="210" spans="1:144" s="228" customFormat="1" ht="10.5" x14ac:dyDescent="0.25">
      <c r="A210" s="228" t="str">
        <f>TRP!C208</f>
        <v xml:space="preserve">GK07 </v>
      </c>
      <c r="B210" s="228" t="str">
        <f>TRP!B208</f>
        <v>MANUTENTION  ENTREPOSAGE ET GESTION D IN</v>
      </c>
      <c r="C210" s="233">
        <f>TRP!A208</f>
        <v>19</v>
      </c>
      <c r="D210" s="228">
        <f t="shared" ref="D210:BO210" si="207">D86</f>
        <v>0</v>
      </c>
      <c r="E210" s="228">
        <f t="shared" si="207"/>
        <v>0</v>
      </c>
      <c r="F210" s="228">
        <f t="shared" si="207"/>
        <v>7</v>
      </c>
      <c r="G210" s="228">
        <f t="shared" si="207"/>
        <v>108</v>
      </c>
      <c r="H210" s="228">
        <f t="shared" si="207"/>
        <v>72</v>
      </c>
      <c r="I210" s="228">
        <f t="shared" si="207"/>
        <v>77</v>
      </c>
      <c r="J210" s="228">
        <f t="shared" si="207"/>
        <v>129</v>
      </c>
      <c r="K210" s="228">
        <f t="shared" si="207"/>
        <v>261</v>
      </c>
      <c r="L210" s="228">
        <f t="shared" si="207"/>
        <v>1</v>
      </c>
      <c r="M210" s="228">
        <f t="shared" si="207"/>
        <v>50</v>
      </c>
      <c r="N210" s="228">
        <f t="shared" si="207"/>
        <v>10</v>
      </c>
      <c r="O210" s="228">
        <f t="shared" si="207"/>
        <v>578</v>
      </c>
      <c r="P210" s="228">
        <f t="shared" si="207"/>
        <v>227</v>
      </c>
      <c r="Q210" s="228">
        <f t="shared" si="207"/>
        <v>24</v>
      </c>
      <c r="R210" s="228">
        <f t="shared" si="207"/>
        <v>19</v>
      </c>
      <c r="S210" s="228">
        <f t="shared" si="207"/>
        <v>2</v>
      </c>
      <c r="T210" s="228">
        <f t="shared" si="207"/>
        <v>12</v>
      </c>
      <c r="U210" s="228">
        <f t="shared" si="207"/>
        <v>10</v>
      </c>
      <c r="V210" s="228">
        <f t="shared" si="207"/>
        <v>7</v>
      </c>
      <c r="W210" s="228">
        <f t="shared" si="207"/>
        <v>4</v>
      </c>
      <c r="X210" s="228">
        <f t="shared" si="207"/>
        <v>79</v>
      </c>
      <c r="Y210" s="228">
        <f t="shared" si="207"/>
        <v>61</v>
      </c>
      <c r="Z210" s="228">
        <f t="shared" si="207"/>
        <v>20</v>
      </c>
      <c r="AA210" s="228">
        <f t="shared" si="207"/>
        <v>24</v>
      </c>
      <c r="AB210" s="228">
        <f t="shared" si="207"/>
        <v>66</v>
      </c>
      <c r="AC210" s="228">
        <f t="shared" si="207"/>
        <v>6</v>
      </c>
      <c r="AD210" s="228">
        <f t="shared" si="207"/>
        <v>14</v>
      </c>
      <c r="AE210" s="228">
        <f t="shared" si="207"/>
        <v>9</v>
      </c>
      <c r="AF210" s="228">
        <f t="shared" si="207"/>
        <v>39</v>
      </c>
      <c r="AG210" s="228">
        <f t="shared" si="207"/>
        <v>59</v>
      </c>
      <c r="AH210" s="228">
        <f t="shared" si="207"/>
        <v>13</v>
      </c>
      <c r="AI210" s="228">
        <f t="shared" si="207"/>
        <v>3</v>
      </c>
      <c r="AJ210" s="228">
        <f t="shared" si="207"/>
        <v>48</v>
      </c>
      <c r="AK210" s="228">
        <f t="shared" si="207"/>
        <v>9</v>
      </c>
      <c r="AL210" s="228">
        <f t="shared" si="207"/>
        <v>5</v>
      </c>
      <c r="AM210" s="228">
        <f t="shared" si="207"/>
        <v>53</v>
      </c>
      <c r="AN210" s="228">
        <f t="shared" si="207"/>
        <v>56</v>
      </c>
      <c r="AO210" s="228">
        <f t="shared" si="207"/>
        <v>19</v>
      </c>
      <c r="AP210" s="228">
        <f t="shared" si="207"/>
        <v>68</v>
      </c>
      <c r="AQ210" s="228">
        <f t="shared" si="207"/>
        <v>0</v>
      </c>
      <c r="AR210" s="228">
        <f t="shared" si="207"/>
        <v>38</v>
      </c>
      <c r="AS210" s="228">
        <f t="shared" si="207"/>
        <v>43</v>
      </c>
      <c r="AT210" s="228">
        <f t="shared" si="207"/>
        <v>338</v>
      </c>
      <c r="AU210" s="228">
        <f t="shared" si="207"/>
        <v>40</v>
      </c>
      <c r="AV210" s="228">
        <f t="shared" si="207"/>
        <v>30</v>
      </c>
      <c r="AW210" s="228">
        <f t="shared" si="207"/>
        <v>3</v>
      </c>
      <c r="AX210" s="228">
        <f t="shared" si="207"/>
        <v>71</v>
      </c>
      <c r="AY210" s="228">
        <f t="shared" si="207"/>
        <v>169</v>
      </c>
      <c r="AZ210" s="228">
        <f t="shared" si="207"/>
        <v>136</v>
      </c>
      <c r="BA210" s="228">
        <f t="shared" si="207"/>
        <v>26</v>
      </c>
      <c r="BB210" s="228">
        <f t="shared" si="207"/>
        <v>112</v>
      </c>
      <c r="BC210" s="228">
        <f t="shared" si="207"/>
        <v>129</v>
      </c>
      <c r="BD210" s="228">
        <f t="shared" si="207"/>
        <v>1</v>
      </c>
      <c r="BE210" s="228">
        <f t="shared" si="207"/>
        <v>70</v>
      </c>
      <c r="BF210" s="228">
        <f t="shared" si="207"/>
        <v>92</v>
      </c>
      <c r="BG210" s="228">
        <f t="shared" si="207"/>
        <v>200</v>
      </c>
      <c r="BH210" s="228">
        <f t="shared" si="207"/>
        <v>68</v>
      </c>
      <c r="BI210" s="228">
        <f t="shared" si="207"/>
        <v>112</v>
      </c>
      <c r="BJ210" s="228">
        <f t="shared" si="207"/>
        <v>143</v>
      </c>
      <c r="BK210" s="228">
        <f t="shared" si="207"/>
        <v>72</v>
      </c>
      <c r="BL210" s="228">
        <f t="shared" si="207"/>
        <v>15</v>
      </c>
      <c r="BM210" s="228">
        <f t="shared" si="207"/>
        <v>100</v>
      </c>
      <c r="BN210" s="228">
        <f t="shared" si="207"/>
        <v>26</v>
      </c>
      <c r="BO210" s="228">
        <f t="shared" si="207"/>
        <v>0</v>
      </c>
      <c r="BP210" s="228">
        <f t="shared" ref="BP210:DP210" si="208">BP86</f>
        <v>0</v>
      </c>
      <c r="BQ210" s="228">
        <f t="shared" si="208"/>
        <v>0</v>
      </c>
      <c r="BR210" s="228">
        <f t="shared" si="208"/>
        <v>7</v>
      </c>
      <c r="BS210" s="228">
        <f t="shared" si="208"/>
        <v>377</v>
      </c>
      <c r="BT210" s="228">
        <f t="shared" si="208"/>
        <v>249</v>
      </c>
      <c r="BU210" s="228">
        <f t="shared" si="208"/>
        <v>18</v>
      </c>
      <c r="BV210" s="228">
        <f t="shared" si="208"/>
        <v>68</v>
      </c>
      <c r="BW210" s="228">
        <f t="shared" si="208"/>
        <v>545</v>
      </c>
      <c r="BX210" s="228">
        <f t="shared" si="208"/>
        <v>88</v>
      </c>
      <c r="BY210" s="228">
        <f t="shared" si="208"/>
        <v>278</v>
      </c>
      <c r="BZ210" s="228">
        <f t="shared" si="208"/>
        <v>1983</v>
      </c>
      <c r="CA210" s="228">
        <f t="shared" si="208"/>
        <v>1085</v>
      </c>
      <c r="CB210" s="228">
        <f t="shared" si="208"/>
        <v>2019</v>
      </c>
      <c r="CC210" s="228">
        <f t="shared" si="208"/>
        <v>377</v>
      </c>
      <c r="CD210" s="228">
        <f t="shared" si="208"/>
        <v>2693</v>
      </c>
      <c r="CE210" s="228">
        <f t="shared" si="208"/>
        <v>1080</v>
      </c>
      <c r="CF210" s="228">
        <f t="shared" si="208"/>
        <v>524</v>
      </c>
      <c r="CG210" s="228">
        <f t="shared" si="208"/>
        <v>6087</v>
      </c>
      <c r="CH210" s="228">
        <f t="shared" si="208"/>
        <v>77</v>
      </c>
      <c r="CI210" s="228">
        <f t="shared" si="208"/>
        <v>593</v>
      </c>
      <c r="CJ210" s="228">
        <f t="shared" si="208"/>
        <v>28</v>
      </c>
      <c r="CK210" s="228">
        <f t="shared" si="208"/>
        <v>11</v>
      </c>
      <c r="CL210" s="228">
        <f t="shared" si="208"/>
        <v>0</v>
      </c>
      <c r="CM210" s="228">
        <f t="shared" si="208"/>
        <v>117</v>
      </c>
      <c r="CN210" s="228">
        <f t="shared" si="208"/>
        <v>446</v>
      </c>
      <c r="CO210" s="228">
        <f t="shared" si="208"/>
        <v>81</v>
      </c>
      <c r="CP210" s="228">
        <f t="shared" si="208"/>
        <v>336</v>
      </c>
      <c r="CQ210" s="228">
        <f t="shared" si="208"/>
        <v>259</v>
      </c>
      <c r="CR210" s="228">
        <f t="shared" si="208"/>
        <v>240</v>
      </c>
      <c r="CS210" s="228">
        <f t="shared" si="208"/>
        <v>20</v>
      </c>
      <c r="CT210" s="228">
        <f t="shared" si="208"/>
        <v>347</v>
      </c>
      <c r="CU210" s="228">
        <f t="shared" si="208"/>
        <v>40</v>
      </c>
      <c r="CV210" s="228">
        <f t="shared" si="208"/>
        <v>32</v>
      </c>
      <c r="CW210" s="228">
        <f t="shared" si="208"/>
        <v>871</v>
      </c>
      <c r="CX210" s="228">
        <f t="shared" si="208"/>
        <v>74</v>
      </c>
      <c r="CY210" s="228">
        <f t="shared" si="208"/>
        <v>50</v>
      </c>
      <c r="CZ210" s="228">
        <f t="shared" si="208"/>
        <v>0</v>
      </c>
      <c r="DA210" s="228">
        <f t="shared" si="208"/>
        <v>330</v>
      </c>
      <c r="DB210" s="228">
        <f t="shared" si="208"/>
        <v>350</v>
      </c>
      <c r="DC210" s="228">
        <f t="shared" si="208"/>
        <v>129</v>
      </c>
      <c r="DD210" s="228">
        <f t="shared" si="208"/>
        <v>0</v>
      </c>
      <c r="DE210" s="228">
        <f t="shared" si="208"/>
        <v>62</v>
      </c>
      <c r="DF210" s="228">
        <f t="shared" si="208"/>
        <v>0</v>
      </c>
      <c r="DG210" s="228">
        <f t="shared" si="208"/>
        <v>76</v>
      </c>
      <c r="DH210" s="228">
        <f t="shared" si="208"/>
        <v>0</v>
      </c>
      <c r="DI210" s="228">
        <f t="shared" si="208"/>
        <v>43</v>
      </c>
      <c r="DJ210" s="228">
        <f t="shared" si="208"/>
        <v>0</v>
      </c>
      <c r="DK210" s="228">
        <f t="shared" si="208"/>
        <v>5</v>
      </c>
      <c r="DL210" s="228">
        <f t="shared" si="208"/>
        <v>20</v>
      </c>
      <c r="DM210" s="228">
        <f t="shared" si="208"/>
        <v>0</v>
      </c>
      <c r="DN210" s="228">
        <f t="shared" si="208"/>
        <v>15</v>
      </c>
      <c r="DO210" s="228">
        <f t="shared" si="208"/>
        <v>0</v>
      </c>
      <c r="DP210" s="232">
        <f t="shared" si="208"/>
        <v>26413</v>
      </c>
      <c r="DQ210" s="228">
        <f t="shared" si="161"/>
        <v>7</v>
      </c>
      <c r="DR210" s="228">
        <f t="shared" si="162"/>
        <v>648</v>
      </c>
      <c r="DS210" s="230">
        <f>SUM(X210:Y210)+(1-TRP!$AK$253)*AC210</f>
        <v>144.19999999999999</v>
      </c>
      <c r="DT210" s="228">
        <f t="shared" si="163"/>
        <v>43</v>
      </c>
      <c r="DU210" s="228">
        <f t="shared" si="164"/>
        <v>338</v>
      </c>
      <c r="DV210" s="228">
        <f t="shared" si="165"/>
        <v>305</v>
      </c>
      <c r="DW210" s="228">
        <f t="shared" si="166"/>
        <v>26</v>
      </c>
      <c r="DX210" s="228">
        <f t="shared" si="167"/>
        <v>112</v>
      </c>
      <c r="DY210" s="228">
        <f t="shared" si="168"/>
        <v>92</v>
      </c>
      <c r="DZ210" s="228">
        <f t="shared" si="169"/>
        <v>200</v>
      </c>
      <c r="EA210" s="228">
        <f t="shared" si="170"/>
        <v>68</v>
      </c>
      <c r="EB210" s="230">
        <f>TRP!$AK$253*$AC210+SUM(M210:W210,Z210:AB210,AD210:AR210,AU210:AX210,BC210:BE210,BI210:BN210,BQ210:BR210,BV210)</f>
        <v>2374.8000000000002</v>
      </c>
      <c r="EC210" s="228">
        <f t="shared" si="171"/>
        <v>633</v>
      </c>
      <c r="ED210" s="230">
        <f>CB210+$CI210*TRP!$AV$248</f>
        <v>2037.3855203991541</v>
      </c>
      <c r="EE210" s="228">
        <f t="shared" si="172"/>
        <v>377</v>
      </c>
      <c r="EF210" s="230">
        <f>CD210+$CI210*TRP!$AV$249</f>
        <v>3104.0651001258357</v>
      </c>
      <c r="EG210" s="230">
        <f>CE210+$CI210*TRP!$AV$250</f>
        <v>1199.9007277345779</v>
      </c>
      <c r="EH210" s="230">
        <f>CF210+$CI210*TRP!$AV$251</f>
        <v>567.64865174043257</v>
      </c>
      <c r="EI210" s="228">
        <f t="shared" si="173"/>
        <v>13477</v>
      </c>
      <c r="EJ210" s="228">
        <f t="shared" si="174"/>
        <v>15</v>
      </c>
      <c r="EK210" s="228">
        <f t="shared" si="175"/>
        <v>0</v>
      </c>
      <c r="EL210" s="230">
        <f>BS210+$BP210*TRP!$AN$246</f>
        <v>377</v>
      </c>
      <c r="EM210" s="228">
        <f t="shared" si="176"/>
        <v>249</v>
      </c>
      <c r="EN210" s="230">
        <f>BU210+$BP210*TRP!$AN$247</f>
        <v>18</v>
      </c>
    </row>
    <row r="211" spans="1:144" s="228" customFormat="1" ht="10.5" x14ac:dyDescent="0.25">
      <c r="A211" s="228" t="str">
        <f>TRP!C209</f>
        <v xml:space="preserve">GK08 </v>
      </c>
      <c r="B211" s="228" t="str">
        <f>TRP!B209</f>
        <v>AGENCES DE VOYAGE</v>
      </c>
      <c r="C211" s="233">
        <f>TRP!A209</f>
        <v>19</v>
      </c>
      <c r="D211" s="228">
        <f t="shared" ref="D211:BO211" si="209">D87</f>
        <v>0</v>
      </c>
      <c r="E211" s="228">
        <f t="shared" si="209"/>
        <v>0</v>
      </c>
      <c r="F211" s="228">
        <f t="shared" si="209"/>
        <v>2</v>
      </c>
      <c r="G211" s="228">
        <f t="shared" si="209"/>
        <v>17</v>
      </c>
      <c r="H211" s="228">
        <f t="shared" si="209"/>
        <v>16</v>
      </c>
      <c r="I211" s="228">
        <f t="shared" si="209"/>
        <v>28</v>
      </c>
      <c r="J211" s="228">
        <f t="shared" si="209"/>
        <v>13</v>
      </c>
      <c r="K211" s="228">
        <f t="shared" si="209"/>
        <v>34</v>
      </c>
      <c r="L211" s="228">
        <f t="shared" si="209"/>
        <v>0</v>
      </c>
      <c r="M211" s="228">
        <f t="shared" si="209"/>
        <v>7</v>
      </c>
      <c r="N211" s="228">
        <f t="shared" si="209"/>
        <v>6</v>
      </c>
      <c r="O211" s="228">
        <f t="shared" si="209"/>
        <v>11</v>
      </c>
      <c r="P211" s="228">
        <f t="shared" si="209"/>
        <v>23</v>
      </c>
      <c r="Q211" s="228">
        <f t="shared" si="209"/>
        <v>19</v>
      </c>
      <c r="R211" s="228">
        <f t="shared" si="209"/>
        <v>11</v>
      </c>
      <c r="S211" s="228">
        <f t="shared" si="209"/>
        <v>1</v>
      </c>
      <c r="T211" s="228">
        <f t="shared" si="209"/>
        <v>11</v>
      </c>
      <c r="U211" s="228">
        <f t="shared" si="209"/>
        <v>4</v>
      </c>
      <c r="V211" s="228">
        <f t="shared" si="209"/>
        <v>6</v>
      </c>
      <c r="W211" s="228">
        <f t="shared" si="209"/>
        <v>6</v>
      </c>
      <c r="X211" s="228">
        <f t="shared" si="209"/>
        <v>42</v>
      </c>
      <c r="Y211" s="228">
        <f t="shared" si="209"/>
        <v>27</v>
      </c>
      <c r="Z211" s="228">
        <f t="shared" si="209"/>
        <v>10</v>
      </c>
      <c r="AA211" s="228">
        <f t="shared" si="209"/>
        <v>4</v>
      </c>
      <c r="AB211" s="228">
        <f t="shared" si="209"/>
        <v>36</v>
      </c>
      <c r="AC211" s="228">
        <f t="shared" si="209"/>
        <v>0</v>
      </c>
      <c r="AD211" s="228">
        <f t="shared" si="209"/>
        <v>3</v>
      </c>
      <c r="AE211" s="228">
        <f t="shared" si="209"/>
        <v>5</v>
      </c>
      <c r="AF211" s="228">
        <f t="shared" si="209"/>
        <v>6</v>
      </c>
      <c r="AG211" s="228">
        <f t="shared" si="209"/>
        <v>21</v>
      </c>
      <c r="AH211" s="228">
        <f t="shared" si="209"/>
        <v>1</v>
      </c>
      <c r="AI211" s="228">
        <f t="shared" si="209"/>
        <v>6</v>
      </c>
      <c r="AJ211" s="228">
        <f t="shared" si="209"/>
        <v>18</v>
      </c>
      <c r="AK211" s="228">
        <f t="shared" si="209"/>
        <v>1</v>
      </c>
      <c r="AL211" s="228">
        <f t="shared" si="209"/>
        <v>4</v>
      </c>
      <c r="AM211" s="228">
        <f t="shared" si="209"/>
        <v>12</v>
      </c>
      <c r="AN211" s="228">
        <f t="shared" si="209"/>
        <v>22</v>
      </c>
      <c r="AO211" s="228">
        <f t="shared" si="209"/>
        <v>2</v>
      </c>
      <c r="AP211" s="228">
        <f t="shared" si="209"/>
        <v>22</v>
      </c>
      <c r="AQ211" s="228">
        <f t="shared" si="209"/>
        <v>0</v>
      </c>
      <c r="AR211" s="228">
        <f t="shared" si="209"/>
        <v>5</v>
      </c>
      <c r="AS211" s="228">
        <f t="shared" si="209"/>
        <v>7</v>
      </c>
      <c r="AT211" s="228">
        <f t="shared" si="209"/>
        <v>197</v>
      </c>
      <c r="AU211" s="228">
        <f t="shared" si="209"/>
        <v>9</v>
      </c>
      <c r="AV211" s="228">
        <f t="shared" si="209"/>
        <v>3</v>
      </c>
      <c r="AW211" s="228">
        <f t="shared" si="209"/>
        <v>1</v>
      </c>
      <c r="AX211" s="228">
        <f t="shared" si="209"/>
        <v>7</v>
      </c>
      <c r="AY211" s="228">
        <f t="shared" si="209"/>
        <v>18</v>
      </c>
      <c r="AZ211" s="228">
        <f t="shared" si="209"/>
        <v>3</v>
      </c>
      <c r="BA211" s="228">
        <f t="shared" si="209"/>
        <v>4</v>
      </c>
      <c r="BB211" s="228">
        <f t="shared" si="209"/>
        <v>38</v>
      </c>
      <c r="BC211" s="228">
        <f t="shared" si="209"/>
        <v>5</v>
      </c>
      <c r="BD211" s="228">
        <f t="shared" si="209"/>
        <v>0</v>
      </c>
      <c r="BE211" s="228">
        <f t="shared" si="209"/>
        <v>5</v>
      </c>
      <c r="BF211" s="228">
        <f t="shared" si="209"/>
        <v>20</v>
      </c>
      <c r="BG211" s="228">
        <f t="shared" si="209"/>
        <v>105</v>
      </c>
      <c r="BH211" s="228">
        <f t="shared" si="209"/>
        <v>49</v>
      </c>
      <c r="BI211" s="228">
        <f t="shared" si="209"/>
        <v>35</v>
      </c>
      <c r="BJ211" s="228">
        <f t="shared" si="209"/>
        <v>24</v>
      </c>
      <c r="BK211" s="228">
        <f t="shared" si="209"/>
        <v>18</v>
      </c>
      <c r="BL211" s="228">
        <f t="shared" si="209"/>
        <v>0</v>
      </c>
      <c r="BM211" s="228">
        <f t="shared" si="209"/>
        <v>28</v>
      </c>
      <c r="BN211" s="228">
        <f t="shared" si="209"/>
        <v>9</v>
      </c>
      <c r="BO211" s="228">
        <f t="shared" si="209"/>
        <v>0</v>
      </c>
      <c r="BP211" s="228">
        <f t="shared" ref="BP211:DP211" si="210">BP87</f>
        <v>0</v>
      </c>
      <c r="BQ211" s="228">
        <f t="shared" si="210"/>
        <v>0</v>
      </c>
      <c r="BR211" s="228">
        <f t="shared" si="210"/>
        <v>15</v>
      </c>
      <c r="BS211" s="228">
        <f t="shared" si="210"/>
        <v>41</v>
      </c>
      <c r="BT211" s="228">
        <f t="shared" si="210"/>
        <v>11</v>
      </c>
      <c r="BU211" s="228">
        <f t="shared" si="210"/>
        <v>4</v>
      </c>
      <c r="BV211" s="228">
        <f t="shared" si="210"/>
        <v>16</v>
      </c>
      <c r="BW211" s="228">
        <f t="shared" si="210"/>
        <v>58</v>
      </c>
      <c r="BX211" s="228">
        <f t="shared" si="210"/>
        <v>36</v>
      </c>
      <c r="BY211" s="228">
        <f t="shared" si="210"/>
        <v>96</v>
      </c>
      <c r="BZ211" s="228">
        <f t="shared" si="210"/>
        <v>701</v>
      </c>
      <c r="CA211" s="228">
        <f t="shared" si="210"/>
        <v>466</v>
      </c>
      <c r="CB211" s="228">
        <f t="shared" si="210"/>
        <v>2</v>
      </c>
      <c r="CC211" s="228">
        <f t="shared" si="210"/>
        <v>80</v>
      </c>
      <c r="CD211" s="228">
        <f t="shared" si="210"/>
        <v>116</v>
      </c>
      <c r="CE211" s="228">
        <f t="shared" si="210"/>
        <v>69</v>
      </c>
      <c r="CF211" s="228">
        <f t="shared" si="210"/>
        <v>104</v>
      </c>
      <c r="CG211" s="228">
        <f t="shared" si="210"/>
        <v>83</v>
      </c>
      <c r="CH211" s="228">
        <f t="shared" si="210"/>
        <v>2398</v>
      </c>
      <c r="CI211" s="228">
        <f t="shared" si="210"/>
        <v>99</v>
      </c>
      <c r="CJ211" s="228">
        <f t="shared" si="210"/>
        <v>8</v>
      </c>
      <c r="CK211" s="228">
        <f t="shared" si="210"/>
        <v>0</v>
      </c>
      <c r="CL211" s="228">
        <f t="shared" si="210"/>
        <v>8</v>
      </c>
      <c r="CM211" s="228">
        <f t="shared" si="210"/>
        <v>0</v>
      </c>
      <c r="CN211" s="228">
        <f t="shared" si="210"/>
        <v>13</v>
      </c>
      <c r="CO211" s="228">
        <f t="shared" si="210"/>
        <v>15</v>
      </c>
      <c r="CP211" s="228">
        <f t="shared" si="210"/>
        <v>89</v>
      </c>
      <c r="CQ211" s="228">
        <f t="shared" si="210"/>
        <v>85</v>
      </c>
      <c r="CR211" s="228">
        <f t="shared" si="210"/>
        <v>34</v>
      </c>
      <c r="CS211" s="228">
        <f t="shared" si="210"/>
        <v>17</v>
      </c>
      <c r="CT211" s="228">
        <f t="shared" si="210"/>
        <v>52</v>
      </c>
      <c r="CU211" s="228">
        <f t="shared" si="210"/>
        <v>18</v>
      </c>
      <c r="CV211" s="228">
        <f t="shared" si="210"/>
        <v>31</v>
      </c>
      <c r="CW211" s="228">
        <f t="shared" si="210"/>
        <v>245</v>
      </c>
      <c r="CX211" s="228">
        <f t="shared" si="210"/>
        <v>11</v>
      </c>
      <c r="CY211" s="228">
        <f t="shared" si="210"/>
        <v>18</v>
      </c>
      <c r="CZ211" s="228">
        <f t="shared" si="210"/>
        <v>0</v>
      </c>
      <c r="DA211" s="228">
        <f t="shared" si="210"/>
        <v>390</v>
      </c>
      <c r="DB211" s="228">
        <f t="shared" si="210"/>
        <v>38</v>
      </c>
      <c r="DC211" s="228">
        <f t="shared" si="210"/>
        <v>66</v>
      </c>
      <c r="DD211" s="228">
        <f t="shared" si="210"/>
        <v>0</v>
      </c>
      <c r="DE211" s="228">
        <f t="shared" si="210"/>
        <v>5</v>
      </c>
      <c r="DF211" s="228">
        <f t="shared" si="210"/>
        <v>0</v>
      </c>
      <c r="DG211" s="228">
        <f t="shared" si="210"/>
        <v>18</v>
      </c>
      <c r="DH211" s="228">
        <f t="shared" si="210"/>
        <v>5</v>
      </c>
      <c r="DI211" s="228">
        <f t="shared" si="210"/>
        <v>13</v>
      </c>
      <c r="DJ211" s="228">
        <f t="shared" si="210"/>
        <v>0</v>
      </c>
      <c r="DK211" s="228">
        <f t="shared" si="210"/>
        <v>2</v>
      </c>
      <c r="DL211" s="228">
        <f t="shared" si="210"/>
        <v>12</v>
      </c>
      <c r="DM211" s="228">
        <f t="shared" si="210"/>
        <v>0</v>
      </c>
      <c r="DN211" s="228">
        <f t="shared" si="210"/>
        <v>13</v>
      </c>
      <c r="DO211" s="228">
        <f t="shared" si="210"/>
        <v>0</v>
      </c>
      <c r="DP211" s="232">
        <f t="shared" si="210"/>
        <v>6648</v>
      </c>
      <c r="DQ211" s="228">
        <f t="shared" si="161"/>
        <v>2</v>
      </c>
      <c r="DR211" s="228">
        <f t="shared" si="162"/>
        <v>108</v>
      </c>
      <c r="DS211" s="230">
        <f>SUM(X211:Y211)+(1-TRP!$AK$253)*AC211</f>
        <v>69</v>
      </c>
      <c r="DT211" s="228">
        <f t="shared" si="163"/>
        <v>7</v>
      </c>
      <c r="DU211" s="228">
        <f t="shared" si="164"/>
        <v>197</v>
      </c>
      <c r="DV211" s="228">
        <f t="shared" si="165"/>
        <v>21</v>
      </c>
      <c r="DW211" s="228">
        <f t="shared" si="166"/>
        <v>4</v>
      </c>
      <c r="DX211" s="228">
        <f t="shared" si="167"/>
        <v>38</v>
      </c>
      <c r="DY211" s="228">
        <f t="shared" si="168"/>
        <v>20</v>
      </c>
      <c r="DZ211" s="228">
        <f t="shared" si="169"/>
        <v>105</v>
      </c>
      <c r="EA211" s="228">
        <f t="shared" si="170"/>
        <v>49</v>
      </c>
      <c r="EB211" s="230">
        <f>TRP!$AK$253*$AC211+SUM(M211:W211,Z211:AB211,AD211:AR211,AU211:AX211,BC211:BE211,BI211:BN211,BQ211:BR211,BV211)</f>
        <v>458</v>
      </c>
      <c r="EC211" s="228">
        <f t="shared" si="171"/>
        <v>94</v>
      </c>
      <c r="ED211" s="230">
        <f>CB211+$CI211*TRP!$AV$248</f>
        <v>5.0694207749009301</v>
      </c>
      <c r="EE211" s="228">
        <f t="shared" si="172"/>
        <v>80</v>
      </c>
      <c r="EF211" s="230">
        <f>CD211+$CI211*TRP!$AV$249</f>
        <v>184.62638265169937</v>
      </c>
      <c r="EG211" s="230">
        <f>CE211+$CI211*TRP!$AV$250</f>
        <v>89.017153534103215</v>
      </c>
      <c r="EH211" s="230">
        <f>CF211+$CI211*TRP!$AV$251</f>
        <v>111.28704303929649</v>
      </c>
      <c r="EI211" s="228">
        <f t="shared" si="173"/>
        <v>4932</v>
      </c>
      <c r="EJ211" s="228">
        <f t="shared" si="174"/>
        <v>18</v>
      </c>
      <c r="EK211" s="228">
        <f t="shared" si="175"/>
        <v>0</v>
      </c>
      <c r="EL211" s="230">
        <f>BS211+$BP211*TRP!$AN$246</f>
        <v>41</v>
      </c>
      <c r="EM211" s="228">
        <f t="shared" si="176"/>
        <v>11</v>
      </c>
      <c r="EN211" s="230">
        <f>BU211+$BP211*TRP!$AN$247</f>
        <v>4</v>
      </c>
    </row>
    <row r="212" spans="1:144" s="228" customFormat="1" ht="10.5" x14ac:dyDescent="0.25">
      <c r="A212" s="228" t="str">
        <f>TRP!C210</f>
        <v xml:space="preserve">GK69 </v>
      </c>
      <c r="B212" s="228" t="str">
        <f>TRP!B210</f>
        <v>ORGANISATION DU TRANSPORT DE FRET ET TRANSPORT SPATIAL</v>
      </c>
      <c r="C212" s="233" t="str">
        <f>TRP!A210</f>
        <v>114-16-17-18</v>
      </c>
      <c r="D212" s="228">
        <f t="shared" ref="D212:BO212" si="211">D88</f>
        <v>0</v>
      </c>
      <c r="E212" s="228">
        <f t="shared" si="211"/>
        <v>0</v>
      </c>
      <c r="F212" s="228">
        <f t="shared" si="211"/>
        <v>0</v>
      </c>
      <c r="G212" s="228">
        <f t="shared" si="211"/>
        <v>62</v>
      </c>
      <c r="H212" s="228">
        <f t="shared" si="211"/>
        <v>67</v>
      </c>
      <c r="I212" s="228">
        <f t="shared" si="211"/>
        <v>86</v>
      </c>
      <c r="J212" s="228">
        <f t="shared" si="211"/>
        <v>26</v>
      </c>
      <c r="K212" s="228">
        <f t="shared" si="211"/>
        <v>163</v>
      </c>
      <c r="L212" s="228">
        <f t="shared" si="211"/>
        <v>0</v>
      </c>
      <c r="M212" s="228">
        <f t="shared" si="211"/>
        <v>9</v>
      </c>
      <c r="N212" s="228">
        <f t="shared" si="211"/>
        <v>6</v>
      </c>
      <c r="O212" s="228">
        <f t="shared" si="211"/>
        <v>118</v>
      </c>
      <c r="P212" s="228">
        <f t="shared" si="211"/>
        <v>30</v>
      </c>
      <c r="Q212" s="228">
        <f t="shared" si="211"/>
        <v>23</v>
      </c>
      <c r="R212" s="228">
        <f t="shared" si="211"/>
        <v>16</v>
      </c>
      <c r="S212" s="228">
        <f t="shared" si="211"/>
        <v>5</v>
      </c>
      <c r="T212" s="228">
        <f t="shared" si="211"/>
        <v>8</v>
      </c>
      <c r="U212" s="228">
        <f t="shared" si="211"/>
        <v>2</v>
      </c>
      <c r="V212" s="228">
        <f t="shared" si="211"/>
        <v>7</v>
      </c>
      <c r="W212" s="228">
        <f t="shared" si="211"/>
        <v>3</v>
      </c>
      <c r="X212" s="228">
        <f t="shared" si="211"/>
        <v>74</v>
      </c>
      <c r="Y212" s="228">
        <f t="shared" si="211"/>
        <v>95</v>
      </c>
      <c r="Z212" s="228">
        <f t="shared" si="211"/>
        <v>16</v>
      </c>
      <c r="AA212" s="228">
        <f t="shared" si="211"/>
        <v>13</v>
      </c>
      <c r="AB212" s="228">
        <f t="shared" si="211"/>
        <v>74</v>
      </c>
      <c r="AC212" s="228">
        <f t="shared" si="211"/>
        <v>0</v>
      </c>
      <c r="AD212" s="228">
        <f t="shared" si="211"/>
        <v>18</v>
      </c>
      <c r="AE212" s="228">
        <f t="shared" si="211"/>
        <v>25</v>
      </c>
      <c r="AF212" s="228">
        <f t="shared" si="211"/>
        <v>22</v>
      </c>
      <c r="AG212" s="228">
        <f t="shared" si="211"/>
        <v>52</v>
      </c>
      <c r="AH212" s="228">
        <f t="shared" si="211"/>
        <v>11</v>
      </c>
      <c r="AI212" s="228">
        <f t="shared" si="211"/>
        <v>5</v>
      </c>
      <c r="AJ212" s="228">
        <f t="shared" si="211"/>
        <v>52</v>
      </c>
      <c r="AK212" s="228">
        <f t="shared" si="211"/>
        <v>9</v>
      </c>
      <c r="AL212" s="228">
        <f t="shared" si="211"/>
        <v>3</v>
      </c>
      <c r="AM212" s="228">
        <f t="shared" si="211"/>
        <v>13</v>
      </c>
      <c r="AN212" s="228">
        <f t="shared" si="211"/>
        <v>56</v>
      </c>
      <c r="AO212" s="228">
        <f t="shared" si="211"/>
        <v>22</v>
      </c>
      <c r="AP212" s="228">
        <f t="shared" si="211"/>
        <v>21</v>
      </c>
      <c r="AQ212" s="228">
        <f t="shared" si="211"/>
        <v>0</v>
      </c>
      <c r="AR212" s="228">
        <f t="shared" si="211"/>
        <v>49</v>
      </c>
      <c r="AS212" s="228">
        <f t="shared" si="211"/>
        <v>42</v>
      </c>
      <c r="AT212" s="228">
        <f t="shared" si="211"/>
        <v>98</v>
      </c>
      <c r="AU212" s="228">
        <f t="shared" si="211"/>
        <v>13</v>
      </c>
      <c r="AV212" s="228">
        <f t="shared" si="211"/>
        <v>31</v>
      </c>
      <c r="AW212" s="228">
        <f t="shared" si="211"/>
        <v>4</v>
      </c>
      <c r="AX212" s="228">
        <f t="shared" si="211"/>
        <v>60</v>
      </c>
      <c r="AY212" s="228">
        <f t="shared" si="211"/>
        <v>49</v>
      </c>
      <c r="AZ212" s="228">
        <f t="shared" si="211"/>
        <v>23</v>
      </c>
      <c r="BA212" s="228">
        <f t="shared" si="211"/>
        <v>11</v>
      </c>
      <c r="BB212" s="228">
        <f t="shared" si="211"/>
        <v>41</v>
      </c>
      <c r="BC212" s="228">
        <f t="shared" si="211"/>
        <v>59</v>
      </c>
      <c r="BD212" s="228">
        <f t="shared" si="211"/>
        <v>0</v>
      </c>
      <c r="BE212" s="228">
        <f t="shared" si="211"/>
        <v>30</v>
      </c>
      <c r="BF212" s="228">
        <f t="shared" si="211"/>
        <v>53</v>
      </c>
      <c r="BG212" s="228">
        <f t="shared" si="211"/>
        <v>181</v>
      </c>
      <c r="BH212" s="228">
        <f t="shared" si="211"/>
        <v>37</v>
      </c>
      <c r="BI212" s="228">
        <f t="shared" si="211"/>
        <v>36</v>
      </c>
      <c r="BJ212" s="228">
        <f t="shared" si="211"/>
        <v>80</v>
      </c>
      <c r="BK212" s="228">
        <f t="shared" si="211"/>
        <v>16</v>
      </c>
      <c r="BL212" s="228">
        <f t="shared" si="211"/>
        <v>23</v>
      </c>
      <c r="BM212" s="228">
        <f t="shared" si="211"/>
        <v>28</v>
      </c>
      <c r="BN212" s="228">
        <f t="shared" si="211"/>
        <v>6</v>
      </c>
      <c r="BO212" s="228">
        <f t="shared" si="211"/>
        <v>0</v>
      </c>
      <c r="BP212" s="228">
        <f t="shared" ref="BP212:DP212" si="212">BP88</f>
        <v>0</v>
      </c>
      <c r="BQ212" s="228">
        <f t="shared" si="212"/>
        <v>0</v>
      </c>
      <c r="BR212" s="228">
        <f t="shared" si="212"/>
        <v>21</v>
      </c>
      <c r="BS212" s="228">
        <f t="shared" si="212"/>
        <v>292</v>
      </c>
      <c r="BT212" s="228">
        <f t="shared" si="212"/>
        <v>289</v>
      </c>
      <c r="BU212" s="228">
        <f t="shared" si="212"/>
        <v>17</v>
      </c>
      <c r="BV212" s="228">
        <f t="shared" si="212"/>
        <v>162</v>
      </c>
      <c r="BW212" s="228">
        <f t="shared" si="212"/>
        <v>323</v>
      </c>
      <c r="BX212" s="228">
        <f t="shared" si="212"/>
        <v>120</v>
      </c>
      <c r="BY212" s="228">
        <f t="shared" si="212"/>
        <v>285</v>
      </c>
      <c r="BZ212" s="228">
        <f t="shared" si="212"/>
        <v>3272</v>
      </c>
      <c r="CA212" s="228">
        <f t="shared" si="212"/>
        <v>1181</v>
      </c>
      <c r="CB212" s="228">
        <f t="shared" si="212"/>
        <v>2</v>
      </c>
      <c r="CC212" s="228">
        <f t="shared" si="212"/>
        <v>31</v>
      </c>
      <c r="CD212" s="228">
        <f t="shared" si="212"/>
        <v>123</v>
      </c>
      <c r="CE212" s="228">
        <f t="shared" si="212"/>
        <v>166</v>
      </c>
      <c r="CF212" s="228">
        <f t="shared" si="212"/>
        <v>231</v>
      </c>
      <c r="CG212" s="228">
        <f t="shared" si="212"/>
        <v>862</v>
      </c>
      <c r="CH212" s="228">
        <f t="shared" si="212"/>
        <v>37</v>
      </c>
      <c r="CI212" s="228">
        <f t="shared" si="212"/>
        <v>1558</v>
      </c>
      <c r="CJ212" s="228">
        <f t="shared" si="212"/>
        <v>43</v>
      </c>
      <c r="CK212" s="228">
        <f t="shared" si="212"/>
        <v>53</v>
      </c>
      <c r="CL212" s="228">
        <f t="shared" si="212"/>
        <v>0</v>
      </c>
      <c r="CM212" s="228">
        <f t="shared" si="212"/>
        <v>59</v>
      </c>
      <c r="CN212" s="228">
        <f t="shared" si="212"/>
        <v>155</v>
      </c>
      <c r="CO212" s="228">
        <f t="shared" si="212"/>
        <v>95</v>
      </c>
      <c r="CP212" s="228">
        <f t="shared" si="212"/>
        <v>82</v>
      </c>
      <c r="CQ212" s="228">
        <f t="shared" si="212"/>
        <v>66</v>
      </c>
      <c r="CR212" s="228">
        <f t="shared" si="212"/>
        <v>27</v>
      </c>
      <c r="CS212" s="228">
        <f t="shared" si="212"/>
        <v>32</v>
      </c>
      <c r="CT212" s="228">
        <f t="shared" si="212"/>
        <v>93</v>
      </c>
      <c r="CU212" s="228">
        <f t="shared" si="212"/>
        <v>59</v>
      </c>
      <c r="CV212" s="228">
        <f t="shared" si="212"/>
        <v>47</v>
      </c>
      <c r="CW212" s="228">
        <f t="shared" si="212"/>
        <v>88</v>
      </c>
      <c r="CX212" s="228">
        <f t="shared" si="212"/>
        <v>28</v>
      </c>
      <c r="CY212" s="228">
        <f t="shared" si="212"/>
        <v>84</v>
      </c>
      <c r="CZ212" s="228">
        <f t="shared" si="212"/>
        <v>0</v>
      </c>
      <c r="DA212" s="228">
        <f t="shared" si="212"/>
        <v>155</v>
      </c>
      <c r="DB212" s="228">
        <f t="shared" si="212"/>
        <v>150</v>
      </c>
      <c r="DC212" s="228">
        <f t="shared" si="212"/>
        <v>179</v>
      </c>
      <c r="DD212" s="228">
        <f t="shared" si="212"/>
        <v>0</v>
      </c>
      <c r="DE212" s="228">
        <f t="shared" si="212"/>
        <v>36</v>
      </c>
      <c r="DF212" s="228">
        <f t="shared" si="212"/>
        <v>0</v>
      </c>
      <c r="DG212" s="228">
        <f t="shared" si="212"/>
        <v>40</v>
      </c>
      <c r="DH212" s="228">
        <f t="shared" si="212"/>
        <v>0</v>
      </c>
      <c r="DI212" s="228">
        <f t="shared" si="212"/>
        <v>82</v>
      </c>
      <c r="DJ212" s="228">
        <f t="shared" si="212"/>
        <v>0</v>
      </c>
      <c r="DK212" s="228">
        <f t="shared" si="212"/>
        <v>5</v>
      </c>
      <c r="DL212" s="228">
        <f t="shared" si="212"/>
        <v>24</v>
      </c>
      <c r="DM212" s="228">
        <f t="shared" si="212"/>
        <v>0</v>
      </c>
      <c r="DN212" s="228">
        <f t="shared" si="212"/>
        <v>83</v>
      </c>
      <c r="DO212" s="228">
        <f t="shared" si="212"/>
        <v>0</v>
      </c>
      <c r="DP212" s="232">
        <f t="shared" si="212"/>
        <v>12919</v>
      </c>
      <c r="DQ212" s="228">
        <f t="shared" si="161"/>
        <v>0</v>
      </c>
      <c r="DR212" s="228">
        <f t="shared" si="162"/>
        <v>404</v>
      </c>
      <c r="DS212" s="230">
        <f>SUM(X212:Y212)+(1-TRP!$AK$253)*AC212</f>
        <v>169</v>
      </c>
      <c r="DT212" s="228">
        <f t="shared" si="163"/>
        <v>42</v>
      </c>
      <c r="DU212" s="228">
        <f t="shared" si="164"/>
        <v>98</v>
      </c>
      <c r="DV212" s="228">
        <f t="shared" si="165"/>
        <v>72</v>
      </c>
      <c r="DW212" s="228">
        <f t="shared" si="166"/>
        <v>11</v>
      </c>
      <c r="DX212" s="228">
        <f t="shared" si="167"/>
        <v>41</v>
      </c>
      <c r="DY212" s="228">
        <f t="shared" si="168"/>
        <v>53</v>
      </c>
      <c r="DZ212" s="228">
        <f t="shared" si="169"/>
        <v>181</v>
      </c>
      <c r="EA212" s="228">
        <f t="shared" si="170"/>
        <v>37</v>
      </c>
      <c r="EB212" s="230">
        <f>TRP!$AK$253*$AC212+SUM(M212:W212,Z212:AB212,AD212:AR212,AU212:AX212,BC212:BE212,BI212:BN212,BQ212:BR212,BV212)</f>
        <v>1257</v>
      </c>
      <c r="EC212" s="228">
        <f t="shared" si="171"/>
        <v>443</v>
      </c>
      <c r="ED212" s="230">
        <f>CB212+$CI212*TRP!$AV$248</f>
        <v>50.304621891875243</v>
      </c>
      <c r="EE212" s="228">
        <f t="shared" si="172"/>
        <v>31</v>
      </c>
      <c r="EF212" s="230">
        <f>CD212+$CI212*TRP!$AV$249</f>
        <v>1202.9990320338143</v>
      </c>
      <c r="EG212" s="230">
        <f>CE212+$CI212*TRP!$AV$250</f>
        <v>481.01742632457371</v>
      </c>
      <c r="EH212" s="230">
        <f>CF212+$CI212*TRP!$AV$251</f>
        <v>345.67891974973674</v>
      </c>
      <c r="EI212" s="228">
        <f t="shared" si="173"/>
        <v>7319</v>
      </c>
      <c r="EJ212" s="228">
        <f t="shared" si="174"/>
        <v>83</v>
      </c>
      <c r="EK212" s="228">
        <f t="shared" si="175"/>
        <v>0</v>
      </c>
      <c r="EL212" s="230">
        <f>BS212+$BP212*TRP!$AN$246</f>
        <v>292</v>
      </c>
      <c r="EM212" s="228">
        <f t="shared" si="176"/>
        <v>289</v>
      </c>
      <c r="EN212" s="230">
        <f>BU212+$BP212*TRP!$AN$247</f>
        <v>17</v>
      </c>
    </row>
    <row r="213" spans="1:144" s="228" customFormat="1" ht="10.5" x14ac:dyDescent="0.25">
      <c r="A213" s="228" t="str">
        <f>TRP!C211</f>
        <v xml:space="preserve">GL01 </v>
      </c>
      <c r="B213" s="228" t="str">
        <f>TRP!B211</f>
        <v>INTERMEDIATION FINANCIERE</v>
      </c>
      <c r="C213" s="233">
        <f>TRP!A211</f>
        <v>19</v>
      </c>
      <c r="D213" s="228">
        <f t="shared" ref="D213:BO213" si="213">D89</f>
        <v>1068</v>
      </c>
      <c r="E213" s="228">
        <f t="shared" si="213"/>
        <v>25</v>
      </c>
      <c r="F213" s="228">
        <f t="shared" si="213"/>
        <v>39</v>
      </c>
      <c r="G213" s="228">
        <f t="shared" si="213"/>
        <v>309</v>
      </c>
      <c r="H213" s="228">
        <f t="shared" si="213"/>
        <v>277</v>
      </c>
      <c r="I213" s="228">
        <f t="shared" si="213"/>
        <v>265</v>
      </c>
      <c r="J213" s="228">
        <f t="shared" si="213"/>
        <v>229</v>
      </c>
      <c r="K213" s="228">
        <f t="shared" si="213"/>
        <v>623</v>
      </c>
      <c r="L213" s="228">
        <f t="shared" si="213"/>
        <v>20</v>
      </c>
      <c r="M213" s="228">
        <f t="shared" si="213"/>
        <v>103</v>
      </c>
      <c r="N213" s="228">
        <f t="shared" si="213"/>
        <v>43</v>
      </c>
      <c r="O213" s="228">
        <f t="shared" si="213"/>
        <v>544</v>
      </c>
      <c r="P213" s="228">
        <f t="shared" si="213"/>
        <v>273</v>
      </c>
      <c r="Q213" s="228">
        <f t="shared" si="213"/>
        <v>192</v>
      </c>
      <c r="R213" s="228">
        <f t="shared" si="213"/>
        <v>77</v>
      </c>
      <c r="S213" s="228">
        <f t="shared" si="213"/>
        <v>9</v>
      </c>
      <c r="T213" s="228">
        <f t="shared" si="213"/>
        <v>31</v>
      </c>
      <c r="U213" s="228">
        <f t="shared" si="213"/>
        <v>19</v>
      </c>
      <c r="V213" s="228">
        <f t="shared" si="213"/>
        <v>10</v>
      </c>
      <c r="W213" s="228">
        <f t="shared" si="213"/>
        <v>21</v>
      </c>
      <c r="X213" s="228">
        <f t="shared" si="213"/>
        <v>263</v>
      </c>
      <c r="Y213" s="228">
        <f t="shared" si="213"/>
        <v>103</v>
      </c>
      <c r="Z213" s="228">
        <f t="shared" si="213"/>
        <v>15</v>
      </c>
      <c r="AA213" s="228">
        <f t="shared" si="213"/>
        <v>7</v>
      </c>
      <c r="AB213" s="228">
        <f t="shared" si="213"/>
        <v>333</v>
      </c>
      <c r="AC213" s="228">
        <f t="shared" si="213"/>
        <v>6</v>
      </c>
      <c r="AD213" s="228">
        <f t="shared" si="213"/>
        <v>27</v>
      </c>
      <c r="AE213" s="228">
        <f t="shared" si="213"/>
        <v>49</v>
      </c>
      <c r="AF213" s="228">
        <f t="shared" si="213"/>
        <v>128</v>
      </c>
      <c r="AG213" s="228">
        <f t="shared" si="213"/>
        <v>192</v>
      </c>
      <c r="AH213" s="228">
        <f t="shared" si="213"/>
        <v>31</v>
      </c>
      <c r="AI213" s="228">
        <f t="shared" si="213"/>
        <v>18</v>
      </c>
      <c r="AJ213" s="228">
        <f t="shared" si="213"/>
        <v>122</v>
      </c>
      <c r="AK213" s="228">
        <f t="shared" si="213"/>
        <v>13</v>
      </c>
      <c r="AL213" s="228">
        <f t="shared" si="213"/>
        <v>28</v>
      </c>
      <c r="AM213" s="228">
        <f t="shared" si="213"/>
        <v>42</v>
      </c>
      <c r="AN213" s="228">
        <f t="shared" si="213"/>
        <v>91</v>
      </c>
      <c r="AO213" s="228">
        <f t="shared" si="213"/>
        <v>18</v>
      </c>
      <c r="AP213" s="228">
        <f t="shared" si="213"/>
        <v>75</v>
      </c>
      <c r="AQ213" s="228">
        <f t="shared" si="213"/>
        <v>0</v>
      </c>
      <c r="AR213" s="228">
        <f t="shared" si="213"/>
        <v>52</v>
      </c>
      <c r="AS213" s="228">
        <f t="shared" si="213"/>
        <v>34</v>
      </c>
      <c r="AT213" s="228">
        <f t="shared" si="213"/>
        <v>82</v>
      </c>
      <c r="AU213" s="228">
        <f t="shared" si="213"/>
        <v>84</v>
      </c>
      <c r="AV213" s="228">
        <f t="shared" si="213"/>
        <v>104</v>
      </c>
      <c r="AW213" s="228">
        <f t="shared" si="213"/>
        <v>20</v>
      </c>
      <c r="AX213" s="228">
        <f t="shared" si="213"/>
        <v>82</v>
      </c>
      <c r="AY213" s="228">
        <f t="shared" si="213"/>
        <v>171</v>
      </c>
      <c r="AZ213" s="228">
        <f t="shared" si="213"/>
        <v>175</v>
      </c>
      <c r="BA213" s="228">
        <f t="shared" si="213"/>
        <v>51</v>
      </c>
      <c r="BB213" s="228">
        <f t="shared" si="213"/>
        <v>85</v>
      </c>
      <c r="BC213" s="228">
        <f t="shared" si="213"/>
        <v>64</v>
      </c>
      <c r="BD213" s="228">
        <f t="shared" si="213"/>
        <v>5</v>
      </c>
      <c r="BE213" s="228">
        <f t="shared" si="213"/>
        <v>13</v>
      </c>
      <c r="BF213" s="228">
        <f t="shared" si="213"/>
        <v>100</v>
      </c>
      <c r="BG213" s="228">
        <f t="shared" si="213"/>
        <v>185</v>
      </c>
      <c r="BH213" s="228">
        <f t="shared" si="213"/>
        <v>138</v>
      </c>
      <c r="BI213" s="228">
        <f t="shared" si="213"/>
        <v>118</v>
      </c>
      <c r="BJ213" s="228">
        <f t="shared" si="213"/>
        <v>177</v>
      </c>
      <c r="BK213" s="228">
        <f t="shared" si="213"/>
        <v>95</v>
      </c>
      <c r="BL213" s="228">
        <f t="shared" si="213"/>
        <v>28</v>
      </c>
      <c r="BM213" s="228">
        <f t="shared" si="213"/>
        <v>79</v>
      </c>
      <c r="BN213" s="228">
        <f t="shared" si="213"/>
        <v>27</v>
      </c>
      <c r="BO213" s="228">
        <f t="shared" si="213"/>
        <v>8</v>
      </c>
      <c r="BP213" s="228">
        <f t="shared" ref="BP213:DP213" si="214">BP89</f>
        <v>28</v>
      </c>
      <c r="BQ213" s="228">
        <f t="shared" si="214"/>
        <v>0</v>
      </c>
      <c r="BR213" s="228">
        <f t="shared" si="214"/>
        <v>42</v>
      </c>
      <c r="BS213" s="228">
        <f t="shared" si="214"/>
        <v>213</v>
      </c>
      <c r="BT213" s="228">
        <f t="shared" si="214"/>
        <v>602</v>
      </c>
      <c r="BU213" s="228">
        <f t="shared" si="214"/>
        <v>39</v>
      </c>
      <c r="BV213" s="228">
        <f t="shared" si="214"/>
        <v>368</v>
      </c>
      <c r="BW213" s="228">
        <f t="shared" si="214"/>
        <v>4061</v>
      </c>
      <c r="BX213" s="228">
        <f t="shared" si="214"/>
        <v>764</v>
      </c>
      <c r="BY213" s="228">
        <f t="shared" si="214"/>
        <v>628</v>
      </c>
      <c r="BZ213" s="228">
        <f t="shared" si="214"/>
        <v>8568</v>
      </c>
      <c r="CA213" s="228">
        <f t="shared" si="214"/>
        <v>4458</v>
      </c>
      <c r="CB213" s="228">
        <f t="shared" si="214"/>
        <v>379</v>
      </c>
      <c r="CC213" s="228">
        <f t="shared" si="214"/>
        <v>100</v>
      </c>
      <c r="CD213" s="228">
        <f t="shared" si="214"/>
        <v>306</v>
      </c>
      <c r="CE213" s="228">
        <f t="shared" si="214"/>
        <v>82</v>
      </c>
      <c r="CF213" s="228">
        <f t="shared" si="214"/>
        <v>181</v>
      </c>
      <c r="CG213" s="228">
        <f t="shared" si="214"/>
        <v>1138</v>
      </c>
      <c r="CH213" s="228">
        <f t="shared" si="214"/>
        <v>153</v>
      </c>
      <c r="CI213" s="228">
        <f t="shared" si="214"/>
        <v>226</v>
      </c>
      <c r="CJ213" s="228">
        <f t="shared" si="214"/>
        <v>18674</v>
      </c>
      <c r="CK213" s="228">
        <f t="shared" si="214"/>
        <v>1328</v>
      </c>
      <c r="CL213" s="228">
        <f t="shared" si="214"/>
        <v>1782</v>
      </c>
      <c r="CM213" s="228">
        <f t="shared" si="214"/>
        <v>926</v>
      </c>
      <c r="CN213" s="228">
        <f t="shared" si="214"/>
        <v>7001</v>
      </c>
      <c r="CO213" s="228">
        <f t="shared" si="214"/>
        <v>900</v>
      </c>
      <c r="CP213" s="228">
        <f t="shared" si="214"/>
        <v>360</v>
      </c>
      <c r="CQ213" s="228">
        <f t="shared" si="214"/>
        <v>876</v>
      </c>
      <c r="CR213" s="228">
        <f t="shared" si="214"/>
        <v>2850</v>
      </c>
      <c r="CS213" s="228">
        <f t="shared" si="214"/>
        <v>295</v>
      </c>
      <c r="CT213" s="228">
        <f t="shared" si="214"/>
        <v>645</v>
      </c>
      <c r="CU213" s="228">
        <f t="shared" si="214"/>
        <v>774</v>
      </c>
      <c r="CV213" s="228">
        <f t="shared" si="214"/>
        <v>101</v>
      </c>
      <c r="CW213" s="228">
        <f t="shared" si="214"/>
        <v>1404</v>
      </c>
      <c r="CX213" s="228">
        <f t="shared" si="214"/>
        <v>98</v>
      </c>
      <c r="CY213" s="228">
        <f t="shared" si="214"/>
        <v>513</v>
      </c>
      <c r="CZ213" s="228">
        <f t="shared" si="214"/>
        <v>105</v>
      </c>
      <c r="DA213" s="228">
        <f t="shared" si="214"/>
        <v>1000</v>
      </c>
      <c r="DB213" s="228">
        <f t="shared" si="214"/>
        <v>127</v>
      </c>
      <c r="DC213" s="228">
        <f t="shared" si="214"/>
        <v>998</v>
      </c>
      <c r="DD213" s="228">
        <f t="shared" si="214"/>
        <v>235</v>
      </c>
      <c r="DE213" s="228">
        <f t="shared" si="214"/>
        <v>190</v>
      </c>
      <c r="DF213" s="228">
        <f t="shared" si="214"/>
        <v>0</v>
      </c>
      <c r="DG213" s="228">
        <f t="shared" si="214"/>
        <v>69</v>
      </c>
      <c r="DH213" s="228">
        <f t="shared" si="214"/>
        <v>329</v>
      </c>
      <c r="DI213" s="228">
        <f t="shared" si="214"/>
        <v>446</v>
      </c>
      <c r="DJ213" s="228">
        <f t="shared" si="214"/>
        <v>329</v>
      </c>
      <c r="DK213" s="228">
        <f t="shared" si="214"/>
        <v>9</v>
      </c>
      <c r="DL213" s="228">
        <f t="shared" si="214"/>
        <v>60</v>
      </c>
      <c r="DM213" s="228">
        <f t="shared" si="214"/>
        <v>360</v>
      </c>
      <c r="DN213" s="228">
        <f t="shared" si="214"/>
        <v>1991</v>
      </c>
      <c r="DO213" s="228">
        <f t="shared" si="214"/>
        <v>179</v>
      </c>
      <c r="DP213" s="232">
        <f t="shared" si="214"/>
        <v>75005</v>
      </c>
      <c r="DQ213" s="228">
        <f t="shared" si="161"/>
        <v>1132</v>
      </c>
      <c r="DR213" s="228">
        <f t="shared" si="162"/>
        <v>1723</v>
      </c>
      <c r="DS213" s="230">
        <f>SUM(X213:Y213)+(1-TRP!$AK$253)*AC213</f>
        <v>370.2</v>
      </c>
      <c r="DT213" s="228">
        <f t="shared" si="163"/>
        <v>34</v>
      </c>
      <c r="DU213" s="228">
        <f t="shared" si="164"/>
        <v>82</v>
      </c>
      <c r="DV213" s="228">
        <f t="shared" si="165"/>
        <v>346</v>
      </c>
      <c r="DW213" s="228">
        <f t="shared" si="166"/>
        <v>51</v>
      </c>
      <c r="DX213" s="228">
        <f t="shared" si="167"/>
        <v>85</v>
      </c>
      <c r="DY213" s="228">
        <f t="shared" si="168"/>
        <v>100</v>
      </c>
      <c r="DZ213" s="228">
        <f t="shared" si="169"/>
        <v>185</v>
      </c>
      <c r="EA213" s="228">
        <f t="shared" si="170"/>
        <v>138</v>
      </c>
      <c r="EB213" s="230">
        <f>TRP!$AK$253*$AC213+SUM(M213:W213,Z213:AB213,AD213:AR213,AU213:AX213,BC213:BE213,BI213:BN213,BQ213:BR213,BV213)</f>
        <v>3870.8</v>
      </c>
      <c r="EC213" s="228">
        <f t="shared" si="171"/>
        <v>4825</v>
      </c>
      <c r="ED213" s="230">
        <f>CB213+$CI213*TRP!$AV$248</f>
        <v>386.00696055684455</v>
      </c>
      <c r="EE213" s="228">
        <f t="shared" si="172"/>
        <v>100</v>
      </c>
      <c r="EF213" s="230">
        <f>CD213+$CI213*TRP!$AV$249</f>
        <v>462.66224726549552</v>
      </c>
      <c r="EG213" s="230">
        <f>CE213+$CI213*TRP!$AV$250</f>
        <v>127.69572422936693</v>
      </c>
      <c r="EH213" s="230">
        <f>CF213+$CI213*TRP!$AV$251</f>
        <v>197.635067948293</v>
      </c>
      <c r="EI213" s="228">
        <f t="shared" si="173"/>
        <v>56606</v>
      </c>
      <c r="EJ213" s="228">
        <f t="shared" si="174"/>
        <v>3293</v>
      </c>
      <c r="EK213" s="228">
        <f t="shared" si="175"/>
        <v>8</v>
      </c>
      <c r="EL213" s="230">
        <f>BS213+$BP213*TRP!$AN$246</f>
        <v>233.69292062519153</v>
      </c>
      <c r="EM213" s="228">
        <f t="shared" si="176"/>
        <v>602</v>
      </c>
      <c r="EN213" s="230">
        <f>BU213+$BP213*TRP!$AN$247</f>
        <v>46.30707937480846</v>
      </c>
    </row>
    <row r="214" spans="1:144" s="228" customFormat="1" ht="10.5" x14ac:dyDescent="0.25">
      <c r="A214" s="228" t="str">
        <f>TRP!C212</f>
        <v xml:space="preserve">GL02 </v>
      </c>
      <c r="B214" s="228" t="str">
        <f>TRP!B212</f>
        <v>ASSURANCES</v>
      </c>
      <c r="C214" s="233">
        <f>TRP!A212</f>
        <v>19</v>
      </c>
      <c r="D214" s="228">
        <f t="shared" ref="D214:BO214" si="215">D90</f>
        <v>1220</v>
      </c>
      <c r="E214" s="228">
        <f t="shared" si="215"/>
        <v>26</v>
      </c>
      <c r="F214" s="228">
        <f t="shared" si="215"/>
        <v>2</v>
      </c>
      <c r="G214" s="228">
        <f t="shared" si="215"/>
        <v>113</v>
      </c>
      <c r="H214" s="228">
        <f t="shared" si="215"/>
        <v>106</v>
      </c>
      <c r="I214" s="228">
        <f t="shared" si="215"/>
        <v>112</v>
      </c>
      <c r="J214" s="228">
        <f t="shared" si="215"/>
        <v>119</v>
      </c>
      <c r="K214" s="228">
        <f t="shared" si="215"/>
        <v>324</v>
      </c>
      <c r="L214" s="228">
        <f t="shared" si="215"/>
        <v>0</v>
      </c>
      <c r="M214" s="228">
        <f t="shared" si="215"/>
        <v>71</v>
      </c>
      <c r="N214" s="228">
        <f t="shared" si="215"/>
        <v>25</v>
      </c>
      <c r="O214" s="228">
        <f t="shared" si="215"/>
        <v>178</v>
      </c>
      <c r="P214" s="228">
        <f t="shared" si="215"/>
        <v>196</v>
      </c>
      <c r="Q214" s="228">
        <f t="shared" si="215"/>
        <v>134</v>
      </c>
      <c r="R214" s="228">
        <f t="shared" si="215"/>
        <v>83</v>
      </c>
      <c r="S214" s="228">
        <f t="shared" si="215"/>
        <v>10</v>
      </c>
      <c r="T214" s="228">
        <f t="shared" si="215"/>
        <v>28</v>
      </c>
      <c r="U214" s="228">
        <f t="shared" si="215"/>
        <v>16</v>
      </c>
      <c r="V214" s="228">
        <f t="shared" si="215"/>
        <v>7</v>
      </c>
      <c r="W214" s="228">
        <f t="shared" si="215"/>
        <v>17</v>
      </c>
      <c r="X214" s="228">
        <f t="shared" si="215"/>
        <v>83</v>
      </c>
      <c r="Y214" s="228">
        <f t="shared" si="215"/>
        <v>64</v>
      </c>
      <c r="Z214" s="228">
        <f t="shared" si="215"/>
        <v>22</v>
      </c>
      <c r="AA214" s="228">
        <f t="shared" si="215"/>
        <v>31</v>
      </c>
      <c r="AB214" s="228">
        <f t="shared" si="215"/>
        <v>116</v>
      </c>
      <c r="AC214" s="228">
        <f t="shared" si="215"/>
        <v>15</v>
      </c>
      <c r="AD214" s="228">
        <f t="shared" si="215"/>
        <v>42</v>
      </c>
      <c r="AE214" s="228">
        <f t="shared" si="215"/>
        <v>31</v>
      </c>
      <c r="AF214" s="228">
        <f t="shared" si="215"/>
        <v>55</v>
      </c>
      <c r="AG214" s="228">
        <f t="shared" si="215"/>
        <v>99</v>
      </c>
      <c r="AH214" s="228">
        <f t="shared" si="215"/>
        <v>30</v>
      </c>
      <c r="AI214" s="228">
        <f t="shared" si="215"/>
        <v>9</v>
      </c>
      <c r="AJ214" s="228">
        <f t="shared" si="215"/>
        <v>50</v>
      </c>
      <c r="AK214" s="228">
        <f t="shared" si="215"/>
        <v>18</v>
      </c>
      <c r="AL214" s="228">
        <f t="shared" si="215"/>
        <v>4</v>
      </c>
      <c r="AM214" s="228">
        <f t="shared" si="215"/>
        <v>28</v>
      </c>
      <c r="AN214" s="228">
        <f t="shared" si="215"/>
        <v>61</v>
      </c>
      <c r="AO214" s="228">
        <f t="shared" si="215"/>
        <v>32</v>
      </c>
      <c r="AP214" s="228">
        <f t="shared" si="215"/>
        <v>63</v>
      </c>
      <c r="AQ214" s="228">
        <f t="shared" si="215"/>
        <v>0</v>
      </c>
      <c r="AR214" s="228">
        <f t="shared" si="215"/>
        <v>28</v>
      </c>
      <c r="AS214" s="228">
        <f t="shared" si="215"/>
        <v>39</v>
      </c>
      <c r="AT214" s="228">
        <f t="shared" si="215"/>
        <v>121</v>
      </c>
      <c r="AU214" s="228">
        <f t="shared" si="215"/>
        <v>38</v>
      </c>
      <c r="AV214" s="228">
        <f t="shared" si="215"/>
        <v>33</v>
      </c>
      <c r="AW214" s="228">
        <f t="shared" si="215"/>
        <v>23</v>
      </c>
      <c r="AX214" s="228">
        <f t="shared" si="215"/>
        <v>47</v>
      </c>
      <c r="AY214" s="228">
        <f t="shared" si="215"/>
        <v>31</v>
      </c>
      <c r="AZ214" s="228">
        <f t="shared" si="215"/>
        <v>41</v>
      </c>
      <c r="BA214" s="228">
        <f t="shared" si="215"/>
        <v>36</v>
      </c>
      <c r="BB214" s="228">
        <f t="shared" si="215"/>
        <v>71</v>
      </c>
      <c r="BC214" s="228">
        <f t="shared" si="215"/>
        <v>69</v>
      </c>
      <c r="BD214" s="228">
        <f t="shared" si="215"/>
        <v>1</v>
      </c>
      <c r="BE214" s="228">
        <f t="shared" si="215"/>
        <v>36</v>
      </c>
      <c r="BF214" s="228">
        <f t="shared" si="215"/>
        <v>66</v>
      </c>
      <c r="BG214" s="228">
        <f t="shared" si="215"/>
        <v>76</v>
      </c>
      <c r="BH214" s="228">
        <f t="shared" si="215"/>
        <v>26</v>
      </c>
      <c r="BI214" s="228">
        <f t="shared" si="215"/>
        <v>27</v>
      </c>
      <c r="BJ214" s="228">
        <f t="shared" si="215"/>
        <v>62</v>
      </c>
      <c r="BK214" s="228">
        <f t="shared" si="215"/>
        <v>46</v>
      </c>
      <c r="BL214" s="228">
        <f t="shared" si="215"/>
        <v>55</v>
      </c>
      <c r="BM214" s="228">
        <f t="shared" si="215"/>
        <v>114</v>
      </c>
      <c r="BN214" s="228">
        <f t="shared" si="215"/>
        <v>52</v>
      </c>
      <c r="BO214" s="228">
        <f t="shared" si="215"/>
        <v>0</v>
      </c>
      <c r="BP214" s="228">
        <f t="shared" ref="BP214:DP214" si="216">BP90</f>
        <v>10</v>
      </c>
      <c r="BQ214" s="228">
        <f t="shared" si="216"/>
        <v>0</v>
      </c>
      <c r="BR214" s="228">
        <f t="shared" si="216"/>
        <v>29</v>
      </c>
      <c r="BS214" s="228">
        <f t="shared" si="216"/>
        <v>87</v>
      </c>
      <c r="BT214" s="228">
        <f t="shared" si="216"/>
        <v>102</v>
      </c>
      <c r="BU214" s="228">
        <f t="shared" si="216"/>
        <v>12</v>
      </c>
      <c r="BV214" s="228">
        <f t="shared" si="216"/>
        <v>44</v>
      </c>
      <c r="BW214" s="228">
        <f t="shared" si="216"/>
        <v>643</v>
      </c>
      <c r="BX214" s="228">
        <f t="shared" si="216"/>
        <v>181</v>
      </c>
      <c r="BY214" s="228">
        <f t="shared" si="216"/>
        <v>282</v>
      </c>
      <c r="BZ214" s="228">
        <f t="shared" si="216"/>
        <v>1623</v>
      </c>
      <c r="CA214" s="228">
        <f t="shared" si="216"/>
        <v>888</v>
      </c>
      <c r="CB214" s="228">
        <f t="shared" si="216"/>
        <v>6</v>
      </c>
      <c r="CC214" s="228">
        <f t="shared" si="216"/>
        <v>244</v>
      </c>
      <c r="CD214" s="228">
        <f t="shared" si="216"/>
        <v>820</v>
      </c>
      <c r="CE214" s="228">
        <f t="shared" si="216"/>
        <v>307</v>
      </c>
      <c r="CF214" s="228">
        <f t="shared" si="216"/>
        <v>206</v>
      </c>
      <c r="CG214" s="228">
        <f t="shared" si="216"/>
        <v>84</v>
      </c>
      <c r="CH214" s="228">
        <f t="shared" si="216"/>
        <v>83</v>
      </c>
      <c r="CI214" s="228">
        <f t="shared" si="216"/>
        <v>137</v>
      </c>
      <c r="CJ214" s="228">
        <f t="shared" si="216"/>
        <v>336</v>
      </c>
      <c r="CK214" s="228">
        <f t="shared" si="216"/>
        <v>267</v>
      </c>
      <c r="CL214" s="228">
        <f t="shared" si="216"/>
        <v>811</v>
      </c>
      <c r="CM214" s="228">
        <f t="shared" si="216"/>
        <v>304</v>
      </c>
      <c r="CN214" s="228">
        <f t="shared" si="216"/>
        <v>553</v>
      </c>
      <c r="CO214" s="228">
        <f t="shared" si="216"/>
        <v>1283</v>
      </c>
      <c r="CP214" s="228">
        <f t="shared" si="216"/>
        <v>248</v>
      </c>
      <c r="CQ214" s="228">
        <f t="shared" si="216"/>
        <v>425</v>
      </c>
      <c r="CR214" s="228">
        <f t="shared" si="216"/>
        <v>430</v>
      </c>
      <c r="CS214" s="228">
        <f t="shared" si="216"/>
        <v>57</v>
      </c>
      <c r="CT214" s="228">
        <f t="shared" si="216"/>
        <v>356</v>
      </c>
      <c r="CU214" s="228">
        <f t="shared" si="216"/>
        <v>183</v>
      </c>
      <c r="CV214" s="228">
        <f t="shared" si="216"/>
        <v>79</v>
      </c>
      <c r="CW214" s="228">
        <f t="shared" si="216"/>
        <v>920</v>
      </c>
      <c r="CX214" s="228">
        <f t="shared" si="216"/>
        <v>21</v>
      </c>
      <c r="CY214" s="228">
        <f t="shared" si="216"/>
        <v>202</v>
      </c>
      <c r="CZ214" s="228">
        <f t="shared" si="216"/>
        <v>0</v>
      </c>
      <c r="DA214" s="228">
        <f t="shared" si="216"/>
        <v>381</v>
      </c>
      <c r="DB214" s="228">
        <f t="shared" si="216"/>
        <v>174</v>
      </c>
      <c r="DC214" s="228">
        <f t="shared" si="216"/>
        <v>226</v>
      </c>
      <c r="DD214" s="228">
        <f t="shared" si="216"/>
        <v>9</v>
      </c>
      <c r="DE214" s="228">
        <f t="shared" si="216"/>
        <v>88</v>
      </c>
      <c r="DF214" s="228">
        <f t="shared" si="216"/>
        <v>0</v>
      </c>
      <c r="DG214" s="228">
        <f t="shared" si="216"/>
        <v>56</v>
      </c>
      <c r="DH214" s="228">
        <f t="shared" si="216"/>
        <v>0</v>
      </c>
      <c r="DI214" s="228">
        <f t="shared" si="216"/>
        <v>129</v>
      </c>
      <c r="DJ214" s="228">
        <f t="shared" si="216"/>
        <v>141</v>
      </c>
      <c r="DK214" s="228">
        <f t="shared" si="216"/>
        <v>8</v>
      </c>
      <c r="DL214" s="228">
        <f t="shared" si="216"/>
        <v>208</v>
      </c>
      <c r="DM214" s="228">
        <f t="shared" si="216"/>
        <v>56</v>
      </c>
      <c r="DN214" s="228">
        <f t="shared" si="216"/>
        <v>400</v>
      </c>
      <c r="DO214" s="228">
        <f t="shared" si="216"/>
        <v>35</v>
      </c>
      <c r="DP214" s="232">
        <f t="shared" si="216"/>
        <v>18952</v>
      </c>
      <c r="DQ214" s="228">
        <f t="shared" si="161"/>
        <v>1248</v>
      </c>
      <c r="DR214" s="228">
        <f t="shared" si="162"/>
        <v>774</v>
      </c>
      <c r="DS214" s="230">
        <f>SUM(X214:Y214)+(1-TRP!$AK$253)*AC214</f>
        <v>157.5</v>
      </c>
      <c r="DT214" s="228">
        <f t="shared" si="163"/>
        <v>39</v>
      </c>
      <c r="DU214" s="228">
        <f t="shared" si="164"/>
        <v>121</v>
      </c>
      <c r="DV214" s="228">
        <f t="shared" si="165"/>
        <v>72</v>
      </c>
      <c r="DW214" s="228">
        <f t="shared" si="166"/>
        <v>36</v>
      </c>
      <c r="DX214" s="228">
        <f t="shared" si="167"/>
        <v>71</v>
      </c>
      <c r="DY214" s="228">
        <f t="shared" si="168"/>
        <v>66</v>
      </c>
      <c r="DZ214" s="228">
        <f t="shared" si="169"/>
        <v>76</v>
      </c>
      <c r="EA214" s="228">
        <f t="shared" si="170"/>
        <v>26</v>
      </c>
      <c r="EB214" s="230">
        <f>TRP!$AK$253*$AC214+SUM(M214:W214,Z214:AB214,AD214:AR214,AU214:AX214,BC214:BE214,BI214:BN214,BQ214:BR214,BV214)</f>
        <v>2164.5</v>
      </c>
      <c r="EC214" s="228">
        <f t="shared" si="171"/>
        <v>824</v>
      </c>
      <c r="ED214" s="230">
        <f>CB214+$CI214*TRP!$AV$248</f>
        <v>10.247582284458863</v>
      </c>
      <c r="EE214" s="228">
        <f t="shared" si="172"/>
        <v>244</v>
      </c>
      <c r="EF214" s="230">
        <f>CD214+$CI214*TRP!$AV$249</f>
        <v>914.96782245740212</v>
      </c>
      <c r="EG214" s="230">
        <f>CE214+$CI214*TRP!$AV$250</f>
        <v>334.70050539567819</v>
      </c>
      <c r="EH214" s="230">
        <f>CF214+$CI214*TRP!$AV$251</f>
        <v>216.08408986246081</v>
      </c>
      <c r="EI214" s="228">
        <f t="shared" si="173"/>
        <v>10714</v>
      </c>
      <c r="EJ214" s="228">
        <f t="shared" si="174"/>
        <v>632</v>
      </c>
      <c r="EK214" s="228">
        <f t="shared" si="175"/>
        <v>0</v>
      </c>
      <c r="EL214" s="230">
        <f>BS214+$BP214*TRP!$AN$246</f>
        <v>94.390328794711266</v>
      </c>
      <c r="EM214" s="228">
        <f t="shared" si="176"/>
        <v>102</v>
      </c>
      <c r="EN214" s="230">
        <f>BU214+$BP214*TRP!$AN$247</f>
        <v>14.609671205288734</v>
      </c>
    </row>
    <row r="215" spans="1:144" s="228" customFormat="1" ht="10.5" x14ac:dyDescent="0.25">
      <c r="A215" s="228" t="str">
        <f>TRP!C213</f>
        <v xml:space="preserve">GL03 </v>
      </c>
      <c r="B215" s="228" t="str">
        <f>TRP!B213</f>
        <v>AUXILIAIRES FINANCIERS ET D ASSURANCE</v>
      </c>
      <c r="C215" s="233">
        <f>TRP!A213</f>
        <v>19</v>
      </c>
      <c r="D215" s="228">
        <f t="shared" ref="D215:BO215" si="217">D91</f>
        <v>8</v>
      </c>
      <c r="E215" s="228">
        <f t="shared" si="217"/>
        <v>31</v>
      </c>
      <c r="F215" s="228">
        <f t="shared" si="217"/>
        <v>3</v>
      </c>
      <c r="G215" s="228">
        <f t="shared" si="217"/>
        <v>63</v>
      </c>
      <c r="H215" s="228">
        <f t="shared" si="217"/>
        <v>46</v>
      </c>
      <c r="I215" s="228">
        <f t="shared" si="217"/>
        <v>120</v>
      </c>
      <c r="J215" s="228">
        <f t="shared" si="217"/>
        <v>96</v>
      </c>
      <c r="K215" s="228">
        <f t="shared" si="217"/>
        <v>159</v>
      </c>
      <c r="L215" s="228">
        <f t="shared" si="217"/>
        <v>2</v>
      </c>
      <c r="M215" s="228">
        <f t="shared" si="217"/>
        <v>60</v>
      </c>
      <c r="N215" s="228">
        <f t="shared" si="217"/>
        <v>15</v>
      </c>
      <c r="O215" s="228">
        <f t="shared" si="217"/>
        <v>206</v>
      </c>
      <c r="P215" s="228">
        <f t="shared" si="217"/>
        <v>86</v>
      </c>
      <c r="Q215" s="228">
        <f t="shared" si="217"/>
        <v>80</v>
      </c>
      <c r="R215" s="228">
        <f t="shared" si="217"/>
        <v>83</v>
      </c>
      <c r="S215" s="228">
        <f t="shared" si="217"/>
        <v>8</v>
      </c>
      <c r="T215" s="228">
        <f t="shared" si="217"/>
        <v>32</v>
      </c>
      <c r="U215" s="228">
        <f t="shared" si="217"/>
        <v>23</v>
      </c>
      <c r="V215" s="228">
        <f t="shared" si="217"/>
        <v>7</v>
      </c>
      <c r="W215" s="228">
        <f t="shared" si="217"/>
        <v>28</v>
      </c>
      <c r="X215" s="228">
        <f t="shared" si="217"/>
        <v>59</v>
      </c>
      <c r="Y215" s="228">
        <f t="shared" si="217"/>
        <v>22</v>
      </c>
      <c r="Z215" s="228">
        <f t="shared" si="217"/>
        <v>20</v>
      </c>
      <c r="AA215" s="228">
        <f t="shared" si="217"/>
        <v>32</v>
      </c>
      <c r="AB215" s="228">
        <f t="shared" si="217"/>
        <v>128</v>
      </c>
      <c r="AC215" s="228">
        <f t="shared" si="217"/>
        <v>8</v>
      </c>
      <c r="AD215" s="228">
        <f t="shared" si="217"/>
        <v>25</v>
      </c>
      <c r="AE215" s="228">
        <f t="shared" si="217"/>
        <v>15</v>
      </c>
      <c r="AF215" s="228">
        <f t="shared" si="217"/>
        <v>149</v>
      </c>
      <c r="AG215" s="228">
        <f t="shared" si="217"/>
        <v>188</v>
      </c>
      <c r="AH215" s="228">
        <f t="shared" si="217"/>
        <v>54</v>
      </c>
      <c r="AI215" s="228">
        <f t="shared" si="217"/>
        <v>30</v>
      </c>
      <c r="AJ215" s="228">
        <f t="shared" si="217"/>
        <v>173</v>
      </c>
      <c r="AK215" s="228">
        <f t="shared" si="217"/>
        <v>25</v>
      </c>
      <c r="AL215" s="228">
        <f t="shared" si="217"/>
        <v>3</v>
      </c>
      <c r="AM215" s="228">
        <f t="shared" si="217"/>
        <v>31</v>
      </c>
      <c r="AN215" s="228">
        <f t="shared" si="217"/>
        <v>87</v>
      </c>
      <c r="AO215" s="228">
        <f t="shared" si="217"/>
        <v>32</v>
      </c>
      <c r="AP215" s="228">
        <f t="shared" si="217"/>
        <v>71</v>
      </c>
      <c r="AQ215" s="228">
        <f t="shared" si="217"/>
        <v>0</v>
      </c>
      <c r="AR215" s="228">
        <f t="shared" si="217"/>
        <v>1</v>
      </c>
      <c r="AS215" s="228">
        <f t="shared" si="217"/>
        <v>48</v>
      </c>
      <c r="AT215" s="228">
        <f t="shared" si="217"/>
        <v>94</v>
      </c>
      <c r="AU215" s="228">
        <f t="shared" si="217"/>
        <v>35</v>
      </c>
      <c r="AV215" s="228">
        <f t="shared" si="217"/>
        <v>31</v>
      </c>
      <c r="AW215" s="228">
        <f t="shared" si="217"/>
        <v>18</v>
      </c>
      <c r="AX215" s="228">
        <f t="shared" si="217"/>
        <v>25</v>
      </c>
      <c r="AY215" s="228">
        <f t="shared" si="217"/>
        <v>31</v>
      </c>
      <c r="AZ215" s="228">
        <f t="shared" si="217"/>
        <v>38</v>
      </c>
      <c r="BA215" s="228">
        <f t="shared" si="217"/>
        <v>35</v>
      </c>
      <c r="BB215" s="228">
        <f t="shared" si="217"/>
        <v>127</v>
      </c>
      <c r="BC215" s="228">
        <f t="shared" si="217"/>
        <v>194</v>
      </c>
      <c r="BD215" s="228">
        <f t="shared" si="217"/>
        <v>1</v>
      </c>
      <c r="BE215" s="228">
        <f t="shared" si="217"/>
        <v>3</v>
      </c>
      <c r="BF215" s="228">
        <f t="shared" si="217"/>
        <v>15</v>
      </c>
      <c r="BG215" s="228">
        <f t="shared" si="217"/>
        <v>11</v>
      </c>
      <c r="BH215" s="228">
        <f t="shared" si="217"/>
        <v>11</v>
      </c>
      <c r="BI215" s="228">
        <f t="shared" si="217"/>
        <v>9</v>
      </c>
      <c r="BJ215" s="228">
        <f t="shared" si="217"/>
        <v>37</v>
      </c>
      <c r="BK215" s="228">
        <f t="shared" si="217"/>
        <v>32</v>
      </c>
      <c r="BL215" s="228">
        <f t="shared" si="217"/>
        <v>0</v>
      </c>
      <c r="BM215" s="228">
        <f t="shared" si="217"/>
        <v>75</v>
      </c>
      <c r="BN215" s="228">
        <f t="shared" si="217"/>
        <v>46</v>
      </c>
      <c r="BO215" s="228">
        <f t="shared" si="217"/>
        <v>0</v>
      </c>
      <c r="BP215" s="228">
        <f t="shared" ref="BP215:DP215" si="218">BP91</f>
        <v>11</v>
      </c>
      <c r="BQ215" s="228">
        <f t="shared" si="218"/>
        <v>0</v>
      </c>
      <c r="BR215" s="228">
        <f t="shared" si="218"/>
        <v>35</v>
      </c>
      <c r="BS215" s="228">
        <f t="shared" si="218"/>
        <v>176</v>
      </c>
      <c r="BT215" s="228">
        <f t="shared" si="218"/>
        <v>152</v>
      </c>
      <c r="BU215" s="228">
        <f t="shared" si="218"/>
        <v>16</v>
      </c>
      <c r="BV215" s="228">
        <f t="shared" si="218"/>
        <v>124</v>
      </c>
      <c r="BW215" s="228">
        <f t="shared" si="218"/>
        <v>933</v>
      </c>
      <c r="BX215" s="228">
        <f t="shared" si="218"/>
        <v>228</v>
      </c>
      <c r="BY215" s="228">
        <f t="shared" si="218"/>
        <v>102</v>
      </c>
      <c r="BZ215" s="228">
        <f t="shared" si="218"/>
        <v>334</v>
      </c>
      <c r="CA215" s="228">
        <f t="shared" si="218"/>
        <v>352</v>
      </c>
      <c r="CB215" s="228">
        <f t="shared" si="218"/>
        <v>8</v>
      </c>
      <c r="CC215" s="228">
        <f t="shared" si="218"/>
        <v>281</v>
      </c>
      <c r="CD215" s="228">
        <f t="shared" si="218"/>
        <v>461</v>
      </c>
      <c r="CE215" s="228">
        <f t="shared" si="218"/>
        <v>161</v>
      </c>
      <c r="CF215" s="228">
        <f t="shared" si="218"/>
        <v>138</v>
      </c>
      <c r="CG215" s="228">
        <f t="shared" si="218"/>
        <v>55</v>
      </c>
      <c r="CH215" s="228">
        <f t="shared" si="218"/>
        <v>75</v>
      </c>
      <c r="CI215" s="228">
        <f t="shared" si="218"/>
        <v>105</v>
      </c>
      <c r="CJ215" s="228">
        <f t="shared" si="218"/>
        <v>1077</v>
      </c>
      <c r="CK215" s="228">
        <f t="shared" si="218"/>
        <v>13350</v>
      </c>
      <c r="CL215" s="228">
        <f t="shared" si="218"/>
        <v>5532</v>
      </c>
      <c r="CM215" s="228">
        <f t="shared" si="218"/>
        <v>108</v>
      </c>
      <c r="CN215" s="228">
        <f t="shared" si="218"/>
        <v>159</v>
      </c>
      <c r="CO215" s="228">
        <f t="shared" si="218"/>
        <v>1288</v>
      </c>
      <c r="CP215" s="228">
        <f t="shared" si="218"/>
        <v>230</v>
      </c>
      <c r="CQ215" s="228">
        <f t="shared" si="218"/>
        <v>503</v>
      </c>
      <c r="CR215" s="228">
        <f t="shared" si="218"/>
        <v>226</v>
      </c>
      <c r="CS215" s="228">
        <f t="shared" si="218"/>
        <v>33</v>
      </c>
      <c r="CT215" s="228">
        <f t="shared" si="218"/>
        <v>366</v>
      </c>
      <c r="CU215" s="228">
        <f t="shared" si="218"/>
        <v>146</v>
      </c>
      <c r="CV215" s="228">
        <f t="shared" si="218"/>
        <v>62</v>
      </c>
      <c r="CW215" s="228">
        <f t="shared" si="218"/>
        <v>917</v>
      </c>
      <c r="CX215" s="228">
        <f t="shared" si="218"/>
        <v>44</v>
      </c>
      <c r="CY215" s="228">
        <f t="shared" si="218"/>
        <v>172</v>
      </c>
      <c r="CZ215" s="228">
        <f t="shared" si="218"/>
        <v>0</v>
      </c>
      <c r="DA215" s="228">
        <f t="shared" si="218"/>
        <v>318</v>
      </c>
      <c r="DB215" s="228">
        <f t="shared" si="218"/>
        <v>184</v>
      </c>
      <c r="DC215" s="228">
        <f t="shared" si="218"/>
        <v>143</v>
      </c>
      <c r="DD215" s="228">
        <f t="shared" si="218"/>
        <v>0</v>
      </c>
      <c r="DE215" s="228">
        <f t="shared" si="218"/>
        <v>65</v>
      </c>
      <c r="DF215" s="228">
        <f t="shared" si="218"/>
        <v>0</v>
      </c>
      <c r="DG215" s="228">
        <f t="shared" si="218"/>
        <v>54</v>
      </c>
      <c r="DH215" s="228">
        <f t="shared" si="218"/>
        <v>0</v>
      </c>
      <c r="DI215" s="228">
        <f t="shared" si="218"/>
        <v>64</v>
      </c>
      <c r="DJ215" s="228">
        <f t="shared" si="218"/>
        <v>0</v>
      </c>
      <c r="DK215" s="228">
        <f t="shared" si="218"/>
        <v>12</v>
      </c>
      <c r="DL215" s="228">
        <f t="shared" si="218"/>
        <v>133</v>
      </c>
      <c r="DM215" s="228">
        <f t="shared" si="218"/>
        <v>0</v>
      </c>
      <c r="DN215" s="228">
        <f t="shared" si="218"/>
        <v>0</v>
      </c>
      <c r="DO215" s="228">
        <f t="shared" si="218"/>
        <v>0</v>
      </c>
      <c r="DP215" s="232">
        <f t="shared" si="218"/>
        <v>32158</v>
      </c>
      <c r="DQ215" s="228">
        <f t="shared" si="161"/>
        <v>42</v>
      </c>
      <c r="DR215" s="228">
        <f t="shared" si="162"/>
        <v>486</v>
      </c>
      <c r="DS215" s="230">
        <f>SUM(X215:Y215)+(1-TRP!$AK$253)*AC215</f>
        <v>86.6</v>
      </c>
      <c r="DT215" s="228">
        <f t="shared" si="163"/>
        <v>48</v>
      </c>
      <c r="DU215" s="228">
        <f t="shared" si="164"/>
        <v>94</v>
      </c>
      <c r="DV215" s="228">
        <f t="shared" si="165"/>
        <v>69</v>
      </c>
      <c r="DW215" s="228">
        <f t="shared" si="166"/>
        <v>35</v>
      </c>
      <c r="DX215" s="228">
        <f t="shared" si="167"/>
        <v>127</v>
      </c>
      <c r="DY215" s="228">
        <f t="shared" si="168"/>
        <v>15</v>
      </c>
      <c r="DZ215" s="228">
        <f t="shared" si="169"/>
        <v>11</v>
      </c>
      <c r="EA215" s="228">
        <f t="shared" si="170"/>
        <v>11</v>
      </c>
      <c r="EB215" s="230">
        <f>TRP!$AK$253*$AC215+SUM(M215:W215,Z215:AB215,AD215:AR215,AU215:AX215,BC215:BE215,BI215:BN215,BQ215:BR215,BV215)</f>
        <v>2359.4</v>
      </c>
      <c r="EC215" s="228">
        <f t="shared" si="171"/>
        <v>1161</v>
      </c>
      <c r="ED215" s="230">
        <f>CB215+$CI215*TRP!$AV$248</f>
        <v>11.255446276410078</v>
      </c>
      <c r="EE215" s="228">
        <f t="shared" si="172"/>
        <v>281</v>
      </c>
      <c r="EF215" s="230">
        <f>CD215+$CI215*TRP!$AV$249</f>
        <v>533.78555735786301</v>
      </c>
      <c r="EG215" s="230">
        <f>CE215+$CI215*TRP!$AV$250</f>
        <v>182.23031435435189</v>
      </c>
      <c r="EH215" s="230">
        <f>CF215+$CI215*TRP!$AV$251</f>
        <v>145.72868201137507</v>
      </c>
      <c r="EI215" s="228">
        <f t="shared" si="173"/>
        <v>26104</v>
      </c>
      <c r="EJ215" s="228">
        <f t="shared" si="174"/>
        <v>0</v>
      </c>
      <c r="EK215" s="228">
        <f t="shared" si="175"/>
        <v>0</v>
      </c>
      <c r="EL215" s="230">
        <f>BS215+$BP215*TRP!$AN$246</f>
        <v>184.12936167418241</v>
      </c>
      <c r="EM215" s="228">
        <f t="shared" si="176"/>
        <v>152</v>
      </c>
      <c r="EN215" s="230">
        <f>BU215+$BP215*TRP!$AN$247</f>
        <v>18.870638325817609</v>
      </c>
    </row>
    <row r="216" spans="1:144" s="228" customFormat="1" ht="10.5" x14ac:dyDescent="0.25">
      <c r="A216" s="228" t="str">
        <f>TRP!C214</f>
        <v xml:space="preserve">GM01 </v>
      </c>
      <c r="B216" s="228" t="str">
        <f>TRP!B214</f>
        <v>PROMOTION  GESTION IMMOBILIERE</v>
      </c>
      <c r="C216" s="233">
        <f>TRP!A214</f>
        <v>19</v>
      </c>
      <c r="D216" s="228">
        <f t="shared" ref="D216:BO216" si="219">D92</f>
        <v>0</v>
      </c>
      <c r="E216" s="228">
        <f t="shared" si="219"/>
        <v>0</v>
      </c>
      <c r="F216" s="228">
        <f t="shared" si="219"/>
        <v>0</v>
      </c>
      <c r="G216" s="228">
        <f t="shared" si="219"/>
        <v>0</v>
      </c>
      <c r="H216" s="228">
        <f t="shared" si="219"/>
        <v>0</v>
      </c>
      <c r="I216" s="228">
        <f t="shared" si="219"/>
        <v>0</v>
      </c>
      <c r="J216" s="228">
        <f t="shared" si="219"/>
        <v>0</v>
      </c>
      <c r="K216" s="228">
        <f t="shared" si="219"/>
        <v>0</v>
      </c>
      <c r="L216" s="228">
        <f t="shared" si="219"/>
        <v>0</v>
      </c>
      <c r="M216" s="228">
        <f t="shared" si="219"/>
        <v>0</v>
      </c>
      <c r="N216" s="228">
        <f t="shared" si="219"/>
        <v>0</v>
      </c>
      <c r="O216" s="228">
        <f t="shared" si="219"/>
        <v>0</v>
      </c>
      <c r="P216" s="228">
        <f t="shared" si="219"/>
        <v>0</v>
      </c>
      <c r="Q216" s="228">
        <f t="shared" si="219"/>
        <v>0</v>
      </c>
      <c r="R216" s="228">
        <f t="shared" si="219"/>
        <v>0</v>
      </c>
      <c r="S216" s="228">
        <f t="shared" si="219"/>
        <v>0</v>
      </c>
      <c r="T216" s="228">
        <f t="shared" si="219"/>
        <v>0</v>
      </c>
      <c r="U216" s="228">
        <f t="shared" si="219"/>
        <v>0</v>
      </c>
      <c r="V216" s="228">
        <f t="shared" si="219"/>
        <v>0</v>
      </c>
      <c r="W216" s="228">
        <f t="shared" si="219"/>
        <v>0</v>
      </c>
      <c r="X216" s="228">
        <f t="shared" si="219"/>
        <v>0</v>
      </c>
      <c r="Y216" s="228">
        <f t="shared" si="219"/>
        <v>0</v>
      </c>
      <c r="Z216" s="228">
        <f t="shared" si="219"/>
        <v>0</v>
      </c>
      <c r="AA216" s="228">
        <f t="shared" si="219"/>
        <v>0</v>
      </c>
      <c r="AB216" s="228">
        <f t="shared" si="219"/>
        <v>0</v>
      </c>
      <c r="AC216" s="228">
        <f t="shared" si="219"/>
        <v>0</v>
      </c>
      <c r="AD216" s="228">
        <f t="shared" si="219"/>
        <v>0</v>
      </c>
      <c r="AE216" s="228">
        <f t="shared" si="219"/>
        <v>0</v>
      </c>
      <c r="AF216" s="228">
        <f t="shared" si="219"/>
        <v>0</v>
      </c>
      <c r="AG216" s="228">
        <f t="shared" si="219"/>
        <v>0</v>
      </c>
      <c r="AH216" s="228">
        <f t="shared" si="219"/>
        <v>0</v>
      </c>
      <c r="AI216" s="228">
        <f t="shared" si="219"/>
        <v>0</v>
      </c>
      <c r="AJ216" s="228">
        <f t="shared" si="219"/>
        <v>0</v>
      </c>
      <c r="AK216" s="228">
        <f t="shared" si="219"/>
        <v>0</v>
      </c>
      <c r="AL216" s="228">
        <f t="shared" si="219"/>
        <v>0</v>
      </c>
      <c r="AM216" s="228">
        <f t="shared" si="219"/>
        <v>0</v>
      </c>
      <c r="AN216" s="228">
        <f t="shared" si="219"/>
        <v>0</v>
      </c>
      <c r="AO216" s="228">
        <f t="shared" si="219"/>
        <v>0</v>
      </c>
      <c r="AP216" s="228">
        <f t="shared" si="219"/>
        <v>0</v>
      </c>
      <c r="AQ216" s="228">
        <f t="shared" si="219"/>
        <v>0</v>
      </c>
      <c r="AR216" s="228">
        <f t="shared" si="219"/>
        <v>0</v>
      </c>
      <c r="AS216" s="228">
        <f t="shared" si="219"/>
        <v>0</v>
      </c>
      <c r="AT216" s="228">
        <f t="shared" si="219"/>
        <v>0</v>
      </c>
      <c r="AU216" s="228">
        <f t="shared" si="219"/>
        <v>0</v>
      </c>
      <c r="AV216" s="228">
        <f t="shared" si="219"/>
        <v>0</v>
      </c>
      <c r="AW216" s="228">
        <f t="shared" si="219"/>
        <v>0</v>
      </c>
      <c r="AX216" s="228">
        <f t="shared" si="219"/>
        <v>0</v>
      </c>
      <c r="AY216" s="228">
        <f t="shared" si="219"/>
        <v>0</v>
      </c>
      <c r="AZ216" s="228">
        <f t="shared" si="219"/>
        <v>0</v>
      </c>
      <c r="BA216" s="228">
        <f t="shared" si="219"/>
        <v>0</v>
      </c>
      <c r="BB216" s="228">
        <f t="shared" si="219"/>
        <v>0</v>
      </c>
      <c r="BC216" s="228">
        <f t="shared" si="219"/>
        <v>0</v>
      </c>
      <c r="BD216" s="228">
        <f t="shared" si="219"/>
        <v>0</v>
      </c>
      <c r="BE216" s="228">
        <f t="shared" si="219"/>
        <v>0</v>
      </c>
      <c r="BF216" s="228">
        <f t="shared" si="219"/>
        <v>0</v>
      </c>
      <c r="BG216" s="228">
        <f t="shared" si="219"/>
        <v>0</v>
      </c>
      <c r="BH216" s="228">
        <f t="shared" si="219"/>
        <v>0</v>
      </c>
      <c r="BI216" s="228">
        <f t="shared" si="219"/>
        <v>0</v>
      </c>
      <c r="BJ216" s="228">
        <f t="shared" si="219"/>
        <v>0</v>
      </c>
      <c r="BK216" s="228">
        <f t="shared" si="219"/>
        <v>0</v>
      </c>
      <c r="BL216" s="228">
        <f t="shared" si="219"/>
        <v>0</v>
      </c>
      <c r="BM216" s="228">
        <f t="shared" si="219"/>
        <v>0</v>
      </c>
      <c r="BN216" s="228">
        <f t="shared" si="219"/>
        <v>0</v>
      </c>
      <c r="BO216" s="228">
        <f t="shared" si="219"/>
        <v>0</v>
      </c>
      <c r="BP216" s="228">
        <f t="shared" ref="BP216:DP216" si="220">BP92</f>
        <v>0</v>
      </c>
      <c r="BQ216" s="228">
        <f t="shared" si="220"/>
        <v>0</v>
      </c>
      <c r="BR216" s="228">
        <f t="shared" si="220"/>
        <v>0</v>
      </c>
      <c r="BS216" s="228">
        <f t="shared" si="220"/>
        <v>0</v>
      </c>
      <c r="BT216" s="228">
        <f t="shared" si="220"/>
        <v>0</v>
      </c>
      <c r="BU216" s="228">
        <f t="shared" si="220"/>
        <v>0</v>
      </c>
      <c r="BV216" s="228">
        <f t="shared" si="220"/>
        <v>0</v>
      </c>
      <c r="BW216" s="228">
        <f t="shared" si="220"/>
        <v>0</v>
      </c>
      <c r="BX216" s="228">
        <f t="shared" si="220"/>
        <v>0</v>
      </c>
      <c r="BY216" s="228">
        <f t="shared" si="220"/>
        <v>0</v>
      </c>
      <c r="BZ216" s="228">
        <f t="shared" si="220"/>
        <v>0</v>
      </c>
      <c r="CA216" s="228">
        <f t="shared" si="220"/>
        <v>497</v>
      </c>
      <c r="CB216" s="228">
        <f t="shared" si="220"/>
        <v>0</v>
      </c>
      <c r="CC216" s="228">
        <f t="shared" si="220"/>
        <v>0</v>
      </c>
      <c r="CD216" s="228">
        <f t="shared" si="220"/>
        <v>0</v>
      </c>
      <c r="CE216" s="228">
        <f t="shared" si="220"/>
        <v>0</v>
      </c>
      <c r="CF216" s="228">
        <f t="shared" si="220"/>
        <v>0</v>
      </c>
      <c r="CG216" s="228">
        <f t="shared" si="220"/>
        <v>0</v>
      </c>
      <c r="CH216" s="228">
        <f t="shared" si="220"/>
        <v>0</v>
      </c>
      <c r="CI216" s="228">
        <f t="shared" si="220"/>
        <v>0</v>
      </c>
      <c r="CJ216" s="228">
        <f t="shared" si="220"/>
        <v>0</v>
      </c>
      <c r="CK216" s="228">
        <f t="shared" si="220"/>
        <v>0</v>
      </c>
      <c r="CL216" s="228">
        <f t="shared" si="220"/>
        <v>0</v>
      </c>
      <c r="CM216" s="228">
        <f t="shared" si="220"/>
        <v>4382</v>
      </c>
      <c r="CN216" s="228">
        <f t="shared" si="220"/>
        <v>7891</v>
      </c>
      <c r="CO216" s="228">
        <f t="shared" si="220"/>
        <v>0</v>
      </c>
      <c r="CP216" s="228">
        <f t="shared" si="220"/>
        <v>0</v>
      </c>
      <c r="CQ216" s="228">
        <f t="shared" si="220"/>
        <v>0</v>
      </c>
      <c r="CR216" s="228">
        <f t="shared" si="220"/>
        <v>0</v>
      </c>
      <c r="CS216" s="228">
        <f t="shared" si="220"/>
        <v>0</v>
      </c>
      <c r="CT216" s="228">
        <f t="shared" si="220"/>
        <v>0</v>
      </c>
      <c r="CU216" s="228">
        <f t="shared" si="220"/>
        <v>0</v>
      </c>
      <c r="CV216" s="228">
        <f t="shared" si="220"/>
        <v>0</v>
      </c>
      <c r="CW216" s="228">
        <f t="shared" si="220"/>
        <v>0</v>
      </c>
      <c r="CX216" s="228">
        <f t="shared" si="220"/>
        <v>0</v>
      </c>
      <c r="CY216" s="228">
        <f t="shared" si="220"/>
        <v>0</v>
      </c>
      <c r="CZ216" s="228">
        <f t="shared" si="220"/>
        <v>0</v>
      </c>
      <c r="DA216" s="228">
        <f t="shared" si="220"/>
        <v>0</v>
      </c>
      <c r="DB216" s="228">
        <f t="shared" si="220"/>
        <v>0</v>
      </c>
      <c r="DC216" s="228">
        <f t="shared" si="220"/>
        <v>0</v>
      </c>
      <c r="DD216" s="228">
        <f t="shared" si="220"/>
        <v>12</v>
      </c>
      <c r="DE216" s="228">
        <f t="shared" si="220"/>
        <v>0</v>
      </c>
      <c r="DF216" s="228">
        <f t="shared" si="220"/>
        <v>0</v>
      </c>
      <c r="DG216" s="228">
        <f t="shared" si="220"/>
        <v>0</v>
      </c>
      <c r="DH216" s="228">
        <f t="shared" si="220"/>
        <v>1</v>
      </c>
      <c r="DI216" s="228">
        <f t="shared" si="220"/>
        <v>0</v>
      </c>
      <c r="DJ216" s="228">
        <f t="shared" si="220"/>
        <v>1</v>
      </c>
      <c r="DK216" s="228">
        <f t="shared" si="220"/>
        <v>0</v>
      </c>
      <c r="DL216" s="228">
        <f t="shared" si="220"/>
        <v>0</v>
      </c>
      <c r="DM216" s="228">
        <f t="shared" si="220"/>
        <v>4</v>
      </c>
      <c r="DN216" s="228">
        <f t="shared" si="220"/>
        <v>73</v>
      </c>
      <c r="DO216" s="228">
        <f t="shared" si="220"/>
        <v>0</v>
      </c>
      <c r="DP216" s="232">
        <f t="shared" si="220"/>
        <v>12861</v>
      </c>
      <c r="DQ216" s="228">
        <f t="shared" si="161"/>
        <v>0</v>
      </c>
      <c r="DR216" s="228">
        <f t="shared" si="162"/>
        <v>0</v>
      </c>
      <c r="DS216" s="230">
        <f>SUM(X216:Y216)+(1-TRP!$AK$253)*AC216</f>
        <v>0</v>
      </c>
      <c r="DT216" s="228">
        <f t="shared" si="163"/>
        <v>0</v>
      </c>
      <c r="DU216" s="228">
        <f t="shared" si="164"/>
        <v>0</v>
      </c>
      <c r="DV216" s="228">
        <f t="shared" si="165"/>
        <v>0</v>
      </c>
      <c r="DW216" s="228">
        <f t="shared" si="166"/>
        <v>0</v>
      </c>
      <c r="DX216" s="228">
        <f t="shared" si="167"/>
        <v>0</v>
      </c>
      <c r="DY216" s="228">
        <f t="shared" si="168"/>
        <v>0</v>
      </c>
      <c r="DZ216" s="228">
        <f t="shared" si="169"/>
        <v>0</v>
      </c>
      <c r="EA216" s="228">
        <f t="shared" si="170"/>
        <v>0</v>
      </c>
      <c r="EB216" s="230">
        <f>TRP!$AK$253*$AC216+SUM(M216:W216,Z216:AB216,AD216:AR216,AU216:AX216,BC216:BE216,BI216:BN216,BQ216:BR216,BV216)</f>
        <v>0</v>
      </c>
      <c r="EC216" s="228">
        <f t="shared" si="171"/>
        <v>0</v>
      </c>
      <c r="ED216" s="230">
        <f>CB216+$CI216*TRP!$AV$248</f>
        <v>0</v>
      </c>
      <c r="EE216" s="228">
        <f t="shared" si="172"/>
        <v>0</v>
      </c>
      <c r="EF216" s="230">
        <f>CD216+$CI216*TRP!$AV$249</f>
        <v>0</v>
      </c>
      <c r="EG216" s="230">
        <f>CE216+$CI216*TRP!$AV$250</f>
        <v>0</v>
      </c>
      <c r="EH216" s="230">
        <f>CF216+$CI216*TRP!$AV$251</f>
        <v>0</v>
      </c>
      <c r="EI216" s="228">
        <f t="shared" si="173"/>
        <v>12782</v>
      </c>
      <c r="EJ216" s="228">
        <f t="shared" si="174"/>
        <v>79</v>
      </c>
      <c r="EK216" s="228">
        <f t="shared" si="175"/>
        <v>0</v>
      </c>
      <c r="EL216" s="230">
        <f>BS216+$BP216*TRP!$AN$246</f>
        <v>0</v>
      </c>
      <c r="EM216" s="228">
        <f t="shared" si="176"/>
        <v>0</v>
      </c>
      <c r="EN216" s="230">
        <f>BU216+$BP216*TRP!$AN$247</f>
        <v>0</v>
      </c>
    </row>
    <row r="217" spans="1:144" s="228" customFormat="1" ht="10.5" x14ac:dyDescent="0.25">
      <c r="A217" s="228" t="str">
        <f>TRP!C215</f>
        <v xml:space="preserve">GM02 </v>
      </c>
      <c r="B217" s="228" t="str">
        <f>TRP!B215</f>
        <v>LOCATION IMMOBILIERE</v>
      </c>
      <c r="C217" s="233">
        <f>TRP!A215</f>
        <v>19</v>
      </c>
      <c r="D217" s="228">
        <f t="shared" ref="D217:BO217" si="221">D93</f>
        <v>19</v>
      </c>
      <c r="E217" s="228">
        <f t="shared" si="221"/>
        <v>0</v>
      </c>
      <c r="F217" s="228">
        <f t="shared" si="221"/>
        <v>0</v>
      </c>
      <c r="G217" s="228">
        <f t="shared" si="221"/>
        <v>103</v>
      </c>
      <c r="H217" s="228">
        <f t="shared" si="221"/>
        <v>94</v>
      </c>
      <c r="I217" s="228">
        <f t="shared" si="221"/>
        <v>130</v>
      </c>
      <c r="J217" s="228">
        <f t="shared" si="221"/>
        <v>49</v>
      </c>
      <c r="K217" s="228">
        <f t="shared" si="221"/>
        <v>219</v>
      </c>
      <c r="L217" s="228">
        <f t="shared" si="221"/>
        <v>1</v>
      </c>
      <c r="M217" s="228">
        <f t="shared" si="221"/>
        <v>122</v>
      </c>
      <c r="N217" s="228">
        <f t="shared" si="221"/>
        <v>13</v>
      </c>
      <c r="O217" s="228">
        <f t="shared" si="221"/>
        <v>352</v>
      </c>
      <c r="P217" s="228">
        <f t="shared" si="221"/>
        <v>450</v>
      </c>
      <c r="Q217" s="228">
        <f t="shared" si="221"/>
        <v>165</v>
      </c>
      <c r="R217" s="228">
        <f t="shared" si="221"/>
        <v>112</v>
      </c>
      <c r="S217" s="228">
        <f t="shared" si="221"/>
        <v>1</v>
      </c>
      <c r="T217" s="228">
        <f t="shared" si="221"/>
        <v>24</v>
      </c>
      <c r="U217" s="228">
        <f t="shared" si="221"/>
        <v>17</v>
      </c>
      <c r="V217" s="228">
        <f t="shared" si="221"/>
        <v>22</v>
      </c>
      <c r="W217" s="228">
        <f t="shared" si="221"/>
        <v>14</v>
      </c>
      <c r="X217" s="228">
        <f t="shared" si="221"/>
        <v>147</v>
      </c>
      <c r="Y217" s="228">
        <f t="shared" si="221"/>
        <v>100</v>
      </c>
      <c r="Z217" s="228">
        <f t="shared" si="221"/>
        <v>30</v>
      </c>
      <c r="AA217" s="228">
        <f t="shared" si="221"/>
        <v>45</v>
      </c>
      <c r="AB217" s="228">
        <f t="shared" si="221"/>
        <v>246</v>
      </c>
      <c r="AC217" s="228">
        <f t="shared" si="221"/>
        <v>6</v>
      </c>
      <c r="AD217" s="228">
        <f t="shared" si="221"/>
        <v>24</v>
      </c>
      <c r="AE217" s="228">
        <f t="shared" si="221"/>
        <v>33</v>
      </c>
      <c r="AF217" s="228">
        <f t="shared" si="221"/>
        <v>86</v>
      </c>
      <c r="AG217" s="228">
        <f t="shared" si="221"/>
        <v>98</v>
      </c>
      <c r="AH217" s="228">
        <f t="shared" si="221"/>
        <v>53</v>
      </c>
      <c r="AI217" s="228">
        <f t="shared" si="221"/>
        <v>2</v>
      </c>
      <c r="AJ217" s="228">
        <f t="shared" si="221"/>
        <v>57</v>
      </c>
      <c r="AK217" s="228">
        <f t="shared" si="221"/>
        <v>5</v>
      </c>
      <c r="AL217" s="228">
        <f t="shared" si="221"/>
        <v>7</v>
      </c>
      <c r="AM217" s="228">
        <f t="shared" si="221"/>
        <v>57</v>
      </c>
      <c r="AN217" s="228">
        <f t="shared" si="221"/>
        <v>97</v>
      </c>
      <c r="AO217" s="228">
        <f t="shared" si="221"/>
        <v>7</v>
      </c>
      <c r="AP217" s="228">
        <f t="shared" si="221"/>
        <v>65</v>
      </c>
      <c r="AQ217" s="228">
        <f t="shared" si="221"/>
        <v>0</v>
      </c>
      <c r="AR217" s="228">
        <f t="shared" si="221"/>
        <v>16</v>
      </c>
      <c r="AS217" s="228">
        <f t="shared" si="221"/>
        <v>46</v>
      </c>
      <c r="AT217" s="228">
        <f t="shared" si="221"/>
        <v>130</v>
      </c>
      <c r="AU217" s="228">
        <f t="shared" si="221"/>
        <v>33</v>
      </c>
      <c r="AV217" s="228">
        <f t="shared" si="221"/>
        <v>28</v>
      </c>
      <c r="AW217" s="228">
        <f t="shared" si="221"/>
        <v>5</v>
      </c>
      <c r="AX217" s="228">
        <f t="shared" si="221"/>
        <v>105</v>
      </c>
      <c r="AY217" s="228">
        <f t="shared" si="221"/>
        <v>82</v>
      </c>
      <c r="AZ217" s="228">
        <f t="shared" si="221"/>
        <v>120</v>
      </c>
      <c r="BA217" s="228">
        <f t="shared" si="221"/>
        <v>36</v>
      </c>
      <c r="BB217" s="228">
        <f t="shared" si="221"/>
        <v>138</v>
      </c>
      <c r="BC217" s="228">
        <f t="shared" si="221"/>
        <v>79</v>
      </c>
      <c r="BD217" s="228">
        <f t="shared" si="221"/>
        <v>10</v>
      </c>
      <c r="BE217" s="228">
        <f t="shared" si="221"/>
        <v>1</v>
      </c>
      <c r="BF217" s="228">
        <f t="shared" si="221"/>
        <v>121</v>
      </c>
      <c r="BG217" s="228">
        <f t="shared" si="221"/>
        <v>272</v>
      </c>
      <c r="BH217" s="228">
        <f t="shared" si="221"/>
        <v>83</v>
      </c>
      <c r="BI217" s="228">
        <f t="shared" si="221"/>
        <v>77</v>
      </c>
      <c r="BJ217" s="228">
        <f t="shared" si="221"/>
        <v>108</v>
      </c>
      <c r="BK217" s="228">
        <f t="shared" si="221"/>
        <v>92</v>
      </c>
      <c r="BL217" s="228">
        <f t="shared" si="221"/>
        <v>18</v>
      </c>
      <c r="BM217" s="228">
        <f t="shared" si="221"/>
        <v>162</v>
      </c>
      <c r="BN217" s="228">
        <f t="shared" si="221"/>
        <v>76</v>
      </c>
      <c r="BO217" s="228">
        <f t="shared" si="221"/>
        <v>0</v>
      </c>
      <c r="BP217" s="228">
        <f t="shared" ref="BP217:DP217" si="222">BP93</f>
        <v>0</v>
      </c>
      <c r="BQ217" s="228">
        <f t="shared" si="222"/>
        <v>0</v>
      </c>
      <c r="BR217" s="228">
        <f t="shared" si="222"/>
        <v>10</v>
      </c>
      <c r="BS217" s="228">
        <f t="shared" si="222"/>
        <v>99</v>
      </c>
      <c r="BT217" s="228">
        <f t="shared" si="222"/>
        <v>141</v>
      </c>
      <c r="BU217" s="228">
        <f t="shared" si="222"/>
        <v>41</v>
      </c>
      <c r="BV217" s="228">
        <f t="shared" si="222"/>
        <v>52</v>
      </c>
      <c r="BW217" s="228">
        <f t="shared" si="222"/>
        <v>165</v>
      </c>
      <c r="BX217" s="228">
        <f t="shared" si="222"/>
        <v>84</v>
      </c>
      <c r="BY217" s="228">
        <f t="shared" si="222"/>
        <v>762</v>
      </c>
      <c r="BZ217" s="228">
        <f t="shared" si="222"/>
        <v>9438</v>
      </c>
      <c r="CA217" s="228">
        <f t="shared" si="222"/>
        <v>4979</v>
      </c>
      <c r="CB217" s="228">
        <f t="shared" si="222"/>
        <v>6</v>
      </c>
      <c r="CC217" s="228">
        <f t="shared" si="222"/>
        <v>184</v>
      </c>
      <c r="CD217" s="228">
        <f t="shared" si="222"/>
        <v>634</v>
      </c>
      <c r="CE217" s="228">
        <f t="shared" si="222"/>
        <v>128</v>
      </c>
      <c r="CF217" s="228">
        <f t="shared" si="222"/>
        <v>163</v>
      </c>
      <c r="CG217" s="228">
        <f t="shared" si="222"/>
        <v>164</v>
      </c>
      <c r="CH217" s="228">
        <f t="shared" si="222"/>
        <v>123</v>
      </c>
      <c r="CI217" s="228">
        <f t="shared" si="222"/>
        <v>218</v>
      </c>
      <c r="CJ217" s="228">
        <f t="shared" si="222"/>
        <v>2633</v>
      </c>
      <c r="CK217" s="228">
        <f t="shared" si="222"/>
        <v>1040</v>
      </c>
      <c r="CL217" s="228">
        <f t="shared" si="222"/>
        <v>719</v>
      </c>
      <c r="CM217" s="228">
        <f t="shared" si="222"/>
        <v>1082</v>
      </c>
      <c r="CN217" s="228">
        <f t="shared" si="222"/>
        <v>2815</v>
      </c>
      <c r="CO217" s="228">
        <f t="shared" si="222"/>
        <v>1038</v>
      </c>
      <c r="CP217" s="228">
        <f t="shared" si="222"/>
        <v>1624</v>
      </c>
      <c r="CQ217" s="228">
        <f t="shared" si="222"/>
        <v>1545</v>
      </c>
      <c r="CR217" s="228">
        <f t="shared" si="222"/>
        <v>1249</v>
      </c>
      <c r="CS217" s="228">
        <f t="shared" si="222"/>
        <v>85</v>
      </c>
      <c r="CT217" s="228">
        <f t="shared" si="222"/>
        <v>1482</v>
      </c>
      <c r="CU217" s="228">
        <f t="shared" si="222"/>
        <v>319</v>
      </c>
      <c r="CV217" s="228">
        <f t="shared" si="222"/>
        <v>32</v>
      </c>
      <c r="CW217" s="228">
        <f t="shared" si="222"/>
        <v>3465</v>
      </c>
      <c r="CX217" s="228">
        <f t="shared" si="222"/>
        <v>108</v>
      </c>
      <c r="CY217" s="228">
        <f t="shared" si="222"/>
        <v>798</v>
      </c>
      <c r="CZ217" s="228">
        <f t="shared" si="222"/>
        <v>54</v>
      </c>
      <c r="DA217" s="228">
        <f t="shared" si="222"/>
        <v>2196</v>
      </c>
      <c r="DB217" s="228">
        <f t="shared" si="222"/>
        <v>1065</v>
      </c>
      <c r="DC217" s="228">
        <f t="shared" si="222"/>
        <v>276</v>
      </c>
      <c r="DD217" s="228">
        <f t="shared" si="222"/>
        <v>162</v>
      </c>
      <c r="DE217" s="228">
        <f t="shared" si="222"/>
        <v>214</v>
      </c>
      <c r="DF217" s="228">
        <f t="shared" si="222"/>
        <v>0</v>
      </c>
      <c r="DG217" s="228">
        <f t="shared" si="222"/>
        <v>187</v>
      </c>
      <c r="DH217" s="228">
        <f t="shared" si="222"/>
        <v>224</v>
      </c>
      <c r="DI217" s="228">
        <f t="shared" si="222"/>
        <v>836</v>
      </c>
      <c r="DJ217" s="228">
        <f t="shared" si="222"/>
        <v>139</v>
      </c>
      <c r="DK217" s="228">
        <f t="shared" si="222"/>
        <v>15</v>
      </c>
      <c r="DL217" s="228">
        <f t="shared" si="222"/>
        <v>385</v>
      </c>
      <c r="DM217" s="228">
        <f t="shared" si="222"/>
        <v>647</v>
      </c>
      <c r="DN217" s="228">
        <f t="shared" si="222"/>
        <v>2501</v>
      </c>
      <c r="DO217" s="228">
        <f t="shared" si="222"/>
        <v>418</v>
      </c>
      <c r="DP217" s="232">
        <f t="shared" si="222"/>
        <v>51654</v>
      </c>
      <c r="DQ217" s="228">
        <f t="shared" si="161"/>
        <v>19</v>
      </c>
      <c r="DR217" s="228">
        <f t="shared" si="162"/>
        <v>596</v>
      </c>
      <c r="DS217" s="230">
        <f>SUM(X217:Y217)+(1-TRP!$AK$253)*AC217</f>
        <v>251.2</v>
      </c>
      <c r="DT217" s="228">
        <f t="shared" si="163"/>
        <v>46</v>
      </c>
      <c r="DU217" s="228">
        <f t="shared" si="164"/>
        <v>130</v>
      </c>
      <c r="DV217" s="228">
        <f t="shared" si="165"/>
        <v>202</v>
      </c>
      <c r="DW217" s="228">
        <f t="shared" si="166"/>
        <v>36</v>
      </c>
      <c r="DX217" s="228">
        <f t="shared" si="167"/>
        <v>138</v>
      </c>
      <c r="DY217" s="228">
        <f t="shared" si="168"/>
        <v>121</v>
      </c>
      <c r="DZ217" s="228">
        <f t="shared" si="169"/>
        <v>272</v>
      </c>
      <c r="EA217" s="228">
        <f t="shared" si="170"/>
        <v>83</v>
      </c>
      <c r="EB217" s="230">
        <f>TRP!$AK$253*$AC217+SUM(M217:W217,Z217:AB217,AD217:AR217,AU217:AX217,BC217:BE217,BI217:BN217,BQ217:BR217,BV217)</f>
        <v>3077.8</v>
      </c>
      <c r="EC217" s="228">
        <f t="shared" si="171"/>
        <v>249</v>
      </c>
      <c r="ED217" s="230">
        <f>CB217+$CI217*TRP!$AV$248</f>
        <v>12.758926554832351</v>
      </c>
      <c r="EE217" s="228">
        <f t="shared" si="172"/>
        <v>184</v>
      </c>
      <c r="EF217" s="230">
        <f>CD217+$CI217*TRP!$AV$249</f>
        <v>785.1166809906108</v>
      </c>
      <c r="EG217" s="230">
        <f>CE217+$CI217*TRP!$AV$250</f>
        <v>172.07817646903536</v>
      </c>
      <c r="EH217" s="230">
        <f>CF217+$CI217*TRP!$AV$251</f>
        <v>179.04621598552157</v>
      </c>
      <c r="EI217" s="228">
        <f t="shared" si="173"/>
        <v>40836</v>
      </c>
      <c r="EJ217" s="228">
        <f t="shared" si="174"/>
        <v>3983</v>
      </c>
      <c r="EK217" s="228">
        <f t="shared" si="175"/>
        <v>0</v>
      </c>
      <c r="EL217" s="230">
        <f>BS217+$BP217*TRP!$AN$246</f>
        <v>99</v>
      </c>
      <c r="EM217" s="228">
        <f t="shared" si="176"/>
        <v>141</v>
      </c>
      <c r="EN217" s="230">
        <f>BU217+$BP217*TRP!$AN$247</f>
        <v>41</v>
      </c>
    </row>
    <row r="218" spans="1:144" s="228" customFormat="1" ht="10.5" x14ac:dyDescent="0.25">
      <c r="A218" s="228" t="str">
        <f>TRP!C216</f>
        <v xml:space="preserve">GN10 </v>
      </c>
      <c r="B218" s="228" t="str">
        <f>TRP!B216</f>
        <v>TELECOMMUNICATION, POSTE ET COURRIER</v>
      </c>
      <c r="C218" s="233">
        <f>TRP!A216</f>
        <v>19</v>
      </c>
      <c r="D218" s="228">
        <f t="shared" ref="D218:BO218" si="223">D94</f>
        <v>19</v>
      </c>
      <c r="E218" s="228">
        <f t="shared" si="223"/>
        <v>13</v>
      </c>
      <c r="F218" s="228">
        <f t="shared" si="223"/>
        <v>2</v>
      </c>
      <c r="G218" s="228">
        <f t="shared" si="223"/>
        <v>33</v>
      </c>
      <c r="H218" s="228">
        <f t="shared" si="223"/>
        <v>46</v>
      </c>
      <c r="I218" s="228">
        <f t="shared" si="223"/>
        <v>74</v>
      </c>
      <c r="J218" s="228">
        <f t="shared" si="223"/>
        <v>25</v>
      </c>
      <c r="K218" s="228">
        <f t="shared" si="223"/>
        <v>118</v>
      </c>
      <c r="L218" s="228">
        <f t="shared" si="223"/>
        <v>2</v>
      </c>
      <c r="M218" s="228">
        <f t="shared" si="223"/>
        <v>42</v>
      </c>
      <c r="N218" s="228">
        <f t="shared" si="223"/>
        <v>9</v>
      </c>
      <c r="O218" s="228">
        <f t="shared" si="223"/>
        <v>377</v>
      </c>
      <c r="P218" s="228">
        <f t="shared" si="223"/>
        <v>141</v>
      </c>
      <c r="Q218" s="228">
        <f t="shared" si="223"/>
        <v>87</v>
      </c>
      <c r="R218" s="228">
        <f t="shared" si="223"/>
        <v>47</v>
      </c>
      <c r="S218" s="228">
        <f t="shared" si="223"/>
        <v>11</v>
      </c>
      <c r="T218" s="228">
        <f t="shared" si="223"/>
        <v>16</v>
      </c>
      <c r="U218" s="228">
        <f t="shared" si="223"/>
        <v>9</v>
      </c>
      <c r="V218" s="228">
        <f t="shared" si="223"/>
        <v>8</v>
      </c>
      <c r="W218" s="228">
        <f t="shared" si="223"/>
        <v>12</v>
      </c>
      <c r="X218" s="228">
        <f t="shared" si="223"/>
        <v>141</v>
      </c>
      <c r="Y218" s="228">
        <f t="shared" si="223"/>
        <v>44</v>
      </c>
      <c r="Z218" s="228">
        <f t="shared" si="223"/>
        <v>10</v>
      </c>
      <c r="AA218" s="228">
        <f t="shared" si="223"/>
        <v>15</v>
      </c>
      <c r="AB218" s="228">
        <f t="shared" si="223"/>
        <v>127</v>
      </c>
      <c r="AC218" s="228">
        <f t="shared" si="223"/>
        <v>7</v>
      </c>
      <c r="AD218" s="228">
        <f t="shared" si="223"/>
        <v>31</v>
      </c>
      <c r="AE218" s="228">
        <f t="shared" si="223"/>
        <v>31</v>
      </c>
      <c r="AF218" s="228">
        <f t="shared" si="223"/>
        <v>70</v>
      </c>
      <c r="AG218" s="228">
        <f t="shared" si="223"/>
        <v>96</v>
      </c>
      <c r="AH218" s="228">
        <f t="shared" si="223"/>
        <v>12</v>
      </c>
      <c r="AI218" s="228">
        <f t="shared" si="223"/>
        <v>9</v>
      </c>
      <c r="AJ218" s="228">
        <f t="shared" si="223"/>
        <v>35</v>
      </c>
      <c r="AK218" s="228">
        <f t="shared" si="223"/>
        <v>7</v>
      </c>
      <c r="AL218" s="228">
        <f t="shared" si="223"/>
        <v>4</v>
      </c>
      <c r="AM218" s="228">
        <f t="shared" si="223"/>
        <v>28</v>
      </c>
      <c r="AN218" s="228">
        <f t="shared" si="223"/>
        <v>25</v>
      </c>
      <c r="AO218" s="228">
        <f t="shared" si="223"/>
        <v>20</v>
      </c>
      <c r="AP218" s="228">
        <f t="shared" si="223"/>
        <v>50</v>
      </c>
      <c r="AQ218" s="228">
        <f t="shared" si="223"/>
        <v>0</v>
      </c>
      <c r="AR218" s="228">
        <f t="shared" si="223"/>
        <v>14</v>
      </c>
      <c r="AS218" s="228">
        <f t="shared" si="223"/>
        <v>20</v>
      </c>
      <c r="AT218" s="228">
        <f t="shared" si="223"/>
        <v>65</v>
      </c>
      <c r="AU218" s="228">
        <f t="shared" si="223"/>
        <v>37</v>
      </c>
      <c r="AV218" s="228">
        <f t="shared" si="223"/>
        <v>11</v>
      </c>
      <c r="AW218" s="228">
        <f t="shared" si="223"/>
        <v>8</v>
      </c>
      <c r="AX218" s="228">
        <f t="shared" si="223"/>
        <v>20</v>
      </c>
      <c r="AY218" s="228">
        <f t="shared" si="223"/>
        <v>22</v>
      </c>
      <c r="AZ218" s="228">
        <f t="shared" si="223"/>
        <v>36</v>
      </c>
      <c r="BA218" s="228">
        <f t="shared" si="223"/>
        <v>26</v>
      </c>
      <c r="BB218" s="228">
        <f t="shared" si="223"/>
        <v>35</v>
      </c>
      <c r="BC218" s="228">
        <f t="shared" si="223"/>
        <v>48</v>
      </c>
      <c r="BD218" s="228">
        <f t="shared" si="223"/>
        <v>2</v>
      </c>
      <c r="BE218" s="228">
        <f t="shared" si="223"/>
        <v>23</v>
      </c>
      <c r="BF218" s="228">
        <f t="shared" si="223"/>
        <v>49</v>
      </c>
      <c r="BG218" s="228">
        <f t="shared" si="223"/>
        <v>34</v>
      </c>
      <c r="BH218" s="228">
        <f t="shared" si="223"/>
        <v>25</v>
      </c>
      <c r="BI218" s="228">
        <f t="shared" si="223"/>
        <v>13</v>
      </c>
      <c r="BJ218" s="228">
        <f t="shared" si="223"/>
        <v>43</v>
      </c>
      <c r="BK218" s="228">
        <f t="shared" si="223"/>
        <v>42</v>
      </c>
      <c r="BL218" s="228">
        <f t="shared" si="223"/>
        <v>32</v>
      </c>
      <c r="BM218" s="228">
        <f t="shared" si="223"/>
        <v>93</v>
      </c>
      <c r="BN218" s="228">
        <f t="shared" si="223"/>
        <v>26</v>
      </c>
      <c r="BO218" s="228">
        <f t="shared" si="223"/>
        <v>0</v>
      </c>
      <c r="BP218" s="228">
        <f t="shared" ref="BP218:DP218" si="224">BP94</f>
        <v>9</v>
      </c>
      <c r="BQ218" s="228">
        <f t="shared" si="224"/>
        <v>0</v>
      </c>
      <c r="BR218" s="228">
        <f t="shared" si="224"/>
        <v>8</v>
      </c>
      <c r="BS218" s="228">
        <f t="shared" si="224"/>
        <v>27</v>
      </c>
      <c r="BT218" s="228">
        <f t="shared" si="224"/>
        <v>238</v>
      </c>
      <c r="BU218" s="228">
        <f t="shared" si="224"/>
        <v>47</v>
      </c>
      <c r="BV218" s="228">
        <f t="shared" si="224"/>
        <v>47</v>
      </c>
      <c r="BW218" s="228">
        <f t="shared" si="224"/>
        <v>499</v>
      </c>
      <c r="BX218" s="228">
        <f t="shared" si="224"/>
        <v>136</v>
      </c>
      <c r="BY218" s="228">
        <f t="shared" si="224"/>
        <v>597</v>
      </c>
      <c r="BZ218" s="228">
        <f t="shared" si="224"/>
        <v>3530</v>
      </c>
      <c r="CA218" s="228">
        <f t="shared" si="224"/>
        <v>2157</v>
      </c>
      <c r="CB218" s="228">
        <f t="shared" si="224"/>
        <v>6</v>
      </c>
      <c r="CC218" s="228">
        <f t="shared" si="224"/>
        <v>42</v>
      </c>
      <c r="CD218" s="228">
        <f t="shared" si="224"/>
        <v>91</v>
      </c>
      <c r="CE218" s="228">
        <f t="shared" si="224"/>
        <v>64</v>
      </c>
      <c r="CF218" s="228">
        <f t="shared" si="224"/>
        <v>93</v>
      </c>
      <c r="CG218" s="228">
        <f t="shared" si="224"/>
        <v>46</v>
      </c>
      <c r="CH218" s="228">
        <f t="shared" si="224"/>
        <v>62</v>
      </c>
      <c r="CI218" s="228">
        <f t="shared" si="224"/>
        <v>56</v>
      </c>
      <c r="CJ218" s="228">
        <f t="shared" si="224"/>
        <v>4772</v>
      </c>
      <c r="CK218" s="228">
        <f t="shared" si="224"/>
        <v>605</v>
      </c>
      <c r="CL218" s="228">
        <f t="shared" si="224"/>
        <v>454</v>
      </c>
      <c r="CM218" s="228">
        <f t="shared" si="224"/>
        <v>319</v>
      </c>
      <c r="CN218" s="228">
        <f t="shared" si="224"/>
        <v>525</v>
      </c>
      <c r="CO218" s="228">
        <f t="shared" si="224"/>
        <v>10667</v>
      </c>
      <c r="CP218" s="228">
        <f t="shared" si="224"/>
        <v>1807</v>
      </c>
      <c r="CQ218" s="228">
        <f t="shared" si="224"/>
        <v>1299</v>
      </c>
      <c r="CR218" s="228">
        <f t="shared" si="224"/>
        <v>979</v>
      </c>
      <c r="CS218" s="228">
        <f t="shared" si="224"/>
        <v>180</v>
      </c>
      <c r="CT218" s="228">
        <f t="shared" si="224"/>
        <v>1152</v>
      </c>
      <c r="CU218" s="228">
        <f t="shared" si="224"/>
        <v>636</v>
      </c>
      <c r="CV218" s="228">
        <f t="shared" si="224"/>
        <v>144</v>
      </c>
      <c r="CW218" s="228">
        <f t="shared" si="224"/>
        <v>2781</v>
      </c>
      <c r="CX218" s="228">
        <f t="shared" si="224"/>
        <v>62</v>
      </c>
      <c r="CY218" s="228">
        <f t="shared" si="224"/>
        <v>428</v>
      </c>
      <c r="CZ218" s="228">
        <f t="shared" si="224"/>
        <v>44</v>
      </c>
      <c r="DA218" s="228">
        <f t="shared" si="224"/>
        <v>603</v>
      </c>
      <c r="DB218" s="228">
        <f t="shared" si="224"/>
        <v>645</v>
      </c>
      <c r="DC218" s="228">
        <f t="shared" si="224"/>
        <v>344</v>
      </c>
      <c r="DD218" s="228">
        <f t="shared" si="224"/>
        <v>267</v>
      </c>
      <c r="DE218" s="228">
        <f t="shared" si="224"/>
        <v>130</v>
      </c>
      <c r="DF218" s="228">
        <f t="shared" si="224"/>
        <v>0</v>
      </c>
      <c r="DG218" s="228">
        <f t="shared" si="224"/>
        <v>224</v>
      </c>
      <c r="DH218" s="228">
        <f t="shared" si="224"/>
        <v>349</v>
      </c>
      <c r="DI218" s="228">
        <f t="shared" si="224"/>
        <v>435</v>
      </c>
      <c r="DJ218" s="228">
        <f t="shared" si="224"/>
        <v>218</v>
      </c>
      <c r="DK218" s="228">
        <f t="shared" si="224"/>
        <v>18</v>
      </c>
      <c r="DL218" s="228">
        <f t="shared" si="224"/>
        <v>312</v>
      </c>
      <c r="DM218" s="228">
        <f t="shared" si="224"/>
        <v>79</v>
      </c>
      <c r="DN218" s="228">
        <f t="shared" si="224"/>
        <v>2437</v>
      </c>
      <c r="DO218" s="228">
        <f t="shared" si="224"/>
        <v>174</v>
      </c>
      <c r="DP218" s="232">
        <f t="shared" si="224"/>
        <v>43421</v>
      </c>
      <c r="DQ218" s="228">
        <f t="shared" si="161"/>
        <v>34</v>
      </c>
      <c r="DR218" s="228">
        <f t="shared" si="162"/>
        <v>298</v>
      </c>
      <c r="DS218" s="230">
        <f>SUM(X218:Y218)+(1-TRP!$AK$253)*AC218</f>
        <v>189.9</v>
      </c>
      <c r="DT218" s="228">
        <f t="shared" si="163"/>
        <v>20</v>
      </c>
      <c r="DU218" s="228">
        <f t="shared" si="164"/>
        <v>65</v>
      </c>
      <c r="DV218" s="228">
        <f t="shared" si="165"/>
        <v>58</v>
      </c>
      <c r="DW218" s="228">
        <f t="shared" si="166"/>
        <v>26</v>
      </c>
      <c r="DX218" s="228">
        <f t="shared" si="167"/>
        <v>35</v>
      </c>
      <c r="DY218" s="228">
        <f t="shared" si="168"/>
        <v>49</v>
      </c>
      <c r="DZ218" s="228">
        <f t="shared" si="169"/>
        <v>34</v>
      </c>
      <c r="EA218" s="228">
        <f t="shared" si="170"/>
        <v>25</v>
      </c>
      <c r="EB218" s="230">
        <f>TRP!$AK$253*$AC218+SUM(M218:W218,Z218:AB218,AD218:AR218,AU218:AX218,BC218:BE218,BI218:BN218,BQ218:BR218,BV218)</f>
        <v>1798.1</v>
      </c>
      <c r="EC218" s="228">
        <f t="shared" si="171"/>
        <v>635</v>
      </c>
      <c r="ED218" s="230">
        <f>CB218+$CI218*TRP!$AV$248</f>
        <v>7.7362380140853748</v>
      </c>
      <c r="EE218" s="228">
        <f t="shared" si="172"/>
        <v>42</v>
      </c>
      <c r="EF218" s="230">
        <f>CD218+$CI218*TRP!$AV$249</f>
        <v>129.81896392419358</v>
      </c>
      <c r="EG218" s="230">
        <f>CE218+$CI218*TRP!$AV$250</f>
        <v>75.322834322321</v>
      </c>
      <c r="EH218" s="230">
        <f>CF218+$CI218*TRP!$AV$251</f>
        <v>97.12196373940003</v>
      </c>
      <c r="EI218" s="228">
        <f t="shared" si="173"/>
        <v>36180</v>
      </c>
      <c r="EJ218" s="228">
        <f t="shared" si="174"/>
        <v>3301</v>
      </c>
      <c r="EK218" s="228">
        <f t="shared" si="175"/>
        <v>0</v>
      </c>
      <c r="EL218" s="230">
        <f>BS218+$BP218*TRP!$AN$246</f>
        <v>33.651295915240141</v>
      </c>
      <c r="EM218" s="228">
        <f t="shared" si="176"/>
        <v>238</v>
      </c>
      <c r="EN218" s="230">
        <f>BU218+$BP218*TRP!$AN$247</f>
        <v>49.348704084759859</v>
      </c>
    </row>
    <row r="219" spans="1:144" s="228" customFormat="1" ht="10.5" x14ac:dyDescent="0.25">
      <c r="A219" s="228" t="str">
        <f>TRP!C217</f>
        <v xml:space="preserve">GN21 </v>
      </c>
      <c r="B219" s="228" t="str">
        <f>TRP!B217</f>
        <v>ACTIVITES INFORMATIQUES</v>
      </c>
      <c r="C219" s="233">
        <f>TRP!A217</f>
        <v>19</v>
      </c>
      <c r="D219" s="228">
        <f t="shared" ref="D219:BO219" si="225">D95</f>
        <v>0</v>
      </c>
      <c r="E219" s="228">
        <f t="shared" si="225"/>
        <v>3</v>
      </c>
      <c r="F219" s="228">
        <f t="shared" si="225"/>
        <v>4</v>
      </c>
      <c r="G219" s="228">
        <f t="shared" si="225"/>
        <v>127</v>
      </c>
      <c r="H219" s="228">
        <f t="shared" si="225"/>
        <v>125</v>
      </c>
      <c r="I219" s="228">
        <f t="shared" si="225"/>
        <v>79</v>
      </c>
      <c r="J219" s="228">
        <f t="shared" si="225"/>
        <v>80</v>
      </c>
      <c r="K219" s="228">
        <f t="shared" si="225"/>
        <v>670</v>
      </c>
      <c r="L219" s="228">
        <f t="shared" si="225"/>
        <v>11</v>
      </c>
      <c r="M219" s="228">
        <f t="shared" si="225"/>
        <v>125</v>
      </c>
      <c r="N219" s="228">
        <f t="shared" si="225"/>
        <v>29</v>
      </c>
      <c r="O219" s="228">
        <f t="shared" si="225"/>
        <v>648</v>
      </c>
      <c r="P219" s="228">
        <f t="shared" si="225"/>
        <v>306</v>
      </c>
      <c r="Q219" s="228">
        <f t="shared" si="225"/>
        <v>278</v>
      </c>
      <c r="R219" s="228">
        <f t="shared" si="225"/>
        <v>73</v>
      </c>
      <c r="S219" s="228">
        <f t="shared" si="225"/>
        <v>13</v>
      </c>
      <c r="T219" s="228">
        <f t="shared" si="225"/>
        <v>57</v>
      </c>
      <c r="U219" s="228">
        <f t="shared" si="225"/>
        <v>23</v>
      </c>
      <c r="V219" s="228">
        <f t="shared" si="225"/>
        <v>68</v>
      </c>
      <c r="W219" s="228">
        <f t="shared" si="225"/>
        <v>37</v>
      </c>
      <c r="X219" s="228">
        <f t="shared" si="225"/>
        <v>114</v>
      </c>
      <c r="Y219" s="228">
        <f t="shared" si="225"/>
        <v>108</v>
      </c>
      <c r="Z219" s="228">
        <f t="shared" si="225"/>
        <v>151</v>
      </c>
      <c r="AA219" s="228">
        <f t="shared" si="225"/>
        <v>68</v>
      </c>
      <c r="AB219" s="228">
        <f t="shared" si="225"/>
        <v>392</v>
      </c>
      <c r="AC219" s="228">
        <f t="shared" si="225"/>
        <v>12</v>
      </c>
      <c r="AD219" s="228">
        <f t="shared" si="225"/>
        <v>29</v>
      </c>
      <c r="AE219" s="228">
        <f t="shared" si="225"/>
        <v>22</v>
      </c>
      <c r="AF219" s="228">
        <f t="shared" si="225"/>
        <v>120</v>
      </c>
      <c r="AG219" s="228">
        <f t="shared" si="225"/>
        <v>98</v>
      </c>
      <c r="AH219" s="228">
        <f t="shared" si="225"/>
        <v>8</v>
      </c>
      <c r="AI219" s="228">
        <f t="shared" si="225"/>
        <v>11</v>
      </c>
      <c r="AJ219" s="228">
        <f t="shared" si="225"/>
        <v>73</v>
      </c>
      <c r="AK219" s="228">
        <f t="shared" si="225"/>
        <v>11</v>
      </c>
      <c r="AL219" s="228">
        <f t="shared" si="225"/>
        <v>36</v>
      </c>
      <c r="AM219" s="228">
        <f t="shared" si="225"/>
        <v>40</v>
      </c>
      <c r="AN219" s="228">
        <f t="shared" si="225"/>
        <v>236</v>
      </c>
      <c r="AO219" s="228">
        <f t="shared" si="225"/>
        <v>11</v>
      </c>
      <c r="AP219" s="228">
        <f t="shared" si="225"/>
        <v>182</v>
      </c>
      <c r="AQ219" s="228">
        <f t="shared" si="225"/>
        <v>0</v>
      </c>
      <c r="AR219" s="228">
        <f t="shared" si="225"/>
        <v>3</v>
      </c>
      <c r="AS219" s="228">
        <f t="shared" si="225"/>
        <v>39</v>
      </c>
      <c r="AT219" s="228">
        <f t="shared" si="225"/>
        <v>44</v>
      </c>
      <c r="AU219" s="228">
        <f t="shared" si="225"/>
        <v>36</v>
      </c>
      <c r="AV219" s="228">
        <f t="shared" si="225"/>
        <v>29</v>
      </c>
      <c r="AW219" s="228">
        <f t="shared" si="225"/>
        <v>24</v>
      </c>
      <c r="AX219" s="228">
        <f t="shared" si="225"/>
        <v>72</v>
      </c>
      <c r="AY219" s="228">
        <f t="shared" si="225"/>
        <v>42</v>
      </c>
      <c r="AZ219" s="228">
        <f t="shared" si="225"/>
        <v>71</v>
      </c>
      <c r="BA219" s="228">
        <f t="shared" si="225"/>
        <v>46</v>
      </c>
      <c r="BB219" s="228">
        <f t="shared" si="225"/>
        <v>128</v>
      </c>
      <c r="BC219" s="228">
        <f t="shared" si="225"/>
        <v>189</v>
      </c>
      <c r="BD219" s="228">
        <f t="shared" si="225"/>
        <v>2</v>
      </c>
      <c r="BE219" s="228">
        <f t="shared" si="225"/>
        <v>17</v>
      </c>
      <c r="BF219" s="228">
        <f t="shared" si="225"/>
        <v>239</v>
      </c>
      <c r="BG219" s="228">
        <f t="shared" si="225"/>
        <v>65</v>
      </c>
      <c r="BH219" s="228">
        <f t="shared" si="225"/>
        <v>30</v>
      </c>
      <c r="BI219" s="228">
        <f t="shared" si="225"/>
        <v>42</v>
      </c>
      <c r="BJ219" s="228">
        <f t="shared" si="225"/>
        <v>119</v>
      </c>
      <c r="BK219" s="228">
        <f t="shared" si="225"/>
        <v>80</v>
      </c>
      <c r="BL219" s="228">
        <f t="shared" si="225"/>
        <v>12</v>
      </c>
      <c r="BM219" s="228">
        <f t="shared" si="225"/>
        <v>94</v>
      </c>
      <c r="BN219" s="228">
        <f t="shared" si="225"/>
        <v>55</v>
      </c>
      <c r="BO219" s="228">
        <f t="shared" si="225"/>
        <v>3</v>
      </c>
      <c r="BP219" s="228">
        <f t="shared" ref="BP219:DP219" si="226">BP95</f>
        <v>4</v>
      </c>
      <c r="BQ219" s="228">
        <f t="shared" si="226"/>
        <v>0</v>
      </c>
      <c r="BR219" s="228">
        <f t="shared" si="226"/>
        <v>10</v>
      </c>
      <c r="BS219" s="228">
        <f t="shared" si="226"/>
        <v>396</v>
      </c>
      <c r="BT219" s="228">
        <f t="shared" si="226"/>
        <v>343</v>
      </c>
      <c r="BU219" s="228">
        <f t="shared" si="226"/>
        <v>228</v>
      </c>
      <c r="BV219" s="228">
        <f t="shared" si="226"/>
        <v>276</v>
      </c>
      <c r="BW219" s="228">
        <f t="shared" si="226"/>
        <v>743</v>
      </c>
      <c r="BX219" s="228">
        <f t="shared" si="226"/>
        <v>400</v>
      </c>
      <c r="BY219" s="228">
        <f t="shared" si="226"/>
        <v>439</v>
      </c>
      <c r="BZ219" s="228">
        <f t="shared" si="226"/>
        <v>2170</v>
      </c>
      <c r="CA219" s="228">
        <f t="shared" si="226"/>
        <v>1241</v>
      </c>
      <c r="CB219" s="228">
        <f t="shared" si="226"/>
        <v>48</v>
      </c>
      <c r="CC219" s="228">
        <f t="shared" si="226"/>
        <v>91</v>
      </c>
      <c r="CD219" s="228">
        <f t="shared" si="226"/>
        <v>105</v>
      </c>
      <c r="CE219" s="228">
        <f t="shared" si="226"/>
        <v>114</v>
      </c>
      <c r="CF219" s="228">
        <f t="shared" si="226"/>
        <v>213</v>
      </c>
      <c r="CG219" s="228">
        <f t="shared" si="226"/>
        <v>117</v>
      </c>
      <c r="CH219" s="228">
        <f t="shared" si="226"/>
        <v>80</v>
      </c>
      <c r="CI219" s="228">
        <f t="shared" si="226"/>
        <v>86</v>
      </c>
      <c r="CJ219" s="228">
        <f t="shared" si="226"/>
        <v>5888</v>
      </c>
      <c r="CK219" s="228">
        <f t="shared" si="226"/>
        <v>785</v>
      </c>
      <c r="CL219" s="228">
        <f t="shared" si="226"/>
        <v>828</v>
      </c>
      <c r="CM219" s="228">
        <f t="shared" si="226"/>
        <v>568</v>
      </c>
      <c r="CN219" s="228">
        <f t="shared" si="226"/>
        <v>1040</v>
      </c>
      <c r="CO219" s="228">
        <f t="shared" si="226"/>
        <v>1434</v>
      </c>
      <c r="CP219" s="228">
        <f t="shared" si="226"/>
        <v>5584</v>
      </c>
      <c r="CQ219" s="228">
        <f t="shared" si="226"/>
        <v>495</v>
      </c>
      <c r="CR219" s="228">
        <f t="shared" si="226"/>
        <v>855</v>
      </c>
      <c r="CS219" s="228">
        <f t="shared" si="226"/>
        <v>87</v>
      </c>
      <c r="CT219" s="228">
        <f t="shared" si="226"/>
        <v>887</v>
      </c>
      <c r="CU219" s="228">
        <f t="shared" si="226"/>
        <v>128</v>
      </c>
      <c r="CV219" s="228">
        <f t="shared" si="226"/>
        <v>50</v>
      </c>
      <c r="CW219" s="228">
        <f t="shared" si="226"/>
        <v>1628</v>
      </c>
      <c r="CX219" s="228">
        <f t="shared" si="226"/>
        <v>120</v>
      </c>
      <c r="CY219" s="228">
        <f t="shared" si="226"/>
        <v>471</v>
      </c>
      <c r="CZ219" s="228">
        <f t="shared" si="226"/>
        <v>44</v>
      </c>
      <c r="DA219" s="228">
        <f t="shared" si="226"/>
        <v>314</v>
      </c>
      <c r="DB219" s="228">
        <f t="shared" si="226"/>
        <v>76</v>
      </c>
      <c r="DC219" s="228">
        <f t="shared" si="226"/>
        <v>55</v>
      </c>
      <c r="DD219" s="228">
        <f t="shared" si="226"/>
        <v>68</v>
      </c>
      <c r="DE219" s="228">
        <f t="shared" si="226"/>
        <v>51</v>
      </c>
      <c r="DF219" s="228">
        <f t="shared" si="226"/>
        <v>0</v>
      </c>
      <c r="DG219" s="228">
        <f t="shared" si="226"/>
        <v>42</v>
      </c>
      <c r="DH219" s="228">
        <f t="shared" si="226"/>
        <v>99</v>
      </c>
      <c r="DI219" s="228">
        <f t="shared" si="226"/>
        <v>75</v>
      </c>
      <c r="DJ219" s="228">
        <f t="shared" si="226"/>
        <v>76</v>
      </c>
      <c r="DK219" s="228">
        <f t="shared" si="226"/>
        <v>10</v>
      </c>
      <c r="DL219" s="228">
        <f t="shared" si="226"/>
        <v>74</v>
      </c>
      <c r="DM219" s="228">
        <f t="shared" si="226"/>
        <v>26</v>
      </c>
      <c r="DN219" s="228">
        <f t="shared" si="226"/>
        <v>1309</v>
      </c>
      <c r="DO219" s="228">
        <f t="shared" si="226"/>
        <v>178</v>
      </c>
      <c r="DP219" s="232">
        <f t="shared" si="226"/>
        <v>36408</v>
      </c>
      <c r="DQ219" s="228">
        <f t="shared" si="161"/>
        <v>7</v>
      </c>
      <c r="DR219" s="228">
        <f t="shared" si="162"/>
        <v>1092</v>
      </c>
      <c r="DS219" s="230">
        <f>SUM(X219:Y219)+(1-TRP!$AK$253)*AC219</f>
        <v>230.4</v>
      </c>
      <c r="DT219" s="228">
        <f t="shared" si="163"/>
        <v>39</v>
      </c>
      <c r="DU219" s="228">
        <f t="shared" si="164"/>
        <v>44</v>
      </c>
      <c r="DV219" s="228">
        <f t="shared" si="165"/>
        <v>113</v>
      </c>
      <c r="DW219" s="228">
        <f t="shared" si="166"/>
        <v>46</v>
      </c>
      <c r="DX219" s="228">
        <f t="shared" si="167"/>
        <v>128</v>
      </c>
      <c r="DY219" s="228">
        <f t="shared" si="168"/>
        <v>239</v>
      </c>
      <c r="DZ219" s="228">
        <f t="shared" si="169"/>
        <v>65</v>
      </c>
      <c r="EA219" s="228">
        <f t="shared" si="170"/>
        <v>30</v>
      </c>
      <c r="EB219" s="230">
        <f>TRP!$AK$253*$AC219+SUM(M219:W219,Z219:AB219,AD219:AR219,AU219:AX219,BC219:BE219,BI219:BN219,BQ219:BR219,BV219)</f>
        <v>4208.6000000000004</v>
      </c>
      <c r="EC219" s="228">
        <f t="shared" si="171"/>
        <v>1143</v>
      </c>
      <c r="ED219" s="230">
        <f>CB219+$CI219*TRP!$AV$248</f>
        <v>50.666365521631114</v>
      </c>
      <c r="EE219" s="228">
        <f t="shared" si="172"/>
        <v>91</v>
      </c>
      <c r="EF219" s="230">
        <f>CD219+$CI219*TRP!$AV$249</f>
        <v>164.61483745501158</v>
      </c>
      <c r="EG219" s="230">
        <f>CE219+$CI219*TRP!$AV$250</f>
        <v>131.3886384235644</v>
      </c>
      <c r="EH219" s="230">
        <f>CF219+$CI219*TRP!$AV$251</f>
        <v>219.33015859979292</v>
      </c>
      <c r="EI219" s="228">
        <f t="shared" si="173"/>
        <v>25660</v>
      </c>
      <c r="EJ219" s="228">
        <f t="shared" si="174"/>
        <v>1732</v>
      </c>
      <c r="EK219" s="228">
        <f t="shared" si="175"/>
        <v>3</v>
      </c>
      <c r="EL219" s="230">
        <f>BS219+$BP219*TRP!$AN$246</f>
        <v>398.9561315178845</v>
      </c>
      <c r="EM219" s="228">
        <f t="shared" si="176"/>
        <v>343</v>
      </c>
      <c r="EN219" s="230">
        <f>BU219+$BP219*TRP!$AN$247</f>
        <v>229.0438684821155</v>
      </c>
    </row>
    <row r="220" spans="1:144" s="228" customFormat="1" ht="10.5" x14ac:dyDescent="0.25">
      <c r="A220" s="228" t="str">
        <f>TRP!C218</f>
        <v xml:space="preserve">GN22 </v>
      </c>
      <c r="B220" s="228" t="str">
        <f>TRP!B218</f>
        <v>SERVICES PROFESSIONNELS</v>
      </c>
      <c r="C220" s="233">
        <f>TRP!A218</f>
        <v>19</v>
      </c>
      <c r="D220" s="228">
        <f t="shared" ref="D220:BO220" si="227">D96</f>
        <v>1361</v>
      </c>
      <c r="E220" s="228">
        <f t="shared" si="227"/>
        <v>12</v>
      </c>
      <c r="F220" s="228">
        <f t="shared" si="227"/>
        <v>8</v>
      </c>
      <c r="G220" s="228">
        <f t="shared" si="227"/>
        <v>141</v>
      </c>
      <c r="H220" s="228">
        <f t="shared" si="227"/>
        <v>133</v>
      </c>
      <c r="I220" s="228">
        <f t="shared" si="227"/>
        <v>86</v>
      </c>
      <c r="J220" s="228">
        <f t="shared" si="227"/>
        <v>122</v>
      </c>
      <c r="K220" s="228">
        <f t="shared" si="227"/>
        <v>418</v>
      </c>
      <c r="L220" s="228">
        <f t="shared" si="227"/>
        <v>1</v>
      </c>
      <c r="M220" s="228">
        <f t="shared" si="227"/>
        <v>188</v>
      </c>
      <c r="N220" s="228">
        <f t="shared" si="227"/>
        <v>32</v>
      </c>
      <c r="O220" s="228">
        <f t="shared" si="227"/>
        <v>858</v>
      </c>
      <c r="P220" s="228">
        <f t="shared" si="227"/>
        <v>489</v>
      </c>
      <c r="Q220" s="228">
        <f t="shared" si="227"/>
        <v>306</v>
      </c>
      <c r="R220" s="228">
        <f t="shared" si="227"/>
        <v>116</v>
      </c>
      <c r="S220" s="228">
        <f t="shared" si="227"/>
        <v>40</v>
      </c>
      <c r="T220" s="228">
        <f t="shared" si="227"/>
        <v>86</v>
      </c>
      <c r="U220" s="228">
        <f t="shared" si="227"/>
        <v>36</v>
      </c>
      <c r="V220" s="228">
        <f t="shared" si="227"/>
        <v>12</v>
      </c>
      <c r="W220" s="228">
        <f t="shared" si="227"/>
        <v>24</v>
      </c>
      <c r="X220" s="228">
        <f t="shared" si="227"/>
        <v>354</v>
      </c>
      <c r="Y220" s="228">
        <f t="shared" si="227"/>
        <v>117</v>
      </c>
      <c r="Z220" s="228">
        <f t="shared" si="227"/>
        <v>38</v>
      </c>
      <c r="AA220" s="228">
        <f t="shared" si="227"/>
        <v>121</v>
      </c>
      <c r="AB220" s="228">
        <f t="shared" si="227"/>
        <v>409</v>
      </c>
      <c r="AC220" s="228">
        <f t="shared" si="227"/>
        <v>32</v>
      </c>
      <c r="AD220" s="228">
        <f t="shared" si="227"/>
        <v>54</v>
      </c>
      <c r="AE220" s="228">
        <f t="shared" si="227"/>
        <v>89</v>
      </c>
      <c r="AF220" s="228">
        <f t="shared" si="227"/>
        <v>253</v>
      </c>
      <c r="AG220" s="228">
        <f t="shared" si="227"/>
        <v>511</v>
      </c>
      <c r="AH220" s="228">
        <f t="shared" si="227"/>
        <v>91</v>
      </c>
      <c r="AI220" s="228">
        <f t="shared" si="227"/>
        <v>18</v>
      </c>
      <c r="AJ220" s="228">
        <f t="shared" si="227"/>
        <v>266</v>
      </c>
      <c r="AK220" s="228">
        <f t="shared" si="227"/>
        <v>16</v>
      </c>
      <c r="AL220" s="228">
        <f t="shared" si="227"/>
        <v>12</v>
      </c>
      <c r="AM220" s="228">
        <f t="shared" si="227"/>
        <v>47</v>
      </c>
      <c r="AN220" s="228">
        <f t="shared" si="227"/>
        <v>112</v>
      </c>
      <c r="AO220" s="228">
        <f t="shared" si="227"/>
        <v>97</v>
      </c>
      <c r="AP220" s="228">
        <f t="shared" si="227"/>
        <v>145</v>
      </c>
      <c r="AQ220" s="228">
        <f t="shared" si="227"/>
        <v>0</v>
      </c>
      <c r="AR220" s="228">
        <f t="shared" si="227"/>
        <v>37</v>
      </c>
      <c r="AS220" s="228">
        <f t="shared" si="227"/>
        <v>72</v>
      </c>
      <c r="AT220" s="228">
        <f t="shared" si="227"/>
        <v>275</v>
      </c>
      <c r="AU220" s="228">
        <f t="shared" si="227"/>
        <v>83</v>
      </c>
      <c r="AV220" s="228">
        <f t="shared" si="227"/>
        <v>100</v>
      </c>
      <c r="AW220" s="228">
        <f t="shared" si="227"/>
        <v>27</v>
      </c>
      <c r="AX220" s="228">
        <f t="shared" si="227"/>
        <v>144</v>
      </c>
      <c r="AY220" s="228">
        <f t="shared" si="227"/>
        <v>158</v>
      </c>
      <c r="AZ220" s="228">
        <f t="shared" si="227"/>
        <v>169</v>
      </c>
      <c r="BA220" s="228">
        <f t="shared" si="227"/>
        <v>37</v>
      </c>
      <c r="BB220" s="228">
        <f t="shared" si="227"/>
        <v>163</v>
      </c>
      <c r="BC220" s="228">
        <f t="shared" si="227"/>
        <v>138</v>
      </c>
      <c r="BD220" s="228">
        <f t="shared" si="227"/>
        <v>5</v>
      </c>
      <c r="BE220" s="228">
        <f t="shared" si="227"/>
        <v>95</v>
      </c>
      <c r="BF220" s="228">
        <f t="shared" si="227"/>
        <v>415</v>
      </c>
      <c r="BG220" s="228">
        <f t="shared" si="227"/>
        <v>325</v>
      </c>
      <c r="BH220" s="228">
        <f t="shared" si="227"/>
        <v>146</v>
      </c>
      <c r="BI220" s="228">
        <f t="shared" si="227"/>
        <v>87</v>
      </c>
      <c r="BJ220" s="228">
        <f t="shared" si="227"/>
        <v>316</v>
      </c>
      <c r="BK220" s="228">
        <f t="shared" si="227"/>
        <v>154</v>
      </c>
      <c r="BL220" s="228">
        <f t="shared" si="227"/>
        <v>42</v>
      </c>
      <c r="BM220" s="228">
        <f t="shared" si="227"/>
        <v>112</v>
      </c>
      <c r="BN220" s="228">
        <f t="shared" si="227"/>
        <v>65</v>
      </c>
      <c r="BO220" s="228">
        <f t="shared" si="227"/>
        <v>0</v>
      </c>
      <c r="BP220" s="228">
        <f t="shared" ref="BP220:DP220" si="228">BP96</f>
        <v>9</v>
      </c>
      <c r="BQ220" s="228">
        <f t="shared" si="228"/>
        <v>0</v>
      </c>
      <c r="BR220" s="228">
        <f t="shared" si="228"/>
        <v>12</v>
      </c>
      <c r="BS220" s="228">
        <f t="shared" si="228"/>
        <v>377</v>
      </c>
      <c r="BT220" s="228">
        <f t="shared" si="228"/>
        <v>383</v>
      </c>
      <c r="BU220" s="228">
        <f t="shared" si="228"/>
        <v>109</v>
      </c>
      <c r="BV220" s="228">
        <f t="shared" si="228"/>
        <v>215</v>
      </c>
      <c r="BW220" s="228">
        <f t="shared" si="228"/>
        <v>1799</v>
      </c>
      <c r="BX220" s="228">
        <f t="shared" si="228"/>
        <v>452</v>
      </c>
      <c r="BY220" s="228">
        <f t="shared" si="228"/>
        <v>493</v>
      </c>
      <c r="BZ220" s="228">
        <f t="shared" si="228"/>
        <v>2976</v>
      </c>
      <c r="CA220" s="228">
        <f t="shared" si="228"/>
        <v>1647</v>
      </c>
      <c r="CB220" s="228">
        <f t="shared" si="228"/>
        <v>5</v>
      </c>
      <c r="CC220" s="228">
        <f t="shared" si="228"/>
        <v>116</v>
      </c>
      <c r="CD220" s="228">
        <f t="shared" si="228"/>
        <v>333</v>
      </c>
      <c r="CE220" s="228">
        <f t="shared" si="228"/>
        <v>130</v>
      </c>
      <c r="CF220" s="228">
        <f t="shared" si="228"/>
        <v>188</v>
      </c>
      <c r="CG220" s="228">
        <f t="shared" si="228"/>
        <v>205</v>
      </c>
      <c r="CH220" s="228">
        <f t="shared" si="228"/>
        <v>154</v>
      </c>
      <c r="CI220" s="228">
        <f t="shared" si="228"/>
        <v>254</v>
      </c>
      <c r="CJ220" s="228">
        <f t="shared" si="228"/>
        <v>2268</v>
      </c>
      <c r="CK220" s="228">
        <f t="shared" si="228"/>
        <v>1690</v>
      </c>
      <c r="CL220" s="228">
        <f t="shared" si="228"/>
        <v>1438</v>
      </c>
      <c r="CM220" s="228">
        <f t="shared" si="228"/>
        <v>594</v>
      </c>
      <c r="CN220" s="228">
        <f t="shared" si="228"/>
        <v>1848</v>
      </c>
      <c r="CO220" s="228">
        <f t="shared" si="228"/>
        <v>768</v>
      </c>
      <c r="CP220" s="228">
        <f t="shared" si="228"/>
        <v>826</v>
      </c>
      <c r="CQ220" s="228">
        <f t="shared" si="228"/>
        <v>5746</v>
      </c>
      <c r="CR220" s="228">
        <f t="shared" si="228"/>
        <v>1117</v>
      </c>
      <c r="CS220" s="228">
        <f t="shared" si="228"/>
        <v>96</v>
      </c>
      <c r="CT220" s="228">
        <f t="shared" si="228"/>
        <v>1111</v>
      </c>
      <c r="CU220" s="228">
        <f t="shared" si="228"/>
        <v>339</v>
      </c>
      <c r="CV220" s="228">
        <f t="shared" si="228"/>
        <v>104</v>
      </c>
      <c r="CW220" s="228">
        <f t="shared" si="228"/>
        <v>2243</v>
      </c>
      <c r="CX220" s="228">
        <f t="shared" si="228"/>
        <v>103</v>
      </c>
      <c r="CY220" s="228">
        <f t="shared" si="228"/>
        <v>397</v>
      </c>
      <c r="CZ220" s="228">
        <f t="shared" si="228"/>
        <v>88</v>
      </c>
      <c r="DA220" s="228">
        <f t="shared" si="228"/>
        <v>1299</v>
      </c>
      <c r="DB220" s="228">
        <f t="shared" si="228"/>
        <v>361</v>
      </c>
      <c r="DC220" s="228">
        <f t="shared" si="228"/>
        <v>474</v>
      </c>
      <c r="DD220" s="228">
        <f t="shared" si="228"/>
        <v>282</v>
      </c>
      <c r="DE220" s="228">
        <f t="shared" si="228"/>
        <v>129</v>
      </c>
      <c r="DF220" s="228">
        <f t="shared" si="228"/>
        <v>0</v>
      </c>
      <c r="DG220" s="228">
        <f t="shared" si="228"/>
        <v>175</v>
      </c>
      <c r="DH220" s="228">
        <f t="shared" si="228"/>
        <v>501</v>
      </c>
      <c r="DI220" s="228">
        <f t="shared" si="228"/>
        <v>279</v>
      </c>
      <c r="DJ220" s="228">
        <f t="shared" si="228"/>
        <v>131</v>
      </c>
      <c r="DK220" s="228">
        <f t="shared" si="228"/>
        <v>9</v>
      </c>
      <c r="DL220" s="228">
        <f t="shared" si="228"/>
        <v>872</v>
      </c>
      <c r="DM220" s="228">
        <f t="shared" si="228"/>
        <v>784</v>
      </c>
      <c r="DN220" s="228">
        <f t="shared" si="228"/>
        <v>3515</v>
      </c>
      <c r="DO220" s="228">
        <f t="shared" si="228"/>
        <v>475</v>
      </c>
      <c r="DP220" s="232">
        <f t="shared" si="228"/>
        <v>50335</v>
      </c>
      <c r="DQ220" s="228">
        <f t="shared" si="161"/>
        <v>1381</v>
      </c>
      <c r="DR220" s="228">
        <f t="shared" si="162"/>
        <v>901</v>
      </c>
      <c r="DS220" s="230">
        <f>SUM(X220:Y220)+(1-TRP!$AK$253)*AC220</f>
        <v>493.4</v>
      </c>
      <c r="DT220" s="228">
        <f t="shared" si="163"/>
        <v>72</v>
      </c>
      <c r="DU220" s="228">
        <f t="shared" si="164"/>
        <v>275</v>
      </c>
      <c r="DV220" s="228">
        <f t="shared" si="165"/>
        <v>327</v>
      </c>
      <c r="DW220" s="228">
        <f t="shared" si="166"/>
        <v>37</v>
      </c>
      <c r="DX220" s="228">
        <f t="shared" si="167"/>
        <v>163</v>
      </c>
      <c r="DY220" s="228">
        <f t="shared" si="168"/>
        <v>415</v>
      </c>
      <c r="DZ220" s="228">
        <f t="shared" si="169"/>
        <v>325</v>
      </c>
      <c r="EA220" s="228">
        <f t="shared" si="170"/>
        <v>146</v>
      </c>
      <c r="EB220" s="230">
        <f>TRP!$AK$253*$AC220+SUM(M220:W220,Z220:AB220,AD220:AR220,AU220:AX220,BC220:BE220,BI220:BN220,BQ220:BR220,BV220)</f>
        <v>6107.6</v>
      </c>
      <c r="EC220" s="228">
        <f t="shared" si="171"/>
        <v>2251</v>
      </c>
      <c r="ED220" s="230">
        <f>CB220+$CI220*TRP!$AV$248</f>
        <v>12.875079563887235</v>
      </c>
      <c r="EE220" s="228">
        <f t="shared" si="172"/>
        <v>116</v>
      </c>
      <c r="EF220" s="230">
        <f>CD220+$CI220*TRP!$AV$249</f>
        <v>509.0717292275923</v>
      </c>
      <c r="EG220" s="230">
        <f>CE220+$CI220*TRP!$AV$250</f>
        <v>181.35714139052743</v>
      </c>
      <c r="EH220" s="230">
        <f>CF220+$CI220*TRP!$AV$251</f>
        <v>206.69604981799301</v>
      </c>
      <c r="EI220" s="228">
        <f t="shared" si="173"/>
        <v>30043</v>
      </c>
      <c r="EJ220" s="228">
        <f t="shared" si="174"/>
        <v>5494</v>
      </c>
      <c r="EK220" s="228">
        <f t="shared" si="175"/>
        <v>0</v>
      </c>
      <c r="EL220" s="230">
        <f>BS220+$BP220*TRP!$AN$246</f>
        <v>383.65129591524015</v>
      </c>
      <c r="EM220" s="228">
        <f t="shared" si="176"/>
        <v>383</v>
      </c>
      <c r="EN220" s="230">
        <f>BU220+$BP220*TRP!$AN$247</f>
        <v>111.34870408475986</v>
      </c>
    </row>
    <row r="221" spans="1:144" s="228" customFormat="1" ht="10.5" x14ac:dyDescent="0.25">
      <c r="A221" s="228" t="str">
        <f>TRP!C219</f>
        <v xml:space="preserve">GN23 </v>
      </c>
      <c r="B221" s="228" t="str">
        <f>TRP!B219</f>
        <v>ADMINISTRATION D ENTREPRISES</v>
      </c>
      <c r="C221" s="233">
        <f>TRP!A219</f>
        <v>19</v>
      </c>
      <c r="D221" s="228">
        <f t="shared" ref="D221:BO221" si="229">D97</f>
        <v>0</v>
      </c>
      <c r="E221" s="228">
        <f t="shared" si="229"/>
        <v>15</v>
      </c>
      <c r="F221" s="228">
        <f t="shared" si="229"/>
        <v>1</v>
      </c>
      <c r="G221" s="228">
        <f t="shared" si="229"/>
        <v>95</v>
      </c>
      <c r="H221" s="228">
        <f t="shared" si="229"/>
        <v>100</v>
      </c>
      <c r="I221" s="228">
        <f t="shared" si="229"/>
        <v>135</v>
      </c>
      <c r="J221" s="228">
        <f t="shared" si="229"/>
        <v>106</v>
      </c>
      <c r="K221" s="228">
        <f t="shared" si="229"/>
        <v>168</v>
      </c>
      <c r="L221" s="228">
        <f t="shared" si="229"/>
        <v>1</v>
      </c>
      <c r="M221" s="228">
        <f t="shared" si="229"/>
        <v>95</v>
      </c>
      <c r="N221" s="228">
        <f t="shared" si="229"/>
        <v>26</v>
      </c>
      <c r="O221" s="228">
        <f t="shared" si="229"/>
        <v>648</v>
      </c>
      <c r="P221" s="228">
        <f t="shared" si="229"/>
        <v>567</v>
      </c>
      <c r="Q221" s="228">
        <f t="shared" si="229"/>
        <v>326</v>
      </c>
      <c r="R221" s="228">
        <f t="shared" si="229"/>
        <v>150</v>
      </c>
      <c r="S221" s="228">
        <f t="shared" si="229"/>
        <v>23</v>
      </c>
      <c r="T221" s="228">
        <f t="shared" si="229"/>
        <v>50</v>
      </c>
      <c r="U221" s="228">
        <f t="shared" si="229"/>
        <v>33</v>
      </c>
      <c r="V221" s="228">
        <f t="shared" si="229"/>
        <v>10</v>
      </c>
      <c r="W221" s="228">
        <f t="shared" si="229"/>
        <v>16</v>
      </c>
      <c r="X221" s="228">
        <f t="shared" si="229"/>
        <v>244</v>
      </c>
      <c r="Y221" s="228">
        <f t="shared" si="229"/>
        <v>130</v>
      </c>
      <c r="Z221" s="228">
        <f t="shared" si="229"/>
        <v>25</v>
      </c>
      <c r="AA221" s="228">
        <f t="shared" si="229"/>
        <v>79</v>
      </c>
      <c r="AB221" s="228">
        <f t="shared" si="229"/>
        <v>331</v>
      </c>
      <c r="AC221" s="228">
        <f t="shared" si="229"/>
        <v>9</v>
      </c>
      <c r="AD221" s="228">
        <f t="shared" si="229"/>
        <v>53</v>
      </c>
      <c r="AE221" s="228">
        <f t="shared" si="229"/>
        <v>58</v>
      </c>
      <c r="AF221" s="228">
        <f t="shared" si="229"/>
        <v>189</v>
      </c>
      <c r="AG221" s="228">
        <f t="shared" si="229"/>
        <v>269</v>
      </c>
      <c r="AH221" s="228">
        <f t="shared" si="229"/>
        <v>55</v>
      </c>
      <c r="AI221" s="228">
        <f t="shared" si="229"/>
        <v>12</v>
      </c>
      <c r="AJ221" s="228">
        <f t="shared" si="229"/>
        <v>168</v>
      </c>
      <c r="AK221" s="228">
        <f t="shared" si="229"/>
        <v>17</v>
      </c>
      <c r="AL221" s="228">
        <f t="shared" si="229"/>
        <v>19</v>
      </c>
      <c r="AM221" s="228">
        <f t="shared" si="229"/>
        <v>38</v>
      </c>
      <c r="AN221" s="228">
        <f t="shared" si="229"/>
        <v>120</v>
      </c>
      <c r="AO221" s="228">
        <f t="shared" si="229"/>
        <v>87</v>
      </c>
      <c r="AP221" s="228">
        <f t="shared" si="229"/>
        <v>121</v>
      </c>
      <c r="AQ221" s="228">
        <f t="shared" si="229"/>
        <v>0</v>
      </c>
      <c r="AR221" s="228">
        <f t="shared" si="229"/>
        <v>6</v>
      </c>
      <c r="AS221" s="228">
        <f t="shared" si="229"/>
        <v>75</v>
      </c>
      <c r="AT221" s="228">
        <f t="shared" si="229"/>
        <v>189</v>
      </c>
      <c r="AU221" s="228">
        <f t="shared" si="229"/>
        <v>74</v>
      </c>
      <c r="AV221" s="228">
        <f t="shared" si="229"/>
        <v>90</v>
      </c>
      <c r="AW221" s="228">
        <f t="shared" si="229"/>
        <v>23</v>
      </c>
      <c r="AX221" s="228">
        <f t="shared" si="229"/>
        <v>89</v>
      </c>
      <c r="AY221" s="228">
        <f t="shared" si="229"/>
        <v>130</v>
      </c>
      <c r="AZ221" s="228">
        <f t="shared" si="229"/>
        <v>139</v>
      </c>
      <c r="BA221" s="228">
        <f t="shared" si="229"/>
        <v>38</v>
      </c>
      <c r="BB221" s="228">
        <f t="shared" si="229"/>
        <v>121</v>
      </c>
      <c r="BC221" s="228">
        <f t="shared" si="229"/>
        <v>81</v>
      </c>
      <c r="BD221" s="228">
        <f t="shared" si="229"/>
        <v>1</v>
      </c>
      <c r="BE221" s="228">
        <f t="shared" si="229"/>
        <v>87</v>
      </c>
      <c r="BF221" s="228">
        <f t="shared" si="229"/>
        <v>478</v>
      </c>
      <c r="BG221" s="228">
        <f t="shared" si="229"/>
        <v>290</v>
      </c>
      <c r="BH221" s="228">
        <f t="shared" si="229"/>
        <v>142</v>
      </c>
      <c r="BI221" s="228">
        <f t="shared" si="229"/>
        <v>151</v>
      </c>
      <c r="BJ221" s="228">
        <f t="shared" si="229"/>
        <v>255</v>
      </c>
      <c r="BK221" s="228">
        <f t="shared" si="229"/>
        <v>144</v>
      </c>
      <c r="BL221" s="228">
        <f t="shared" si="229"/>
        <v>52</v>
      </c>
      <c r="BM221" s="228">
        <f t="shared" si="229"/>
        <v>96</v>
      </c>
      <c r="BN221" s="228">
        <f t="shared" si="229"/>
        <v>63</v>
      </c>
      <c r="BO221" s="228">
        <f t="shared" si="229"/>
        <v>0</v>
      </c>
      <c r="BP221" s="228">
        <f t="shared" ref="BP221:DP221" si="230">BP97</f>
        <v>9</v>
      </c>
      <c r="BQ221" s="228">
        <f t="shared" si="230"/>
        <v>0</v>
      </c>
      <c r="BR221" s="228">
        <f t="shared" si="230"/>
        <v>36</v>
      </c>
      <c r="BS221" s="228">
        <f t="shared" si="230"/>
        <v>501</v>
      </c>
      <c r="BT221" s="228">
        <f t="shared" si="230"/>
        <v>348</v>
      </c>
      <c r="BU221" s="228">
        <f t="shared" si="230"/>
        <v>48</v>
      </c>
      <c r="BV221" s="228">
        <f t="shared" si="230"/>
        <v>245</v>
      </c>
      <c r="BW221" s="228">
        <f t="shared" si="230"/>
        <v>1951</v>
      </c>
      <c r="BX221" s="228">
        <f t="shared" si="230"/>
        <v>571</v>
      </c>
      <c r="BY221" s="228">
        <f t="shared" si="230"/>
        <v>526</v>
      </c>
      <c r="BZ221" s="228">
        <f t="shared" si="230"/>
        <v>5873</v>
      </c>
      <c r="CA221" s="228">
        <f t="shared" si="230"/>
        <v>1643</v>
      </c>
      <c r="CB221" s="228">
        <f t="shared" si="230"/>
        <v>11</v>
      </c>
      <c r="CC221" s="228">
        <f t="shared" si="230"/>
        <v>141</v>
      </c>
      <c r="CD221" s="228">
        <f t="shared" si="230"/>
        <v>358</v>
      </c>
      <c r="CE221" s="228">
        <f t="shared" si="230"/>
        <v>252</v>
      </c>
      <c r="CF221" s="228">
        <f t="shared" si="230"/>
        <v>217</v>
      </c>
      <c r="CG221" s="228">
        <f t="shared" si="230"/>
        <v>198</v>
      </c>
      <c r="CH221" s="228">
        <f t="shared" si="230"/>
        <v>145</v>
      </c>
      <c r="CI221" s="228">
        <f t="shared" si="230"/>
        <v>189</v>
      </c>
      <c r="CJ221" s="228">
        <f t="shared" si="230"/>
        <v>0</v>
      </c>
      <c r="CK221" s="228">
        <f t="shared" si="230"/>
        <v>0</v>
      </c>
      <c r="CL221" s="228">
        <f t="shared" si="230"/>
        <v>0</v>
      </c>
      <c r="CM221" s="228">
        <f t="shared" si="230"/>
        <v>0</v>
      </c>
      <c r="CN221" s="228">
        <f t="shared" si="230"/>
        <v>1328</v>
      </c>
      <c r="CO221" s="228">
        <f t="shared" si="230"/>
        <v>772</v>
      </c>
      <c r="CP221" s="228">
        <f t="shared" si="230"/>
        <v>1183</v>
      </c>
      <c r="CQ221" s="228">
        <f t="shared" si="230"/>
        <v>1092</v>
      </c>
      <c r="CR221" s="228">
        <f t="shared" si="230"/>
        <v>9396</v>
      </c>
      <c r="CS221" s="228">
        <f t="shared" si="230"/>
        <v>90</v>
      </c>
      <c r="CT221" s="228">
        <f t="shared" si="230"/>
        <v>976</v>
      </c>
      <c r="CU221" s="228">
        <f t="shared" si="230"/>
        <v>280</v>
      </c>
      <c r="CV221" s="228">
        <f t="shared" si="230"/>
        <v>118</v>
      </c>
      <c r="CW221" s="228">
        <f t="shared" si="230"/>
        <v>1879</v>
      </c>
      <c r="CX221" s="228">
        <f t="shared" si="230"/>
        <v>152</v>
      </c>
      <c r="CY221" s="228">
        <f t="shared" si="230"/>
        <v>235</v>
      </c>
      <c r="CZ221" s="228">
        <f t="shared" si="230"/>
        <v>0</v>
      </c>
      <c r="DA221" s="228">
        <f t="shared" si="230"/>
        <v>837</v>
      </c>
      <c r="DB221" s="228">
        <f t="shared" si="230"/>
        <v>294</v>
      </c>
      <c r="DC221" s="228">
        <f t="shared" si="230"/>
        <v>130</v>
      </c>
      <c r="DD221" s="228">
        <f t="shared" si="230"/>
        <v>0</v>
      </c>
      <c r="DE221" s="228">
        <f t="shared" si="230"/>
        <v>253</v>
      </c>
      <c r="DF221" s="228">
        <f t="shared" si="230"/>
        <v>0</v>
      </c>
      <c r="DG221" s="228">
        <f t="shared" si="230"/>
        <v>245</v>
      </c>
      <c r="DH221" s="228">
        <f t="shared" si="230"/>
        <v>0</v>
      </c>
      <c r="DI221" s="228">
        <f t="shared" si="230"/>
        <v>239</v>
      </c>
      <c r="DJ221" s="228">
        <f t="shared" si="230"/>
        <v>0</v>
      </c>
      <c r="DK221" s="228">
        <f t="shared" si="230"/>
        <v>11</v>
      </c>
      <c r="DL221" s="228">
        <f t="shared" si="230"/>
        <v>326</v>
      </c>
      <c r="DM221" s="228">
        <f t="shared" si="230"/>
        <v>0</v>
      </c>
      <c r="DN221" s="228">
        <f t="shared" si="230"/>
        <v>0</v>
      </c>
      <c r="DO221" s="228">
        <f t="shared" si="230"/>
        <v>0</v>
      </c>
      <c r="DP221" s="232">
        <f t="shared" si="230"/>
        <v>40501</v>
      </c>
      <c r="DQ221" s="228">
        <f t="shared" si="161"/>
        <v>16</v>
      </c>
      <c r="DR221" s="228">
        <f t="shared" si="162"/>
        <v>605</v>
      </c>
      <c r="DS221" s="230">
        <f>SUM(X221:Y221)+(1-TRP!$AK$253)*AC221</f>
        <v>380.3</v>
      </c>
      <c r="DT221" s="228">
        <f t="shared" si="163"/>
        <v>75</v>
      </c>
      <c r="DU221" s="228">
        <f t="shared" si="164"/>
        <v>189</v>
      </c>
      <c r="DV221" s="228">
        <f t="shared" si="165"/>
        <v>269</v>
      </c>
      <c r="DW221" s="228">
        <f t="shared" si="166"/>
        <v>38</v>
      </c>
      <c r="DX221" s="228">
        <f t="shared" si="167"/>
        <v>121</v>
      </c>
      <c r="DY221" s="228">
        <f t="shared" si="168"/>
        <v>478</v>
      </c>
      <c r="DZ221" s="228">
        <f t="shared" si="169"/>
        <v>290</v>
      </c>
      <c r="EA221" s="228">
        <f t="shared" si="170"/>
        <v>142</v>
      </c>
      <c r="EB221" s="230">
        <f>TRP!$AK$253*$AC221+SUM(M221:W221,Z221:AB221,AD221:AR221,AU221:AX221,BC221:BE221,BI221:BN221,BQ221:BR221,BV221)</f>
        <v>5080.7</v>
      </c>
      <c r="EC221" s="228">
        <f t="shared" si="171"/>
        <v>2522</v>
      </c>
      <c r="ED221" s="230">
        <f>CB221+$CI221*TRP!$AV$248</f>
        <v>16.859803297538139</v>
      </c>
      <c r="EE221" s="228">
        <f t="shared" si="172"/>
        <v>141</v>
      </c>
      <c r="EF221" s="230">
        <f>CD221+$CI221*TRP!$AV$249</f>
        <v>489.01400324415334</v>
      </c>
      <c r="EG221" s="230">
        <f>CE221+$CI221*TRP!$AV$250</f>
        <v>290.21456583783339</v>
      </c>
      <c r="EH221" s="230">
        <f>CF221+$CI221*TRP!$AV$251</f>
        <v>230.91162762047512</v>
      </c>
      <c r="EI221" s="228">
        <f t="shared" si="173"/>
        <v>28221</v>
      </c>
      <c r="EJ221" s="228">
        <f t="shared" si="174"/>
        <v>0</v>
      </c>
      <c r="EK221" s="228">
        <f t="shared" si="175"/>
        <v>0</v>
      </c>
      <c r="EL221" s="230">
        <f>BS221+$BP221*TRP!$AN$246</f>
        <v>507.65129591524015</v>
      </c>
      <c r="EM221" s="228">
        <f t="shared" si="176"/>
        <v>348</v>
      </c>
      <c r="EN221" s="230">
        <f>BU221+$BP221*TRP!$AN$247</f>
        <v>50.348704084759859</v>
      </c>
    </row>
    <row r="222" spans="1:144" s="228" customFormat="1" ht="10.5" x14ac:dyDescent="0.25">
      <c r="A222" s="228" t="str">
        <f>TRP!C220</f>
        <v xml:space="preserve">GN24 </v>
      </c>
      <c r="B222" s="228" t="str">
        <f>TRP!B220</f>
        <v>PUBLICITE ET ETUDES DE MARCHE</v>
      </c>
      <c r="C222" s="233">
        <f>TRP!A220</f>
        <v>19</v>
      </c>
      <c r="D222" s="228">
        <f t="shared" ref="D222:BO222" si="231">D98</f>
        <v>0</v>
      </c>
      <c r="E222" s="228">
        <f t="shared" si="231"/>
        <v>0</v>
      </c>
      <c r="F222" s="228">
        <f t="shared" si="231"/>
        <v>0</v>
      </c>
      <c r="G222" s="228">
        <f t="shared" si="231"/>
        <v>177</v>
      </c>
      <c r="H222" s="228">
        <f t="shared" si="231"/>
        <v>537</v>
      </c>
      <c r="I222" s="228">
        <f t="shared" si="231"/>
        <v>884</v>
      </c>
      <c r="J222" s="228">
        <f t="shared" si="231"/>
        <v>203</v>
      </c>
      <c r="K222" s="228">
        <f t="shared" si="231"/>
        <v>1572</v>
      </c>
      <c r="L222" s="228">
        <f t="shared" si="231"/>
        <v>1</v>
      </c>
      <c r="M222" s="228">
        <f t="shared" si="231"/>
        <v>487</v>
      </c>
      <c r="N222" s="228">
        <f t="shared" si="231"/>
        <v>69</v>
      </c>
      <c r="O222" s="228">
        <f t="shared" si="231"/>
        <v>923</v>
      </c>
      <c r="P222" s="228">
        <f t="shared" si="231"/>
        <v>1163</v>
      </c>
      <c r="Q222" s="228">
        <f t="shared" si="231"/>
        <v>1513</v>
      </c>
      <c r="R222" s="228">
        <f t="shared" si="231"/>
        <v>207</v>
      </c>
      <c r="S222" s="228">
        <f t="shared" si="231"/>
        <v>84</v>
      </c>
      <c r="T222" s="228">
        <f t="shared" si="231"/>
        <v>251</v>
      </c>
      <c r="U222" s="228">
        <f t="shared" si="231"/>
        <v>68</v>
      </c>
      <c r="V222" s="228">
        <f t="shared" si="231"/>
        <v>59</v>
      </c>
      <c r="W222" s="228">
        <f t="shared" si="231"/>
        <v>119</v>
      </c>
      <c r="X222" s="228">
        <f t="shared" si="231"/>
        <v>1752</v>
      </c>
      <c r="Y222" s="228">
        <f t="shared" si="231"/>
        <v>101</v>
      </c>
      <c r="Z222" s="228">
        <f t="shared" si="231"/>
        <v>10</v>
      </c>
      <c r="AA222" s="228">
        <f t="shared" si="231"/>
        <v>9</v>
      </c>
      <c r="AB222" s="228">
        <f t="shared" si="231"/>
        <v>7</v>
      </c>
      <c r="AC222" s="228">
        <f t="shared" si="231"/>
        <v>6</v>
      </c>
      <c r="AD222" s="228">
        <f t="shared" si="231"/>
        <v>36</v>
      </c>
      <c r="AE222" s="228">
        <f t="shared" si="231"/>
        <v>20</v>
      </c>
      <c r="AF222" s="228">
        <f t="shared" si="231"/>
        <v>9</v>
      </c>
      <c r="AG222" s="228">
        <f t="shared" si="231"/>
        <v>41</v>
      </c>
      <c r="AH222" s="228">
        <f t="shared" si="231"/>
        <v>7</v>
      </c>
      <c r="AI222" s="228">
        <f t="shared" si="231"/>
        <v>20</v>
      </c>
      <c r="AJ222" s="228">
        <f t="shared" si="231"/>
        <v>16</v>
      </c>
      <c r="AK222" s="228">
        <f t="shared" si="231"/>
        <v>44</v>
      </c>
      <c r="AL222" s="228">
        <f t="shared" si="231"/>
        <v>23</v>
      </c>
      <c r="AM222" s="228">
        <f t="shared" si="231"/>
        <v>96</v>
      </c>
      <c r="AN222" s="228">
        <f t="shared" si="231"/>
        <v>22</v>
      </c>
      <c r="AO222" s="228">
        <f t="shared" si="231"/>
        <v>55</v>
      </c>
      <c r="AP222" s="228">
        <f t="shared" si="231"/>
        <v>64</v>
      </c>
      <c r="AQ222" s="228">
        <f t="shared" si="231"/>
        <v>0</v>
      </c>
      <c r="AR222" s="228">
        <f t="shared" si="231"/>
        <v>0</v>
      </c>
      <c r="AS222" s="228">
        <f t="shared" si="231"/>
        <v>2</v>
      </c>
      <c r="AT222" s="228">
        <f t="shared" si="231"/>
        <v>37</v>
      </c>
      <c r="AU222" s="228">
        <f t="shared" si="231"/>
        <v>3</v>
      </c>
      <c r="AV222" s="228">
        <f t="shared" si="231"/>
        <v>2</v>
      </c>
      <c r="AW222" s="228">
        <f t="shared" si="231"/>
        <v>2</v>
      </c>
      <c r="AX222" s="228">
        <f t="shared" si="231"/>
        <v>18</v>
      </c>
      <c r="AY222" s="228">
        <f t="shared" si="231"/>
        <v>15</v>
      </c>
      <c r="AZ222" s="228">
        <f t="shared" si="231"/>
        <v>33</v>
      </c>
      <c r="BA222" s="228">
        <f t="shared" si="231"/>
        <v>2</v>
      </c>
      <c r="BB222" s="228">
        <f t="shared" si="231"/>
        <v>2</v>
      </c>
      <c r="BC222" s="228">
        <f t="shared" si="231"/>
        <v>140</v>
      </c>
      <c r="BD222" s="228">
        <f t="shared" si="231"/>
        <v>2</v>
      </c>
      <c r="BE222" s="228">
        <f t="shared" si="231"/>
        <v>39</v>
      </c>
      <c r="BF222" s="228">
        <f t="shared" si="231"/>
        <v>56</v>
      </c>
      <c r="BG222" s="228">
        <f t="shared" si="231"/>
        <v>29</v>
      </c>
      <c r="BH222" s="228">
        <f t="shared" si="231"/>
        <v>6</v>
      </c>
      <c r="BI222" s="228">
        <f t="shared" si="231"/>
        <v>2</v>
      </c>
      <c r="BJ222" s="228">
        <f t="shared" si="231"/>
        <v>18</v>
      </c>
      <c r="BK222" s="228">
        <f t="shared" si="231"/>
        <v>15</v>
      </c>
      <c r="BL222" s="228">
        <f t="shared" si="231"/>
        <v>85</v>
      </c>
      <c r="BM222" s="228">
        <f t="shared" si="231"/>
        <v>27</v>
      </c>
      <c r="BN222" s="228">
        <f t="shared" si="231"/>
        <v>1</v>
      </c>
      <c r="BO222" s="228">
        <f t="shared" si="231"/>
        <v>16</v>
      </c>
      <c r="BP222" s="228">
        <f t="shared" ref="BP222:DP222" si="232">BP98</f>
        <v>0</v>
      </c>
      <c r="BQ222" s="228">
        <f t="shared" si="232"/>
        <v>0</v>
      </c>
      <c r="BR222" s="228">
        <f t="shared" si="232"/>
        <v>4</v>
      </c>
      <c r="BS222" s="228">
        <f t="shared" si="232"/>
        <v>138</v>
      </c>
      <c r="BT222" s="228">
        <f t="shared" si="232"/>
        <v>89</v>
      </c>
      <c r="BU222" s="228">
        <f t="shared" si="232"/>
        <v>26</v>
      </c>
      <c r="BV222" s="228">
        <f t="shared" si="232"/>
        <v>0</v>
      </c>
      <c r="BW222" s="228">
        <f t="shared" si="232"/>
        <v>272</v>
      </c>
      <c r="BX222" s="228">
        <f t="shared" si="232"/>
        <v>50</v>
      </c>
      <c r="BY222" s="228">
        <f t="shared" si="232"/>
        <v>88</v>
      </c>
      <c r="BZ222" s="228">
        <f t="shared" si="232"/>
        <v>151</v>
      </c>
      <c r="CA222" s="228">
        <f t="shared" si="232"/>
        <v>3456</v>
      </c>
      <c r="CB222" s="228">
        <f t="shared" si="232"/>
        <v>121</v>
      </c>
      <c r="CC222" s="228">
        <f t="shared" si="232"/>
        <v>16</v>
      </c>
      <c r="CD222" s="228">
        <f t="shared" si="232"/>
        <v>50</v>
      </c>
      <c r="CE222" s="228">
        <f t="shared" si="232"/>
        <v>6</v>
      </c>
      <c r="CF222" s="228">
        <f t="shared" si="232"/>
        <v>118</v>
      </c>
      <c r="CG222" s="228">
        <f t="shared" si="232"/>
        <v>26</v>
      </c>
      <c r="CH222" s="228">
        <f t="shared" si="232"/>
        <v>359</v>
      </c>
      <c r="CI222" s="228">
        <f t="shared" si="232"/>
        <v>27</v>
      </c>
      <c r="CJ222" s="228">
        <f t="shared" si="232"/>
        <v>829</v>
      </c>
      <c r="CK222" s="228">
        <f t="shared" si="232"/>
        <v>426</v>
      </c>
      <c r="CL222" s="228">
        <f t="shared" si="232"/>
        <v>33</v>
      </c>
      <c r="CM222" s="228">
        <f t="shared" si="232"/>
        <v>103</v>
      </c>
      <c r="CN222" s="228">
        <f t="shared" si="232"/>
        <v>72</v>
      </c>
      <c r="CO222" s="228">
        <f t="shared" si="232"/>
        <v>826</v>
      </c>
      <c r="CP222" s="228">
        <f t="shared" si="232"/>
        <v>295</v>
      </c>
      <c r="CQ222" s="228">
        <f t="shared" si="232"/>
        <v>210</v>
      </c>
      <c r="CR222" s="228">
        <f t="shared" si="232"/>
        <v>27</v>
      </c>
      <c r="CS222" s="228">
        <f t="shared" si="232"/>
        <v>6726</v>
      </c>
      <c r="CT222" s="228">
        <f t="shared" si="232"/>
        <v>102</v>
      </c>
      <c r="CU222" s="228">
        <f t="shared" si="232"/>
        <v>128</v>
      </c>
      <c r="CV222" s="228">
        <f t="shared" si="232"/>
        <v>111</v>
      </c>
      <c r="CW222" s="228">
        <f t="shared" si="232"/>
        <v>205</v>
      </c>
      <c r="CX222" s="228">
        <f t="shared" si="232"/>
        <v>5</v>
      </c>
      <c r="CY222" s="228">
        <f t="shared" si="232"/>
        <v>41</v>
      </c>
      <c r="CZ222" s="228">
        <f t="shared" si="232"/>
        <v>24</v>
      </c>
      <c r="DA222" s="228">
        <f t="shared" si="232"/>
        <v>222</v>
      </c>
      <c r="DB222" s="228">
        <f t="shared" si="232"/>
        <v>1068</v>
      </c>
      <c r="DC222" s="228">
        <f t="shared" si="232"/>
        <v>761</v>
      </c>
      <c r="DD222" s="228">
        <f t="shared" si="232"/>
        <v>142</v>
      </c>
      <c r="DE222" s="228">
        <f t="shared" si="232"/>
        <v>0</v>
      </c>
      <c r="DF222" s="228">
        <f t="shared" si="232"/>
        <v>0</v>
      </c>
      <c r="DG222" s="228">
        <f t="shared" si="232"/>
        <v>56</v>
      </c>
      <c r="DH222" s="228">
        <f t="shared" si="232"/>
        <v>46</v>
      </c>
      <c r="DI222" s="228">
        <f t="shared" si="232"/>
        <v>55</v>
      </c>
      <c r="DJ222" s="228">
        <f t="shared" si="232"/>
        <v>75</v>
      </c>
      <c r="DK222" s="228">
        <f t="shared" si="232"/>
        <v>24</v>
      </c>
      <c r="DL222" s="228">
        <f t="shared" si="232"/>
        <v>32</v>
      </c>
      <c r="DM222" s="228">
        <f t="shared" si="232"/>
        <v>9</v>
      </c>
      <c r="DN222" s="228">
        <f t="shared" si="232"/>
        <v>459</v>
      </c>
      <c r="DO222" s="228">
        <f t="shared" si="232"/>
        <v>36</v>
      </c>
      <c r="DP222" s="232">
        <f t="shared" si="232"/>
        <v>29352</v>
      </c>
      <c r="DQ222" s="228">
        <f t="shared" si="161"/>
        <v>0</v>
      </c>
      <c r="DR222" s="228">
        <f t="shared" si="162"/>
        <v>3374</v>
      </c>
      <c r="DS222" s="230">
        <f>SUM(X222:Y222)+(1-TRP!$AK$253)*AC222</f>
        <v>1857.2</v>
      </c>
      <c r="DT222" s="228">
        <f t="shared" si="163"/>
        <v>2</v>
      </c>
      <c r="DU222" s="228">
        <f t="shared" si="164"/>
        <v>37</v>
      </c>
      <c r="DV222" s="228">
        <f t="shared" si="165"/>
        <v>48</v>
      </c>
      <c r="DW222" s="228">
        <f t="shared" si="166"/>
        <v>2</v>
      </c>
      <c r="DX222" s="228">
        <f t="shared" si="167"/>
        <v>2</v>
      </c>
      <c r="DY222" s="228">
        <f t="shared" si="168"/>
        <v>56</v>
      </c>
      <c r="DZ222" s="228">
        <f t="shared" si="169"/>
        <v>29</v>
      </c>
      <c r="EA222" s="228">
        <f t="shared" si="170"/>
        <v>6</v>
      </c>
      <c r="EB222" s="230">
        <f>TRP!$AK$253*$AC222+SUM(M222:W222,Z222:AB222,AD222:AR222,AU222:AX222,BC222:BE222,BI222:BN222,BQ222:BR222,BV222)</f>
        <v>5781.8</v>
      </c>
      <c r="EC222" s="228">
        <f t="shared" si="171"/>
        <v>322</v>
      </c>
      <c r="ED222" s="230">
        <f>CB222+$CI222*TRP!$AV$248</f>
        <v>121.83711475679117</v>
      </c>
      <c r="EE222" s="228">
        <f t="shared" si="172"/>
        <v>16</v>
      </c>
      <c r="EF222" s="230">
        <f>CD222+$CI222*TRP!$AV$249</f>
        <v>68.716286177736194</v>
      </c>
      <c r="EG222" s="230">
        <f>CE222+$CI222*TRP!$AV$250</f>
        <v>11.459223691119057</v>
      </c>
      <c r="EH222" s="230">
        <f>CF222+$CI222*TRP!$AV$251</f>
        <v>119.98737537435359</v>
      </c>
      <c r="EI222" s="228">
        <f t="shared" si="173"/>
        <v>16579</v>
      </c>
      <c r="EJ222" s="228">
        <f t="shared" si="174"/>
        <v>649</v>
      </c>
      <c r="EK222" s="228">
        <f t="shared" si="175"/>
        <v>16</v>
      </c>
      <c r="EL222" s="230">
        <f>BS222+$BP222*TRP!$AN$246</f>
        <v>138</v>
      </c>
      <c r="EM222" s="228">
        <f t="shared" si="176"/>
        <v>89</v>
      </c>
      <c r="EN222" s="230">
        <f>BU222+$BP222*TRP!$AN$247</f>
        <v>26</v>
      </c>
    </row>
    <row r="223" spans="1:144" s="228" customFormat="1" ht="10.5" x14ac:dyDescent="0.25">
      <c r="A223" s="228" t="str">
        <f>TRP!C221</f>
        <v xml:space="preserve">GN25 </v>
      </c>
      <c r="B223" s="228" t="str">
        <f>TRP!B221</f>
        <v>ARCHITECTURE  INGENIERIE  CONTROLE</v>
      </c>
      <c r="C223" s="233">
        <f>TRP!A221</f>
        <v>19</v>
      </c>
      <c r="D223" s="228">
        <f t="shared" ref="D223:BO223" si="233">D99</f>
        <v>0</v>
      </c>
      <c r="E223" s="228">
        <f t="shared" si="233"/>
        <v>21</v>
      </c>
      <c r="F223" s="228">
        <f t="shared" si="233"/>
        <v>5</v>
      </c>
      <c r="G223" s="228">
        <f t="shared" si="233"/>
        <v>85</v>
      </c>
      <c r="H223" s="228">
        <f t="shared" si="233"/>
        <v>93</v>
      </c>
      <c r="I223" s="228">
        <f t="shared" si="233"/>
        <v>58</v>
      </c>
      <c r="J223" s="228">
        <f t="shared" si="233"/>
        <v>69</v>
      </c>
      <c r="K223" s="228">
        <f t="shared" si="233"/>
        <v>219</v>
      </c>
      <c r="L223" s="228">
        <f t="shared" si="233"/>
        <v>1</v>
      </c>
      <c r="M223" s="228">
        <f t="shared" si="233"/>
        <v>68</v>
      </c>
      <c r="N223" s="228">
        <f t="shared" si="233"/>
        <v>14</v>
      </c>
      <c r="O223" s="228">
        <f t="shared" si="233"/>
        <v>115</v>
      </c>
      <c r="P223" s="228">
        <f t="shared" si="233"/>
        <v>191</v>
      </c>
      <c r="Q223" s="228">
        <f t="shared" si="233"/>
        <v>109</v>
      </c>
      <c r="R223" s="228">
        <f t="shared" si="233"/>
        <v>33</v>
      </c>
      <c r="S223" s="228">
        <f t="shared" si="233"/>
        <v>6</v>
      </c>
      <c r="T223" s="228">
        <f t="shared" si="233"/>
        <v>26</v>
      </c>
      <c r="U223" s="228">
        <f t="shared" si="233"/>
        <v>12</v>
      </c>
      <c r="V223" s="228">
        <f t="shared" si="233"/>
        <v>18</v>
      </c>
      <c r="W223" s="228">
        <f t="shared" si="233"/>
        <v>11</v>
      </c>
      <c r="X223" s="228">
        <f t="shared" si="233"/>
        <v>247</v>
      </c>
      <c r="Y223" s="228">
        <f t="shared" si="233"/>
        <v>200</v>
      </c>
      <c r="Z223" s="228">
        <f t="shared" si="233"/>
        <v>71</v>
      </c>
      <c r="AA223" s="228">
        <f t="shared" si="233"/>
        <v>112</v>
      </c>
      <c r="AB223" s="228">
        <f t="shared" si="233"/>
        <v>416</v>
      </c>
      <c r="AC223" s="228">
        <f t="shared" si="233"/>
        <v>36</v>
      </c>
      <c r="AD223" s="228">
        <f t="shared" si="233"/>
        <v>31</v>
      </c>
      <c r="AE223" s="228">
        <f t="shared" si="233"/>
        <v>33</v>
      </c>
      <c r="AF223" s="228">
        <f t="shared" si="233"/>
        <v>89</v>
      </c>
      <c r="AG223" s="228">
        <f t="shared" si="233"/>
        <v>99</v>
      </c>
      <c r="AH223" s="228">
        <f t="shared" si="233"/>
        <v>30</v>
      </c>
      <c r="AI223" s="228">
        <f t="shared" si="233"/>
        <v>23</v>
      </c>
      <c r="AJ223" s="228">
        <f t="shared" si="233"/>
        <v>72</v>
      </c>
      <c r="AK223" s="228">
        <f t="shared" si="233"/>
        <v>22</v>
      </c>
      <c r="AL223" s="228">
        <f t="shared" si="233"/>
        <v>7</v>
      </c>
      <c r="AM223" s="228">
        <f t="shared" si="233"/>
        <v>50</v>
      </c>
      <c r="AN223" s="228">
        <f t="shared" si="233"/>
        <v>89</v>
      </c>
      <c r="AO223" s="228">
        <f t="shared" si="233"/>
        <v>68</v>
      </c>
      <c r="AP223" s="228">
        <f t="shared" si="233"/>
        <v>126</v>
      </c>
      <c r="AQ223" s="228">
        <f t="shared" si="233"/>
        <v>4</v>
      </c>
      <c r="AR223" s="228">
        <f t="shared" si="233"/>
        <v>10</v>
      </c>
      <c r="AS223" s="228">
        <f t="shared" si="233"/>
        <v>46</v>
      </c>
      <c r="AT223" s="228">
        <f t="shared" si="233"/>
        <v>117</v>
      </c>
      <c r="AU223" s="228">
        <f t="shared" si="233"/>
        <v>27</v>
      </c>
      <c r="AV223" s="228">
        <f t="shared" si="233"/>
        <v>23</v>
      </c>
      <c r="AW223" s="228">
        <f t="shared" si="233"/>
        <v>17</v>
      </c>
      <c r="AX223" s="228">
        <f t="shared" si="233"/>
        <v>56</v>
      </c>
      <c r="AY223" s="228">
        <f t="shared" si="233"/>
        <v>27</v>
      </c>
      <c r="AZ223" s="228">
        <f t="shared" si="233"/>
        <v>28</v>
      </c>
      <c r="BA223" s="228">
        <f t="shared" si="233"/>
        <v>19</v>
      </c>
      <c r="BB223" s="228">
        <f t="shared" si="233"/>
        <v>43</v>
      </c>
      <c r="BC223" s="228">
        <f t="shared" si="233"/>
        <v>45</v>
      </c>
      <c r="BD223" s="228">
        <f t="shared" si="233"/>
        <v>7</v>
      </c>
      <c r="BE223" s="228">
        <f t="shared" si="233"/>
        <v>23</v>
      </c>
      <c r="BF223" s="228">
        <f t="shared" si="233"/>
        <v>60</v>
      </c>
      <c r="BG223" s="228">
        <f t="shared" si="233"/>
        <v>112</v>
      </c>
      <c r="BH223" s="228">
        <f t="shared" si="233"/>
        <v>40</v>
      </c>
      <c r="BI223" s="228">
        <f t="shared" si="233"/>
        <v>34</v>
      </c>
      <c r="BJ223" s="228">
        <f t="shared" si="233"/>
        <v>92</v>
      </c>
      <c r="BK223" s="228">
        <f t="shared" si="233"/>
        <v>28</v>
      </c>
      <c r="BL223" s="228">
        <f t="shared" si="233"/>
        <v>34</v>
      </c>
      <c r="BM223" s="228">
        <f t="shared" si="233"/>
        <v>72</v>
      </c>
      <c r="BN223" s="228">
        <f t="shared" si="233"/>
        <v>31</v>
      </c>
      <c r="BO223" s="228">
        <f t="shared" si="233"/>
        <v>0</v>
      </c>
      <c r="BP223" s="228">
        <f t="shared" ref="BP223:DP223" si="234">BP99</f>
        <v>18</v>
      </c>
      <c r="BQ223" s="228">
        <f t="shared" si="234"/>
        <v>0</v>
      </c>
      <c r="BR223" s="228">
        <f t="shared" si="234"/>
        <v>7</v>
      </c>
      <c r="BS223" s="228">
        <f t="shared" si="234"/>
        <v>85</v>
      </c>
      <c r="BT223" s="228">
        <f t="shared" si="234"/>
        <v>197</v>
      </c>
      <c r="BU223" s="228">
        <f t="shared" si="234"/>
        <v>41</v>
      </c>
      <c r="BV223" s="228">
        <f t="shared" si="234"/>
        <v>99</v>
      </c>
      <c r="BW223" s="228">
        <f t="shared" si="234"/>
        <v>3535</v>
      </c>
      <c r="BX223" s="228">
        <f t="shared" si="234"/>
        <v>812</v>
      </c>
      <c r="BY223" s="228">
        <f t="shared" si="234"/>
        <v>159</v>
      </c>
      <c r="BZ223" s="228">
        <f t="shared" si="234"/>
        <v>616</v>
      </c>
      <c r="CA223" s="228">
        <f t="shared" si="234"/>
        <v>168</v>
      </c>
      <c r="CB223" s="228">
        <f t="shared" si="234"/>
        <v>6</v>
      </c>
      <c r="CC223" s="228">
        <f t="shared" si="234"/>
        <v>49</v>
      </c>
      <c r="CD223" s="228">
        <f t="shared" si="234"/>
        <v>77</v>
      </c>
      <c r="CE223" s="228">
        <f t="shared" si="234"/>
        <v>65</v>
      </c>
      <c r="CF223" s="228">
        <f t="shared" si="234"/>
        <v>66</v>
      </c>
      <c r="CG223" s="228">
        <f t="shared" si="234"/>
        <v>93</v>
      </c>
      <c r="CH223" s="228">
        <f t="shared" si="234"/>
        <v>19</v>
      </c>
      <c r="CI223" s="228">
        <f t="shared" si="234"/>
        <v>83</v>
      </c>
      <c r="CJ223" s="228">
        <f t="shared" si="234"/>
        <v>549</v>
      </c>
      <c r="CK223" s="228">
        <f t="shared" si="234"/>
        <v>421</v>
      </c>
      <c r="CL223" s="228">
        <f t="shared" si="234"/>
        <v>404</v>
      </c>
      <c r="CM223" s="228">
        <f t="shared" si="234"/>
        <v>2494</v>
      </c>
      <c r="CN223" s="228">
        <f t="shared" si="234"/>
        <v>414</v>
      </c>
      <c r="CO223" s="228">
        <f t="shared" si="234"/>
        <v>171</v>
      </c>
      <c r="CP223" s="228">
        <f t="shared" si="234"/>
        <v>526</v>
      </c>
      <c r="CQ223" s="228">
        <f t="shared" si="234"/>
        <v>356</v>
      </c>
      <c r="CR223" s="228">
        <f t="shared" si="234"/>
        <v>173</v>
      </c>
      <c r="CS223" s="228">
        <f t="shared" si="234"/>
        <v>89</v>
      </c>
      <c r="CT223" s="228">
        <f t="shared" si="234"/>
        <v>10592</v>
      </c>
      <c r="CU223" s="228">
        <f t="shared" si="234"/>
        <v>673</v>
      </c>
      <c r="CV223" s="228">
        <f t="shared" si="234"/>
        <v>145</v>
      </c>
      <c r="CW223" s="228">
        <f t="shared" si="234"/>
        <v>988</v>
      </c>
      <c r="CX223" s="228">
        <f t="shared" si="234"/>
        <v>47</v>
      </c>
      <c r="CY223" s="228">
        <f t="shared" si="234"/>
        <v>448</v>
      </c>
      <c r="CZ223" s="228">
        <f t="shared" si="234"/>
        <v>4</v>
      </c>
      <c r="DA223" s="228">
        <f t="shared" si="234"/>
        <v>287</v>
      </c>
      <c r="DB223" s="228">
        <f t="shared" si="234"/>
        <v>263</v>
      </c>
      <c r="DC223" s="228">
        <f t="shared" si="234"/>
        <v>274</v>
      </c>
      <c r="DD223" s="228">
        <f t="shared" si="234"/>
        <v>101</v>
      </c>
      <c r="DE223" s="228">
        <f t="shared" si="234"/>
        <v>69</v>
      </c>
      <c r="DF223" s="228">
        <f t="shared" si="234"/>
        <v>0</v>
      </c>
      <c r="DG223" s="228">
        <f t="shared" si="234"/>
        <v>40</v>
      </c>
      <c r="DH223" s="228">
        <f t="shared" si="234"/>
        <v>108</v>
      </c>
      <c r="DI223" s="228">
        <f t="shared" si="234"/>
        <v>39</v>
      </c>
      <c r="DJ223" s="228">
        <f t="shared" si="234"/>
        <v>3</v>
      </c>
      <c r="DK223" s="228">
        <f t="shared" si="234"/>
        <v>2</v>
      </c>
      <c r="DL223" s="228">
        <f t="shared" si="234"/>
        <v>86</v>
      </c>
      <c r="DM223" s="228">
        <f t="shared" si="234"/>
        <v>31</v>
      </c>
      <c r="DN223" s="228">
        <f t="shared" si="234"/>
        <v>1664</v>
      </c>
      <c r="DO223" s="228">
        <f t="shared" si="234"/>
        <v>3</v>
      </c>
      <c r="DP223" s="232">
        <f t="shared" si="234"/>
        <v>31629</v>
      </c>
      <c r="DQ223" s="228">
        <f t="shared" si="161"/>
        <v>26</v>
      </c>
      <c r="DR223" s="228">
        <f t="shared" si="162"/>
        <v>525</v>
      </c>
      <c r="DS223" s="230">
        <f>SUM(X223:Y223)+(1-TRP!$AK$253)*AC223</f>
        <v>472.2</v>
      </c>
      <c r="DT223" s="228">
        <f t="shared" si="163"/>
        <v>46</v>
      </c>
      <c r="DU223" s="228">
        <f t="shared" si="164"/>
        <v>117</v>
      </c>
      <c r="DV223" s="228">
        <f t="shared" si="165"/>
        <v>55</v>
      </c>
      <c r="DW223" s="228">
        <f t="shared" si="166"/>
        <v>19</v>
      </c>
      <c r="DX223" s="228">
        <f t="shared" si="167"/>
        <v>43</v>
      </c>
      <c r="DY223" s="228">
        <f t="shared" si="168"/>
        <v>60</v>
      </c>
      <c r="DZ223" s="228">
        <f t="shared" si="169"/>
        <v>112</v>
      </c>
      <c r="EA223" s="228">
        <f t="shared" si="170"/>
        <v>40</v>
      </c>
      <c r="EB223" s="230">
        <f>TRP!$AK$253*$AC223+SUM(M223:W223,Z223:AB223,AD223:AR223,AU223:AX223,BC223:BE223,BI223:BN223,BQ223:BR223,BV223)</f>
        <v>2560.8000000000002</v>
      </c>
      <c r="EC223" s="228">
        <f t="shared" si="171"/>
        <v>4347</v>
      </c>
      <c r="ED223" s="230">
        <f>CB223+$CI223*TRP!$AV$248</f>
        <v>8.5733527708765376</v>
      </c>
      <c r="EE223" s="228">
        <f t="shared" si="172"/>
        <v>49</v>
      </c>
      <c r="EF223" s="230">
        <f>CD223+$CI223*TRP!$AV$249</f>
        <v>134.53525010192976</v>
      </c>
      <c r="EG223" s="230">
        <f>CE223+$CI223*TRP!$AV$250</f>
        <v>81.782058013440064</v>
      </c>
      <c r="EH223" s="230">
        <f>CF223+$CI223*TRP!$AV$251</f>
        <v>72.109339113753634</v>
      </c>
      <c r="EI223" s="228">
        <f t="shared" si="173"/>
        <v>20706</v>
      </c>
      <c r="EJ223" s="228">
        <f t="shared" si="174"/>
        <v>1813</v>
      </c>
      <c r="EK223" s="228">
        <f t="shared" si="175"/>
        <v>0</v>
      </c>
      <c r="EL223" s="230">
        <f>BS223+$BP223*TRP!$AN$246</f>
        <v>98.302591830480281</v>
      </c>
      <c r="EM223" s="228">
        <f t="shared" si="176"/>
        <v>197</v>
      </c>
      <c r="EN223" s="230">
        <f>BU223+$BP223*TRP!$AN$247</f>
        <v>45.697408169519726</v>
      </c>
    </row>
    <row r="224" spans="1:144" s="228" customFormat="1" ht="10.5" x14ac:dyDescent="0.25">
      <c r="A224" s="228" t="str">
        <f>TRP!C222</f>
        <v xml:space="preserve">GN31 </v>
      </c>
      <c r="B224" s="228" t="str">
        <f>TRP!B222</f>
        <v>LOCATION SANS OPERATEUR</v>
      </c>
      <c r="C224" s="233">
        <f>TRP!A222</f>
        <v>19</v>
      </c>
      <c r="D224" s="228">
        <f t="shared" ref="D224:BO224" si="235">D100</f>
        <v>795</v>
      </c>
      <c r="E224" s="228">
        <f t="shared" si="235"/>
        <v>0</v>
      </c>
      <c r="F224" s="228">
        <f t="shared" si="235"/>
        <v>0</v>
      </c>
      <c r="G224" s="228">
        <f t="shared" si="235"/>
        <v>146</v>
      </c>
      <c r="H224" s="228">
        <f t="shared" si="235"/>
        <v>205</v>
      </c>
      <c r="I224" s="228">
        <f t="shared" si="235"/>
        <v>230</v>
      </c>
      <c r="J224" s="228">
        <f t="shared" si="235"/>
        <v>66</v>
      </c>
      <c r="K224" s="228">
        <f t="shared" si="235"/>
        <v>366</v>
      </c>
      <c r="L224" s="228">
        <f t="shared" si="235"/>
        <v>1</v>
      </c>
      <c r="M224" s="228">
        <f t="shared" si="235"/>
        <v>22</v>
      </c>
      <c r="N224" s="228">
        <f t="shared" si="235"/>
        <v>5</v>
      </c>
      <c r="O224" s="228">
        <f t="shared" si="235"/>
        <v>122</v>
      </c>
      <c r="P224" s="228">
        <f t="shared" si="235"/>
        <v>166</v>
      </c>
      <c r="Q224" s="228">
        <f t="shared" si="235"/>
        <v>122</v>
      </c>
      <c r="R224" s="228">
        <f t="shared" si="235"/>
        <v>25</v>
      </c>
      <c r="S224" s="228">
        <f t="shared" si="235"/>
        <v>5</v>
      </c>
      <c r="T224" s="228">
        <f t="shared" si="235"/>
        <v>12</v>
      </c>
      <c r="U224" s="228">
        <f t="shared" si="235"/>
        <v>17</v>
      </c>
      <c r="V224" s="228">
        <f t="shared" si="235"/>
        <v>7</v>
      </c>
      <c r="W224" s="228">
        <f t="shared" si="235"/>
        <v>8</v>
      </c>
      <c r="X224" s="228">
        <f t="shared" si="235"/>
        <v>236</v>
      </c>
      <c r="Y224" s="228">
        <f t="shared" si="235"/>
        <v>124</v>
      </c>
      <c r="Z224" s="228">
        <f t="shared" si="235"/>
        <v>14</v>
      </c>
      <c r="AA224" s="228">
        <f t="shared" si="235"/>
        <v>24</v>
      </c>
      <c r="AB224" s="228">
        <f t="shared" si="235"/>
        <v>168</v>
      </c>
      <c r="AC224" s="228">
        <f t="shared" si="235"/>
        <v>2</v>
      </c>
      <c r="AD224" s="228">
        <f t="shared" si="235"/>
        <v>33</v>
      </c>
      <c r="AE224" s="228">
        <f t="shared" si="235"/>
        <v>40</v>
      </c>
      <c r="AF224" s="228">
        <f t="shared" si="235"/>
        <v>80</v>
      </c>
      <c r="AG224" s="228">
        <f t="shared" si="235"/>
        <v>125</v>
      </c>
      <c r="AH224" s="228">
        <f t="shared" si="235"/>
        <v>57</v>
      </c>
      <c r="AI224" s="228">
        <f t="shared" si="235"/>
        <v>6</v>
      </c>
      <c r="AJ224" s="228">
        <f t="shared" si="235"/>
        <v>95</v>
      </c>
      <c r="AK224" s="228">
        <f t="shared" si="235"/>
        <v>5</v>
      </c>
      <c r="AL224" s="228">
        <f t="shared" si="235"/>
        <v>4</v>
      </c>
      <c r="AM224" s="228">
        <f t="shared" si="235"/>
        <v>19</v>
      </c>
      <c r="AN224" s="228">
        <f t="shared" si="235"/>
        <v>27</v>
      </c>
      <c r="AO224" s="228">
        <f t="shared" si="235"/>
        <v>36</v>
      </c>
      <c r="AP224" s="228">
        <f t="shared" si="235"/>
        <v>36</v>
      </c>
      <c r="AQ224" s="228">
        <f t="shared" si="235"/>
        <v>0</v>
      </c>
      <c r="AR224" s="228">
        <f t="shared" si="235"/>
        <v>44</v>
      </c>
      <c r="AS224" s="228">
        <f t="shared" si="235"/>
        <v>70</v>
      </c>
      <c r="AT224" s="228">
        <f t="shared" si="235"/>
        <v>106</v>
      </c>
      <c r="AU224" s="228">
        <f t="shared" si="235"/>
        <v>23</v>
      </c>
      <c r="AV224" s="228">
        <f t="shared" si="235"/>
        <v>23</v>
      </c>
      <c r="AW224" s="228">
        <f t="shared" si="235"/>
        <v>21</v>
      </c>
      <c r="AX224" s="228">
        <f t="shared" si="235"/>
        <v>7</v>
      </c>
      <c r="AY224" s="228">
        <f t="shared" si="235"/>
        <v>45</v>
      </c>
      <c r="AZ224" s="228">
        <f t="shared" si="235"/>
        <v>67</v>
      </c>
      <c r="BA224" s="228">
        <f t="shared" si="235"/>
        <v>41</v>
      </c>
      <c r="BB224" s="228">
        <f t="shared" si="235"/>
        <v>66</v>
      </c>
      <c r="BC224" s="228">
        <f t="shared" si="235"/>
        <v>84</v>
      </c>
      <c r="BD224" s="228">
        <f t="shared" si="235"/>
        <v>1</v>
      </c>
      <c r="BE224" s="228">
        <f t="shared" si="235"/>
        <v>49</v>
      </c>
      <c r="BF224" s="228">
        <f t="shared" si="235"/>
        <v>283</v>
      </c>
      <c r="BG224" s="228">
        <f t="shared" si="235"/>
        <v>185</v>
      </c>
      <c r="BH224" s="228">
        <f t="shared" si="235"/>
        <v>49</v>
      </c>
      <c r="BI224" s="228">
        <f t="shared" si="235"/>
        <v>47</v>
      </c>
      <c r="BJ224" s="228">
        <f t="shared" si="235"/>
        <v>114</v>
      </c>
      <c r="BK224" s="228">
        <f t="shared" si="235"/>
        <v>71</v>
      </c>
      <c r="BL224" s="228">
        <f t="shared" si="235"/>
        <v>1</v>
      </c>
      <c r="BM224" s="228">
        <f t="shared" si="235"/>
        <v>41</v>
      </c>
      <c r="BN224" s="228">
        <f t="shared" si="235"/>
        <v>19</v>
      </c>
      <c r="BO224" s="228">
        <f t="shared" si="235"/>
        <v>0</v>
      </c>
      <c r="BP224" s="228">
        <f t="shared" ref="BP224:DP224" si="236">BP100</f>
        <v>9</v>
      </c>
      <c r="BQ224" s="228">
        <f t="shared" si="236"/>
        <v>0</v>
      </c>
      <c r="BR224" s="228">
        <f t="shared" si="236"/>
        <v>5</v>
      </c>
      <c r="BS224" s="228">
        <f t="shared" si="236"/>
        <v>192</v>
      </c>
      <c r="BT224" s="228">
        <f t="shared" si="236"/>
        <v>1006</v>
      </c>
      <c r="BU224" s="228">
        <f t="shared" si="236"/>
        <v>174</v>
      </c>
      <c r="BV224" s="228">
        <f t="shared" si="236"/>
        <v>378</v>
      </c>
      <c r="BW224" s="228">
        <f t="shared" si="236"/>
        <v>2033</v>
      </c>
      <c r="BX224" s="228">
        <f t="shared" si="236"/>
        <v>636</v>
      </c>
      <c r="BY224" s="228">
        <f t="shared" si="236"/>
        <v>337</v>
      </c>
      <c r="BZ224" s="228">
        <f t="shared" si="236"/>
        <v>1097</v>
      </c>
      <c r="CA224" s="228">
        <f t="shared" si="236"/>
        <v>922</v>
      </c>
      <c r="CB224" s="228">
        <f t="shared" si="236"/>
        <v>6</v>
      </c>
      <c r="CC224" s="228">
        <f t="shared" si="236"/>
        <v>242</v>
      </c>
      <c r="CD224" s="228">
        <f t="shared" si="236"/>
        <v>856</v>
      </c>
      <c r="CE224" s="228">
        <f t="shared" si="236"/>
        <v>100</v>
      </c>
      <c r="CF224" s="228">
        <f t="shared" si="236"/>
        <v>246</v>
      </c>
      <c r="CG224" s="228">
        <f t="shared" si="236"/>
        <v>282</v>
      </c>
      <c r="CH224" s="228">
        <f t="shared" si="236"/>
        <v>55</v>
      </c>
      <c r="CI224" s="228">
        <f t="shared" si="236"/>
        <v>250</v>
      </c>
      <c r="CJ224" s="228">
        <f t="shared" si="236"/>
        <v>72</v>
      </c>
      <c r="CK224" s="228">
        <f t="shared" si="236"/>
        <v>73</v>
      </c>
      <c r="CL224" s="228">
        <f t="shared" si="236"/>
        <v>0</v>
      </c>
      <c r="CM224" s="228">
        <f t="shared" si="236"/>
        <v>64</v>
      </c>
      <c r="CN224" s="228">
        <f t="shared" si="236"/>
        <v>192</v>
      </c>
      <c r="CO224" s="228">
        <f t="shared" si="236"/>
        <v>561</v>
      </c>
      <c r="CP224" s="228">
        <f t="shared" si="236"/>
        <v>598</v>
      </c>
      <c r="CQ224" s="228">
        <f t="shared" si="236"/>
        <v>447</v>
      </c>
      <c r="CR224" s="228">
        <f t="shared" si="236"/>
        <v>145</v>
      </c>
      <c r="CS224" s="228">
        <f t="shared" si="236"/>
        <v>291</v>
      </c>
      <c r="CT224" s="228">
        <f t="shared" si="236"/>
        <v>474</v>
      </c>
      <c r="CU224" s="228">
        <f t="shared" si="236"/>
        <v>4410</v>
      </c>
      <c r="CV224" s="228">
        <f t="shared" si="236"/>
        <v>46</v>
      </c>
      <c r="CW224" s="228">
        <f t="shared" si="236"/>
        <v>880</v>
      </c>
      <c r="CX224" s="228">
        <f t="shared" si="236"/>
        <v>36</v>
      </c>
      <c r="CY224" s="228">
        <f t="shared" si="236"/>
        <v>166</v>
      </c>
      <c r="CZ224" s="228">
        <f t="shared" si="236"/>
        <v>44</v>
      </c>
      <c r="DA224" s="228">
        <f t="shared" si="236"/>
        <v>131</v>
      </c>
      <c r="DB224" s="228">
        <f t="shared" si="236"/>
        <v>142</v>
      </c>
      <c r="DC224" s="228">
        <f t="shared" si="236"/>
        <v>72</v>
      </c>
      <c r="DD224" s="228">
        <f t="shared" si="236"/>
        <v>249</v>
      </c>
      <c r="DE224" s="228">
        <f t="shared" si="236"/>
        <v>44</v>
      </c>
      <c r="DF224" s="228">
        <f t="shared" si="236"/>
        <v>0</v>
      </c>
      <c r="DG224" s="228">
        <f t="shared" si="236"/>
        <v>83</v>
      </c>
      <c r="DH224" s="228">
        <f t="shared" si="236"/>
        <v>95</v>
      </c>
      <c r="DI224" s="228">
        <f t="shared" si="236"/>
        <v>27</v>
      </c>
      <c r="DJ224" s="228">
        <f t="shared" si="236"/>
        <v>32</v>
      </c>
      <c r="DK224" s="228">
        <f t="shared" si="236"/>
        <v>4</v>
      </c>
      <c r="DL224" s="228">
        <f t="shared" si="236"/>
        <v>32</v>
      </c>
      <c r="DM224" s="228">
        <f t="shared" si="236"/>
        <v>44</v>
      </c>
      <c r="DN224" s="228">
        <f t="shared" si="236"/>
        <v>737</v>
      </c>
      <c r="DO224" s="228">
        <f t="shared" si="236"/>
        <v>37</v>
      </c>
      <c r="DP224" s="232">
        <f t="shared" si="236"/>
        <v>23962</v>
      </c>
      <c r="DQ224" s="228">
        <f t="shared" si="161"/>
        <v>795</v>
      </c>
      <c r="DR224" s="228">
        <f t="shared" si="162"/>
        <v>1014</v>
      </c>
      <c r="DS224" s="230">
        <f>SUM(X224:Y224)+(1-TRP!$AK$253)*AC224</f>
        <v>361.4</v>
      </c>
      <c r="DT224" s="228">
        <f t="shared" si="163"/>
        <v>70</v>
      </c>
      <c r="DU224" s="228">
        <f t="shared" si="164"/>
        <v>106</v>
      </c>
      <c r="DV224" s="228">
        <f t="shared" si="165"/>
        <v>112</v>
      </c>
      <c r="DW224" s="228">
        <f t="shared" si="166"/>
        <v>41</v>
      </c>
      <c r="DX224" s="228">
        <f t="shared" si="167"/>
        <v>66</v>
      </c>
      <c r="DY224" s="228">
        <f t="shared" si="168"/>
        <v>283</v>
      </c>
      <c r="DZ224" s="228">
        <f t="shared" si="169"/>
        <v>185</v>
      </c>
      <c r="EA224" s="228">
        <f t="shared" si="170"/>
        <v>49</v>
      </c>
      <c r="EB224" s="230">
        <f>TRP!$AK$253*$AC224+SUM(M224:W224,Z224:AB224,AD224:AR224,AU224:AX224,BC224:BE224,BI224:BN224,BQ224:BR224,BV224)</f>
        <v>2208.6</v>
      </c>
      <c r="EC224" s="228">
        <f t="shared" si="171"/>
        <v>2669</v>
      </c>
      <c r="ED224" s="230">
        <f>CB224+$CI224*TRP!$AV$248</f>
        <v>13.751062562881138</v>
      </c>
      <c r="EE224" s="228">
        <f t="shared" si="172"/>
        <v>242</v>
      </c>
      <c r="EF224" s="230">
        <f>CD224+$CI224*TRP!$AV$249</f>
        <v>1029.2989460901499</v>
      </c>
      <c r="EG224" s="230">
        <f>CE224+$CI224*TRP!$AV$250</f>
        <v>150.54836751036163</v>
      </c>
      <c r="EH224" s="230">
        <f>CF224+$CI224*TRP!$AV$251</f>
        <v>264.40162383660731</v>
      </c>
      <c r="EI224" s="228">
        <f t="shared" si="173"/>
        <v>11932</v>
      </c>
      <c r="EJ224" s="228">
        <f t="shared" si="174"/>
        <v>989</v>
      </c>
      <c r="EK224" s="228">
        <f t="shared" si="175"/>
        <v>0</v>
      </c>
      <c r="EL224" s="230">
        <f>BS224+$BP224*TRP!$AN$246</f>
        <v>198.65129591524013</v>
      </c>
      <c r="EM224" s="228">
        <f t="shared" si="176"/>
        <v>1006</v>
      </c>
      <c r="EN224" s="230">
        <f>BU224+$BP224*TRP!$AN$247</f>
        <v>176.34870408475987</v>
      </c>
    </row>
    <row r="225" spans="1:144" s="228" customFormat="1" ht="10.5" x14ac:dyDescent="0.25">
      <c r="A225" s="228" t="str">
        <f>TRP!C223</f>
        <v xml:space="preserve">GN32 </v>
      </c>
      <c r="B225" s="228" t="str">
        <f>TRP!B223</f>
        <v>SELECTION ET FOURNITURE DE PERSONNEL</v>
      </c>
      <c r="C225" s="233">
        <f>TRP!A223</f>
        <v>19</v>
      </c>
      <c r="D225" s="228">
        <f t="shared" ref="D225:BO225" si="237">D101</f>
        <v>0</v>
      </c>
      <c r="E225" s="228">
        <f t="shared" si="237"/>
        <v>103</v>
      </c>
      <c r="F225" s="228">
        <f t="shared" si="237"/>
        <v>75</v>
      </c>
      <c r="G225" s="228">
        <f t="shared" si="237"/>
        <v>463</v>
      </c>
      <c r="H225" s="228">
        <f t="shared" si="237"/>
        <v>345</v>
      </c>
      <c r="I225" s="228">
        <f t="shared" si="237"/>
        <v>235</v>
      </c>
      <c r="J225" s="228">
        <f t="shared" si="237"/>
        <v>196</v>
      </c>
      <c r="K225" s="228">
        <f t="shared" si="237"/>
        <v>612</v>
      </c>
      <c r="L225" s="228">
        <f t="shared" si="237"/>
        <v>49</v>
      </c>
      <c r="M225" s="228">
        <f t="shared" si="237"/>
        <v>59</v>
      </c>
      <c r="N225" s="228">
        <f t="shared" si="237"/>
        <v>18</v>
      </c>
      <c r="O225" s="228">
        <f t="shared" si="237"/>
        <v>238</v>
      </c>
      <c r="P225" s="228">
        <f t="shared" si="237"/>
        <v>387</v>
      </c>
      <c r="Q225" s="228">
        <f t="shared" si="237"/>
        <v>156</v>
      </c>
      <c r="R225" s="228">
        <f t="shared" si="237"/>
        <v>277</v>
      </c>
      <c r="S225" s="228">
        <f t="shared" si="237"/>
        <v>34</v>
      </c>
      <c r="T225" s="228">
        <f t="shared" si="237"/>
        <v>88</v>
      </c>
      <c r="U225" s="228">
        <f t="shared" si="237"/>
        <v>67</v>
      </c>
      <c r="V225" s="228">
        <f t="shared" si="237"/>
        <v>49</v>
      </c>
      <c r="W225" s="228">
        <f t="shared" si="237"/>
        <v>45</v>
      </c>
      <c r="X225" s="228">
        <f t="shared" si="237"/>
        <v>841</v>
      </c>
      <c r="Y225" s="228">
        <f t="shared" si="237"/>
        <v>335</v>
      </c>
      <c r="Z225" s="228">
        <f t="shared" si="237"/>
        <v>49</v>
      </c>
      <c r="AA225" s="228">
        <f t="shared" si="237"/>
        <v>26</v>
      </c>
      <c r="AB225" s="228">
        <f t="shared" si="237"/>
        <v>372</v>
      </c>
      <c r="AC225" s="228">
        <f t="shared" si="237"/>
        <v>11</v>
      </c>
      <c r="AD225" s="228">
        <f t="shared" si="237"/>
        <v>189</v>
      </c>
      <c r="AE225" s="228">
        <f t="shared" si="237"/>
        <v>210</v>
      </c>
      <c r="AF225" s="228">
        <f t="shared" si="237"/>
        <v>285</v>
      </c>
      <c r="AG225" s="228">
        <f t="shared" si="237"/>
        <v>424</v>
      </c>
      <c r="AH225" s="228">
        <f t="shared" si="237"/>
        <v>104</v>
      </c>
      <c r="AI225" s="228">
        <f t="shared" si="237"/>
        <v>51</v>
      </c>
      <c r="AJ225" s="228">
        <f t="shared" si="237"/>
        <v>247</v>
      </c>
      <c r="AK225" s="228">
        <f t="shared" si="237"/>
        <v>65</v>
      </c>
      <c r="AL225" s="228">
        <f t="shared" si="237"/>
        <v>45</v>
      </c>
      <c r="AM225" s="228">
        <f t="shared" si="237"/>
        <v>91</v>
      </c>
      <c r="AN225" s="228">
        <f t="shared" si="237"/>
        <v>172</v>
      </c>
      <c r="AO225" s="228">
        <f t="shared" si="237"/>
        <v>88</v>
      </c>
      <c r="AP225" s="228">
        <f t="shared" si="237"/>
        <v>206</v>
      </c>
      <c r="AQ225" s="228">
        <f t="shared" si="237"/>
        <v>0</v>
      </c>
      <c r="AR225" s="228">
        <f t="shared" si="237"/>
        <v>0</v>
      </c>
      <c r="AS225" s="228">
        <f t="shared" si="237"/>
        <v>149</v>
      </c>
      <c r="AT225" s="228">
        <f t="shared" si="237"/>
        <v>417</v>
      </c>
      <c r="AU225" s="228">
        <f t="shared" si="237"/>
        <v>68</v>
      </c>
      <c r="AV225" s="228">
        <f t="shared" si="237"/>
        <v>72</v>
      </c>
      <c r="AW225" s="228">
        <f t="shared" si="237"/>
        <v>23</v>
      </c>
      <c r="AX225" s="228">
        <f t="shared" si="237"/>
        <v>226</v>
      </c>
      <c r="AY225" s="228">
        <f t="shared" si="237"/>
        <v>152</v>
      </c>
      <c r="AZ225" s="228">
        <f t="shared" si="237"/>
        <v>206</v>
      </c>
      <c r="BA225" s="228">
        <f t="shared" si="237"/>
        <v>116</v>
      </c>
      <c r="BB225" s="228">
        <f t="shared" si="237"/>
        <v>382</v>
      </c>
      <c r="BC225" s="228">
        <f t="shared" si="237"/>
        <v>223</v>
      </c>
      <c r="BD225" s="228">
        <f t="shared" si="237"/>
        <v>7</v>
      </c>
      <c r="BE225" s="228">
        <f t="shared" si="237"/>
        <v>167</v>
      </c>
      <c r="BF225" s="228">
        <f t="shared" si="237"/>
        <v>448</v>
      </c>
      <c r="BG225" s="228">
        <f t="shared" si="237"/>
        <v>411</v>
      </c>
      <c r="BH225" s="228">
        <f t="shared" si="237"/>
        <v>182</v>
      </c>
      <c r="BI225" s="228">
        <f t="shared" si="237"/>
        <v>84</v>
      </c>
      <c r="BJ225" s="228">
        <f t="shared" si="237"/>
        <v>506</v>
      </c>
      <c r="BK225" s="228">
        <f t="shared" si="237"/>
        <v>301</v>
      </c>
      <c r="BL225" s="228">
        <f t="shared" si="237"/>
        <v>122</v>
      </c>
      <c r="BM225" s="228">
        <f t="shared" si="237"/>
        <v>502</v>
      </c>
      <c r="BN225" s="228">
        <f t="shared" si="237"/>
        <v>226</v>
      </c>
      <c r="BO225" s="228">
        <f t="shared" si="237"/>
        <v>0</v>
      </c>
      <c r="BP225" s="228">
        <f t="shared" ref="BP225:DP225" si="238">BP101</f>
        <v>0</v>
      </c>
      <c r="BQ225" s="228">
        <f t="shared" si="238"/>
        <v>0</v>
      </c>
      <c r="BR225" s="228">
        <f t="shared" si="238"/>
        <v>3</v>
      </c>
      <c r="BS225" s="228">
        <f t="shared" si="238"/>
        <v>38</v>
      </c>
      <c r="BT225" s="228">
        <f t="shared" si="238"/>
        <v>151</v>
      </c>
      <c r="BU225" s="228">
        <f t="shared" si="238"/>
        <v>79</v>
      </c>
      <c r="BV225" s="228">
        <f t="shared" si="238"/>
        <v>29</v>
      </c>
      <c r="BW225" s="228">
        <f t="shared" si="238"/>
        <v>4379</v>
      </c>
      <c r="BX225" s="228">
        <f t="shared" si="238"/>
        <v>1337</v>
      </c>
      <c r="BY225" s="228">
        <f t="shared" si="238"/>
        <v>204</v>
      </c>
      <c r="BZ225" s="228">
        <f t="shared" si="238"/>
        <v>1443</v>
      </c>
      <c r="CA225" s="228">
        <f t="shared" si="238"/>
        <v>842</v>
      </c>
      <c r="CB225" s="228">
        <f t="shared" si="238"/>
        <v>116</v>
      </c>
      <c r="CC225" s="228">
        <f t="shared" si="238"/>
        <v>189</v>
      </c>
      <c r="CD225" s="228">
        <f t="shared" si="238"/>
        <v>547</v>
      </c>
      <c r="CE225" s="228">
        <f t="shared" si="238"/>
        <v>119</v>
      </c>
      <c r="CF225" s="228">
        <f t="shared" si="238"/>
        <v>231</v>
      </c>
      <c r="CG225" s="228">
        <f t="shared" si="238"/>
        <v>372</v>
      </c>
      <c r="CH225" s="228">
        <f t="shared" si="238"/>
        <v>184</v>
      </c>
      <c r="CI225" s="228">
        <f t="shared" si="238"/>
        <v>418</v>
      </c>
      <c r="CJ225" s="228">
        <f t="shared" si="238"/>
        <v>244</v>
      </c>
      <c r="CK225" s="228">
        <f t="shared" si="238"/>
        <v>128</v>
      </c>
      <c r="CL225" s="228">
        <f t="shared" si="238"/>
        <v>114</v>
      </c>
      <c r="CM225" s="228">
        <f t="shared" si="238"/>
        <v>60</v>
      </c>
      <c r="CN225" s="228">
        <f t="shared" si="238"/>
        <v>76</v>
      </c>
      <c r="CO225" s="228">
        <f t="shared" si="238"/>
        <v>257</v>
      </c>
      <c r="CP225" s="228">
        <f t="shared" si="238"/>
        <v>287</v>
      </c>
      <c r="CQ225" s="228">
        <f t="shared" si="238"/>
        <v>306</v>
      </c>
      <c r="CR225" s="228">
        <f t="shared" si="238"/>
        <v>223</v>
      </c>
      <c r="CS225" s="228">
        <f t="shared" si="238"/>
        <v>158</v>
      </c>
      <c r="CT225" s="228">
        <f t="shared" si="238"/>
        <v>275</v>
      </c>
      <c r="CU225" s="228">
        <f t="shared" si="238"/>
        <v>232</v>
      </c>
      <c r="CV225" s="228">
        <f t="shared" si="238"/>
        <v>251</v>
      </c>
      <c r="CW225" s="228">
        <f t="shared" si="238"/>
        <v>719</v>
      </c>
      <c r="CX225" s="228">
        <f t="shared" si="238"/>
        <v>124</v>
      </c>
      <c r="CY225" s="228">
        <f t="shared" si="238"/>
        <v>72</v>
      </c>
      <c r="CZ225" s="228">
        <f t="shared" si="238"/>
        <v>76</v>
      </c>
      <c r="DA225" s="228">
        <f t="shared" si="238"/>
        <v>341</v>
      </c>
      <c r="DB225" s="228">
        <f t="shared" si="238"/>
        <v>42</v>
      </c>
      <c r="DC225" s="228">
        <f t="shared" si="238"/>
        <v>43</v>
      </c>
      <c r="DD225" s="228">
        <f t="shared" si="238"/>
        <v>144</v>
      </c>
      <c r="DE225" s="228">
        <f t="shared" si="238"/>
        <v>45</v>
      </c>
      <c r="DF225" s="228">
        <f t="shared" si="238"/>
        <v>0</v>
      </c>
      <c r="DG225" s="228">
        <f t="shared" si="238"/>
        <v>0</v>
      </c>
      <c r="DH225" s="228">
        <f t="shared" si="238"/>
        <v>278</v>
      </c>
      <c r="DI225" s="228">
        <f t="shared" si="238"/>
        <v>0</v>
      </c>
      <c r="DJ225" s="228">
        <f t="shared" si="238"/>
        <v>224</v>
      </c>
      <c r="DK225" s="228">
        <f t="shared" si="238"/>
        <v>0</v>
      </c>
      <c r="DL225" s="228">
        <f t="shared" si="238"/>
        <v>0</v>
      </c>
      <c r="DM225" s="228">
        <f t="shared" si="238"/>
        <v>191</v>
      </c>
      <c r="DN225" s="228">
        <f t="shared" si="238"/>
        <v>996</v>
      </c>
      <c r="DO225" s="228">
        <f t="shared" si="238"/>
        <v>10</v>
      </c>
      <c r="DP225" s="232">
        <f t="shared" si="238"/>
        <v>28894</v>
      </c>
      <c r="DQ225" s="228">
        <f t="shared" si="161"/>
        <v>178</v>
      </c>
      <c r="DR225" s="228">
        <f t="shared" si="162"/>
        <v>1900</v>
      </c>
      <c r="DS225" s="230">
        <f>SUM(X225:Y225)+(1-TRP!$AK$253)*AC225</f>
        <v>1183.7</v>
      </c>
      <c r="DT225" s="228">
        <f t="shared" si="163"/>
        <v>149</v>
      </c>
      <c r="DU225" s="228">
        <f t="shared" si="164"/>
        <v>417</v>
      </c>
      <c r="DV225" s="228">
        <f t="shared" si="165"/>
        <v>358</v>
      </c>
      <c r="DW225" s="228">
        <f t="shared" si="166"/>
        <v>116</v>
      </c>
      <c r="DX225" s="228">
        <f t="shared" si="167"/>
        <v>382</v>
      </c>
      <c r="DY225" s="228">
        <f t="shared" si="168"/>
        <v>448</v>
      </c>
      <c r="DZ225" s="228">
        <f t="shared" si="169"/>
        <v>411</v>
      </c>
      <c r="EA225" s="228">
        <f t="shared" si="170"/>
        <v>182</v>
      </c>
      <c r="EB225" s="230">
        <f>TRP!$AK$253*$AC225+SUM(M225:W225,Z225:AB225,AD225:AR225,AU225:AX225,BC225:BE225,BI225:BN225,BQ225:BR225,BV225)</f>
        <v>6604.3</v>
      </c>
      <c r="EC225" s="228">
        <f t="shared" si="171"/>
        <v>5716</v>
      </c>
      <c r="ED225" s="230">
        <f>CB225+$CI225*TRP!$AV$248</f>
        <v>128.95977660513725</v>
      </c>
      <c r="EE225" s="228">
        <f t="shared" si="172"/>
        <v>189</v>
      </c>
      <c r="EF225" s="230">
        <f>CD225+$CI225*TRP!$AV$249</f>
        <v>836.75583786273069</v>
      </c>
      <c r="EG225" s="230">
        <f>CE225+$CI225*TRP!$AV$250</f>
        <v>203.51687047732466</v>
      </c>
      <c r="EH225" s="230">
        <f>CF225+$CI225*TRP!$AV$251</f>
        <v>261.7675150548074</v>
      </c>
      <c r="EI225" s="228">
        <f t="shared" si="173"/>
        <v>7186</v>
      </c>
      <c r="EJ225" s="228">
        <f t="shared" si="174"/>
        <v>1775</v>
      </c>
      <c r="EK225" s="228">
        <f t="shared" si="175"/>
        <v>0</v>
      </c>
      <c r="EL225" s="230">
        <f>BS225+$BP225*TRP!$AN$246</f>
        <v>38</v>
      </c>
      <c r="EM225" s="228">
        <f t="shared" si="176"/>
        <v>151</v>
      </c>
      <c r="EN225" s="230">
        <f>BU225+$BP225*TRP!$AN$247</f>
        <v>79</v>
      </c>
    </row>
    <row r="226" spans="1:144" s="228" customFormat="1" ht="10.5" x14ac:dyDescent="0.25">
      <c r="A226" s="228" t="str">
        <f>TRP!C224</f>
        <v xml:space="preserve">GN33 </v>
      </c>
      <c r="B226" s="228" t="str">
        <f>TRP!B224</f>
        <v>SECURITE  NETTOYAGE ET SERVICES DIVERS A</v>
      </c>
      <c r="C226" s="233">
        <f>TRP!A224</f>
        <v>19</v>
      </c>
      <c r="D226" s="228">
        <f t="shared" ref="D226:BO226" si="239">D102</f>
        <v>7</v>
      </c>
      <c r="E226" s="228">
        <f t="shared" si="239"/>
        <v>47</v>
      </c>
      <c r="F226" s="228">
        <f t="shared" si="239"/>
        <v>3</v>
      </c>
      <c r="G226" s="228">
        <f t="shared" si="239"/>
        <v>338</v>
      </c>
      <c r="H226" s="228">
        <f t="shared" si="239"/>
        <v>677</v>
      </c>
      <c r="I226" s="228">
        <f t="shared" si="239"/>
        <v>643</v>
      </c>
      <c r="J226" s="228">
        <f t="shared" si="239"/>
        <v>238</v>
      </c>
      <c r="K226" s="228">
        <f t="shared" si="239"/>
        <v>760</v>
      </c>
      <c r="L226" s="228">
        <f t="shared" si="239"/>
        <v>1</v>
      </c>
      <c r="M226" s="228">
        <f t="shared" si="239"/>
        <v>163</v>
      </c>
      <c r="N226" s="228">
        <f t="shared" si="239"/>
        <v>25</v>
      </c>
      <c r="O226" s="228">
        <f t="shared" si="239"/>
        <v>903</v>
      </c>
      <c r="P226" s="228">
        <f t="shared" si="239"/>
        <v>437</v>
      </c>
      <c r="Q226" s="228">
        <f t="shared" si="239"/>
        <v>406</v>
      </c>
      <c r="R226" s="228">
        <f t="shared" si="239"/>
        <v>163</v>
      </c>
      <c r="S226" s="228">
        <f t="shared" si="239"/>
        <v>51</v>
      </c>
      <c r="T226" s="228">
        <f t="shared" si="239"/>
        <v>73</v>
      </c>
      <c r="U226" s="228">
        <f t="shared" si="239"/>
        <v>46</v>
      </c>
      <c r="V226" s="228">
        <f t="shared" si="239"/>
        <v>24</v>
      </c>
      <c r="W226" s="228">
        <f t="shared" si="239"/>
        <v>12</v>
      </c>
      <c r="X226" s="228">
        <f t="shared" si="239"/>
        <v>485</v>
      </c>
      <c r="Y226" s="228">
        <f t="shared" si="239"/>
        <v>191</v>
      </c>
      <c r="Z226" s="228">
        <f t="shared" si="239"/>
        <v>58</v>
      </c>
      <c r="AA226" s="228">
        <f t="shared" si="239"/>
        <v>171</v>
      </c>
      <c r="AB226" s="228">
        <f t="shared" si="239"/>
        <v>541</v>
      </c>
      <c r="AC226" s="228">
        <f t="shared" si="239"/>
        <v>64</v>
      </c>
      <c r="AD226" s="228">
        <f t="shared" si="239"/>
        <v>146</v>
      </c>
      <c r="AE226" s="228">
        <f t="shared" si="239"/>
        <v>160</v>
      </c>
      <c r="AF226" s="228">
        <f t="shared" si="239"/>
        <v>236</v>
      </c>
      <c r="AG226" s="228">
        <f t="shared" si="239"/>
        <v>632</v>
      </c>
      <c r="AH226" s="228">
        <f t="shared" si="239"/>
        <v>72</v>
      </c>
      <c r="AI226" s="228">
        <f t="shared" si="239"/>
        <v>44</v>
      </c>
      <c r="AJ226" s="228">
        <f t="shared" si="239"/>
        <v>306</v>
      </c>
      <c r="AK226" s="228">
        <f t="shared" si="239"/>
        <v>146</v>
      </c>
      <c r="AL226" s="228">
        <f t="shared" si="239"/>
        <v>12</v>
      </c>
      <c r="AM226" s="228">
        <f t="shared" si="239"/>
        <v>122</v>
      </c>
      <c r="AN226" s="228">
        <f t="shared" si="239"/>
        <v>163</v>
      </c>
      <c r="AO226" s="228">
        <f t="shared" si="239"/>
        <v>144</v>
      </c>
      <c r="AP226" s="228">
        <f t="shared" si="239"/>
        <v>168</v>
      </c>
      <c r="AQ226" s="228">
        <f t="shared" si="239"/>
        <v>0</v>
      </c>
      <c r="AR226" s="228">
        <f t="shared" si="239"/>
        <v>54</v>
      </c>
      <c r="AS226" s="228">
        <f t="shared" si="239"/>
        <v>207</v>
      </c>
      <c r="AT226" s="228">
        <f t="shared" si="239"/>
        <v>436</v>
      </c>
      <c r="AU226" s="228">
        <f t="shared" si="239"/>
        <v>123</v>
      </c>
      <c r="AV226" s="228">
        <f t="shared" si="239"/>
        <v>109</v>
      </c>
      <c r="AW226" s="228">
        <f t="shared" si="239"/>
        <v>47</v>
      </c>
      <c r="AX226" s="228">
        <f t="shared" si="239"/>
        <v>126</v>
      </c>
      <c r="AY226" s="228">
        <f t="shared" si="239"/>
        <v>259</v>
      </c>
      <c r="AZ226" s="228">
        <f t="shared" si="239"/>
        <v>271</v>
      </c>
      <c r="BA226" s="228">
        <f t="shared" si="239"/>
        <v>66</v>
      </c>
      <c r="BB226" s="228">
        <f t="shared" si="239"/>
        <v>271</v>
      </c>
      <c r="BC226" s="228">
        <f t="shared" si="239"/>
        <v>200</v>
      </c>
      <c r="BD226" s="228">
        <f t="shared" si="239"/>
        <v>11</v>
      </c>
      <c r="BE226" s="228">
        <f t="shared" si="239"/>
        <v>157</v>
      </c>
      <c r="BF226" s="228">
        <f t="shared" si="239"/>
        <v>407</v>
      </c>
      <c r="BG226" s="228">
        <f t="shared" si="239"/>
        <v>567</v>
      </c>
      <c r="BH226" s="228">
        <f t="shared" si="239"/>
        <v>393</v>
      </c>
      <c r="BI226" s="228">
        <f t="shared" si="239"/>
        <v>144</v>
      </c>
      <c r="BJ226" s="228">
        <f t="shared" si="239"/>
        <v>762</v>
      </c>
      <c r="BK226" s="228">
        <f t="shared" si="239"/>
        <v>337</v>
      </c>
      <c r="BL226" s="228">
        <f t="shared" si="239"/>
        <v>71</v>
      </c>
      <c r="BM226" s="228">
        <f t="shared" si="239"/>
        <v>218</v>
      </c>
      <c r="BN226" s="228">
        <f t="shared" si="239"/>
        <v>96</v>
      </c>
      <c r="BO226" s="228">
        <f t="shared" si="239"/>
        <v>0</v>
      </c>
      <c r="BP226" s="228">
        <f t="shared" ref="BP226:DP226" si="240">BP102</f>
        <v>0</v>
      </c>
      <c r="BQ226" s="228">
        <f t="shared" si="240"/>
        <v>0</v>
      </c>
      <c r="BR226" s="228">
        <f t="shared" si="240"/>
        <v>95</v>
      </c>
      <c r="BS226" s="228">
        <f t="shared" si="240"/>
        <v>407</v>
      </c>
      <c r="BT226" s="228">
        <f t="shared" si="240"/>
        <v>1317</v>
      </c>
      <c r="BU226" s="228">
        <f t="shared" si="240"/>
        <v>95</v>
      </c>
      <c r="BV226" s="228">
        <f t="shared" si="240"/>
        <v>277</v>
      </c>
      <c r="BW226" s="228">
        <f t="shared" si="240"/>
        <v>3208</v>
      </c>
      <c r="BX226" s="228">
        <f t="shared" si="240"/>
        <v>627</v>
      </c>
      <c r="BY226" s="228">
        <f t="shared" si="240"/>
        <v>1731</v>
      </c>
      <c r="BZ226" s="228">
        <f t="shared" si="240"/>
        <v>12462</v>
      </c>
      <c r="CA226" s="228">
        <f t="shared" si="240"/>
        <v>3585</v>
      </c>
      <c r="CB226" s="228">
        <f t="shared" si="240"/>
        <v>14</v>
      </c>
      <c r="CC226" s="228">
        <f t="shared" si="240"/>
        <v>398</v>
      </c>
      <c r="CD226" s="228">
        <f t="shared" si="240"/>
        <v>941</v>
      </c>
      <c r="CE226" s="228">
        <f t="shared" si="240"/>
        <v>734</v>
      </c>
      <c r="CF226" s="228">
        <f t="shared" si="240"/>
        <v>531</v>
      </c>
      <c r="CG226" s="228">
        <f t="shared" si="240"/>
        <v>801</v>
      </c>
      <c r="CH226" s="228">
        <f t="shared" si="240"/>
        <v>422</v>
      </c>
      <c r="CI226" s="228">
        <f t="shared" si="240"/>
        <v>714</v>
      </c>
      <c r="CJ226" s="228">
        <f t="shared" si="240"/>
        <v>5119</v>
      </c>
      <c r="CK226" s="228">
        <f t="shared" si="240"/>
        <v>3473</v>
      </c>
      <c r="CL226" s="228">
        <f t="shared" si="240"/>
        <v>3093</v>
      </c>
      <c r="CM226" s="228">
        <f t="shared" si="240"/>
        <v>1147</v>
      </c>
      <c r="CN226" s="228">
        <f t="shared" si="240"/>
        <v>2215</v>
      </c>
      <c r="CO226" s="228">
        <f t="shared" si="240"/>
        <v>2112</v>
      </c>
      <c r="CP226" s="228">
        <f t="shared" si="240"/>
        <v>1722</v>
      </c>
      <c r="CQ226" s="228">
        <f t="shared" si="240"/>
        <v>1409</v>
      </c>
      <c r="CR226" s="228">
        <f t="shared" si="240"/>
        <v>5019</v>
      </c>
      <c r="CS226" s="228">
        <f t="shared" si="240"/>
        <v>1258</v>
      </c>
      <c r="CT226" s="228">
        <f t="shared" si="240"/>
        <v>2029</v>
      </c>
      <c r="CU226" s="228">
        <f t="shared" si="240"/>
        <v>1448</v>
      </c>
      <c r="CV226" s="228">
        <f t="shared" si="240"/>
        <v>103</v>
      </c>
      <c r="CW226" s="228">
        <f t="shared" si="240"/>
        <v>12255</v>
      </c>
      <c r="CX226" s="228">
        <f t="shared" si="240"/>
        <v>131</v>
      </c>
      <c r="CY226" s="228">
        <f t="shared" si="240"/>
        <v>2887</v>
      </c>
      <c r="CZ226" s="228">
        <f t="shared" si="240"/>
        <v>127</v>
      </c>
      <c r="DA226" s="228">
        <f t="shared" si="240"/>
        <v>1629</v>
      </c>
      <c r="DB226" s="228">
        <f t="shared" si="240"/>
        <v>438</v>
      </c>
      <c r="DC226" s="228">
        <f t="shared" si="240"/>
        <v>849</v>
      </c>
      <c r="DD226" s="228">
        <f t="shared" si="240"/>
        <v>615</v>
      </c>
      <c r="DE226" s="228">
        <f t="shared" si="240"/>
        <v>338</v>
      </c>
      <c r="DF226" s="228">
        <f t="shared" si="240"/>
        <v>0</v>
      </c>
      <c r="DG226" s="228">
        <f t="shared" si="240"/>
        <v>442</v>
      </c>
      <c r="DH226" s="228">
        <f t="shared" si="240"/>
        <v>2150</v>
      </c>
      <c r="DI226" s="228">
        <f t="shared" si="240"/>
        <v>1473</v>
      </c>
      <c r="DJ226" s="228">
        <f t="shared" si="240"/>
        <v>1824</v>
      </c>
      <c r="DK226" s="228">
        <f t="shared" si="240"/>
        <v>27</v>
      </c>
      <c r="DL226" s="228">
        <f t="shared" si="240"/>
        <v>415</v>
      </c>
      <c r="DM226" s="228">
        <f t="shared" si="240"/>
        <v>569</v>
      </c>
      <c r="DN226" s="228">
        <f t="shared" si="240"/>
        <v>5351</v>
      </c>
      <c r="DO226" s="228">
        <f t="shared" si="240"/>
        <v>707</v>
      </c>
      <c r="DP226" s="232">
        <f t="shared" si="240"/>
        <v>104943</v>
      </c>
      <c r="DQ226" s="228">
        <f t="shared" si="161"/>
        <v>57</v>
      </c>
      <c r="DR226" s="228">
        <f t="shared" si="162"/>
        <v>2657</v>
      </c>
      <c r="DS226" s="230">
        <f>SUM(X226:Y226)+(1-TRP!$AK$253)*AC226</f>
        <v>720.8</v>
      </c>
      <c r="DT226" s="228">
        <f t="shared" si="163"/>
        <v>207</v>
      </c>
      <c r="DU226" s="228">
        <f t="shared" si="164"/>
        <v>436</v>
      </c>
      <c r="DV226" s="228">
        <f t="shared" si="165"/>
        <v>530</v>
      </c>
      <c r="DW226" s="228">
        <f t="shared" si="166"/>
        <v>66</v>
      </c>
      <c r="DX226" s="228">
        <f t="shared" si="167"/>
        <v>271</v>
      </c>
      <c r="DY226" s="228">
        <f t="shared" si="168"/>
        <v>407</v>
      </c>
      <c r="DZ226" s="228">
        <f t="shared" si="169"/>
        <v>567</v>
      </c>
      <c r="EA226" s="228">
        <f t="shared" si="170"/>
        <v>393</v>
      </c>
      <c r="EB226" s="230">
        <f>TRP!$AK$253*$AC226+SUM(M226:W226,Z226:AB226,AD226:AR226,AU226:AX226,BC226:BE226,BI226:BN226,BQ226:BR226,BV226)</f>
        <v>8270.2000000000007</v>
      </c>
      <c r="EC226" s="228">
        <f t="shared" si="171"/>
        <v>3835</v>
      </c>
      <c r="ED226" s="230">
        <f>CB226+$CI226*TRP!$AV$248</f>
        <v>36.137034679588524</v>
      </c>
      <c r="EE226" s="228">
        <f t="shared" si="172"/>
        <v>398</v>
      </c>
      <c r="EF226" s="230">
        <f>CD226+$CI226*TRP!$AV$249</f>
        <v>1435.9417900334681</v>
      </c>
      <c r="EG226" s="230">
        <f>CE226+$CI226*TRP!$AV$250</f>
        <v>878.3661376095929</v>
      </c>
      <c r="EH226" s="230">
        <f>CF226+$CI226*TRP!$AV$251</f>
        <v>583.55503767735047</v>
      </c>
      <c r="EI226" s="228">
        <f t="shared" si="173"/>
        <v>70647</v>
      </c>
      <c r="EJ226" s="228">
        <f t="shared" si="174"/>
        <v>10728</v>
      </c>
      <c r="EK226" s="228">
        <f t="shared" si="175"/>
        <v>0</v>
      </c>
      <c r="EL226" s="230">
        <f>BS226+$BP226*TRP!$AN$246</f>
        <v>407</v>
      </c>
      <c r="EM226" s="228">
        <f t="shared" si="176"/>
        <v>1317</v>
      </c>
      <c r="EN226" s="230">
        <f>BU226+$BP226*TRP!$AN$247</f>
        <v>95</v>
      </c>
    </row>
    <row r="227" spans="1:144" s="228" customFormat="1" ht="10.5" x14ac:dyDescent="0.25">
      <c r="A227" s="228" t="str">
        <f>TRP!C225</f>
        <v xml:space="preserve">GN34 </v>
      </c>
      <c r="B227" s="228" t="str">
        <f>TRP!B225</f>
        <v>ASSAINISSEMENT  VOIRIE ET GESTION DES DE</v>
      </c>
      <c r="C227" s="233">
        <f>TRP!A225</f>
        <v>19</v>
      </c>
      <c r="D227" s="228">
        <f t="shared" ref="D227:BO227" si="241">D103</f>
        <v>53</v>
      </c>
      <c r="E227" s="228">
        <f t="shared" si="241"/>
        <v>0</v>
      </c>
      <c r="F227" s="228">
        <f t="shared" si="241"/>
        <v>0</v>
      </c>
      <c r="G227" s="228">
        <f t="shared" si="241"/>
        <v>74</v>
      </c>
      <c r="H227" s="228">
        <f t="shared" si="241"/>
        <v>58</v>
      </c>
      <c r="I227" s="228">
        <f t="shared" si="241"/>
        <v>73</v>
      </c>
      <c r="J227" s="228">
        <f t="shared" si="241"/>
        <v>35</v>
      </c>
      <c r="K227" s="228">
        <f t="shared" si="241"/>
        <v>91</v>
      </c>
      <c r="L227" s="228">
        <f t="shared" si="241"/>
        <v>1</v>
      </c>
      <c r="M227" s="228">
        <f t="shared" si="241"/>
        <v>18</v>
      </c>
      <c r="N227" s="228">
        <f t="shared" si="241"/>
        <v>13</v>
      </c>
      <c r="O227" s="228">
        <f t="shared" si="241"/>
        <v>100</v>
      </c>
      <c r="P227" s="228">
        <f t="shared" si="241"/>
        <v>177</v>
      </c>
      <c r="Q227" s="228">
        <f t="shared" si="241"/>
        <v>124</v>
      </c>
      <c r="R227" s="228">
        <f t="shared" si="241"/>
        <v>41</v>
      </c>
      <c r="S227" s="228">
        <f t="shared" si="241"/>
        <v>1</v>
      </c>
      <c r="T227" s="228">
        <f t="shared" si="241"/>
        <v>16</v>
      </c>
      <c r="U227" s="228">
        <f t="shared" si="241"/>
        <v>6</v>
      </c>
      <c r="V227" s="228">
        <f t="shared" si="241"/>
        <v>5</v>
      </c>
      <c r="W227" s="228">
        <f t="shared" si="241"/>
        <v>9</v>
      </c>
      <c r="X227" s="228">
        <f t="shared" si="241"/>
        <v>62</v>
      </c>
      <c r="Y227" s="228">
        <f t="shared" si="241"/>
        <v>46</v>
      </c>
      <c r="Z227" s="228">
        <f t="shared" si="241"/>
        <v>9</v>
      </c>
      <c r="AA227" s="228">
        <f t="shared" si="241"/>
        <v>12</v>
      </c>
      <c r="AB227" s="228">
        <f t="shared" si="241"/>
        <v>29</v>
      </c>
      <c r="AC227" s="228">
        <f t="shared" si="241"/>
        <v>6</v>
      </c>
      <c r="AD227" s="228">
        <f t="shared" si="241"/>
        <v>10</v>
      </c>
      <c r="AE227" s="228">
        <f t="shared" si="241"/>
        <v>9</v>
      </c>
      <c r="AF227" s="228">
        <f t="shared" si="241"/>
        <v>25</v>
      </c>
      <c r="AG227" s="228">
        <f t="shared" si="241"/>
        <v>22</v>
      </c>
      <c r="AH227" s="228">
        <f t="shared" si="241"/>
        <v>16</v>
      </c>
      <c r="AI227" s="228">
        <f t="shared" si="241"/>
        <v>6</v>
      </c>
      <c r="AJ227" s="228">
        <f t="shared" si="241"/>
        <v>19</v>
      </c>
      <c r="AK227" s="228">
        <f t="shared" si="241"/>
        <v>5</v>
      </c>
      <c r="AL227" s="228">
        <f t="shared" si="241"/>
        <v>4</v>
      </c>
      <c r="AM227" s="228">
        <f t="shared" si="241"/>
        <v>13</v>
      </c>
      <c r="AN227" s="228">
        <f t="shared" si="241"/>
        <v>35</v>
      </c>
      <c r="AO227" s="228">
        <f t="shared" si="241"/>
        <v>14</v>
      </c>
      <c r="AP227" s="228">
        <f t="shared" si="241"/>
        <v>22</v>
      </c>
      <c r="AQ227" s="228">
        <f t="shared" si="241"/>
        <v>0</v>
      </c>
      <c r="AR227" s="228">
        <f t="shared" si="241"/>
        <v>27</v>
      </c>
      <c r="AS227" s="228">
        <f t="shared" si="241"/>
        <v>42</v>
      </c>
      <c r="AT227" s="228">
        <f t="shared" si="241"/>
        <v>128</v>
      </c>
      <c r="AU227" s="228">
        <f t="shared" si="241"/>
        <v>23</v>
      </c>
      <c r="AV227" s="228">
        <f t="shared" si="241"/>
        <v>34</v>
      </c>
      <c r="AW227" s="228">
        <f t="shared" si="241"/>
        <v>12</v>
      </c>
      <c r="AX227" s="228">
        <f t="shared" si="241"/>
        <v>100</v>
      </c>
      <c r="AY227" s="228">
        <f t="shared" si="241"/>
        <v>65</v>
      </c>
      <c r="AZ227" s="228">
        <f t="shared" si="241"/>
        <v>102</v>
      </c>
      <c r="BA227" s="228">
        <f t="shared" si="241"/>
        <v>38</v>
      </c>
      <c r="BB227" s="228">
        <f t="shared" si="241"/>
        <v>98</v>
      </c>
      <c r="BC227" s="228">
        <f t="shared" si="241"/>
        <v>79</v>
      </c>
      <c r="BD227" s="228">
        <f t="shared" si="241"/>
        <v>3</v>
      </c>
      <c r="BE227" s="228">
        <f t="shared" si="241"/>
        <v>34</v>
      </c>
      <c r="BF227" s="228">
        <f t="shared" si="241"/>
        <v>87</v>
      </c>
      <c r="BG227" s="228">
        <f t="shared" si="241"/>
        <v>135</v>
      </c>
      <c r="BH227" s="228">
        <f t="shared" si="241"/>
        <v>67</v>
      </c>
      <c r="BI227" s="228">
        <f t="shared" si="241"/>
        <v>53</v>
      </c>
      <c r="BJ227" s="228">
        <f t="shared" si="241"/>
        <v>85</v>
      </c>
      <c r="BK227" s="228">
        <f t="shared" si="241"/>
        <v>63</v>
      </c>
      <c r="BL227" s="228">
        <f t="shared" si="241"/>
        <v>80</v>
      </c>
      <c r="BM227" s="228">
        <f t="shared" si="241"/>
        <v>29</v>
      </c>
      <c r="BN227" s="228">
        <f t="shared" si="241"/>
        <v>42</v>
      </c>
      <c r="BO227" s="228">
        <f t="shared" si="241"/>
        <v>0</v>
      </c>
      <c r="BP227" s="228">
        <f t="shared" ref="BP227:DP227" si="242">BP103</f>
        <v>9</v>
      </c>
      <c r="BQ227" s="228">
        <f t="shared" si="242"/>
        <v>0</v>
      </c>
      <c r="BR227" s="228">
        <f t="shared" si="242"/>
        <v>7</v>
      </c>
      <c r="BS227" s="228">
        <f t="shared" si="242"/>
        <v>76</v>
      </c>
      <c r="BT227" s="228">
        <f t="shared" si="242"/>
        <v>145</v>
      </c>
      <c r="BU227" s="228">
        <f t="shared" si="242"/>
        <v>73</v>
      </c>
      <c r="BV227" s="228">
        <f t="shared" si="242"/>
        <v>692</v>
      </c>
      <c r="BW227" s="228">
        <f t="shared" si="242"/>
        <v>443</v>
      </c>
      <c r="BX227" s="228">
        <f t="shared" si="242"/>
        <v>193</v>
      </c>
      <c r="BY227" s="228">
        <f t="shared" si="242"/>
        <v>226</v>
      </c>
      <c r="BZ227" s="228">
        <f t="shared" si="242"/>
        <v>655</v>
      </c>
      <c r="CA227" s="228">
        <f t="shared" si="242"/>
        <v>671</v>
      </c>
      <c r="CB227" s="228">
        <f t="shared" si="242"/>
        <v>3</v>
      </c>
      <c r="CC227" s="228">
        <f t="shared" si="242"/>
        <v>15</v>
      </c>
      <c r="CD227" s="228">
        <f t="shared" si="242"/>
        <v>62</v>
      </c>
      <c r="CE227" s="228">
        <f t="shared" si="242"/>
        <v>23</v>
      </c>
      <c r="CF227" s="228">
        <f t="shared" si="242"/>
        <v>51</v>
      </c>
      <c r="CG227" s="228">
        <f t="shared" si="242"/>
        <v>48</v>
      </c>
      <c r="CH227" s="228">
        <f t="shared" si="242"/>
        <v>28</v>
      </c>
      <c r="CI227" s="228">
        <f t="shared" si="242"/>
        <v>75</v>
      </c>
      <c r="CJ227" s="228">
        <f t="shared" si="242"/>
        <v>28</v>
      </c>
      <c r="CK227" s="228">
        <f t="shared" si="242"/>
        <v>36</v>
      </c>
      <c r="CL227" s="228">
        <f t="shared" si="242"/>
        <v>23</v>
      </c>
      <c r="CM227" s="228">
        <f t="shared" si="242"/>
        <v>170</v>
      </c>
      <c r="CN227" s="228">
        <f t="shared" si="242"/>
        <v>1332</v>
      </c>
      <c r="CO227" s="228">
        <f t="shared" si="242"/>
        <v>221</v>
      </c>
      <c r="CP227" s="228">
        <f t="shared" si="242"/>
        <v>270</v>
      </c>
      <c r="CQ227" s="228">
        <f t="shared" si="242"/>
        <v>228</v>
      </c>
      <c r="CR227" s="228">
        <f t="shared" si="242"/>
        <v>246</v>
      </c>
      <c r="CS227" s="228">
        <f t="shared" si="242"/>
        <v>113</v>
      </c>
      <c r="CT227" s="228">
        <f t="shared" si="242"/>
        <v>219</v>
      </c>
      <c r="CU227" s="228">
        <f t="shared" si="242"/>
        <v>143</v>
      </c>
      <c r="CV227" s="228">
        <f t="shared" si="242"/>
        <v>19</v>
      </c>
      <c r="CW227" s="228">
        <f t="shared" si="242"/>
        <v>715</v>
      </c>
      <c r="CX227" s="228">
        <f t="shared" si="242"/>
        <v>4245</v>
      </c>
      <c r="CY227" s="228">
        <f t="shared" si="242"/>
        <v>143</v>
      </c>
      <c r="CZ227" s="228">
        <f t="shared" si="242"/>
        <v>0</v>
      </c>
      <c r="DA227" s="228">
        <f t="shared" si="242"/>
        <v>254</v>
      </c>
      <c r="DB227" s="228">
        <f t="shared" si="242"/>
        <v>91</v>
      </c>
      <c r="DC227" s="228">
        <f t="shared" si="242"/>
        <v>60</v>
      </c>
      <c r="DD227" s="228">
        <f t="shared" si="242"/>
        <v>6</v>
      </c>
      <c r="DE227" s="228">
        <f t="shared" si="242"/>
        <v>50</v>
      </c>
      <c r="DF227" s="228">
        <f t="shared" si="242"/>
        <v>0</v>
      </c>
      <c r="DG227" s="228">
        <f t="shared" si="242"/>
        <v>33</v>
      </c>
      <c r="DH227" s="228">
        <f t="shared" si="242"/>
        <v>1</v>
      </c>
      <c r="DI227" s="228">
        <f t="shared" si="242"/>
        <v>93</v>
      </c>
      <c r="DJ227" s="228">
        <f t="shared" si="242"/>
        <v>1</v>
      </c>
      <c r="DK227" s="228">
        <f t="shared" si="242"/>
        <v>2</v>
      </c>
      <c r="DL227" s="228">
        <f t="shared" si="242"/>
        <v>56</v>
      </c>
      <c r="DM227" s="228">
        <f t="shared" si="242"/>
        <v>10</v>
      </c>
      <c r="DN227" s="228">
        <f t="shared" si="242"/>
        <v>2876</v>
      </c>
      <c r="DO227" s="228">
        <f t="shared" si="242"/>
        <v>0</v>
      </c>
      <c r="DP227" s="232">
        <f t="shared" si="242"/>
        <v>17864</v>
      </c>
      <c r="DQ227" s="228">
        <f t="shared" si="161"/>
        <v>53</v>
      </c>
      <c r="DR227" s="228">
        <f t="shared" si="162"/>
        <v>332</v>
      </c>
      <c r="DS227" s="230">
        <f>SUM(X227:Y227)+(1-TRP!$AK$253)*AC227</f>
        <v>112.2</v>
      </c>
      <c r="DT227" s="228">
        <f t="shared" si="163"/>
        <v>42</v>
      </c>
      <c r="DU227" s="228">
        <f t="shared" si="164"/>
        <v>128</v>
      </c>
      <c r="DV227" s="228">
        <f t="shared" si="165"/>
        <v>167</v>
      </c>
      <c r="DW227" s="228">
        <f t="shared" si="166"/>
        <v>38</v>
      </c>
      <c r="DX227" s="228">
        <f t="shared" si="167"/>
        <v>98</v>
      </c>
      <c r="DY227" s="228">
        <f t="shared" si="168"/>
        <v>87</v>
      </c>
      <c r="DZ227" s="228">
        <f t="shared" si="169"/>
        <v>135</v>
      </c>
      <c r="EA227" s="228">
        <f t="shared" si="170"/>
        <v>67</v>
      </c>
      <c r="EB227" s="230">
        <f>TRP!$AK$253*$AC227+SUM(M227:W227,Z227:AB227,AD227:AR227,AU227:AX227,BC227:BE227,BI227:BN227,BQ227:BR227,BV227)</f>
        <v>2124.8000000000002</v>
      </c>
      <c r="EC227" s="228">
        <f t="shared" si="171"/>
        <v>636</v>
      </c>
      <c r="ED227" s="230">
        <f>CB227+$CI227*TRP!$AV$248</f>
        <v>5.3253187688643413</v>
      </c>
      <c r="EE227" s="228">
        <f t="shared" si="172"/>
        <v>15</v>
      </c>
      <c r="EF227" s="230">
        <f>CD227+$CI227*TRP!$AV$249</f>
        <v>113.98968382704498</v>
      </c>
      <c r="EG227" s="230">
        <f>CE227+$CI227*TRP!$AV$250</f>
        <v>38.164510253108489</v>
      </c>
      <c r="EH227" s="230">
        <f>CF227+$CI227*TRP!$AV$251</f>
        <v>56.520487150982191</v>
      </c>
      <c r="EI227" s="228">
        <f t="shared" si="173"/>
        <v>10424</v>
      </c>
      <c r="EJ227" s="228">
        <f t="shared" si="174"/>
        <v>2888</v>
      </c>
      <c r="EK227" s="228">
        <f t="shared" si="175"/>
        <v>0</v>
      </c>
      <c r="EL227" s="230">
        <f>BS227+$BP227*TRP!$AN$246</f>
        <v>82.651295915240141</v>
      </c>
      <c r="EM227" s="228">
        <f t="shared" si="176"/>
        <v>145</v>
      </c>
      <c r="EN227" s="230">
        <f>BU227+$BP227*TRP!$AN$247</f>
        <v>75.348704084759859</v>
      </c>
    </row>
    <row r="228" spans="1:144" s="228" customFormat="1" ht="10.5" x14ac:dyDescent="0.25">
      <c r="A228" s="228" t="str">
        <f>TRP!C226</f>
        <v xml:space="preserve">GN4A </v>
      </c>
      <c r="B228" s="228" t="str">
        <f>TRP!B226</f>
        <v>RECHERCHE ET DEVELOPPEMENT MARCHANDS</v>
      </c>
      <c r="C228" s="233">
        <f>TRP!A226</f>
        <v>19</v>
      </c>
      <c r="D228" s="228">
        <f t="shared" ref="D228:BO228" si="243">D104</f>
        <v>237</v>
      </c>
      <c r="E228" s="228">
        <f t="shared" si="243"/>
        <v>6</v>
      </c>
      <c r="F228" s="228">
        <f t="shared" si="243"/>
        <v>1</v>
      </c>
      <c r="G228" s="228">
        <f t="shared" si="243"/>
        <v>26</v>
      </c>
      <c r="H228" s="228">
        <f t="shared" si="243"/>
        <v>101</v>
      </c>
      <c r="I228" s="228">
        <f t="shared" si="243"/>
        <v>64</v>
      </c>
      <c r="J228" s="228">
        <f t="shared" si="243"/>
        <v>76</v>
      </c>
      <c r="K228" s="228">
        <f t="shared" si="243"/>
        <v>172</v>
      </c>
      <c r="L228" s="228">
        <f t="shared" si="243"/>
        <v>11</v>
      </c>
      <c r="M228" s="228">
        <f t="shared" si="243"/>
        <v>20</v>
      </c>
      <c r="N228" s="228">
        <f t="shared" si="243"/>
        <v>3</v>
      </c>
      <c r="O228" s="228">
        <f t="shared" si="243"/>
        <v>7</v>
      </c>
      <c r="P228" s="228">
        <f t="shared" si="243"/>
        <v>2964</v>
      </c>
      <c r="Q228" s="228">
        <f t="shared" si="243"/>
        <v>466</v>
      </c>
      <c r="R228" s="228">
        <f t="shared" si="243"/>
        <v>130</v>
      </c>
      <c r="S228" s="228">
        <f t="shared" si="243"/>
        <v>2</v>
      </c>
      <c r="T228" s="228">
        <f t="shared" si="243"/>
        <v>58</v>
      </c>
      <c r="U228" s="228">
        <f t="shared" si="243"/>
        <v>60</v>
      </c>
      <c r="V228" s="228">
        <f t="shared" si="243"/>
        <v>118</v>
      </c>
      <c r="W228" s="228">
        <f t="shared" si="243"/>
        <v>62</v>
      </c>
      <c r="X228" s="228">
        <f t="shared" si="243"/>
        <v>2827</v>
      </c>
      <c r="Y228" s="228">
        <f t="shared" si="243"/>
        <v>715</v>
      </c>
      <c r="Z228" s="228">
        <f t="shared" si="243"/>
        <v>54</v>
      </c>
      <c r="AA228" s="228">
        <f t="shared" si="243"/>
        <v>94</v>
      </c>
      <c r="AB228" s="228">
        <f t="shared" si="243"/>
        <v>1672</v>
      </c>
      <c r="AC228" s="228">
        <f t="shared" si="243"/>
        <v>23</v>
      </c>
      <c r="AD228" s="228">
        <f t="shared" si="243"/>
        <v>7</v>
      </c>
      <c r="AE228" s="228">
        <f t="shared" si="243"/>
        <v>90</v>
      </c>
      <c r="AF228" s="228">
        <f t="shared" si="243"/>
        <v>248</v>
      </c>
      <c r="AG228" s="228">
        <f t="shared" si="243"/>
        <v>245</v>
      </c>
      <c r="AH228" s="228">
        <f t="shared" si="243"/>
        <v>76</v>
      </c>
      <c r="AI228" s="228">
        <f t="shared" si="243"/>
        <v>38</v>
      </c>
      <c r="AJ228" s="228">
        <f t="shared" si="243"/>
        <v>183</v>
      </c>
      <c r="AK228" s="228">
        <f t="shared" si="243"/>
        <v>0</v>
      </c>
      <c r="AL228" s="228">
        <f t="shared" si="243"/>
        <v>149</v>
      </c>
      <c r="AM228" s="228">
        <f t="shared" si="243"/>
        <v>98</v>
      </c>
      <c r="AN228" s="228">
        <f t="shared" si="243"/>
        <v>1187</v>
      </c>
      <c r="AO228" s="228">
        <f t="shared" si="243"/>
        <v>186</v>
      </c>
      <c r="AP228" s="228">
        <f t="shared" si="243"/>
        <v>756</v>
      </c>
      <c r="AQ228" s="228">
        <f t="shared" si="243"/>
        <v>1</v>
      </c>
      <c r="AR228" s="228">
        <f t="shared" si="243"/>
        <v>37</v>
      </c>
      <c r="AS228" s="228">
        <f t="shared" si="243"/>
        <v>153</v>
      </c>
      <c r="AT228" s="228">
        <f t="shared" si="243"/>
        <v>124</v>
      </c>
      <c r="AU228" s="228">
        <f t="shared" si="243"/>
        <v>21</v>
      </c>
      <c r="AV228" s="228">
        <f t="shared" si="243"/>
        <v>58</v>
      </c>
      <c r="AW228" s="228">
        <f t="shared" si="243"/>
        <v>12</v>
      </c>
      <c r="AX228" s="228">
        <f t="shared" si="243"/>
        <v>12</v>
      </c>
      <c r="AY228" s="228">
        <f t="shared" si="243"/>
        <v>27</v>
      </c>
      <c r="AZ228" s="228">
        <f t="shared" si="243"/>
        <v>18</v>
      </c>
      <c r="BA228" s="228">
        <f t="shared" si="243"/>
        <v>192</v>
      </c>
      <c r="BB228" s="228">
        <f t="shared" si="243"/>
        <v>279</v>
      </c>
      <c r="BC228" s="228">
        <f t="shared" si="243"/>
        <v>291</v>
      </c>
      <c r="BD228" s="228">
        <f t="shared" si="243"/>
        <v>3</v>
      </c>
      <c r="BE228" s="228">
        <f t="shared" si="243"/>
        <v>569</v>
      </c>
      <c r="BF228" s="228">
        <f t="shared" si="243"/>
        <v>254</v>
      </c>
      <c r="BG228" s="228">
        <f t="shared" si="243"/>
        <v>187</v>
      </c>
      <c r="BH228" s="228">
        <f t="shared" si="243"/>
        <v>83</v>
      </c>
      <c r="BI228" s="228">
        <f t="shared" si="243"/>
        <v>49</v>
      </c>
      <c r="BJ228" s="228">
        <f t="shared" si="243"/>
        <v>29</v>
      </c>
      <c r="BK228" s="228">
        <f t="shared" si="243"/>
        <v>93</v>
      </c>
      <c r="BL228" s="228">
        <f t="shared" si="243"/>
        <v>3</v>
      </c>
      <c r="BM228" s="228">
        <f t="shared" si="243"/>
        <v>810</v>
      </c>
      <c r="BN228" s="228">
        <f t="shared" si="243"/>
        <v>1584</v>
      </c>
      <c r="BO228" s="228">
        <f t="shared" si="243"/>
        <v>0</v>
      </c>
      <c r="BP228" s="228">
        <f t="shared" ref="BP228:DP228" si="244">BP104</f>
        <v>56</v>
      </c>
      <c r="BQ228" s="228">
        <f t="shared" si="244"/>
        <v>0</v>
      </c>
      <c r="BR228" s="228">
        <f t="shared" si="244"/>
        <v>29</v>
      </c>
      <c r="BS228" s="228">
        <f t="shared" si="244"/>
        <v>123</v>
      </c>
      <c r="BT228" s="228">
        <f t="shared" si="244"/>
        <v>374</v>
      </c>
      <c r="BU228" s="228">
        <f t="shared" si="244"/>
        <v>32</v>
      </c>
      <c r="BV228" s="228">
        <f t="shared" si="244"/>
        <v>1</v>
      </c>
      <c r="BW228" s="228">
        <f t="shared" si="244"/>
        <v>48</v>
      </c>
      <c r="BX228" s="228">
        <f t="shared" si="244"/>
        <v>65</v>
      </c>
      <c r="BY228" s="228">
        <f t="shared" si="244"/>
        <v>0</v>
      </c>
      <c r="BZ228" s="228">
        <f t="shared" si="244"/>
        <v>0</v>
      </c>
      <c r="CA228" s="228">
        <f t="shared" si="244"/>
        <v>0</v>
      </c>
      <c r="CB228" s="228">
        <f t="shared" si="244"/>
        <v>13</v>
      </c>
      <c r="CC228" s="228">
        <f t="shared" si="244"/>
        <v>2</v>
      </c>
      <c r="CD228" s="228">
        <f t="shared" si="244"/>
        <v>1</v>
      </c>
      <c r="CE228" s="228">
        <f t="shared" si="244"/>
        <v>4</v>
      </c>
      <c r="CF228" s="228">
        <f t="shared" si="244"/>
        <v>0</v>
      </c>
      <c r="CG228" s="228">
        <f t="shared" si="244"/>
        <v>0</v>
      </c>
      <c r="CH228" s="228">
        <f t="shared" si="244"/>
        <v>0</v>
      </c>
      <c r="CI228" s="228">
        <f t="shared" si="244"/>
        <v>0</v>
      </c>
      <c r="CJ228" s="228">
        <f t="shared" si="244"/>
        <v>0</v>
      </c>
      <c r="CK228" s="228">
        <f t="shared" si="244"/>
        <v>0</v>
      </c>
      <c r="CL228" s="228">
        <f t="shared" si="244"/>
        <v>0</v>
      </c>
      <c r="CM228" s="228">
        <f t="shared" si="244"/>
        <v>0</v>
      </c>
      <c r="CN228" s="228">
        <f t="shared" si="244"/>
        <v>0</v>
      </c>
      <c r="CO228" s="228">
        <f t="shared" si="244"/>
        <v>772</v>
      </c>
      <c r="CP228" s="228">
        <f t="shared" si="244"/>
        <v>1238</v>
      </c>
      <c r="CQ228" s="228">
        <f t="shared" si="244"/>
        <v>0</v>
      </c>
      <c r="CR228" s="228">
        <f t="shared" si="244"/>
        <v>0</v>
      </c>
      <c r="CS228" s="228">
        <f t="shared" si="244"/>
        <v>0</v>
      </c>
      <c r="CT228" s="228">
        <f t="shared" si="244"/>
        <v>244</v>
      </c>
      <c r="CU228" s="228">
        <f t="shared" si="244"/>
        <v>0</v>
      </c>
      <c r="CV228" s="228">
        <f t="shared" si="244"/>
        <v>0</v>
      </c>
      <c r="CW228" s="228">
        <f t="shared" si="244"/>
        <v>0</v>
      </c>
      <c r="CX228" s="228">
        <f t="shared" si="244"/>
        <v>0</v>
      </c>
      <c r="CY228" s="228">
        <f t="shared" si="244"/>
        <v>1662</v>
      </c>
      <c r="CZ228" s="228">
        <f t="shared" si="244"/>
        <v>839</v>
      </c>
      <c r="DA228" s="228">
        <f t="shared" si="244"/>
        <v>0</v>
      </c>
      <c r="DB228" s="228">
        <f t="shared" si="244"/>
        <v>0</v>
      </c>
      <c r="DC228" s="228">
        <f t="shared" si="244"/>
        <v>0</v>
      </c>
      <c r="DD228" s="228">
        <f t="shared" si="244"/>
        <v>13</v>
      </c>
      <c r="DE228" s="228">
        <f t="shared" si="244"/>
        <v>0</v>
      </c>
      <c r="DF228" s="228">
        <f t="shared" si="244"/>
        <v>0</v>
      </c>
      <c r="DG228" s="228">
        <f t="shared" si="244"/>
        <v>0</v>
      </c>
      <c r="DH228" s="228">
        <f t="shared" si="244"/>
        <v>29</v>
      </c>
      <c r="DI228" s="228">
        <f t="shared" si="244"/>
        <v>45</v>
      </c>
      <c r="DJ228" s="228">
        <f t="shared" si="244"/>
        <v>95</v>
      </c>
      <c r="DK228" s="228">
        <f t="shared" si="244"/>
        <v>0</v>
      </c>
      <c r="DL228" s="228">
        <f t="shared" si="244"/>
        <v>0</v>
      </c>
      <c r="DM228" s="228">
        <f t="shared" si="244"/>
        <v>0</v>
      </c>
      <c r="DN228" s="228">
        <f t="shared" si="244"/>
        <v>1214</v>
      </c>
      <c r="DO228" s="228">
        <f t="shared" si="244"/>
        <v>0</v>
      </c>
      <c r="DP228" s="232">
        <f t="shared" si="244"/>
        <v>25020</v>
      </c>
      <c r="DQ228" s="228">
        <f t="shared" si="161"/>
        <v>244</v>
      </c>
      <c r="DR228" s="228">
        <f t="shared" si="162"/>
        <v>450</v>
      </c>
      <c r="DS228" s="230">
        <f>SUM(X228:Y228)+(1-TRP!$AK$253)*AC228</f>
        <v>3558.1</v>
      </c>
      <c r="DT228" s="228">
        <f t="shared" si="163"/>
        <v>153</v>
      </c>
      <c r="DU228" s="228">
        <f t="shared" si="164"/>
        <v>124</v>
      </c>
      <c r="DV228" s="228">
        <f t="shared" si="165"/>
        <v>45</v>
      </c>
      <c r="DW228" s="228">
        <f t="shared" si="166"/>
        <v>192</v>
      </c>
      <c r="DX228" s="228">
        <f t="shared" si="167"/>
        <v>279</v>
      </c>
      <c r="DY228" s="228">
        <f t="shared" si="168"/>
        <v>254</v>
      </c>
      <c r="DZ228" s="228">
        <f t="shared" si="169"/>
        <v>187</v>
      </c>
      <c r="EA228" s="228">
        <f t="shared" si="170"/>
        <v>83</v>
      </c>
      <c r="EB228" s="230">
        <f>TRP!$AK$253*$AC228+SUM(M228:W228,Z228:AB228,AD228:AR228,AU228:AX228,BC228:BE228,BI228:BN228,BQ228:BR228,BV228)</f>
        <v>12581.9</v>
      </c>
      <c r="EC228" s="228">
        <f t="shared" si="171"/>
        <v>113</v>
      </c>
      <c r="ED228" s="230">
        <f>CB228+$CI228*TRP!$AV$248</f>
        <v>13</v>
      </c>
      <c r="EE228" s="228">
        <f t="shared" si="172"/>
        <v>2</v>
      </c>
      <c r="EF228" s="230">
        <f>CD228+$CI228*TRP!$AV$249</f>
        <v>1</v>
      </c>
      <c r="EG228" s="230">
        <f>CE228+$CI228*TRP!$AV$250</f>
        <v>4</v>
      </c>
      <c r="EH228" s="230">
        <f>CF228+$CI228*TRP!$AV$251</f>
        <v>0</v>
      </c>
      <c r="EI228" s="228">
        <f t="shared" si="173"/>
        <v>3974</v>
      </c>
      <c r="EJ228" s="228">
        <f t="shared" si="174"/>
        <v>2177</v>
      </c>
      <c r="EK228" s="228">
        <f t="shared" si="175"/>
        <v>0</v>
      </c>
      <c r="EL228" s="230">
        <f>BS228+$BP228*TRP!$AN$246</f>
        <v>164.38584125038307</v>
      </c>
      <c r="EM228" s="228">
        <f t="shared" si="176"/>
        <v>374</v>
      </c>
      <c r="EN228" s="230">
        <f>BU228+$BP228*TRP!$AN$247</f>
        <v>46.614158749616919</v>
      </c>
    </row>
    <row r="229" spans="1:144" s="228" customFormat="1" ht="10.5" x14ac:dyDescent="0.25">
      <c r="A229" s="228" t="str">
        <f>TRP!C227</f>
        <v xml:space="preserve">GN4B </v>
      </c>
      <c r="B229" s="228" t="str">
        <f>TRP!B227</f>
        <v>RECHERCHE ET DEVELOPPEMENT NON MARCHANDS</v>
      </c>
      <c r="C229" s="233">
        <f>TRP!A227</f>
        <v>20</v>
      </c>
      <c r="D229" s="228">
        <f t="shared" ref="D229:BO229" si="245">D105</f>
        <v>0</v>
      </c>
      <c r="E229" s="228">
        <f t="shared" si="245"/>
        <v>0</v>
      </c>
      <c r="F229" s="228">
        <f t="shared" si="245"/>
        <v>0</v>
      </c>
      <c r="G229" s="228">
        <f t="shared" si="245"/>
        <v>0</v>
      </c>
      <c r="H229" s="228">
        <f t="shared" si="245"/>
        <v>0</v>
      </c>
      <c r="I229" s="228">
        <f t="shared" si="245"/>
        <v>0</v>
      </c>
      <c r="J229" s="228">
        <f t="shared" si="245"/>
        <v>0</v>
      </c>
      <c r="K229" s="228">
        <f t="shared" si="245"/>
        <v>0</v>
      </c>
      <c r="L229" s="228">
        <f t="shared" si="245"/>
        <v>0</v>
      </c>
      <c r="M229" s="228">
        <f t="shared" si="245"/>
        <v>0</v>
      </c>
      <c r="N229" s="228">
        <f t="shared" si="245"/>
        <v>0</v>
      </c>
      <c r="O229" s="228">
        <f t="shared" si="245"/>
        <v>0</v>
      </c>
      <c r="P229" s="228">
        <f t="shared" si="245"/>
        <v>0</v>
      </c>
      <c r="Q229" s="228">
        <f t="shared" si="245"/>
        <v>0</v>
      </c>
      <c r="R229" s="228">
        <f t="shared" si="245"/>
        <v>0</v>
      </c>
      <c r="S229" s="228">
        <f t="shared" si="245"/>
        <v>0</v>
      </c>
      <c r="T229" s="228">
        <f t="shared" si="245"/>
        <v>0</v>
      </c>
      <c r="U229" s="228">
        <f t="shared" si="245"/>
        <v>0</v>
      </c>
      <c r="V229" s="228">
        <f t="shared" si="245"/>
        <v>0</v>
      </c>
      <c r="W229" s="228">
        <f t="shared" si="245"/>
        <v>0</v>
      </c>
      <c r="X229" s="228">
        <f t="shared" si="245"/>
        <v>0</v>
      </c>
      <c r="Y229" s="228">
        <f t="shared" si="245"/>
        <v>0</v>
      </c>
      <c r="Z229" s="228">
        <f t="shared" si="245"/>
        <v>0</v>
      </c>
      <c r="AA229" s="228">
        <f t="shared" si="245"/>
        <v>0</v>
      </c>
      <c r="AB229" s="228">
        <f t="shared" si="245"/>
        <v>0</v>
      </c>
      <c r="AC229" s="228">
        <f t="shared" si="245"/>
        <v>0</v>
      </c>
      <c r="AD229" s="228">
        <f t="shared" si="245"/>
        <v>0</v>
      </c>
      <c r="AE229" s="228">
        <f t="shared" si="245"/>
        <v>0</v>
      </c>
      <c r="AF229" s="228">
        <f t="shared" si="245"/>
        <v>0</v>
      </c>
      <c r="AG229" s="228">
        <f t="shared" si="245"/>
        <v>0</v>
      </c>
      <c r="AH229" s="228">
        <f t="shared" si="245"/>
        <v>0</v>
      </c>
      <c r="AI229" s="228">
        <f t="shared" si="245"/>
        <v>0</v>
      </c>
      <c r="AJ229" s="228">
        <f t="shared" si="245"/>
        <v>0</v>
      </c>
      <c r="AK229" s="228">
        <f t="shared" si="245"/>
        <v>0</v>
      </c>
      <c r="AL229" s="228">
        <f t="shared" si="245"/>
        <v>0</v>
      </c>
      <c r="AM229" s="228">
        <f t="shared" si="245"/>
        <v>0</v>
      </c>
      <c r="AN229" s="228">
        <f t="shared" si="245"/>
        <v>0</v>
      </c>
      <c r="AO229" s="228">
        <f t="shared" si="245"/>
        <v>0</v>
      </c>
      <c r="AP229" s="228">
        <f t="shared" si="245"/>
        <v>0</v>
      </c>
      <c r="AQ229" s="228">
        <f t="shared" si="245"/>
        <v>0</v>
      </c>
      <c r="AR229" s="228">
        <f t="shared" si="245"/>
        <v>0</v>
      </c>
      <c r="AS229" s="228">
        <f t="shared" si="245"/>
        <v>0</v>
      </c>
      <c r="AT229" s="228">
        <f t="shared" si="245"/>
        <v>0</v>
      </c>
      <c r="AU229" s="228">
        <f t="shared" si="245"/>
        <v>0</v>
      </c>
      <c r="AV229" s="228">
        <f t="shared" si="245"/>
        <v>0</v>
      </c>
      <c r="AW229" s="228">
        <f t="shared" si="245"/>
        <v>0</v>
      </c>
      <c r="AX229" s="228">
        <f t="shared" si="245"/>
        <v>0</v>
      </c>
      <c r="AY229" s="228">
        <f t="shared" si="245"/>
        <v>0</v>
      </c>
      <c r="AZ229" s="228">
        <f t="shared" si="245"/>
        <v>0</v>
      </c>
      <c r="BA229" s="228">
        <f t="shared" si="245"/>
        <v>0</v>
      </c>
      <c r="BB229" s="228">
        <f t="shared" si="245"/>
        <v>0</v>
      </c>
      <c r="BC229" s="228">
        <f t="shared" si="245"/>
        <v>0</v>
      </c>
      <c r="BD229" s="228">
        <f t="shared" si="245"/>
        <v>0</v>
      </c>
      <c r="BE229" s="228">
        <f t="shared" si="245"/>
        <v>0</v>
      </c>
      <c r="BF229" s="228">
        <f t="shared" si="245"/>
        <v>0</v>
      </c>
      <c r="BG229" s="228">
        <f t="shared" si="245"/>
        <v>0</v>
      </c>
      <c r="BH229" s="228">
        <f t="shared" si="245"/>
        <v>0</v>
      </c>
      <c r="BI229" s="228">
        <f t="shared" si="245"/>
        <v>0</v>
      </c>
      <c r="BJ229" s="228">
        <f t="shared" si="245"/>
        <v>0</v>
      </c>
      <c r="BK229" s="228">
        <f t="shared" si="245"/>
        <v>0</v>
      </c>
      <c r="BL229" s="228">
        <f t="shared" si="245"/>
        <v>0</v>
      </c>
      <c r="BM229" s="228">
        <f t="shared" si="245"/>
        <v>0</v>
      </c>
      <c r="BN229" s="228">
        <f t="shared" si="245"/>
        <v>0</v>
      </c>
      <c r="BO229" s="228">
        <f t="shared" si="245"/>
        <v>0</v>
      </c>
      <c r="BP229" s="228">
        <f t="shared" ref="BP229:DP229" si="246">BP105</f>
        <v>0</v>
      </c>
      <c r="BQ229" s="228">
        <f t="shared" si="246"/>
        <v>0</v>
      </c>
      <c r="BR229" s="228">
        <f t="shared" si="246"/>
        <v>0</v>
      </c>
      <c r="BS229" s="228">
        <f t="shared" si="246"/>
        <v>0</v>
      </c>
      <c r="BT229" s="228">
        <f t="shared" si="246"/>
        <v>0</v>
      </c>
      <c r="BU229" s="228">
        <f t="shared" si="246"/>
        <v>0</v>
      </c>
      <c r="BV229" s="228">
        <f t="shared" si="246"/>
        <v>0</v>
      </c>
      <c r="BW229" s="228">
        <f t="shared" si="246"/>
        <v>0</v>
      </c>
      <c r="BX229" s="228">
        <f t="shared" si="246"/>
        <v>0</v>
      </c>
      <c r="BY229" s="228">
        <f t="shared" si="246"/>
        <v>0</v>
      </c>
      <c r="BZ229" s="228">
        <f t="shared" si="246"/>
        <v>0</v>
      </c>
      <c r="CA229" s="228">
        <f t="shared" si="246"/>
        <v>0</v>
      </c>
      <c r="CB229" s="228">
        <f t="shared" si="246"/>
        <v>0</v>
      </c>
      <c r="CC229" s="228">
        <f t="shared" si="246"/>
        <v>0</v>
      </c>
      <c r="CD229" s="228">
        <f t="shared" si="246"/>
        <v>0</v>
      </c>
      <c r="CE229" s="228">
        <f t="shared" si="246"/>
        <v>0</v>
      </c>
      <c r="CF229" s="228">
        <f t="shared" si="246"/>
        <v>0</v>
      </c>
      <c r="CG229" s="228">
        <f t="shared" si="246"/>
        <v>0</v>
      </c>
      <c r="CH229" s="228">
        <f t="shared" si="246"/>
        <v>0</v>
      </c>
      <c r="CI229" s="228">
        <f t="shared" si="246"/>
        <v>0</v>
      </c>
      <c r="CJ229" s="228">
        <f t="shared" si="246"/>
        <v>0</v>
      </c>
      <c r="CK229" s="228">
        <f t="shared" si="246"/>
        <v>0</v>
      </c>
      <c r="CL229" s="228">
        <f t="shared" si="246"/>
        <v>0</v>
      </c>
      <c r="CM229" s="228">
        <f t="shared" si="246"/>
        <v>0</v>
      </c>
      <c r="CN229" s="228">
        <f t="shared" si="246"/>
        <v>0</v>
      </c>
      <c r="CO229" s="228">
        <f t="shared" si="246"/>
        <v>0</v>
      </c>
      <c r="CP229" s="228">
        <f t="shared" si="246"/>
        <v>0</v>
      </c>
      <c r="CQ229" s="228">
        <f t="shared" si="246"/>
        <v>0</v>
      </c>
      <c r="CR229" s="228">
        <f t="shared" si="246"/>
        <v>0</v>
      </c>
      <c r="CS229" s="228">
        <f t="shared" si="246"/>
        <v>0</v>
      </c>
      <c r="CT229" s="228">
        <f t="shared" si="246"/>
        <v>0</v>
      </c>
      <c r="CU229" s="228">
        <f t="shared" si="246"/>
        <v>0</v>
      </c>
      <c r="CV229" s="228">
        <f t="shared" si="246"/>
        <v>0</v>
      </c>
      <c r="CW229" s="228">
        <f t="shared" si="246"/>
        <v>0</v>
      </c>
      <c r="CX229" s="228">
        <f t="shared" si="246"/>
        <v>0</v>
      </c>
      <c r="CY229" s="228">
        <f t="shared" si="246"/>
        <v>0</v>
      </c>
      <c r="CZ229" s="228">
        <f t="shared" si="246"/>
        <v>0</v>
      </c>
      <c r="DA229" s="228">
        <f t="shared" si="246"/>
        <v>0</v>
      </c>
      <c r="DB229" s="228">
        <f t="shared" si="246"/>
        <v>0</v>
      </c>
      <c r="DC229" s="228">
        <f t="shared" si="246"/>
        <v>0</v>
      </c>
      <c r="DD229" s="228">
        <f t="shared" si="246"/>
        <v>0</v>
      </c>
      <c r="DE229" s="228">
        <f t="shared" si="246"/>
        <v>0</v>
      </c>
      <c r="DF229" s="228">
        <f t="shared" si="246"/>
        <v>0</v>
      </c>
      <c r="DG229" s="228">
        <f t="shared" si="246"/>
        <v>0</v>
      </c>
      <c r="DH229" s="228">
        <f t="shared" si="246"/>
        <v>0</v>
      </c>
      <c r="DI229" s="228">
        <f t="shared" si="246"/>
        <v>0</v>
      </c>
      <c r="DJ229" s="228">
        <f t="shared" si="246"/>
        <v>0</v>
      </c>
      <c r="DK229" s="228">
        <f t="shared" si="246"/>
        <v>0</v>
      </c>
      <c r="DL229" s="228">
        <f t="shared" si="246"/>
        <v>0</v>
      </c>
      <c r="DM229" s="228">
        <f t="shared" si="246"/>
        <v>0</v>
      </c>
      <c r="DN229" s="228">
        <f t="shared" si="246"/>
        <v>0</v>
      </c>
      <c r="DO229" s="228">
        <f t="shared" si="246"/>
        <v>0</v>
      </c>
      <c r="DP229" s="232">
        <f t="shared" si="246"/>
        <v>0</v>
      </c>
      <c r="DQ229" s="228">
        <f t="shared" si="161"/>
        <v>0</v>
      </c>
      <c r="DR229" s="228">
        <f t="shared" si="162"/>
        <v>0</v>
      </c>
      <c r="DS229" s="230">
        <f>SUM(X229:Y229)+(1-TRP!$AK$253)*AC229</f>
        <v>0</v>
      </c>
      <c r="DT229" s="228">
        <f t="shared" si="163"/>
        <v>0</v>
      </c>
      <c r="DU229" s="228">
        <f t="shared" si="164"/>
        <v>0</v>
      </c>
      <c r="DV229" s="228">
        <f t="shared" si="165"/>
        <v>0</v>
      </c>
      <c r="DW229" s="228">
        <f t="shared" si="166"/>
        <v>0</v>
      </c>
      <c r="DX229" s="228">
        <f t="shared" si="167"/>
        <v>0</v>
      </c>
      <c r="DY229" s="228">
        <f t="shared" si="168"/>
        <v>0</v>
      </c>
      <c r="DZ229" s="228">
        <f t="shared" si="169"/>
        <v>0</v>
      </c>
      <c r="EA229" s="228">
        <f t="shared" si="170"/>
        <v>0</v>
      </c>
      <c r="EB229" s="230">
        <f>TRP!$AK$253*$AC229+SUM(M229:W229,Z229:AB229,AD229:AR229,AU229:AX229,BC229:BE229,BI229:BN229,BQ229:BR229,BV229)</f>
        <v>0</v>
      </c>
      <c r="EC229" s="228">
        <f t="shared" si="171"/>
        <v>0</v>
      </c>
      <c r="ED229" s="230">
        <f>CB229+$CI229*TRP!$AV$248</f>
        <v>0</v>
      </c>
      <c r="EE229" s="228">
        <f t="shared" si="172"/>
        <v>0</v>
      </c>
      <c r="EF229" s="230">
        <f>CD229+$CI229*TRP!$AV$249</f>
        <v>0</v>
      </c>
      <c r="EG229" s="230">
        <f>CE229+$CI229*TRP!$AV$250</f>
        <v>0</v>
      </c>
      <c r="EH229" s="230">
        <f>CF229+$CI229*TRP!$AV$251</f>
        <v>0</v>
      </c>
      <c r="EI229" s="228">
        <f t="shared" si="173"/>
        <v>0</v>
      </c>
      <c r="EJ229" s="228">
        <f t="shared" si="174"/>
        <v>0</v>
      </c>
      <c r="EK229" s="228">
        <f t="shared" si="175"/>
        <v>0</v>
      </c>
      <c r="EL229" s="230">
        <f>BS229+$BP229*TRP!$AN$246</f>
        <v>0</v>
      </c>
      <c r="EM229" s="228">
        <f t="shared" si="176"/>
        <v>0</v>
      </c>
      <c r="EN229" s="230">
        <f>BU229+$BP229*TRP!$AN$247</f>
        <v>0</v>
      </c>
    </row>
    <row r="230" spans="1:144" s="228" customFormat="1" ht="10.5" x14ac:dyDescent="0.25">
      <c r="A230" s="228" t="str">
        <f>TRP!C228</f>
        <v xml:space="preserve">GP10 </v>
      </c>
      <c r="B230" s="228" t="str">
        <f>TRP!B228</f>
        <v>HOTELS ET RESTAURANTS</v>
      </c>
      <c r="C230" s="233">
        <f>TRP!A228</f>
        <v>19</v>
      </c>
      <c r="D230" s="228">
        <f t="shared" ref="D230:BO230" si="247">D106</f>
        <v>26</v>
      </c>
      <c r="E230" s="228">
        <f t="shared" si="247"/>
        <v>3</v>
      </c>
      <c r="F230" s="228">
        <f t="shared" si="247"/>
        <v>1</v>
      </c>
      <c r="G230" s="228">
        <f t="shared" si="247"/>
        <v>40</v>
      </c>
      <c r="H230" s="228">
        <f t="shared" si="247"/>
        <v>84</v>
      </c>
      <c r="I230" s="228">
        <f t="shared" si="247"/>
        <v>49</v>
      </c>
      <c r="J230" s="228">
        <f t="shared" si="247"/>
        <v>54</v>
      </c>
      <c r="K230" s="228">
        <f t="shared" si="247"/>
        <v>150</v>
      </c>
      <c r="L230" s="228">
        <f t="shared" si="247"/>
        <v>1</v>
      </c>
      <c r="M230" s="228">
        <f t="shared" si="247"/>
        <v>26</v>
      </c>
      <c r="N230" s="228">
        <f t="shared" si="247"/>
        <v>8</v>
      </c>
      <c r="O230" s="228">
        <f t="shared" si="247"/>
        <v>109</v>
      </c>
      <c r="P230" s="228">
        <f t="shared" si="247"/>
        <v>162</v>
      </c>
      <c r="Q230" s="228">
        <f t="shared" si="247"/>
        <v>107</v>
      </c>
      <c r="R230" s="228">
        <f t="shared" si="247"/>
        <v>52</v>
      </c>
      <c r="S230" s="228">
        <f t="shared" si="247"/>
        <v>7</v>
      </c>
      <c r="T230" s="228">
        <f t="shared" si="247"/>
        <v>21</v>
      </c>
      <c r="U230" s="228">
        <f t="shared" si="247"/>
        <v>7</v>
      </c>
      <c r="V230" s="228">
        <f t="shared" si="247"/>
        <v>12</v>
      </c>
      <c r="W230" s="228">
        <f t="shared" si="247"/>
        <v>7</v>
      </c>
      <c r="X230" s="228">
        <f t="shared" si="247"/>
        <v>148</v>
      </c>
      <c r="Y230" s="228">
        <f t="shared" si="247"/>
        <v>62</v>
      </c>
      <c r="Z230" s="228">
        <f t="shared" si="247"/>
        <v>22</v>
      </c>
      <c r="AA230" s="228">
        <f t="shared" si="247"/>
        <v>26</v>
      </c>
      <c r="AB230" s="228">
        <f t="shared" si="247"/>
        <v>135</v>
      </c>
      <c r="AC230" s="228">
        <f t="shared" si="247"/>
        <v>14</v>
      </c>
      <c r="AD230" s="228">
        <f t="shared" si="247"/>
        <v>31</v>
      </c>
      <c r="AE230" s="228">
        <f t="shared" si="247"/>
        <v>39</v>
      </c>
      <c r="AF230" s="228">
        <f t="shared" si="247"/>
        <v>48</v>
      </c>
      <c r="AG230" s="228">
        <f t="shared" si="247"/>
        <v>82</v>
      </c>
      <c r="AH230" s="228">
        <f t="shared" si="247"/>
        <v>17</v>
      </c>
      <c r="AI230" s="228">
        <f t="shared" si="247"/>
        <v>8</v>
      </c>
      <c r="AJ230" s="228">
        <f t="shared" si="247"/>
        <v>57</v>
      </c>
      <c r="AK230" s="228">
        <f t="shared" si="247"/>
        <v>7</v>
      </c>
      <c r="AL230" s="228">
        <f t="shared" si="247"/>
        <v>8</v>
      </c>
      <c r="AM230" s="228">
        <f t="shared" si="247"/>
        <v>27</v>
      </c>
      <c r="AN230" s="228">
        <f t="shared" si="247"/>
        <v>54</v>
      </c>
      <c r="AO230" s="228">
        <f t="shared" si="247"/>
        <v>30</v>
      </c>
      <c r="AP230" s="228">
        <f t="shared" si="247"/>
        <v>52</v>
      </c>
      <c r="AQ230" s="228">
        <f t="shared" si="247"/>
        <v>0</v>
      </c>
      <c r="AR230" s="228">
        <f t="shared" si="247"/>
        <v>0</v>
      </c>
      <c r="AS230" s="228">
        <f t="shared" si="247"/>
        <v>39</v>
      </c>
      <c r="AT230" s="228">
        <f t="shared" si="247"/>
        <v>78</v>
      </c>
      <c r="AU230" s="228">
        <f t="shared" si="247"/>
        <v>21</v>
      </c>
      <c r="AV230" s="228">
        <f t="shared" si="247"/>
        <v>19</v>
      </c>
      <c r="AW230" s="228">
        <f t="shared" si="247"/>
        <v>9</v>
      </c>
      <c r="AX230" s="228">
        <f t="shared" si="247"/>
        <v>47</v>
      </c>
      <c r="AY230" s="228">
        <f t="shared" si="247"/>
        <v>16</v>
      </c>
      <c r="AZ230" s="228">
        <f t="shared" si="247"/>
        <v>25</v>
      </c>
      <c r="BA230" s="228">
        <f t="shared" si="247"/>
        <v>31</v>
      </c>
      <c r="BB230" s="228">
        <f t="shared" si="247"/>
        <v>75</v>
      </c>
      <c r="BC230" s="228">
        <f t="shared" si="247"/>
        <v>39</v>
      </c>
      <c r="BD230" s="228">
        <f t="shared" si="247"/>
        <v>1</v>
      </c>
      <c r="BE230" s="228">
        <f t="shared" si="247"/>
        <v>24</v>
      </c>
      <c r="BF230" s="228">
        <f t="shared" si="247"/>
        <v>106</v>
      </c>
      <c r="BG230" s="228">
        <f t="shared" si="247"/>
        <v>121</v>
      </c>
      <c r="BH230" s="228">
        <f t="shared" si="247"/>
        <v>33</v>
      </c>
      <c r="BI230" s="228">
        <f t="shared" si="247"/>
        <v>22</v>
      </c>
      <c r="BJ230" s="228">
        <f t="shared" si="247"/>
        <v>83</v>
      </c>
      <c r="BK230" s="228">
        <f t="shared" si="247"/>
        <v>51</v>
      </c>
      <c r="BL230" s="228">
        <f t="shared" si="247"/>
        <v>48</v>
      </c>
      <c r="BM230" s="228">
        <f t="shared" si="247"/>
        <v>52</v>
      </c>
      <c r="BN230" s="228">
        <f t="shared" si="247"/>
        <v>13</v>
      </c>
      <c r="BO230" s="228">
        <f t="shared" si="247"/>
        <v>0</v>
      </c>
      <c r="BP230" s="228">
        <f t="shared" ref="BP230:DP230" si="248">BP106</f>
        <v>0</v>
      </c>
      <c r="BQ230" s="228">
        <f t="shared" si="248"/>
        <v>0</v>
      </c>
      <c r="BR230" s="228">
        <f t="shared" si="248"/>
        <v>0</v>
      </c>
      <c r="BS230" s="228">
        <f t="shared" si="248"/>
        <v>81</v>
      </c>
      <c r="BT230" s="228">
        <f t="shared" si="248"/>
        <v>108</v>
      </c>
      <c r="BU230" s="228">
        <f t="shared" si="248"/>
        <v>14</v>
      </c>
      <c r="BV230" s="228">
        <f t="shared" si="248"/>
        <v>50</v>
      </c>
      <c r="BW230" s="228">
        <f t="shared" si="248"/>
        <v>133</v>
      </c>
      <c r="BX230" s="228">
        <f t="shared" si="248"/>
        <v>104</v>
      </c>
      <c r="BY230" s="228">
        <f t="shared" si="248"/>
        <v>213</v>
      </c>
      <c r="BZ230" s="228">
        <f t="shared" si="248"/>
        <v>3038</v>
      </c>
      <c r="CA230" s="228">
        <f t="shared" si="248"/>
        <v>2048</v>
      </c>
      <c r="CB230" s="228">
        <f t="shared" si="248"/>
        <v>9</v>
      </c>
      <c r="CC230" s="228">
        <f t="shared" si="248"/>
        <v>134</v>
      </c>
      <c r="CD230" s="228">
        <f t="shared" si="248"/>
        <v>488</v>
      </c>
      <c r="CE230" s="228">
        <f t="shared" si="248"/>
        <v>166</v>
      </c>
      <c r="CF230" s="228">
        <f t="shared" si="248"/>
        <v>107</v>
      </c>
      <c r="CG230" s="228">
        <f t="shared" si="248"/>
        <v>115</v>
      </c>
      <c r="CH230" s="228">
        <f t="shared" si="248"/>
        <v>118</v>
      </c>
      <c r="CI230" s="228">
        <f t="shared" si="248"/>
        <v>100</v>
      </c>
      <c r="CJ230" s="228">
        <f t="shared" si="248"/>
        <v>474</v>
      </c>
      <c r="CK230" s="228">
        <f t="shared" si="248"/>
        <v>98</v>
      </c>
      <c r="CL230" s="228">
        <f t="shared" si="248"/>
        <v>61</v>
      </c>
      <c r="CM230" s="228">
        <f t="shared" si="248"/>
        <v>352</v>
      </c>
      <c r="CN230" s="228">
        <f t="shared" si="248"/>
        <v>487</v>
      </c>
      <c r="CO230" s="228">
        <f t="shared" si="248"/>
        <v>293</v>
      </c>
      <c r="CP230" s="228">
        <f t="shared" si="248"/>
        <v>661</v>
      </c>
      <c r="CQ230" s="228">
        <f t="shared" si="248"/>
        <v>608</v>
      </c>
      <c r="CR230" s="228">
        <f t="shared" si="248"/>
        <v>435</v>
      </c>
      <c r="CS230" s="228">
        <f t="shared" si="248"/>
        <v>73</v>
      </c>
      <c r="CT230" s="228">
        <f t="shared" si="248"/>
        <v>541</v>
      </c>
      <c r="CU230" s="228">
        <f t="shared" si="248"/>
        <v>244</v>
      </c>
      <c r="CV230" s="228">
        <f t="shared" si="248"/>
        <v>78</v>
      </c>
      <c r="CW230" s="228">
        <f t="shared" si="248"/>
        <v>1517</v>
      </c>
      <c r="CX230" s="228">
        <f t="shared" si="248"/>
        <v>53</v>
      </c>
      <c r="CY230" s="228">
        <f t="shared" si="248"/>
        <v>220</v>
      </c>
      <c r="CZ230" s="228">
        <f t="shared" si="248"/>
        <v>34</v>
      </c>
      <c r="DA230" s="228">
        <f t="shared" si="248"/>
        <v>1993</v>
      </c>
      <c r="DB230" s="228">
        <f t="shared" si="248"/>
        <v>264</v>
      </c>
      <c r="DC230" s="228">
        <f t="shared" si="248"/>
        <v>364</v>
      </c>
      <c r="DD230" s="228">
        <f t="shared" si="248"/>
        <v>306</v>
      </c>
      <c r="DE230" s="228">
        <f t="shared" si="248"/>
        <v>49</v>
      </c>
      <c r="DF230" s="228">
        <f t="shared" si="248"/>
        <v>0</v>
      </c>
      <c r="DG230" s="228">
        <f t="shared" si="248"/>
        <v>56</v>
      </c>
      <c r="DH230" s="228">
        <f t="shared" si="248"/>
        <v>581</v>
      </c>
      <c r="DI230" s="228">
        <f t="shared" si="248"/>
        <v>233</v>
      </c>
      <c r="DJ230" s="228">
        <f t="shared" si="248"/>
        <v>99</v>
      </c>
      <c r="DK230" s="228">
        <f t="shared" si="248"/>
        <v>7</v>
      </c>
      <c r="DL230" s="228">
        <f t="shared" si="248"/>
        <v>358</v>
      </c>
      <c r="DM230" s="228">
        <f t="shared" si="248"/>
        <v>1181</v>
      </c>
      <c r="DN230" s="228">
        <f t="shared" si="248"/>
        <v>291</v>
      </c>
      <c r="DO230" s="228">
        <f t="shared" si="248"/>
        <v>86</v>
      </c>
      <c r="DP230" s="232">
        <f t="shared" si="248"/>
        <v>21869</v>
      </c>
      <c r="DQ230" s="228">
        <f t="shared" si="161"/>
        <v>30</v>
      </c>
      <c r="DR230" s="228">
        <f t="shared" si="162"/>
        <v>378</v>
      </c>
      <c r="DS230" s="230">
        <f>SUM(X230:Y230)+(1-TRP!$AK$253)*AC230</f>
        <v>219.8</v>
      </c>
      <c r="DT230" s="228">
        <f t="shared" si="163"/>
        <v>39</v>
      </c>
      <c r="DU230" s="228">
        <f t="shared" si="164"/>
        <v>78</v>
      </c>
      <c r="DV230" s="228">
        <f t="shared" si="165"/>
        <v>41</v>
      </c>
      <c r="DW230" s="228">
        <f t="shared" si="166"/>
        <v>31</v>
      </c>
      <c r="DX230" s="228">
        <f t="shared" si="167"/>
        <v>75</v>
      </c>
      <c r="DY230" s="228">
        <f t="shared" si="168"/>
        <v>106</v>
      </c>
      <c r="DZ230" s="228">
        <f t="shared" si="169"/>
        <v>121</v>
      </c>
      <c r="EA230" s="228">
        <f t="shared" si="170"/>
        <v>33</v>
      </c>
      <c r="EB230" s="230">
        <f>TRP!$AK$253*$AC230+SUM(M230:W230,Z230:AB230,AD230:AR230,AU230:AX230,BC230:BE230,BI230:BN230,BQ230:BR230,BV230)</f>
        <v>1644.2</v>
      </c>
      <c r="EC230" s="228">
        <f t="shared" si="171"/>
        <v>237</v>
      </c>
      <c r="ED230" s="230">
        <f>CB230+$CI230*TRP!$AV$248</f>
        <v>12.100425025152454</v>
      </c>
      <c r="EE230" s="228">
        <f t="shared" si="172"/>
        <v>134</v>
      </c>
      <c r="EF230" s="230">
        <f>CD230+$CI230*TRP!$AV$249</f>
        <v>557.31957843605994</v>
      </c>
      <c r="EG230" s="230">
        <f>CE230+$CI230*TRP!$AV$250</f>
        <v>186.21934700414465</v>
      </c>
      <c r="EH230" s="230">
        <f>CF230+$CI230*TRP!$AV$251</f>
        <v>114.36064953464293</v>
      </c>
      <c r="EI230" s="228">
        <f t="shared" si="173"/>
        <v>15357</v>
      </c>
      <c r="EJ230" s="228">
        <f t="shared" si="174"/>
        <v>2272</v>
      </c>
      <c r="EK230" s="228">
        <f t="shared" si="175"/>
        <v>0</v>
      </c>
      <c r="EL230" s="230">
        <f>BS230+$BP230*TRP!$AN$246</f>
        <v>81</v>
      </c>
      <c r="EM230" s="228">
        <f t="shared" si="176"/>
        <v>108</v>
      </c>
      <c r="EN230" s="230">
        <f>BU230+$BP230*TRP!$AN$247</f>
        <v>14</v>
      </c>
    </row>
    <row r="231" spans="1:144" s="228" customFormat="1" ht="10.5" x14ac:dyDescent="0.25">
      <c r="A231" s="228" t="str">
        <f>TRP!C229</f>
        <v xml:space="preserve">GP21 </v>
      </c>
      <c r="B231" s="228" t="str">
        <f>TRP!B229</f>
        <v>ACTIVITES AUDIOVISUELLES</v>
      </c>
      <c r="C231" s="233">
        <f>TRP!A229</f>
        <v>19</v>
      </c>
      <c r="D231" s="228">
        <f t="shared" ref="D231:BO231" si="249">D107</f>
        <v>0</v>
      </c>
      <c r="E231" s="228">
        <f t="shared" si="249"/>
        <v>0</v>
      </c>
      <c r="F231" s="228">
        <f t="shared" si="249"/>
        <v>0</v>
      </c>
      <c r="G231" s="228">
        <f t="shared" si="249"/>
        <v>2</v>
      </c>
      <c r="H231" s="228">
        <f t="shared" si="249"/>
        <v>2</v>
      </c>
      <c r="I231" s="228">
        <f t="shared" si="249"/>
        <v>0</v>
      </c>
      <c r="J231" s="228">
        <f t="shared" si="249"/>
        <v>0</v>
      </c>
      <c r="K231" s="228">
        <f t="shared" si="249"/>
        <v>0</v>
      </c>
      <c r="L231" s="228">
        <f t="shared" si="249"/>
        <v>0</v>
      </c>
      <c r="M231" s="228">
        <f t="shared" si="249"/>
        <v>9</v>
      </c>
      <c r="N231" s="228">
        <f t="shared" si="249"/>
        <v>2</v>
      </c>
      <c r="O231" s="228">
        <f t="shared" si="249"/>
        <v>165</v>
      </c>
      <c r="P231" s="228">
        <f t="shared" si="249"/>
        <v>49</v>
      </c>
      <c r="Q231" s="228">
        <f t="shared" si="249"/>
        <v>13</v>
      </c>
      <c r="R231" s="228">
        <f t="shared" si="249"/>
        <v>11</v>
      </c>
      <c r="S231" s="228">
        <f t="shared" si="249"/>
        <v>0</v>
      </c>
      <c r="T231" s="228">
        <f t="shared" si="249"/>
        <v>25</v>
      </c>
      <c r="U231" s="228">
        <f t="shared" si="249"/>
        <v>10</v>
      </c>
      <c r="V231" s="228">
        <f t="shared" si="249"/>
        <v>7</v>
      </c>
      <c r="W231" s="228">
        <f t="shared" si="249"/>
        <v>8</v>
      </c>
      <c r="X231" s="228">
        <f t="shared" si="249"/>
        <v>0</v>
      </c>
      <c r="Y231" s="228">
        <f t="shared" si="249"/>
        <v>0</v>
      </c>
      <c r="Z231" s="228">
        <f t="shared" si="249"/>
        <v>2</v>
      </c>
      <c r="AA231" s="228">
        <f t="shared" si="249"/>
        <v>1</v>
      </c>
      <c r="AB231" s="228">
        <f t="shared" si="249"/>
        <v>4</v>
      </c>
      <c r="AC231" s="228">
        <f t="shared" si="249"/>
        <v>1</v>
      </c>
      <c r="AD231" s="228">
        <f t="shared" si="249"/>
        <v>7</v>
      </c>
      <c r="AE231" s="228">
        <f t="shared" si="249"/>
        <v>9</v>
      </c>
      <c r="AF231" s="228">
        <f t="shared" si="249"/>
        <v>11</v>
      </c>
      <c r="AG231" s="228">
        <f t="shared" si="249"/>
        <v>12</v>
      </c>
      <c r="AH231" s="228">
        <f t="shared" si="249"/>
        <v>3</v>
      </c>
      <c r="AI231" s="228">
        <f t="shared" si="249"/>
        <v>1</v>
      </c>
      <c r="AJ231" s="228">
        <f t="shared" si="249"/>
        <v>8</v>
      </c>
      <c r="AK231" s="228">
        <f t="shared" si="249"/>
        <v>15</v>
      </c>
      <c r="AL231" s="228">
        <f t="shared" si="249"/>
        <v>2</v>
      </c>
      <c r="AM231" s="228">
        <f t="shared" si="249"/>
        <v>5</v>
      </c>
      <c r="AN231" s="228">
        <f t="shared" si="249"/>
        <v>4</v>
      </c>
      <c r="AO231" s="228">
        <f t="shared" si="249"/>
        <v>7</v>
      </c>
      <c r="AP231" s="228">
        <f t="shared" si="249"/>
        <v>10</v>
      </c>
      <c r="AQ231" s="228">
        <f t="shared" si="249"/>
        <v>0</v>
      </c>
      <c r="AR231" s="228">
        <f t="shared" si="249"/>
        <v>10</v>
      </c>
      <c r="AS231" s="228">
        <f t="shared" si="249"/>
        <v>22</v>
      </c>
      <c r="AT231" s="228">
        <f t="shared" si="249"/>
        <v>59</v>
      </c>
      <c r="AU231" s="228">
        <f t="shared" si="249"/>
        <v>9</v>
      </c>
      <c r="AV231" s="228">
        <f t="shared" si="249"/>
        <v>7</v>
      </c>
      <c r="AW231" s="228">
        <f t="shared" si="249"/>
        <v>7</v>
      </c>
      <c r="AX231" s="228">
        <f t="shared" si="249"/>
        <v>3</v>
      </c>
      <c r="AY231" s="228">
        <f t="shared" si="249"/>
        <v>12</v>
      </c>
      <c r="AZ231" s="228">
        <f t="shared" si="249"/>
        <v>13</v>
      </c>
      <c r="BA231" s="228">
        <f t="shared" si="249"/>
        <v>4</v>
      </c>
      <c r="BB231" s="228">
        <f t="shared" si="249"/>
        <v>21</v>
      </c>
      <c r="BC231" s="228">
        <f t="shared" si="249"/>
        <v>20</v>
      </c>
      <c r="BD231" s="228">
        <f t="shared" si="249"/>
        <v>1</v>
      </c>
      <c r="BE231" s="228">
        <f t="shared" si="249"/>
        <v>10</v>
      </c>
      <c r="BF231" s="228">
        <f t="shared" si="249"/>
        <v>13</v>
      </c>
      <c r="BG231" s="228">
        <f t="shared" si="249"/>
        <v>49</v>
      </c>
      <c r="BH231" s="228">
        <f t="shared" si="249"/>
        <v>22</v>
      </c>
      <c r="BI231" s="228">
        <f t="shared" si="249"/>
        <v>25</v>
      </c>
      <c r="BJ231" s="228">
        <f t="shared" si="249"/>
        <v>34</v>
      </c>
      <c r="BK231" s="228">
        <f t="shared" si="249"/>
        <v>15</v>
      </c>
      <c r="BL231" s="228">
        <f t="shared" si="249"/>
        <v>15</v>
      </c>
      <c r="BM231" s="228">
        <f t="shared" si="249"/>
        <v>25</v>
      </c>
      <c r="BN231" s="228">
        <f t="shared" si="249"/>
        <v>6</v>
      </c>
      <c r="BO231" s="228">
        <f t="shared" si="249"/>
        <v>0</v>
      </c>
      <c r="BP231" s="228">
        <f t="shared" ref="BP231:DP231" si="250">BP107</f>
        <v>0</v>
      </c>
      <c r="BQ231" s="228">
        <f t="shared" si="250"/>
        <v>0</v>
      </c>
      <c r="BR231" s="228">
        <f t="shared" si="250"/>
        <v>3</v>
      </c>
      <c r="BS231" s="228">
        <f t="shared" si="250"/>
        <v>34</v>
      </c>
      <c r="BT231" s="228">
        <f t="shared" si="250"/>
        <v>67</v>
      </c>
      <c r="BU231" s="228">
        <f t="shared" si="250"/>
        <v>11</v>
      </c>
      <c r="BV231" s="228">
        <f t="shared" si="250"/>
        <v>33</v>
      </c>
      <c r="BW231" s="228">
        <f t="shared" si="250"/>
        <v>70</v>
      </c>
      <c r="BX231" s="228">
        <f t="shared" si="250"/>
        <v>20</v>
      </c>
      <c r="BY231" s="228">
        <f t="shared" si="250"/>
        <v>69</v>
      </c>
      <c r="BZ231" s="228">
        <f t="shared" si="250"/>
        <v>48</v>
      </c>
      <c r="CA231" s="228">
        <f t="shared" si="250"/>
        <v>192</v>
      </c>
      <c r="CB231" s="228">
        <f t="shared" si="250"/>
        <v>3</v>
      </c>
      <c r="CC231" s="228">
        <f t="shared" si="250"/>
        <v>6</v>
      </c>
      <c r="CD231" s="228">
        <f t="shared" si="250"/>
        <v>8</v>
      </c>
      <c r="CE231" s="228">
        <f t="shared" si="250"/>
        <v>0</v>
      </c>
      <c r="CF231" s="228">
        <f t="shared" si="250"/>
        <v>15</v>
      </c>
      <c r="CG231" s="228">
        <f t="shared" si="250"/>
        <v>0</v>
      </c>
      <c r="CH231" s="228">
        <f t="shared" si="250"/>
        <v>23</v>
      </c>
      <c r="CI231" s="228">
        <f t="shared" si="250"/>
        <v>2</v>
      </c>
      <c r="CJ231" s="228">
        <f t="shared" si="250"/>
        <v>0</v>
      </c>
      <c r="CK231" s="228">
        <f t="shared" si="250"/>
        <v>0</v>
      </c>
      <c r="CL231" s="228">
        <f t="shared" si="250"/>
        <v>0</v>
      </c>
      <c r="CM231" s="228">
        <f t="shared" si="250"/>
        <v>122</v>
      </c>
      <c r="CN231" s="228">
        <f t="shared" si="250"/>
        <v>1009</v>
      </c>
      <c r="CO231" s="228">
        <f t="shared" si="250"/>
        <v>0</v>
      </c>
      <c r="CP231" s="228">
        <f t="shared" si="250"/>
        <v>245</v>
      </c>
      <c r="CQ231" s="228">
        <f t="shared" si="250"/>
        <v>243</v>
      </c>
      <c r="CR231" s="228">
        <f t="shared" si="250"/>
        <v>51</v>
      </c>
      <c r="CS231" s="228">
        <f t="shared" si="250"/>
        <v>31</v>
      </c>
      <c r="CT231" s="228">
        <f t="shared" si="250"/>
        <v>209</v>
      </c>
      <c r="CU231" s="228">
        <f t="shared" si="250"/>
        <v>115</v>
      </c>
      <c r="CV231" s="228">
        <f t="shared" si="250"/>
        <v>16</v>
      </c>
      <c r="CW231" s="228">
        <f t="shared" si="250"/>
        <v>1246</v>
      </c>
      <c r="CX231" s="228">
        <f t="shared" si="250"/>
        <v>26</v>
      </c>
      <c r="CY231" s="228">
        <f t="shared" si="250"/>
        <v>184</v>
      </c>
      <c r="CZ231" s="228">
        <f t="shared" si="250"/>
        <v>0</v>
      </c>
      <c r="DA231" s="228">
        <f t="shared" si="250"/>
        <v>333</v>
      </c>
      <c r="DB231" s="228">
        <f t="shared" si="250"/>
        <v>4306</v>
      </c>
      <c r="DC231" s="228">
        <f t="shared" si="250"/>
        <v>375</v>
      </c>
      <c r="DD231" s="228">
        <f t="shared" si="250"/>
        <v>0</v>
      </c>
      <c r="DE231" s="228">
        <f t="shared" si="250"/>
        <v>28</v>
      </c>
      <c r="DF231" s="228">
        <f t="shared" si="250"/>
        <v>0</v>
      </c>
      <c r="DG231" s="228">
        <f t="shared" si="250"/>
        <v>2</v>
      </c>
      <c r="DH231" s="228">
        <f t="shared" si="250"/>
        <v>0</v>
      </c>
      <c r="DI231" s="228">
        <f t="shared" si="250"/>
        <v>16</v>
      </c>
      <c r="DJ231" s="228">
        <f t="shared" si="250"/>
        <v>0</v>
      </c>
      <c r="DK231" s="228">
        <f t="shared" si="250"/>
        <v>0</v>
      </c>
      <c r="DL231" s="228">
        <f t="shared" si="250"/>
        <v>52</v>
      </c>
      <c r="DM231" s="228">
        <f t="shared" si="250"/>
        <v>0</v>
      </c>
      <c r="DN231" s="228">
        <f t="shared" si="250"/>
        <v>1</v>
      </c>
      <c r="DO231" s="228">
        <f t="shared" si="250"/>
        <v>0</v>
      </c>
      <c r="DP231" s="232">
        <f t="shared" si="250"/>
        <v>10021</v>
      </c>
      <c r="DQ231" s="228">
        <f t="shared" si="161"/>
        <v>0</v>
      </c>
      <c r="DR231" s="228">
        <f t="shared" si="162"/>
        <v>4</v>
      </c>
      <c r="DS231" s="230">
        <f>SUM(X231:Y231)+(1-TRP!$AK$253)*AC231</f>
        <v>0.7</v>
      </c>
      <c r="DT231" s="228">
        <f t="shared" si="163"/>
        <v>22</v>
      </c>
      <c r="DU231" s="228">
        <f t="shared" si="164"/>
        <v>59</v>
      </c>
      <c r="DV231" s="228">
        <f t="shared" si="165"/>
        <v>25</v>
      </c>
      <c r="DW231" s="228">
        <f t="shared" si="166"/>
        <v>4</v>
      </c>
      <c r="DX231" s="228">
        <f t="shared" si="167"/>
        <v>21</v>
      </c>
      <c r="DY231" s="228">
        <f t="shared" si="168"/>
        <v>13</v>
      </c>
      <c r="DZ231" s="228">
        <f t="shared" si="169"/>
        <v>49</v>
      </c>
      <c r="EA231" s="228">
        <f t="shared" si="170"/>
        <v>22</v>
      </c>
      <c r="EB231" s="230">
        <f>TRP!$AK$253*$AC231+SUM(M231:W231,Z231:AB231,AD231:AR231,AU231:AX231,BC231:BE231,BI231:BN231,BQ231:BR231,BV231)</f>
        <v>623.29999999999995</v>
      </c>
      <c r="EC231" s="228">
        <f t="shared" si="171"/>
        <v>90</v>
      </c>
      <c r="ED231" s="230">
        <f>CB231+$CI231*TRP!$AV$248</f>
        <v>3.0620085005030493</v>
      </c>
      <c r="EE231" s="228">
        <f t="shared" si="172"/>
        <v>6</v>
      </c>
      <c r="EF231" s="230">
        <f>CD231+$CI231*TRP!$AV$249</f>
        <v>9.3863915687211996</v>
      </c>
      <c r="EG231" s="230">
        <f>CE231+$CI231*TRP!$AV$250</f>
        <v>0.40438694008289311</v>
      </c>
      <c r="EH231" s="230">
        <f>CF231+$CI231*TRP!$AV$251</f>
        <v>15.147212990692859</v>
      </c>
      <c r="EI231" s="228">
        <f t="shared" si="173"/>
        <v>8941</v>
      </c>
      <c r="EJ231" s="228">
        <f t="shared" si="174"/>
        <v>1</v>
      </c>
      <c r="EK231" s="228">
        <f t="shared" si="175"/>
        <v>0</v>
      </c>
      <c r="EL231" s="230">
        <f>BS231+$BP231*TRP!$AN$246</f>
        <v>34</v>
      </c>
      <c r="EM231" s="228">
        <f t="shared" si="176"/>
        <v>67</v>
      </c>
      <c r="EN231" s="230">
        <f>BU231+$BP231*TRP!$AN$247</f>
        <v>11</v>
      </c>
    </row>
    <row r="232" spans="1:144" s="228" customFormat="1" ht="10.5" x14ac:dyDescent="0.25">
      <c r="A232" s="228" t="str">
        <f>TRP!C230</f>
        <v xml:space="preserve">GP2A </v>
      </c>
      <c r="B232" s="228" t="str">
        <f>TRP!B230</f>
        <v>AUTRES ACTIVITES RECREATIVES  CULTURELLE</v>
      </c>
      <c r="C232" s="233">
        <f>TRP!A230</f>
        <v>19</v>
      </c>
      <c r="D232" s="228">
        <f t="shared" ref="D232:BO232" si="251">D108</f>
        <v>0</v>
      </c>
      <c r="E232" s="228">
        <f t="shared" si="251"/>
        <v>0</v>
      </c>
      <c r="F232" s="228">
        <f t="shared" si="251"/>
        <v>0</v>
      </c>
      <c r="G232" s="228">
        <f t="shared" si="251"/>
        <v>1</v>
      </c>
      <c r="H232" s="228">
        <f t="shared" si="251"/>
        <v>9</v>
      </c>
      <c r="I232" s="228">
        <f t="shared" si="251"/>
        <v>7</v>
      </c>
      <c r="J232" s="228">
        <f t="shared" si="251"/>
        <v>5</v>
      </c>
      <c r="K232" s="228">
        <f t="shared" si="251"/>
        <v>11</v>
      </c>
      <c r="L232" s="228">
        <f t="shared" si="251"/>
        <v>1</v>
      </c>
      <c r="M232" s="228">
        <f t="shared" si="251"/>
        <v>1</v>
      </c>
      <c r="N232" s="228">
        <f t="shared" si="251"/>
        <v>0</v>
      </c>
      <c r="O232" s="228">
        <f t="shared" si="251"/>
        <v>181</v>
      </c>
      <c r="P232" s="228">
        <f t="shared" si="251"/>
        <v>5</v>
      </c>
      <c r="Q232" s="228">
        <f t="shared" si="251"/>
        <v>5</v>
      </c>
      <c r="R232" s="228">
        <f t="shared" si="251"/>
        <v>7</v>
      </c>
      <c r="S232" s="228">
        <f t="shared" si="251"/>
        <v>0</v>
      </c>
      <c r="T232" s="228">
        <f t="shared" si="251"/>
        <v>1</v>
      </c>
      <c r="U232" s="228">
        <f t="shared" si="251"/>
        <v>1</v>
      </c>
      <c r="V232" s="228">
        <f t="shared" si="251"/>
        <v>1</v>
      </c>
      <c r="W232" s="228">
        <f t="shared" si="251"/>
        <v>1</v>
      </c>
      <c r="X232" s="228">
        <f t="shared" si="251"/>
        <v>4</v>
      </c>
      <c r="Y232" s="228">
        <f t="shared" si="251"/>
        <v>3</v>
      </c>
      <c r="Z232" s="228">
        <f t="shared" si="251"/>
        <v>1</v>
      </c>
      <c r="AA232" s="228">
        <f t="shared" si="251"/>
        <v>0</v>
      </c>
      <c r="AB232" s="228">
        <f t="shared" si="251"/>
        <v>3</v>
      </c>
      <c r="AC232" s="228">
        <f t="shared" si="251"/>
        <v>0</v>
      </c>
      <c r="AD232" s="228">
        <f t="shared" si="251"/>
        <v>1</v>
      </c>
      <c r="AE232" s="228">
        <f t="shared" si="251"/>
        <v>1</v>
      </c>
      <c r="AF232" s="228">
        <f t="shared" si="251"/>
        <v>1</v>
      </c>
      <c r="AG232" s="228">
        <f t="shared" si="251"/>
        <v>3</v>
      </c>
      <c r="AH232" s="228">
        <f t="shared" si="251"/>
        <v>0</v>
      </c>
      <c r="AI232" s="228">
        <f t="shared" si="251"/>
        <v>0</v>
      </c>
      <c r="AJ232" s="228">
        <f t="shared" si="251"/>
        <v>1</v>
      </c>
      <c r="AK232" s="228">
        <f t="shared" si="251"/>
        <v>0</v>
      </c>
      <c r="AL232" s="228">
        <f t="shared" si="251"/>
        <v>1</v>
      </c>
      <c r="AM232" s="228">
        <f t="shared" si="251"/>
        <v>2</v>
      </c>
      <c r="AN232" s="228">
        <f t="shared" si="251"/>
        <v>2</v>
      </c>
      <c r="AO232" s="228">
        <f t="shared" si="251"/>
        <v>3</v>
      </c>
      <c r="AP232" s="228">
        <f t="shared" si="251"/>
        <v>2</v>
      </c>
      <c r="AQ232" s="228">
        <f t="shared" si="251"/>
        <v>0</v>
      </c>
      <c r="AR232" s="228">
        <f t="shared" si="251"/>
        <v>1</v>
      </c>
      <c r="AS232" s="228">
        <f t="shared" si="251"/>
        <v>1</v>
      </c>
      <c r="AT232" s="228">
        <f t="shared" si="251"/>
        <v>2</v>
      </c>
      <c r="AU232" s="228">
        <f t="shared" si="251"/>
        <v>1</v>
      </c>
      <c r="AV232" s="228">
        <f t="shared" si="251"/>
        <v>1</v>
      </c>
      <c r="AW232" s="228">
        <f t="shared" si="251"/>
        <v>1</v>
      </c>
      <c r="AX232" s="228">
        <f t="shared" si="251"/>
        <v>1</v>
      </c>
      <c r="AY232" s="228">
        <f t="shared" si="251"/>
        <v>1</v>
      </c>
      <c r="AZ232" s="228">
        <f t="shared" si="251"/>
        <v>1</v>
      </c>
      <c r="BA232" s="228">
        <f t="shared" si="251"/>
        <v>1</v>
      </c>
      <c r="BB232" s="228">
        <f t="shared" si="251"/>
        <v>6</v>
      </c>
      <c r="BC232" s="228">
        <f t="shared" si="251"/>
        <v>1</v>
      </c>
      <c r="BD232" s="228">
        <f t="shared" si="251"/>
        <v>0</v>
      </c>
      <c r="BE232" s="228">
        <f t="shared" si="251"/>
        <v>0</v>
      </c>
      <c r="BF232" s="228">
        <f t="shared" si="251"/>
        <v>0</v>
      </c>
      <c r="BG232" s="228">
        <f t="shared" si="251"/>
        <v>3</v>
      </c>
      <c r="BH232" s="228">
        <f t="shared" si="251"/>
        <v>2</v>
      </c>
      <c r="BI232" s="228">
        <f t="shared" si="251"/>
        <v>1</v>
      </c>
      <c r="BJ232" s="228">
        <f t="shared" si="251"/>
        <v>3</v>
      </c>
      <c r="BK232" s="228">
        <f t="shared" si="251"/>
        <v>2</v>
      </c>
      <c r="BL232" s="228">
        <f t="shared" si="251"/>
        <v>0</v>
      </c>
      <c r="BM232" s="228">
        <f t="shared" si="251"/>
        <v>3</v>
      </c>
      <c r="BN232" s="228">
        <f t="shared" si="251"/>
        <v>2</v>
      </c>
      <c r="BO232" s="228">
        <f t="shared" si="251"/>
        <v>0</v>
      </c>
      <c r="BP232" s="228">
        <f t="shared" ref="BP232:DP232" si="252">BP108</f>
        <v>0</v>
      </c>
      <c r="BQ232" s="228">
        <f t="shared" si="252"/>
        <v>0</v>
      </c>
      <c r="BR232" s="228">
        <f t="shared" si="252"/>
        <v>0</v>
      </c>
      <c r="BS232" s="228">
        <f t="shared" si="252"/>
        <v>3</v>
      </c>
      <c r="BT232" s="228">
        <f t="shared" si="252"/>
        <v>6</v>
      </c>
      <c r="BU232" s="228">
        <f t="shared" si="252"/>
        <v>1</v>
      </c>
      <c r="BV232" s="228">
        <f t="shared" si="252"/>
        <v>1</v>
      </c>
      <c r="BW232" s="228">
        <f t="shared" si="252"/>
        <v>26</v>
      </c>
      <c r="BX232" s="228">
        <f t="shared" si="252"/>
        <v>3</v>
      </c>
      <c r="BY232" s="228">
        <f t="shared" si="252"/>
        <v>5</v>
      </c>
      <c r="BZ232" s="228">
        <f t="shared" si="252"/>
        <v>46</v>
      </c>
      <c r="CA232" s="228">
        <f t="shared" si="252"/>
        <v>22</v>
      </c>
      <c r="CB232" s="228">
        <f t="shared" si="252"/>
        <v>0</v>
      </c>
      <c r="CC232" s="228">
        <f t="shared" si="252"/>
        <v>2</v>
      </c>
      <c r="CD232" s="228">
        <f t="shared" si="252"/>
        <v>7</v>
      </c>
      <c r="CE232" s="228">
        <f t="shared" si="252"/>
        <v>2</v>
      </c>
      <c r="CF232" s="228">
        <f t="shared" si="252"/>
        <v>2</v>
      </c>
      <c r="CG232" s="228">
        <f t="shared" si="252"/>
        <v>6</v>
      </c>
      <c r="CH232" s="228">
        <f t="shared" si="252"/>
        <v>3</v>
      </c>
      <c r="CI232" s="228">
        <f t="shared" si="252"/>
        <v>6</v>
      </c>
      <c r="CJ232" s="228">
        <f t="shared" si="252"/>
        <v>0</v>
      </c>
      <c r="CK232" s="228">
        <f t="shared" si="252"/>
        <v>0</v>
      </c>
      <c r="CL232" s="228">
        <f t="shared" si="252"/>
        <v>0</v>
      </c>
      <c r="CM232" s="228">
        <f t="shared" si="252"/>
        <v>12</v>
      </c>
      <c r="CN232" s="228">
        <f t="shared" si="252"/>
        <v>17</v>
      </c>
      <c r="CO232" s="228">
        <f t="shared" si="252"/>
        <v>10</v>
      </c>
      <c r="CP232" s="228">
        <f t="shared" si="252"/>
        <v>8</v>
      </c>
      <c r="CQ232" s="228">
        <f t="shared" si="252"/>
        <v>7</v>
      </c>
      <c r="CR232" s="228">
        <f t="shared" si="252"/>
        <v>49</v>
      </c>
      <c r="CS232" s="228">
        <f t="shared" si="252"/>
        <v>5</v>
      </c>
      <c r="CT232" s="228">
        <f t="shared" si="252"/>
        <v>19</v>
      </c>
      <c r="CU232" s="228">
        <f t="shared" si="252"/>
        <v>6</v>
      </c>
      <c r="CV232" s="228">
        <f t="shared" si="252"/>
        <v>0</v>
      </c>
      <c r="CW232" s="228">
        <f t="shared" si="252"/>
        <v>69</v>
      </c>
      <c r="CX232" s="228">
        <f t="shared" si="252"/>
        <v>1</v>
      </c>
      <c r="CY232" s="228">
        <f t="shared" si="252"/>
        <v>12</v>
      </c>
      <c r="CZ232" s="228">
        <f t="shared" si="252"/>
        <v>0</v>
      </c>
      <c r="DA232" s="228">
        <f t="shared" si="252"/>
        <v>86</v>
      </c>
      <c r="DB232" s="228">
        <f t="shared" si="252"/>
        <v>574</v>
      </c>
      <c r="DC232" s="228">
        <f t="shared" si="252"/>
        <v>1538</v>
      </c>
      <c r="DD232" s="228">
        <f t="shared" si="252"/>
        <v>898</v>
      </c>
      <c r="DE232" s="228">
        <f t="shared" si="252"/>
        <v>11</v>
      </c>
      <c r="DF232" s="228">
        <f t="shared" si="252"/>
        <v>0</v>
      </c>
      <c r="DG232" s="228">
        <f t="shared" si="252"/>
        <v>7</v>
      </c>
      <c r="DH232" s="228">
        <f t="shared" si="252"/>
        <v>138</v>
      </c>
      <c r="DI232" s="228">
        <f t="shared" si="252"/>
        <v>6</v>
      </c>
      <c r="DJ232" s="228">
        <f t="shared" si="252"/>
        <v>0</v>
      </c>
      <c r="DK232" s="228">
        <f t="shared" si="252"/>
        <v>0</v>
      </c>
      <c r="DL232" s="228">
        <f t="shared" si="252"/>
        <v>19</v>
      </c>
      <c r="DM232" s="228">
        <f t="shared" si="252"/>
        <v>111</v>
      </c>
      <c r="DN232" s="228">
        <f t="shared" si="252"/>
        <v>277</v>
      </c>
      <c r="DO232" s="228">
        <f t="shared" si="252"/>
        <v>241</v>
      </c>
      <c r="DP232" s="232">
        <f t="shared" si="252"/>
        <v>4561</v>
      </c>
      <c r="DQ232" s="228">
        <f t="shared" si="161"/>
        <v>0</v>
      </c>
      <c r="DR232" s="228">
        <f t="shared" si="162"/>
        <v>34</v>
      </c>
      <c r="DS232" s="230">
        <f>SUM(X232:Y232)+(1-TRP!$AK$253)*AC232</f>
        <v>7</v>
      </c>
      <c r="DT232" s="228">
        <f t="shared" si="163"/>
        <v>1</v>
      </c>
      <c r="DU232" s="228">
        <f t="shared" si="164"/>
        <v>2</v>
      </c>
      <c r="DV232" s="228">
        <f t="shared" si="165"/>
        <v>2</v>
      </c>
      <c r="DW232" s="228">
        <f t="shared" si="166"/>
        <v>1</v>
      </c>
      <c r="DX232" s="228">
        <f t="shared" si="167"/>
        <v>6</v>
      </c>
      <c r="DY232" s="228">
        <f t="shared" si="168"/>
        <v>0</v>
      </c>
      <c r="DZ232" s="228">
        <f t="shared" si="169"/>
        <v>3</v>
      </c>
      <c r="EA232" s="228">
        <f t="shared" si="170"/>
        <v>2</v>
      </c>
      <c r="EB232" s="230">
        <f>TRP!$AK$253*$AC232+SUM(M232:W232,Z232:AB232,AD232:AR232,AU232:AX232,BC232:BE232,BI232:BN232,BQ232:BR232,BV232)</f>
        <v>242</v>
      </c>
      <c r="EC232" s="228">
        <f t="shared" si="171"/>
        <v>29</v>
      </c>
      <c r="ED232" s="230">
        <f>CB232+$CI232*TRP!$AV$248</f>
        <v>0.18602550150914729</v>
      </c>
      <c r="EE232" s="228">
        <f t="shared" si="172"/>
        <v>2</v>
      </c>
      <c r="EF232" s="230">
        <f>CD232+$CI232*TRP!$AV$249</f>
        <v>11.159174706163597</v>
      </c>
      <c r="EG232" s="230">
        <f>CE232+$CI232*TRP!$AV$250</f>
        <v>3.2131608202486794</v>
      </c>
      <c r="EH232" s="230">
        <f>CF232+$CI232*TRP!$AV$251</f>
        <v>2.4416389720785756</v>
      </c>
      <c r="EI232" s="228">
        <f t="shared" si="173"/>
        <v>3436</v>
      </c>
      <c r="EJ232" s="228">
        <f t="shared" si="174"/>
        <v>767</v>
      </c>
      <c r="EK232" s="228">
        <f t="shared" si="175"/>
        <v>0</v>
      </c>
      <c r="EL232" s="230">
        <f>BS232+$BP232*TRP!$AN$246</f>
        <v>3</v>
      </c>
      <c r="EM232" s="228">
        <f t="shared" si="176"/>
        <v>6</v>
      </c>
      <c r="EN232" s="230">
        <f>BU232+$BP232*TRP!$AN$247</f>
        <v>1</v>
      </c>
    </row>
    <row r="233" spans="1:144" s="228" customFormat="1" ht="10.5" x14ac:dyDescent="0.25">
      <c r="A233" s="228" t="str">
        <f>TRP!C231</f>
        <v xml:space="preserve">GP2B </v>
      </c>
      <c r="B233" s="228" t="str">
        <f>TRP!B231</f>
        <v>AUTRES ACTIVITES RECREATIVES  CULTURELLE</v>
      </c>
      <c r="C233" s="233">
        <f>TRP!A231</f>
        <v>19</v>
      </c>
      <c r="D233" s="228">
        <f t="shared" ref="D233:BO233" si="253">D109</f>
        <v>0</v>
      </c>
      <c r="E233" s="228">
        <f t="shared" si="253"/>
        <v>0</v>
      </c>
      <c r="F233" s="228">
        <f t="shared" si="253"/>
        <v>0</v>
      </c>
      <c r="G233" s="228">
        <f t="shared" si="253"/>
        <v>0</v>
      </c>
      <c r="H233" s="228">
        <f t="shared" si="253"/>
        <v>0</v>
      </c>
      <c r="I233" s="228">
        <f t="shared" si="253"/>
        <v>0</v>
      </c>
      <c r="J233" s="228">
        <f t="shared" si="253"/>
        <v>0</v>
      </c>
      <c r="K233" s="228">
        <f t="shared" si="253"/>
        <v>0</v>
      </c>
      <c r="L233" s="228">
        <f t="shared" si="253"/>
        <v>0</v>
      </c>
      <c r="M233" s="228">
        <f t="shared" si="253"/>
        <v>0</v>
      </c>
      <c r="N233" s="228">
        <f t="shared" si="253"/>
        <v>0</v>
      </c>
      <c r="O233" s="228">
        <f t="shared" si="253"/>
        <v>0</v>
      </c>
      <c r="P233" s="228">
        <f t="shared" si="253"/>
        <v>0</v>
      </c>
      <c r="Q233" s="228">
        <f t="shared" si="253"/>
        <v>0</v>
      </c>
      <c r="R233" s="228">
        <f t="shared" si="253"/>
        <v>0</v>
      </c>
      <c r="S233" s="228">
        <f t="shared" si="253"/>
        <v>0</v>
      </c>
      <c r="T233" s="228">
        <f t="shared" si="253"/>
        <v>0</v>
      </c>
      <c r="U233" s="228">
        <f t="shared" si="253"/>
        <v>0</v>
      </c>
      <c r="V233" s="228">
        <f t="shared" si="253"/>
        <v>0</v>
      </c>
      <c r="W233" s="228">
        <f t="shared" si="253"/>
        <v>0</v>
      </c>
      <c r="X233" s="228">
        <f t="shared" si="253"/>
        <v>0</v>
      </c>
      <c r="Y233" s="228">
        <f t="shared" si="253"/>
        <v>0</v>
      </c>
      <c r="Z233" s="228">
        <f t="shared" si="253"/>
        <v>0</v>
      </c>
      <c r="AA233" s="228">
        <f t="shared" si="253"/>
        <v>0</v>
      </c>
      <c r="AB233" s="228">
        <f t="shared" si="253"/>
        <v>0</v>
      </c>
      <c r="AC233" s="228">
        <f t="shared" si="253"/>
        <v>0</v>
      </c>
      <c r="AD233" s="228">
        <f t="shared" si="253"/>
        <v>0</v>
      </c>
      <c r="AE233" s="228">
        <f t="shared" si="253"/>
        <v>0</v>
      </c>
      <c r="AF233" s="228">
        <f t="shared" si="253"/>
        <v>0</v>
      </c>
      <c r="AG233" s="228">
        <f t="shared" si="253"/>
        <v>0</v>
      </c>
      <c r="AH233" s="228">
        <f t="shared" si="253"/>
        <v>0</v>
      </c>
      <c r="AI233" s="228">
        <f t="shared" si="253"/>
        <v>0</v>
      </c>
      <c r="AJ233" s="228">
        <f t="shared" si="253"/>
        <v>0</v>
      </c>
      <c r="AK233" s="228">
        <f t="shared" si="253"/>
        <v>0</v>
      </c>
      <c r="AL233" s="228">
        <f t="shared" si="253"/>
        <v>0</v>
      </c>
      <c r="AM233" s="228">
        <f t="shared" si="253"/>
        <v>0</v>
      </c>
      <c r="AN233" s="228">
        <f t="shared" si="253"/>
        <v>0</v>
      </c>
      <c r="AO233" s="228">
        <f t="shared" si="253"/>
        <v>0</v>
      </c>
      <c r="AP233" s="228">
        <f t="shared" si="253"/>
        <v>0</v>
      </c>
      <c r="AQ233" s="228">
        <f t="shared" si="253"/>
        <v>0</v>
      </c>
      <c r="AR233" s="228">
        <f t="shared" si="253"/>
        <v>0</v>
      </c>
      <c r="AS233" s="228">
        <f t="shared" si="253"/>
        <v>0</v>
      </c>
      <c r="AT233" s="228">
        <f t="shared" si="253"/>
        <v>0</v>
      </c>
      <c r="AU233" s="228">
        <f t="shared" si="253"/>
        <v>0</v>
      </c>
      <c r="AV233" s="228">
        <f t="shared" si="253"/>
        <v>0</v>
      </c>
      <c r="AW233" s="228">
        <f t="shared" si="253"/>
        <v>0</v>
      </c>
      <c r="AX233" s="228">
        <f t="shared" si="253"/>
        <v>0</v>
      </c>
      <c r="AY233" s="228">
        <f t="shared" si="253"/>
        <v>0</v>
      </c>
      <c r="AZ233" s="228">
        <f t="shared" si="253"/>
        <v>0</v>
      </c>
      <c r="BA233" s="228">
        <f t="shared" si="253"/>
        <v>0</v>
      </c>
      <c r="BB233" s="228">
        <f t="shared" si="253"/>
        <v>0</v>
      </c>
      <c r="BC233" s="228">
        <f t="shared" si="253"/>
        <v>0</v>
      </c>
      <c r="BD233" s="228">
        <f t="shared" si="253"/>
        <v>0</v>
      </c>
      <c r="BE233" s="228">
        <f t="shared" si="253"/>
        <v>0</v>
      </c>
      <c r="BF233" s="228">
        <f t="shared" si="253"/>
        <v>0</v>
      </c>
      <c r="BG233" s="228">
        <f t="shared" si="253"/>
        <v>0</v>
      </c>
      <c r="BH233" s="228">
        <f t="shared" si="253"/>
        <v>0</v>
      </c>
      <c r="BI233" s="228">
        <f t="shared" si="253"/>
        <v>0</v>
      </c>
      <c r="BJ233" s="228">
        <f t="shared" si="253"/>
        <v>0</v>
      </c>
      <c r="BK233" s="228">
        <f t="shared" si="253"/>
        <v>0</v>
      </c>
      <c r="BL233" s="228">
        <f t="shared" si="253"/>
        <v>0</v>
      </c>
      <c r="BM233" s="228">
        <f t="shared" si="253"/>
        <v>0</v>
      </c>
      <c r="BN233" s="228">
        <f t="shared" si="253"/>
        <v>0</v>
      </c>
      <c r="BO233" s="228">
        <f t="shared" si="253"/>
        <v>0</v>
      </c>
      <c r="BP233" s="228">
        <f t="shared" ref="BP233:DP233" si="254">BP109</f>
        <v>0</v>
      </c>
      <c r="BQ233" s="228">
        <f t="shared" si="254"/>
        <v>0</v>
      </c>
      <c r="BR233" s="228">
        <f t="shared" si="254"/>
        <v>0</v>
      </c>
      <c r="BS233" s="228">
        <f t="shared" si="254"/>
        <v>0</v>
      </c>
      <c r="BT233" s="228">
        <f t="shared" si="254"/>
        <v>0</v>
      </c>
      <c r="BU233" s="228">
        <f t="shared" si="254"/>
        <v>0</v>
      </c>
      <c r="BV233" s="228">
        <f t="shared" si="254"/>
        <v>0</v>
      </c>
      <c r="BW233" s="228">
        <f t="shared" si="254"/>
        <v>0</v>
      </c>
      <c r="BX233" s="228">
        <f t="shared" si="254"/>
        <v>0</v>
      </c>
      <c r="BY233" s="228">
        <f t="shared" si="254"/>
        <v>0</v>
      </c>
      <c r="BZ233" s="228">
        <f t="shared" si="254"/>
        <v>0</v>
      </c>
      <c r="CA233" s="228">
        <f t="shared" si="254"/>
        <v>0</v>
      </c>
      <c r="CB233" s="228">
        <f t="shared" si="254"/>
        <v>0</v>
      </c>
      <c r="CC233" s="228">
        <f t="shared" si="254"/>
        <v>0</v>
      </c>
      <c r="CD233" s="228">
        <f t="shared" si="254"/>
        <v>0</v>
      </c>
      <c r="CE233" s="228">
        <f t="shared" si="254"/>
        <v>0</v>
      </c>
      <c r="CF233" s="228">
        <f t="shared" si="254"/>
        <v>0</v>
      </c>
      <c r="CG233" s="228">
        <f t="shared" si="254"/>
        <v>0</v>
      </c>
      <c r="CH233" s="228">
        <f t="shared" si="254"/>
        <v>0</v>
      </c>
      <c r="CI233" s="228">
        <f t="shared" si="254"/>
        <v>0</v>
      </c>
      <c r="CJ233" s="228">
        <f t="shared" si="254"/>
        <v>0</v>
      </c>
      <c r="CK233" s="228">
        <f t="shared" si="254"/>
        <v>0</v>
      </c>
      <c r="CL233" s="228">
        <f t="shared" si="254"/>
        <v>0</v>
      </c>
      <c r="CM233" s="228">
        <f t="shared" si="254"/>
        <v>0</v>
      </c>
      <c r="CN233" s="228">
        <f t="shared" si="254"/>
        <v>0</v>
      </c>
      <c r="CO233" s="228">
        <f t="shared" si="254"/>
        <v>0</v>
      </c>
      <c r="CP233" s="228">
        <f t="shared" si="254"/>
        <v>0</v>
      </c>
      <c r="CQ233" s="228">
        <f t="shared" si="254"/>
        <v>0</v>
      </c>
      <c r="CR233" s="228">
        <f t="shared" si="254"/>
        <v>0</v>
      </c>
      <c r="CS233" s="228">
        <f t="shared" si="254"/>
        <v>0</v>
      </c>
      <c r="CT233" s="228">
        <f t="shared" si="254"/>
        <v>0</v>
      </c>
      <c r="CU233" s="228">
        <f t="shared" si="254"/>
        <v>0</v>
      </c>
      <c r="CV233" s="228">
        <f t="shared" si="254"/>
        <v>0</v>
      </c>
      <c r="CW233" s="228">
        <f t="shared" si="254"/>
        <v>0</v>
      </c>
      <c r="CX233" s="228">
        <f t="shared" si="254"/>
        <v>0</v>
      </c>
      <c r="CY233" s="228">
        <f t="shared" si="254"/>
        <v>0</v>
      </c>
      <c r="CZ233" s="228">
        <f t="shared" si="254"/>
        <v>0</v>
      </c>
      <c r="DA233" s="228">
        <f t="shared" si="254"/>
        <v>0</v>
      </c>
      <c r="DB233" s="228">
        <f t="shared" si="254"/>
        <v>0</v>
      </c>
      <c r="DC233" s="228">
        <f t="shared" si="254"/>
        <v>0</v>
      </c>
      <c r="DD233" s="228">
        <f t="shared" si="254"/>
        <v>0</v>
      </c>
      <c r="DE233" s="228">
        <f t="shared" si="254"/>
        <v>0</v>
      </c>
      <c r="DF233" s="228">
        <f t="shared" si="254"/>
        <v>0</v>
      </c>
      <c r="DG233" s="228">
        <f t="shared" si="254"/>
        <v>0</v>
      </c>
      <c r="DH233" s="228">
        <f t="shared" si="254"/>
        <v>0</v>
      </c>
      <c r="DI233" s="228">
        <f t="shared" si="254"/>
        <v>0</v>
      </c>
      <c r="DJ233" s="228">
        <f t="shared" si="254"/>
        <v>0</v>
      </c>
      <c r="DK233" s="228">
        <f t="shared" si="254"/>
        <v>0</v>
      </c>
      <c r="DL233" s="228">
        <f t="shared" si="254"/>
        <v>0</v>
      </c>
      <c r="DM233" s="228">
        <f t="shared" si="254"/>
        <v>0</v>
      </c>
      <c r="DN233" s="228">
        <f t="shared" si="254"/>
        <v>0</v>
      </c>
      <c r="DO233" s="228">
        <f t="shared" si="254"/>
        <v>0</v>
      </c>
      <c r="DP233" s="232">
        <f t="shared" si="254"/>
        <v>0</v>
      </c>
      <c r="DQ233" s="228">
        <f t="shared" si="161"/>
        <v>0</v>
      </c>
      <c r="DR233" s="228">
        <f t="shared" si="162"/>
        <v>0</v>
      </c>
      <c r="DS233" s="230">
        <f>SUM(X233:Y233)+(1-TRP!$AK$253)*AC233</f>
        <v>0</v>
      </c>
      <c r="DT233" s="228">
        <f t="shared" si="163"/>
        <v>0</v>
      </c>
      <c r="DU233" s="228">
        <f t="shared" si="164"/>
        <v>0</v>
      </c>
      <c r="DV233" s="228">
        <f t="shared" si="165"/>
        <v>0</v>
      </c>
      <c r="DW233" s="228">
        <f t="shared" si="166"/>
        <v>0</v>
      </c>
      <c r="DX233" s="228">
        <f t="shared" si="167"/>
        <v>0</v>
      </c>
      <c r="DY233" s="228">
        <f t="shared" si="168"/>
        <v>0</v>
      </c>
      <c r="DZ233" s="228">
        <f t="shared" si="169"/>
        <v>0</v>
      </c>
      <c r="EA233" s="228">
        <f t="shared" si="170"/>
        <v>0</v>
      </c>
      <c r="EB233" s="230">
        <f>TRP!$AK$253*$AC233+SUM(M233:W233,Z233:AB233,AD233:AR233,AU233:AX233,BC233:BE233,BI233:BN233,BQ233:BR233,BV233)</f>
        <v>0</v>
      </c>
      <c r="EC233" s="228">
        <f t="shared" si="171"/>
        <v>0</v>
      </c>
      <c r="ED233" s="230">
        <f>CB233+$CI233*TRP!$AV$248</f>
        <v>0</v>
      </c>
      <c r="EE233" s="228">
        <f t="shared" si="172"/>
        <v>0</v>
      </c>
      <c r="EF233" s="230">
        <f>CD233+$CI233*TRP!$AV$249</f>
        <v>0</v>
      </c>
      <c r="EG233" s="230">
        <f>CE233+$CI233*TRP!$AV$250</f>
        <v>0</v>
      </c>
      <c r="EH233" s="230">
        <f>CF233+$CI233*TRP!$AV$251</f>
        <v>0</v>
      </c>
      <c r="EI233" s="228">
        <f t="shared" si="173"/>
        <v>0</v>
      </c>
      <c r="EJ233" s="228">
        <f t="shared" si="174"/>
        <v>0</v>
      </c>
      <c r="EK233" s="228">
        <f t="shared" si="175"/>
        <v>0</v>
      </c>
      <c r="EL233" s="230">
        <f>BS233+$BP233*TRP!$AN$246</f>
        <v>0</v>
      </c>
      <c r="EM233" s="228">
        <f t="shared" si="176"/>
        <v>0</v>
      </c>
      <c r="EN233" s="230">
        <f>BU233+$BP233*TRP!$AN$247</f>
        <v>0</v>
      </c>
    </row>
    <row r="234" spans="1:144" s="228" customFormat="1" ht="10.5" x14ac:dyDescent="0.25">
      <c r="A234" s="228" t="str">
        <f>TRP!C232</f>
        <v xml:space="preserve">GP31 </v>
      </c>
      <c r="B234" s="228" t="str">
        <f>TRP!B232</f>
        <v>SERVICES PERSONNELS</v>
      </c>
      <c r="C234" s="233">
        <f>TRP!A232</f>
        <v>19</v>
      </c>
      <c r="D234" s="228">
        <f t="shared" ref="D234:BO234" si="255">D110</f>
        <v>0</v>
      </c>
      <c r="E234" s="228">
        <f t="shared" si="255"/>
        <v>0</v>
      </c>
      <c r="F234" s="228">
        <f t="shared" si="255"/>
        <v>0</v>
      </c>
      <c r="G234" s="228">
        <f t="shared" si="255"/>
        <v>14</v>
      </c>
      <c r="H234" s="228">
        <f t="shared" si="255"/>
        <v>19</v>
      </c>
      <c r="I234" s="228">
        <f t="shared" si="255"/>
        <v>22</v>
      </c>
      <c r="J234" s="228">
        <f t="shared" si="255"/>
        <v>13</v>
      </c>
      <c r="K234" s="228">
        <f t="shared" si="255"/>
        <v>30</v>
      </c>
      <c r="L234" s="228">
        <f t="shared" si="255"/>
        <v>3</v>
      </c>
      <c r="M234" s="228">
        <f t="shared" si="255"/>
        <v>13</v>
      </c>
      <c r="N234" s="228">
        <f t="shared" si="255"/>
        <v>5</v>
      </c>
      <c r="O234" s="228">
        <f t="shared" si="255"/>
        <v>19</v>
      </c>
      <c r="P234" s="228">
        <f t="shared" si="255"/>
        <v>26</v>
      </c>
      <c r="Q234" s="228">
        <f t="shared" si="255"/>
        <v>13</v>
      </c>
      <c r="R234" s="228">
        <f t="shared" si="255"/>
        <v>3</v>
      </c>
      <c r="S234" s="228">
        <f t="shared" si="255"/>
        <v>0</v>
      </c>
      <c r="T234" s="228">
        <f t="shared" si="255"/>
        <v>2</v>
      </c>
      <c r="U234" s="228">
        <f t="shared" si="255"/>
        <v>1</v>
      </c>
      <c r="V234" s="228">
        <f t="shared" si="255"/>
        <v>1</v>
      </c>
      <c r="W234" s="228">
        <f t="shared" si="255"/>
        <v>2</v>
      </c>
      <c r="X234" s="228">
        <f t="shared" si="255"/>
        <v>4</v>
      </c>
      <c r="Y234" s="228">
        <f t="shared" si="255"/>
        <v>5</v>
      </c>
      <c r="Z234" s="228">
        <f t="shared" si="255"/>
        <v>2</v>
      </c>
      <c r="AA234" s="228">
        <f t="shared" si="255"/>
        <v>1</v>
      </c>
      <c r="AB234" s="228">
        <f t="shared" si="255"/>
        <v>4</v>
      </c>
      <c r="AC234" s="228">
        <f t="shared" si="255"/>
        <v>1</v>
      </c>
      <c r="AD234" s="228">
        <f t="shared" si="255"/>
        <v>0</v>
      </c>
      <c r="AE234" s="228">
        <f t="shared" si="255"/>
        <v>0</v>
      </c>
      <c r="AF234" s="228">
        <f t="shared" si="255"/>
        <v>0</v>
      </c>
      <c r="AG234" s="228">
        <f t="shared" si="255"/>
        <v>0</v>
      </c>
      <c r="AH234" s="228">
        <f t="shared" si="255"/>
        <v>0</v>
      </c>
      <c r="AI234" s="228">
        <f t="shared" si="255"/>
        <v>0</v>
      </c>
      <c r="AJ234" s="228">
        <f t="shared" si="255"/>
        <v>0</v>
      </c>
      <c r="AK234" s="228">
        <f t="shared" si="255"/>
        <v>0</v>
      </c>
      <c r="AL234" s="228">
        <f t="shared" si="255"/>
        <v>1</v>
      </c>
      <c r="AM234" s="228">
        <f t="shared" si="255"/>
        <v>3</v>
      </c>
      <c r="AN234" s="228">
        <f t="shared" si="255"/>
        <v>3</v>
      </c>
      <c r="AO234" s="228">
        <f t="shared" si="255"/>
        <v>2</v>
      </c>
      <c r="AP234" s="228">
        <f t="shared" si="255"/>
        <v>1</v>
      </c>
      <c r="AQ234" s="228">
        <f t="shared" si="255"/>
        <v>0</v>
      </c>
      <c r="AR234" s="228">
        <f t="shared" si="255"/>
        <v>0</v>
      </c>
      <c r="AS234" s="228">
        <f t="shared" si="255"/>
        <v>0</v>
      </c>
      <c r="AT234" s="228">
        <f t="shared" si="255"/>
        <v>1</v>
      </c>
      <c r="AU234" s="228">
        <f t="shared" si="255"/>
        <v>5</v>
      </c>
      <c r="AV234" s="228">
        <f t="shared" si="255"/>
        <v>3</v>
      </c>
      <c r="AW234" s="228">
        <f t="shared" si="255"/>
        <v>1</v>
      </c>
      <c r="AX234" s="228">
        <f t="shared" si="255"/>
        <v>2</v>
      </c>
      <c r="AY234" s="228">
        <f t="shared" si="255"/>
        <v>3</v>
      </c>
      <c r="AZ234" s="228">
        <f t="shared" si="255"/>
        <v>4</v>
      </c>
      <c r="BA234" s="228">
        <f t="shared" si="255"/>
        <v>3</v>
      </c>
      <c r="BB234" s="228">
        <f t="shared" si="255"/>
        <v>28</v>
      </c>
      <c r="BC234" s="228">
        <f t="shared" si="255"/>
        <v>18</v>
      </c>
      <c r="BD234" s="228">
        <f t="shared" si="255"/>
        <v>0</v>
      </c>
      <c r="BE234" s="228">
        <f t="shared" si="255"/>
        <v>1</v>
      </c>
      <c r="BF234" s="228">
        <f t="shared" si="255"/>
        <v>12</v>
      </c>
      <c r="BG234" s="228">
        <f t="shared" si="255"/>
        <v>2</v>
      </c>
      <c r="BH234" s="228">
        <f t="shared" si="255"/>
        <v>2</v>
      </c>
      <c r="BI234" s="228">
        <f t="shared" si="255"/>
        <v>1</v>
      </c>
      <c r="BJ234" s="228">
        <f t="shared" si="255"/>
        <v>6</v>
      </c>
      <c r="BK234" s="228">
        <f t="shared" si="255"/>
        <v>1</v>
      </c>
      <c r="BL234" s="228">
        <f t="shared" si="255"/>
        <v>0</v>
      </c>
      <c r="BM234" s="228">
        <f t="shared" si="255"/>
        <v>4</v>
      </c>
      <c r="BN234" s="228">
        <f t="shared" si="255"/>
        <v>3</v>
      </c>
      <c r="BO234" s="228">
        <f t="shared" si="255"/>
        <v>0</v>
      </c>
      <c r="BP234" s="228">
        <f t="shared" ref="BP234:DP234" si="256">BP110</f>
        <v>0</v>
      </c>
      <c r="BQ234" s="228">
        <f t="shared" si="256"/>
        <v>0</v>
      </c>
      <c r="BR234" s="228">
        <f t="shared" si="256"/>
        <v>3</v>
      </c>
      <c r="BS234" s="228">
        <f t="shared" si="256"/>
        <v>9</v>
      </c>
      <c r="BT234" s="228">
        <f t="shared" si="256"/>
        <v>7</v>
      </c>
      <c r="BU234" s="228">
        <f t="shared" si="256"/>
        <v>2</v>
      </c>
      <c r="BV234" s="228">
        <f t="shared" si="256"/>
        <v>6</v>
      </c>
      <c r="BW234" s="228">
        <f t="shared" si="256"/>
        <v>30</v>
      </c>
      <c r="BX234" s="228">
        <f t="shared" si="256"/>
        <v>1</v>
      </c>
      <c r="BY234" s="228">
        <f t="shared" si="256"/>
        <v>1</v>
      </c>
      <c r="BZ234" s="228">
        <f t="shared" si="256"/>
        <v>53</v>
      </c>
      <c r="CA234" s="228">
        <f t="shared" si="256"/>
        <v>65</v>
      </c>
      <c r="CB234" s="228">
        <f t="shared" si="256"/>
        <v>2</v>
      </c>
      <c r="CC234" s="228">
        <f t="shared" si="256"/>
        <v>6</v>
      </c>
      <c r="CD234" s="228">
        <f t="shared" si="256"/>
        <v>43</v>
      </c>
      <c r="CE234" s="228">
        <f t="shared" si="256"/>
        <v>14</v>
      </c>
      <c r="CF234" s="228">
        <f t="shared" si="256"/>
        <v>9</v>
      </c>
      <c r="CG234" s="228">
        <f t="shared" si="256"/>
        <v>22</v>
      </c>
      <c r="CH234" s="228">
        <f t="shared" si="256"/>
        <v>17</v>
      </c>
      <c r="CI234" s="228">
        <f t="shared" si="256"/>
        <v>26</v>
      </c>
      <c r="CJ234" s="228">
        <f t="shared" si="256"/>
        <v>0</v>
      </c>
      <c r="CK234" s="228">
        <f t="shared" si="256"/>
        <v>0</v>
      </c>
      <c r="CL234" s="228">
        <f t="shared" si="256"/>
        <v>0</v>
      </c>
      <c r="CM234" s="228">
        <f t="shared" si="256"/>
        <v>104</v>
      </c>
      <c r="CN234" s="228">
        <f t="shared" si="256"/>
        <v>97</v>
      </c>
      <c r="CO234" s="228">
        <f t="shared" si="256"/>
        <v>18</v>
      </c>
      <c r="CP234" s="228">
        <f t="shared" si="256"/>
        <v>11</v>
      </c>
      <c r="CQ234" s="228">
        <f t="shared" si="256"/>
        <v>10</v>
      </c>
      <c r="CR234" s="228">
        <f t="shared" si="256"/>
        <v>46</v>
      </c>
      <c r="CS234" s="228">
        <f t="shared" si="256"/>
        <v>1</v>
      </c>
      <c r="CT234" s="228">
        <f t="shared" si="256"/>
        <v>48</v>
      </c>
      <c r="CU234" s="228">
        <f t="shared" si="256"/>
        <v>21</v>
      </c>
      <c r="CV234" s="228">
        <f t="shared" si="256"/>
        <v>5</v>
      </c>
      <c r="CW234" s="228">
        <f t="shared" si="256"/>
        <v>93</v>
      </c>
      <c r="CX234" s="228">
        <f t="shared" si="256"/>
        <v>10</v>
      </c>
      <c r="CY234" s="228">
        <f t="shared" si="256"/>
        <v>45</v>
      </c>
      <c r="CZ234" s="228">
        <f t="shared" si="256"/>
        <v>0</v>
      </c>
      <c r="DA234" s="228">
        <f t="shared" si="256"/>
        <v>208</v>
      </c>
      <c r="DB234" s="228">
        <f t="shared" si="256"/>
        <v>111</v>
      </c>
      <c r="DC234" s="228">
        <f t="shared" si="256"/>
        <v>175</v>
      </c>
      <c r="DD234" s="228">
        <f t="shared" si="256"/>
        <v>22</v>
      </c>
      <c r="DE234" s="228">
        <f t="shared" si="256"/>
        <v>756</v>
      </c>
      <c r="DF234" s="228">
        <f t="shared" si="256"/>
        <v>0</v>
      </c>
      <c r="DG234" s="228">
        <f t="shared" si="256"/>
        <v>26</v>
      </c>
      <c r="DH234" s="228">
        <f t="shared" si="256"/>
        <v>0</v>
      </c>
      <c r="DI234" s="228">
        <f t="shared" si="256"/>
        <v>12</v>
      </c>
      <c r="DJ234" s="228">
        <f t="shared" si="256"/>
        <v>0</v>
      </c>
      <c r="DK234" s="228">
        <f t="shared" si="256"/>
        <v>0</v>
      </c>
      <c r="DL234" s="228">
        <f t="shared" si="256"/>
        <v>5</v>
      </c>
      <c r="DM234" s="228">
        <f t="shared" si="256"/>
        <v>22</v>
      </c>
      <c r="DN234" s="228">
        <f t="shared" si="256"/>
        <v>0</v>
      </c>
      <c r="DO234" s="228">
        <f t="shared" si="256"/>
        <v>155</v>
      </c>
      <c r="DP234" s="232">
        <f t="shared" si="256"/>
        <v>2630</v>
      </c>
      <c r="DQ234" s="228">
        <f t="shared" si="161"/>
        <v>0</v>
      </c>
      <c r="DR234" s="228">
        <f t="shared" si="162"/>
        <v>101</v>
      </c>
      <c r="DS234" s="230">
        <f>SUM(X234:Y234)+(1-TRP!$AK$253)*AC234</f>
        <v>9.6999999999999993</v>
      </c>
      <c r="DT234" s="228">
        <f t="shared" si="163"/>
        <v>0</v>
      </c>
      <c r="DU234" s="228">
        <f t="shared" si="164"/>
        <v>1</v>
      </c>
      <c r="DV234" s="228">
        <f t="shared" si="165"/>
        <v>7</v>
      </c>
      <c r="DW234" s="228">
        <f t="shared" si="166"/>
        <v>3</v>
      </c>
      <c r="DX234" s="228">
        <f t="shared" si="167"/>
        <v>28</v>
      </c>
      <c r="DY234" s="228">
        <f t="shared" si="168"/>
        <v>12</v>
      </c>
      <c r="DZ234" s="228">
        <f t="shared" si="169"/>
        <v>2</v>
      </c>
      <c r="EA234" s="228">
        <f t="shared" si="170"/>
        <v>2</v>
      </c>
      <c r="EB234" s="230">
        <f>TRP!$AK$253*$AC234+SUM(M234:W234,Z234:AB234,AD234:AR234,AU234:AX234,BC234:BE234,BI234:BN234,BQ234:BR234,BV234)</f>
        <v>156.30000000000001</v>
      </c>
      <c r="EC234" s="228">
        <f t="shared" si="171"/>
        <v>31</v>
      </c>
      <c r="ED234" s="230">
        <f>CB234+$CI234*TRP!$AV$248</f>
        <v>2.8061105065396381</v>
      </c>
      <c r="EE234" s="228">
        <f t="shared" si="172"/>
        <v>6</v>
      </c>
      <c r="EF234" s="230">
        <f>CD234+$CI234*TRP!$AV$249</f>
        <v>61.023090393375597</v>
      </c>
      <c r="EG234" s="230">
        <f>CE234+$CI234*TRP!$AV$250</f>
        <v>19.25703022107761</v>
      </c>
      <c r="EH234" s="230">
        <f>CF234+$CI234*TRP!$AV$251</f>
        <v>10.91376887900716</v>
      </c>
      <c r="EI234" s="228">
        <f t="shared" si="173"/>
        <v>1982</v>
      </c>
      <c r="EJ234" s="228">
        <f t="shared" si="174"/>
        <v>177</v>
      </c>
      <c r="EK234" s="228">
        <f t="shared" si="175"/>
        <v>0</v>
      </c>
      <c r="EL234" s="230">
        <f>BS234+$BP234*TRP!$AN$246</f>
        <v>9</v>
      </c>
      <c r="EM234" s="228">
        <f t="shared" si="176"/>
        <v>7</v>
      </c>
      <c r="EN234" s="230">
        <f>BU234+$BP234*TRP!$AN$247</f>
        <v>2</v>
      </c>
    </row>
    <row r="235" spans="1:144" s="228" customFormat="1" ht="10.5" x14ac:dyDescent="0.25">
      <c r="A235" s="228" t="str">
        <f>TRP!C233</f>
        <v xml:space="preserve">GP32 </v>
      </c>
      <c r="B235" s="228" t="str">
        <f>TRP!B233</f>
        <v>SERVICES DOMESTIQUES</v>
      </c>
      <c r="C235" s="233">
        <f>TRP!A233</f>
        <v>19</v>
      </c>
      <c r="D235" s="228">
        <f t="shared" ref="D235:BO235" si="257">D111</f>
        <v>0</v>
      </c>
      <c r="E235" s="228">
        <f t="shared" si="257"/>
        <v>0</v>
      </c>
      <c r="F235" s="228">
        <f t="shared" si="257"/>
        <v>0</v>
      </c>
      <c r="G235" s="228">
        <f t="shared" si="257"/>
        <v>0</v>
      </c>
      <c r="H235" s="228">
        <f t="shared" si="257"/>
        <v>0</v>
      </c>
      <c r="I235" s="228">
        <f t="shared" si="257"/>
        <v>0</v>
      </c>
      <c r="J235" s="228">
        <f t="shared" si="257"/>
        <v>0</v>
      </c>
      <c r="K235" s="228">
        <f t="shared" si="257"/>
        <v>0</v>
      </c>
      <c r="L235" s="228">
        <f t="shared" si="257"/>
        <v>0</v>
      </c>
      <c r="M235" s="228">
        <f t="shared" si="257"/>
        <v>0</v>
      </c>
      <c r="N235" s="228">
        <f t="shared" si="257"/>
        <v>0</v>
      </c>
      <c r="O235" s="228">
        <f t="shared" si="257"/>
        <v>0</v>
      </c>
      <c r="P235" s="228">
        <f t="shared" si="257"/>
        <v>0</v>
      </c>
      <c r="Q235" s="228">
        <f t="shared" si="257"/>
        <v>0</v>
      </c>
      <c r="R235" s="228">
        <f t="shared" si="257"/>
        <v>0</v>
      </c>
      <c r="S235" s="228">
        <f t="shared" si="257"/>
        <v>0</v>
      </c>
      <c r="T235" s="228">
        <f t="shared" si="257"/>
        <v>0</v>
      </c>
      <c r="U235" s="228">
        <f t="shared" si="257"/>
        <v>0</v>
      </c>
      <c r="V235" s="228">
        <f t="shared" si="257"/>
        <v>0</v>
      </c>
      <c r="W235" s="228">
        <f t="shared" si="257"/>
        <v>0</v>
      </c>
      <c r="X235" s="228">
        <f t="shared" si="257"/>
        <v>0</v>
      </c>
      <c r="Y235" s="228">
        <f t="shared" si="257"/>
        <v>0</v>
      </c>
      <c r="Z235" s="228">
        <f t="shared" si="257"/>
        <v>0</v>
      </c>
      <c r="AA235" s="228">
        <f t="shared" si="257"/>
        <v>0</v>
      </c>
      <c r="AB235" s="228">
        <f t="shared" si="257"/>
        <v>0</v>
      </c>
      <c r="AC235" s="228">
        <f t="shared" si="257"/>
        <v>0</v>
      </c>
      <c r="AD235" s="228">
        <f t="shared" si="257"/>
        <v>0</v>
      </c>
      <c r="AE235" s="228">
        <f t="shared" si="257"/>
        <v>0</v>
      </c>
      <c r="AF235" s="228">
        <f t="shared" si="257"/>
        <v>0</v>
      </c>
      <c r="AG235" s="228">
        <f t="shared" si="257"/>
        <v>0</v>
      </c>
      <c r="AH235" s="228">
        <f t="shared" si="257"/>
        <v>0</v>
      </c>
      <c r="AI235" s="228">
        <f t="shared" si="257"/>
        <v>0</v>
      </c>
      <c r="AJ235" s="228">
        <f t="shared" si="257"/>
        <v>0</v>
      </c>
      <c r="AK235" s="228">
        <f t="shared" si="257"/>
        <v>0</v>
      </c>
      <c r="AL235" s="228">
        <f t="shared" si="257"/>
        <v>0</v>
      </c>
      <c r="AM235" s="228">
        <f t="shared" si="257"/>
        <v>0</v>
      </c>
      <c r="AN235" s="228">
        <f t="shared" si="257"/>
        <v>0</v>
      </c>
      <c r="AO235" s="228">
        <f t="shared" si="257"/>
        <v>0</v>
      </c>
      <c r="AP235" s="228">
        <f t="shared" si="257"/>
        <v>0</v>
      </c>
      <c r="AQ235" s="228">
        <f t="shared" si="257"/>
        <v>0</v>
      </c>
      <c r="AR235" s="228">
        <f t="shared" si="257"/>
        <v>0</v>
      </c>
      <c r="AS235" s="228">
        <f t="shared" si="257"/>
        <v>0</v>
      </c>
      <c r="AT235" s="228">
        <f t="shared" si="257"/>
        <v>0</v>
      </c>
      <c r="AU235" s="228">
        <f t="shared" si="257"/>
        <v>0</v>
      </c>
      <c r="AV235" s="228">
        <f t="shared" si="257"/>
        <v>0</v>
      </c>
      <c r="AW235" s="228">
        <f t="shared" si="257"/>
        <v>0</v>
      </c>
      <c r="AX235" s="228">
        <f t="shared" si="257"/>
        <v>0</v>
      </c>
      <c r="AY235" s="228">
        <f t="shared" si="257"/>
        <v>0</v>
      </c>
      <c r="AZ235" s="228">
        <f t="shared" si="257"/>
        <v>0</v>
      </c>
      <c r="BA235" s="228">
        <f t="shared" si="257"/>
        <v>0</v>
      </c>
      <c r="BB235" s="228">
        <f t="shared" si="257"/>
        <v>0</v>
      </c>
      <c r="BC235" s="228">
        <f t="shared" si="257"/>
        <v>0</v>
      </c>
      <c r="BD235" s="228">
        <f t="shared" si="257"/>
        <v>0</v>
      </c>
      <c r="BE235" s="228">
        <f t="shared" si="257"/>
        <v>0</v>
      </c>
      <c r="BF235" s="228">
        <f t="shared" si="257"/>
        <v>0</v>
      </c>
      <c r="BG235" s="228">
        <f t="shared" si="257"/>
        <v>0</v>
      </c>
      <c r="BH235" s="228">
        <f t="shared" si="257"/>
        <v>0</v>
      </c>
      <c r="BI235" s="228">
        <f t="shared" si="257"/>
        <v>0</v>
      </c>
      <c r="BJ235" s="228">
        <f t="shared" si="257"/>
        <v>0</v>
      </c>
      <c r="BK235" s="228">
        <f t="shared" si="257"/>
        <v>0</v>
      </c>
      <c r="BL235" s="228">
        <f t="shared" si="257"/>
        <v>0</v>
      </c>
      <c r="BM235" s="228">
        <f t="shared" si="257"/>
        <v>0</v>
      </c>
      <c r="BN235" s="228">
        <f t="shared" si="257"/>
        <v>0</v>
      </c>
      <c r="BO235" s="228">
        <f t="shared" si="257"/>
        <v>0</v>
      </c>
      <c r="BP235" s="228">
        <f t="shared" ref="BP235:DP235" si="258">BP111</f>
        <v>0</v>
      </c>
      <c r="BQ235" s="228">
        <f t="shared" si="258"/>
        <v>0</v>
      </c>
      <c r="BR235" s="228">
        <f t="shared" si="258"/>
        <v>0</v>
      </c>
      <c r="BS235" s="228">
        <f t="shared" si="258"/>
        <v>0</v>
      </c>
      <c r="BT235" s="228">
        <f t="shared" si="258"/>
        <v>0</v>
      </c>
      <c r="BU235" s="228">
        <f t="shared" si="258"/>
        <v>0</v>
      </c>
      <c r="BV235" s="228">
        <f t="shared" si="258"/>
        <v>0</v>
      </c>
      <c r="BW235" s="228">
        <f t="shared" si="258"/>
        <v>0</v>
      </c>
      <c r="BX235" s="228">
        <f t="shared" si="258"/>
        <v>0</v>
      </c>
      <c r="BY235" s="228">
        <f t="shared" si="258"/>
        <v>0</v>
      </c>
      <c r="BZ235" s="228">
        <f t="shared" si="258"/>
        <v>0</v>
      </c>
      <c r="CA235" s="228">
        <f t="shared" si="258"/>
        <v>0</v>
      </c>
      <c r="CB235" s="228">
        <f t="shared" si="258"/>
        <v>0</v>
      </c>
      <c r="CC235" s="228">
        <f t="shared" si="258"/>
        <v>0</v>
      </c>
      <c r="CD235" s="228">
        <f t="shared" si="258"/>
        <v>0</v>
      </c>
      <c r="CE235" s="228">
        <f t="shared" si="258"/>
        <v>0</v>
      </c>
      <c r="CF235" s="228">
        <f t="shared" si="258"/>
        <v>0</v>
      </c>
      <c r="CG235" s="228">
        <f t="shared" si="258"/>
        <v>0</v>
      </c>
      <c r="CH235" s="228">
        <f t="shared" si="258"/>
        <v>0</v>
      </c>
      <c r="CI235" s="228">
        <f t="shared" si="258"/>
        <v>0</v>
      </c>
      <c r="CJ235" s="228">
        <f t="shared" si="258"/>
        <v>0</v>
      </c>
      <c r="CK235" s="228">
        <f t="shared" si="258"/>
        <v>0</v>
      </c>
      <c r="CL235" s="228">
        <f t="shared" si="258"/>
        <v>0</v>
      </c>
      <c r="CM235" s="228">
        <f t="shared" si="258"/>
        <v>0</v>
      </c>
      <c r="CN235" s="228">
        <f t="shared" si="258"/>
        <v>789</v>
      </c>
      <c r="CO235" s="228">
        <f t="shared" si="258"/>
        <v>0</v>
      </c>
      <c r="CP235" s="228">
        <f t="shared" si="258"/>
        <v>0</v>
      </c>
      <c r="CQ235" s="228">
        <f t="shared" si="258"/>
        <v>0</v>
      </c>
      <c r="CR235" s="228">
        <f t="shared" si="258"/>
        <v>0</v>
      </c>
      <c r="CS235" s="228">
        <f t="shared" si="258"/>
        <v>0</v>
      </c>
      <c r="CT235" s="228">
        <f t="shared" si="258"/>
        <v>0</v>
      </c>
      <c r="CU235" s="228">
        <f t="shared" si="258"/>
        <v>0</v>
      </c>
      <c r="CV235" s="228">
        <f t="shared" si="258"/>
        <v>0</v>
      </c>
      <c r="CW235" s="228">
        <f t="shared" si="258"/>
        <v>0</v>
      </c>
      <c r="CX235" s="228">
        <f t="shared" si="258"/>
        <v>0</v>
      </c>
      <c r="CY235" s="228">
        <f t="shared" si="258"/>
        <v>0</v>
      </c>
      <c r="CZ235" s="228">
        <f t="shared" si="258"/>
        <v>0</v>
      </c>
      <c r="DA235" s="228">
        <f t="shared" si="258"/>
        <v>0</v>
      </c>
      <c r="DB235" s="228">
        <f t="shared" si="258"/>
        <v>0</v>
      </c>
      <c r="DC235" s="228">
        <f t="shared" si="258"/>
        <v>0</v>
      </c>
      <c r="DD235" s="228">
        <f t="shared" si="258"/>
        <v>0</v>
      </c>
      <c r="DE235" s="228">
        <f t="shared" si="258"/>
        <v>0</v>
      </c>
      <c r="DF235" s="228">
        <f t="shared" si="258"/>
        <v>0</v>
      </c>
      <c r="DG235" s="228">
        <f t="shared" si="258"/>
        <v>0</v>
      </c>
      <c r="DH235" s="228">
        <f t="shared" si="258"/>
        <v>0</v>
      </c>
      <c r="DI235" s="228">
        <f t="shared" si="258"/>
        <v>0</v>
      </c>
      <c r="DJ235" s="228">
        <f t="shared" si="258"/>
        <v>0</v>
      </c>
      <c r="DK235" s="228">
        <f t="shared" si="258"/>
        <v>0</v>
      </c>
      <c r="DL235" s="228">
        <f t="shared" si="258"/>
        <v>0</v>
      </c>
      <c r="DM235" s="228">
        <f t="shared" si="258"/>
        <v>0</v>
      </c>
      <c r="DN235" s="228">
        <f t="shared" si="258"/>
        <v>0</v>
      </c>
      <c r="DO235" s="228">
        <f t="shared" si="258"/>
        <v>0</v>
      </c>
      <c r="DP235" s="232">
        <f t="shared" si="258"/>
        <v>789</v>
      </c>
      <c r="DQ235" s="228">
        <f t="shared" si="161"/>
        <v>0</v>
      </c>
      <c r="DR235" s="228">
        <f t="shared" si="162"/>
        <v>0</v>
      </c>
      <c r="DS235" s="230">
        <f>SUM(X235:Y235)+(1-TRP!$AK$253)*AC235</f>
        <v>0</v>
      </c>
      <c r="DT235" s="228">
        <f t="shared" si="163"/>
        <v>0</v>
      </c>
      <c r="DU235" s="228">
        <f t="shared" si="164"/>
        <v>0</v>
      </c>
      <c r="DV235" s="228">
        <f t="shared" si="165"/>
        <v>0</v>
      </c>
      <c r="DW235" s="228">
        <f t="shared" si="166"/>
        <v>0</v>
      </c>
      <c r="DX235" s="228">
        <f t="shared" si="167"/>
        <v>0</v>
      </c>
      <c r="DY235" s="228">
        <f t="shared" si="168"/>
        <v>0</v>
      </c>
      <c r="DZ235" s="228">
        <f t="shared" si="169"/>
        <v>0</v>
      </c>
      <c r="EA235" s="228">
        <f t="shared" si="170"/>
        <v>0</v>
      </c>
      <c r="EB235" s="230">
        <f>TRP!$AK$253*$AC235+SUM(M235:W235,Z235:AB235,AD235:AR235,AU235:AX235,BC235:BE235,BI235:BN235,BQ235:BR235,BV235)</f>
        <v>0</v>
      </c>
      <c r="EC235" s="228">
        <f t="shared" si="171"/>
        <v>0</v>
      </c>
      <c r="ED235" s="230">
        <f>CB235+$CI235*TRP!$AV$248</f>
        <v>0</v>
      </c>
      <c r="EE235" s="228">
        <f t="shared" si="172"/>
        <v>0</v>
      </c>
      <c r="EF235" s="230">
        <f>CD235+$CI235*TRP!$AV$249</f>
        <v>0</v>
      </c>
      <c r="EG235" s="230">
        <f>CE235+$CI235*TRP!$AV$250</f>
        <v>0</v>
      </c>
      <c r="EH235" s="230">
        <f>CF235+$CI235*TRP!$AV$251</f>
        <v>0</v>
      </c>
      <c r="EI235" s="228">
        <f t="shared" si="173"/>
        <v>789</v>
      </c>
      <c r="EJ235" s="228">
        <f t="shared" si="174"/>
        <v>0</v>
      </c>
      <c r="EK235" s="228">
        <f t="shared" si="175"/>
        <v>0</v>
      </c>
      <c r="EL235" s="230">
        <f>BS235+$BP235*TRP!$AN$246</f>
        <v>0</v>
      </c>
      <c r="EM235" s="228">
        <f t="shared" si="176"/>
        <v>0</v>
      </c>
      <c r="EN235" s="230">
        <f>BU235+$BP235*TRP!$AN$247</f>
        <v>0</v>
      </c>
    </row>
    <row r="236" spans="1:144" s="228" customFormat="1" ht="10.5" x14ac:dyDescent="0.25">
      <c r="A236" s="228" t="str">
        <f>TRP!C234</f>
        <v xml:space="preserve">GQ1A </v>
      </c>
      <c r="B236" s="228" t="str">
        <f>TRP!B234</f>
        <v>EDUCATION MARCHANDE</v>
      </c>
      <c r="C236" s="233">
        <f>TRP!A234</f>
        <v>19</v>
      </c>
      <c r="D236" s="228">
        <f t="shared" ref="D236:BO236" si="259">D112</f>
        <v>130</v>
      </c>
      <c r="E236" s="228">
        <f t="shared" si="259"/>
        <v>22</v>
      </c>
      <c r="F236" s="228">
        <f t="shared" si="259"/>
        <v>2</v>
      </c>
      <c r="G236" s="228">
        <f t="shared" si="259"/>
        <v>59</v>
      </c>
      <c r="H236" s="228">
        <f t="shared" si="259"/>
        <v>44</v>
      </c>
      <c r="I236" s="228">
        <f t="shared" si="259"/>
        <v>33</v>
      </c>
      <c r="J236" s="228">
        <f t="shared" si="259"/>
        <v>27</v>
      </c>
      <c r="K236" s="228">
        <f t="shared" si="259"/>
        <v>85</v>
      </c>
      <c r="L236" s="228">
        <f t="shared" si="259"/>
        <v>7</v>
      </c>
      <c r="M236" s="228">
        <f t="shared" si="259"/>
        <v>24</v>
      </c>
      <c r="N236" s="228">
        <f t="shared" si="259"/>
        <v>11</v>
      </c>
      <c r="O236" s="228">
        <f t="shared" si="259"/>
        <v>0</v>
      </c>
      <c r="P236" s="228">
        <f t="shared" si="259"/>
        <v>151</v>
      </c>
      <c r="Q236" s="228">
        <f t="shared" si="259"/>
        <v>61</v>
      </c>
      <c r="R236" s="228">
        <f t="shared" si="259"/>
        <v>34</v>
      </c>
      <c r="S236" s="228">
        <f t="shared" si="259"/>
        <v>4</v>
      </c>
      <c r="T236" s="228">
        <f t="shared" si="259"/>
        <v>11</v>
      </c>
      <c r="U236" s="228">
        <f t="shared" si="259"/>
        <v>12</v>
      </c>
      <c r="V236" s="228">
        <f t="shared" si="259"/>
        <v>10</v>
      </c>
      <c r="W236" s="228">
        <f t="shared" si="259"/>
        <v>8</v>
      </c>
      <c r="X236" s="228">
        <f t="shared" si="259"/>
        <v>369</v>
      </c>
      <c r="Y236" s="228">
        <f t="shared" si="259"/>
        <v>147</v>
      </c>
      <c r="Z236" s="228">
        <f t="shared" si="259"/>
        <v>21</v>
      </c>
      <c r="AA236" s="228">
        <f t="shared" si="259"/>
        <v>11</v>
      </c>
      <c r="AB236" s="228">
        <f t="shared" si="259"/>
        <v>161</v>
      </c>
      <c r="AC236" s="228">
        <f t="shared" si="259"/>
        <v>5</v>
      </c>
      <c r="AD236" s="228">
        <f t="shared" si="259"/>
        <v>28</v>
      </c>
      <c r="AE236" s="228">
        <f t="shared" si="259"/>
        <v>31</v>
      </c>
      <c r="AF236" s="228">
        <f t="shared" si="259"/>
        <v>49</v>
      </c>
      <c r="AG236" s="228">
        <f t="shared" si="259"/>
        <v>73</v>
      </c>
      <c r="AH236" s="228">
        <f t="shared" si="259"/>
        <v>18</v>
      </c>
      <c r="AI236" s="228">
        <f t="shared" si="259"/>
        <v>9</v>
      </c>
      <c r="AJ236" s="228">
        <f t="shared" si="259"/>
        <v>43</v>
      </c>
      <c r="AK236" s="228">
        <f t="shared" si="259"/>
        <v>11</v>
      </c>
      <c r="AL236" s="228">
        <f t="shared" si="259"/>
        <v>64</v>
      </c>
      <c r="AM236" s="228">
        <f t="shared" si="259"/>
        <v>25</v>
      </c>
      <c r="AN236" s="228">
        <f t="shared" si="259"/>
        <v>47</v>
      </c>
      <c r="AO236" s="228">
        <f t="shared" si="259"/>
        <v>21</v>
      </c>
      <c r="AP236" s="228">
        <f t="shared" si="259"/>
        <v>50</v>
      </c>
      <c r="AQ236" s="228">
        <f t="shared" si="259"/>
        <v>0</v>
      </c>
      <c r="AR236" s="228">
        <f t="shared" si="259"/>
        <v>16</v>
      </c>
      <c r="AS236" s="228">
        <f t="shared" si="259"/>
        <v>25</v>
      </c>
      <c r="AT236" s="228">
        <f t="shared" si="259"/>
        <v>71</v>
      </c>
      <c r="AU236" s="228">
        <f t="shared" si="259"/>
        <v>15</v>
      </c>
      <c r="AV236" s="228">
        <f t="shared" si="259"/>
        <v>16</v>
      </c>
      <c r="AW236" s="228">
        <f t="shared" si="259"/>
        <v>5</v>
      </c>
      <c r="AX236" s="228">
        <f t="shared" si="259"/>
        <v>23</v>
      </c>
      <c r="AY236" s="228">
        <f t="shared" si="259"/>
        <v>23</v>
      </c>
      <c r="AZ236" s="228">
        <f t="shared" si="259"/>
        <v>31</v>
      </c>
      <c r="BA236" s="228">
        <f t="shared" si="259"/>
        <v>27</v>
      </c>
      <c r="BB236" s="228">
        <f t="shared" si="259"/>
        <v>88</v>
      </c>
      <c r="BC236" s="228">
        <f t="shared" si="259"/>
        <v>52</v>
      </c>
      <c r="BD236" s="228">
        <f t="shared" si="259"/>
        <v>2</v>
      </c>
      <c r="BE236" s="228">
        <f t="shared" si="259"/>
        <v>45</v>
      </c>
      <c r="BF236" s="228">
        <f t="shared" si="259"/>
        <v>121</v>
      </c>
      <c r="BG236" s="228">
        <f t="shared" si="259"/>
        <v>49</v>
      </c>
      <c r="BH236" s="228">
        <f t="shared" si="259"/>
        <v>21</v>
      </c>
      <c r="BI236" s="228">
        <f t="shared" si="259"/>
        <v>10</v>
      </c>
      <c r="BJ236" s="228">
        <f t="shared" si="259"/>
        <v>75</v>
      </c>
      <c r="BK236" s="228">
        <f t="shared" si="259"/>
        <v>45</v>
      </c>
      <c r="BL236" s="228">
        <f t="shared" si="259"/>
        <v>9</v>
      </c>
      <c r="BM236" s="228">
        <f t="shared" si="259"/>
        <v>95</v>
      </c>
      <c r="BN236" s="228">
        <f t="shared" si="259"/>
        <v>42</v>
      </c>
      <c r="BO236" s="228">
        <f t="shared" si="259"/>
        <v>0</v>
      </c>
      <c r="BP236" s="228">
        <f t="shared" ref="BP236:DP236" si="260">BP112</f>
        <v>3</v>
      </c>
      <c r="BQ236" s="228">
        <f t="shared" si="260"/>
        <v>0</v>
      </c>
      <c r="BR236" s="228">
        <f t="shared" si="260"/>
        <v>6</v>
      </c>
      <c r="BS236" s="228">
        <f t="shared" si="260"/>
        <v>78</v>
      </c>
      <c r="BT236" s="228">
        <f t="shared" si="260"/>
        <v>183</v>
      </c>
      <c r="BU236" s="228">
        <f t="shared" si="260"/>
        <v>95</v>
      </c>
      <c r="BV236" s="228">
        <f t="shared" si="260"/>
        <v>16</v>
      </c>
      <c r="BW236" s="228">
        <f t="shared" si="260"/>
        <v>264</v>
      </c>
      <c r="BX236" s="228">
        <f t="shared" si="260"/>
        <v>85</v>
      </c>
      <c r="BY236" s="228">
        <f t="shared" si="260"/>
        <v>181</v>
      </c>
      <c r="BZ236" s="228">
        <f t="shared" si="260"/>
        <v>760</v>
      </c>
      <c r="CA236" s="228">
        <f t="shared" si="260"/>
        <v>419</v>
      </c>
      <c r="CB236" s="228">
        <f t="shared" si="260"/>
        <v>79</v>
      </c>
      <c r="CC236" s="228">
        <f t="shared" si="260"/>
        <v>129</v>
      </c>
      <c r="CD236" s="228">
        <f t="shared" si="260"/>
        <v>373</v>
      </c>
      <c r="CE236" s="228">
        <f t="shared" si="260"/>
        <v>13</v>
      </c>
      <c r="CF236" s="228">
        <f t="shared" si="260"/>
        <v>281</v>
      </c>
      <c r="CG236" s="228">
        <f t="shared" si="260"/>
        <v>69</v>
      </c>
      <c r="CH236" s="228">
        <f t="shared" si="260"/>
        <v>34</v>
      </c>
      <c r="CI236" s="228">
        <f t="shared" si="260"/>
        <v>90</v>
      </c>
      <c r="CJ236" s="228">
        <f t="shared" si="260"/>
        <v>688</v>
      </c>
      <c r="CK236" s="228">
        <f t="shared" si="260"/>
        <v>122</v>
      </c>
      <c r="CL236" s="228">
        <f t="shared" si="260"/>
        <v>15</v>
      </c>
      <c r="CM236" s="228">
        <f t="shared" si="260"/>
        <v>75</v>
      </c>
      <c r="CN236" s="228">
        <f t="shared" si="260"/>
        <v>65</v>
      </c>
      <c r="CO236" s="228">
        <f t="shared" si="260"/>
        <v>390</v>
      </c>
      <c r="CP236" s="228">
        <f t="shared" si="260"/>
        <v>324</v>
      </c>
      <c r="CQ236" s="228">
        <f t="shared" si="260"/>
        <v>177</v>
      </c>
      <c r="CR236" s="228">
        <f t="shared" si="260"/>
        <v>129</v>
      </c>
      <c r="CS236" s="228">
        <f t="shared" si="260"/>
        <v>91</v>
      </c>
      <c r="CT236" s="228">
        <f t="shared" si="260"/>
        <v>159</v>
      </c>
      <c r="CU236" s="228">
        <f t="shared" si="260"/>
        <v>45</v>
      </c>
      <c r="CV236" s="228">
        <f t="shared" si="260"/>
        <v>87</v>
      </c>
      <c r="CW236" s="228">
        <f t="shared" si="260"/>
        <v>250</v>
      </c>
      <c r="CX236" s="228">
        <f t="shared" si="260"/>
        <v>44</v>
      </c>
      <c r="CY236" s="228">
        <f t="shared" si="260"/>
        <v>119</v>
      </c>
      <c r="CZ236" s="228">
        <f t="shared" si="260"/>
        <v>38</v>
      </c>
      <c r="DA236" s="228">
        <f t="shared" si="260"/>
        <v>128</v>
      </c>
      <c r="DB236" s="228">
        <f t="shared" si="260"/>
        <v>66</v>
      </c>
      <c r="DC236" s="228">
        <f t="shared" si="260"/>
        <v>64</v>
      </c>
      <c r="DD236" s="228">
        <f t="shared" si="260"/>
        <v>39</v>
      </c>
      <c r="DE236" s="228">
        <f t="shared" si="260"/>
        <v>13</v>
      </c>
      <c r="DF236" s="228">
        <f t="shared" si="260"/>
        <v>0</v>
      </c>
      <c r="DG236" s="228">
        <f t="shared" si="260"/>
        <v>96</v>
      </c>
      <c r="DH236" s="228">
        <f t="shared" si="260"/>
        <v>168</v>
      </c>
      <c r="DI236" s="228">
        <f t="shared" si="260"/>
        <v>452</v>
      </c>
      <c r="DJ236" s="228">
        <f t="shared" si="260"/>
        <v>387</v>
      </c>
      <c r="DK236" s="228">
        <f t="shared" si="260"/>
        <v>16</v>
      </c>
      <c r="DL236" s="228">
        <f t="shared" si="260"/>
        <v>119</v>
      </c>
      <c r="DM236" s="228">
        <f t="shared" si="260"/>
        <v>62</v>
      </c>
      <c r="DN236" s="228">
        <f t="shared" si="260"/>
        <v>466</v>
      </c>
      <c r="DO236" s="228">
        <f t="shared" si="260"/>
        <v>8</v>
      </c>
      <c r="DP236" s="232">
        <f t="shared" si="260"/>
        <v>10884</v>
      </c>
      <c r="DQ236" s="228">
        <f t="shared" si="161"/>
        <v>154</v>
      </c>
      <c r="DR236" s="228">
        <f t="shared" si="162"/>
        <v>255</v>
      </c>
      <c r="DS236" s="230">
        <f>SUM(X236:Y236)+(1-TRP!$AK$253)*AC236</f>
        <v>519.5</v>
      </c>
      <c r="DT236" s="228">
        <f t="shared" si="163"/>
        <v>25</v>
      </c>
      <c r="DU236" s="228">
        <f t="shared" si="164"/>
        <v>71</v>
      </c>
      <c r="DV236" s="228">
        <f t="shared" si="165"/>
        <v>54</v>
      </c>
      <c r="DW236" s="228">
        <f t="shared" si="166"/>
        <v>27</v>
      </c>
      <c r="DX236" s="228">
        <f t="shared" si="167"/>
        <v>88</v>
      </c>
      <c r="DY236" s="228">
        <f t="shared" si="168"/>
        <v>121</v>
      </c>
      <c r="DZ236" s="228">
        <f t="shared" si="169"/>
        <v>49</v>
      </c>
      <c r="EA236" s="228">
        <f t="shared" si="170"/>
        <v>21</v>
      </c>
      <c r="EB236" s="230">
        <f>TRP!$AK$253*$AC236+SUM(M236:W236,Z236:AB236,AD236:AR236,AU236:AX236,BC236:BE236,BI236:BN236,BQ236:BR236,BV236)</f>
        <v>1461.5</v>
      </c>
      <c r="EC236" s="228">
        <f t="shared" si="171"/>
        <v>349</v>
      </c>
      <c r="ED236" s="230">
        <f>CB236+$CI236*TRP!$AV$248</f>
        <v>81.790382522637202</v>
      </c>
      <c r="EE236" s="228">
        <f t="shared" si="172"/>
        <v>129</v>
      </c>
      <c r="EF236" s="230">
        <f>CD236+$CI236*TRP!$AV$249</f>
        <v>435.38762059245397</v>
      </c>
      <c r="EG236" s="230">
        <f>CE236+$CI236*TRP!$AV$250</f>
        <v>31.197412303730189</v>
      </c>
      <c r="EH236" s="230">
        <f>CF236+$CI236*TRP!$AV$251</f>
        <v>287.62458458117862</v>
      </c>
      <c r="EI236" s="228">
        <f t="shared" si="173"/>
        <v>5236</v>
      </c>
      <c r="EJ236" s="228">
        <f t="shared" si="174"/>
        <v>1129</v>
      </c>
      <c r="EK236" s="228">
        <f t="shared" si="175"/>
        <v>0</v>
      </c>
      <c r="EL236" s="230">
        <f>BS236+$BP236*TRP!$AN$246</f>
        <v>80.217098638413376</v>
      </c>
      <c r="EM236" s="228">
        <f t="shared" si="176"/>
        <v>183</v>
      </c>
      <c r="EN236" s="230">
        <f>BU236+$BP236*TRP!$AN$247</f>
        <v>95.782901361586624</v>
      </c>
    </row>
    <row r="237" spans="1:144" s="228" customFormat="1" ht="10.5" x14ac:dyDescent="0.25">
      <c r="A237" s="228" t="str">
        <f>TRP!C235</f>
        <v xml:space="preserve">GQ1B </v>
      </c>
      <c r="B237" s="228" t="str">
        <f>TRP!B235</f>
        <v>EDUCATION NON MARCHANDE</v>
      </c>
      <c r="C237" s="233">
        <f>TRP!A235</f>
        <v>20</v>
      </c>
      <c r="D237" s="228">
        <f t="shared" ref="D237:BO237" si="261">D113</f>
        <v>0</v>
      </c>
      <c r="E237" s="228">
        <f t="shared" si="261"/>
        <v>0</v>
      </c>
      <c r="F237" s="228">
        <f t="shared" si="261"/>
        <v>0</v>
      </c>
      <c r="G237" s="228">
        <f t="shared" si="261"/>
        <v>0</v>
      </c>
      <c r="H237" s="228">
        <f t="shared" si="261"/>
        <v>0</v>
      </c>
      <c r="I237" s="228">
        <f t="shared" si="261"/>
        <v>0</v>
      </c>
      <c r="J237" s="228">
        <f t="shared" si="261"/>
        <v>0</v>
      </c>
      <c r="K237" s="228">
        <f t="shared" si="261"/>
        <v>0</v>
      </c>
      <c r="L237" s="228">
        <f t="shared" si="261"/>
        <v>0</v>
      </c>
      <c r="M237" s="228">
        <f t="shared" si="261"/>
        <v>0</v>
      </c>
      <c r="N237" s="228">
        <f t="shared" si="261"/>
        <v>0</v>
      </c>
      <c r="O237" s="228">
        <f t="shared" si="261"/>
        <v>0</v>
      </c>
      <c r="P237" s="228">
        <f t="shared" si="261"/>
        <v>0</v>
      </c>
      <c r="Q237" s="228">
        <f t="shared" si="261"/>
        <v>0</v>
      </c>
      <c r="R237" s="228">
        <f t="shared" si="261"/>
        <v>0</v>
      </c>
      <c r="S237" s="228">
        <f t="shared" si="261"/>
        <v>0</v>
      </c>
      <c r="T237" s="228">
        <f t="shared" si="261"/>
        <v>0</v>
      </c>
      <c r="U237" s="228">
        <f t="shared" si="261"/>
        <v>0</v>
      </c>
      <c r="V237" s="228">
        <f t="shared" si="261"/>
        <v>0</v>
      </c>
      <c r="W237" s="228">
        <f t="shared" si="261"/>
        <v>0</v>
      </c>
      <c r="X237" s="228">
        <f t="shared" si="261"/>
        <v>0</v>
      </c>
      <c r="Y237" s="228">
        <f t="shared" si="261"/>
        <v>0</v>
      </c>
      <c r="Z237" s="228">
        <f t="shared" si="261"/>
        <v>0</v>
      </c>
      <c r="AA237" s="228">
        <f t="shared" si="261"/>
        <v>0</v>
      </c>
      <c r="AB237" s="228">
        <f t="shared" si="261"/>
        <v>0</v>
      </c>
      <c r="AC237" s="228">
        <f t="shared" si="261"/>
        <v>0</v>
      </c>
      <c r="AD237" s="228">
        <f t="shared" si="261"/>
        <v>0</v>
      </c>
      <c r="AE237" s="228">
        <f t="shared" si="261"/>
        <v>0</v>
      </c>
      <c r="AF237" s="228">
        <f t="shared" si="261"/>
        <v>0</v>
      </c>
      <c r="AG237" s="228">
        <f t="shared" si="261"/>
        <v>0</v>
      </c>
      <c r="AH237" s="228">
        <f t="shared" si="261"/>
        <v>0</v>
      </c>
      <c r="AI237" s="228">
        <f t="shared" si="261"/>
        <v>0</v>
      </c>
      <c r="AJ237" s="228">
        <f t="shared" si="261"/>
        <v>0</v>
      </c>
      <c r="AK237" s="228">
        <f t="shared" si="261"/>
        <v>0</v>
      </c>
      <c r="AL237" s="228">
        <f t="shared" si="261"/>
        <v>0</v>
      </c>
      <c r="AM237" s="228">
        <f t="shared" si="261"/>
        <v>0</v>
      </c>
      <c r="AN237" s="228">
        <f t="shared" si="261"/>
        <v>0</v>
      </c>
      <c r="AO237" s="228">
        <f t="shared" si="261"/>
        <v>0</v>
      </c>
      <c r="AP237" s="228">
        <f t="shared" si="261"/>
        <v>0</v>
      </c>
      <c r="AQ237" s="228">
        <f t="shared" si="261"/>
        <v>0</v>
      </c>
      <c r="AR237" s="228">
        <f t="shared" si="261"/>
        <v>0</v>
      </c>
      <c r="AS237" s="228">
        <f t="shared" si="261"/>
        <v>0</v>
      </c>
      <c r="AT237" s="228">
        <f t="shared" si="261"/>
        <v>0</v>
      </c>
      <c r="AU237" s="228">
        <f t="shared" si="261"/>
        <v>0</v>
      </c>
      <c r="AV237" s="228">
        <f t="shared" si="261"/>
        <v>0</v>
      </c>
      <c r="AW237" s="228">
        <f t="shared" si="261"/>
        <v>0</v>
      </c>
      <c r="AX237" s="228">
        <f t="shared" si="261"/>
        <v>0</v>
      </c>
      <c r="AY237" s="228">
        <f t="shared" si="261"/>
        <v>0</v>
      </c>
      <c r="AZ237" s="228">
        <f t="shared" si="261"/>
        <v>0</v>
      </c>
      <c r="BA237" s="228">
        <f t="shared" si="261"/>
        <v>0</v>
      </c>
      <c r="BB237" s="228">
        <f t="shared" si="261"/>
        <v>0</v>
      </c>
      <c r="BC237" s="228">
        <f t="shared" si="261"/>
        <v>0</v>
      </c>
      <c r="BD237" s="228">
        <f t="shared" si="261"/>
        <v>0</v>
      </c>
      <c r="BE237" s="228">
        <f t="shared" si="261"/>
        <v>0</v>
      </c>
      <c r="BF237" s="228">
        <f t="shared" si="261"/>
        <v>0</v>
      </c>
      <c r="BG237" s="228">
        <f t="shared" si="261"/>
        <v>0</v>
      </c>
      <c r="BH237" s="228">
        <f t="shared" si="261"/>
        <v>0</v>
      </c>
      <c r="BI237" s="228">
        <f t="shared" si="261"/>
        <v>0</v>
      </c>
      <c r="BJ237" s="228">
        <f t="shared" si="261"/>
        <v>0</v>
      </c>
      <c r="BK237" s="228">
        <f t="shared" si="261"/>
        <v>0</v>
      </c>
      <c r="BL237" s="228">
        <f t="shared" si="261"/>
        <v>0</v>
      </c>
      <c r="BM237" s="228">
        <f t="shared" si="261"/>
        <v>0</v>
      </c>
      <c r="BN237" s="228">
        <f t="shared" si="261"/>
        <v>0</v>
      </c>
      <c r="BO237" s="228">
        <f t="shared" si="261"/>
        <v>0</v>
      </c>
      <c r="BP237" s="228">
        <f t="shared" ref="BP237:DP237" si="262">BP113</f>
        <v>0</v>
      </c>
      <c r="BQ237" s="228">
        <f t="shared" si="262"/>
        <v>0</v>
      </c>
      <c r="BR237" s="228">
        <f t="shared" si="262"/>
        <v>0</v>
      </c>
      <c r="BS237" s="228">
        <f t="shared" si="262"/>
        <v>0</v>
      </c>
      <c r="BT237" s="228">
        <f t="shared" si="262"/>
        <v>0</v>
      </c>
      <c r="BU237" s="228">
        <f t="shared" si="262"/>
        <v>0</v>
      </c>
      <c r="BV237" s="228">
        <f t="shared" si="262"/>
        <v>0</v>
      </c>
      <c r="BW237" s="228">
        <f t="shared" si="262"/>
        <v>0</v>
      </c>
      <c r="BX237" s="228">
        <f t="shared" si="262"/>
        <v>0</v>
      </c>
      <c r="BY237" s="228">
        <f t="shared" si="262"/>
        <v>0</v>
      </c>
      <c r="BZ237" s="228">
        <f t="shared" si="262"/>
        <v>0</v>
      </c>
      <c r="CA237" s="228">
        <f t="shared" si="262"/>
        <v>0</v>
      </c>
      <c r="CB237" s="228">
        <f t="shared" si="262"/>
        <v>0</v>
      </c>
      <c r="CC237" s="228">
        <f t="shared" si="262"/>
        <v>0</v>
      </c>
      <c r="CD237" s="228">
        <f t="shared" si="262"/>
        <v>0</v>
      </c>
      <c r="CE237" s="228">
        <f t="shared" si="262"/>
        <v>0</v>
      </c>
      <c r="CF237" s="228">
        <f t="shared" si="262"/>
        <v>0</v>
      </c>
      <c r="CG237" s="228">
        <f t="shared" si="262"/>
        <v>0</v>
      </c>
      <c r="CH237" s="228">
        <f t="shared" si="262"/>
        <v>0</v>
      </c>
      <c r="CI237" s="228">
        <f t="shared" si="262"/>
        <v>0</v>
      </c>
      <c r="CJ237" s="228">
        <f t="shared" si="262"/>
        <v>0</v>
      </c>
      <c r="CK237" s="228">
        <f t="shared" si="262"/>
        <v>0</v>
      </c>
      <c r="CL237" s="228">
        <f t="shared" si="262"/>
        <v>0</v>
      </c>
      <c r="CM237" s="228">
        <f t="shared" si="262"/>
        <v>0</v>
      </c>
      <c r="CN237" s="228">
        <f t="shared" si="262"/>
        <v>0</v>
      </c>
      <c r="CO237" s="228">
        <f t="shared" si="262"/>
        <v>0</v>
      </c>
      <c r="CP237" s="228">
        <f t="shared" si="262"/>
        <v>0</v>
      </c>
      <c r="CQ237" s="228">
        <f t="shared" si="262"/>
        <v>0</v>
      </c>
      <c r="CR237" s="228">
        <f t="shared" si="262"/>
        <v>0</v>
      </c>
      <c r="CS237" s="228">
        <f t="shared" si="262"/>
        <v>0</v>
      </c>
      <c r="CT237" s="228">
        <f t="shared" si="262"/>
        <v>0</v>
      </c>
      <c r="CU237" s="228">
        <f t="shared" si="262"/>
        <v>0</v>
      </c>
      <c r="CV237" s="228">
        <f t="shared" si="262"/>
        <v>0</v>
      </c>
      <c r="CW237" s="228">
        <f t="shared" si="262"/>
        <v>0</v>
      </c>
      <c r="CX237" s="228">
        <f t="shared" si="262"/>
        <v>0</v>
      </c>
      <c r="CY237" s="228">
        <f t="shared" si="262"/>
        <v>0</v>
      </c>
      <c r="CZ237" s="228">
        <f t="shared" si="262"/>
        <v>0</v>
      </c>
      <c r="DA237" s="228">
        <f t="shared" si="262"/>
        <v>0</v>
      </c>
      <c r="DB237" s="228">
        <f t="shared" si="262"/>
        <v>0</v>
      </c>
      <c r="DC237" s="228">
        <f t="shared" si="262"/>
        <v>0</v>
      </c>
      <c r="DD237" s="228">
        <f t="shared" si="262"/>
        <v>0</v>
      </c>
      <c r="DE237" s="228">
        <f t="shared" si="262"/>
        <v>0</v>
      </c>
      <c r="DF237" s="228">
        <f t="shared" si="262"/>
        <v>0</v>
      </c>
      <c r="DG237" s="228">
        <f t="shared" si="262"/>
        <v>0</v>
      </c>
      <c r="DH237" s="228">
        <f t="shared" si="262"/>
        <v>0</v>
      </c>
      <c r="DI237" s="228">
        <f t="shared" si="262"/>
        <v>0</v>
      </c>
      <c r="DJ237" s="228">
        <f t="shared" si="262"/>
        <v>0</v>
      </c>
      <c r="DK237" s="228">
        <f t="shared" si="262"/>
        <v>0</v>
      </c>
      <c r="DL237" s="228">
        <f t="shared" si="262"/>
        <v>0</v>
      </c>
      <c r="DM237" s="228">
        <f t="shared" si="262"/>
        <v>0</v>
      </c>
      <c r="DN237" s="228">
        <f t="shared" si="262"/>
        <v>0</v>
      </c>
      <c r="DO237" s="228">
        <f t="shared" si="262"/>
        <v>0</v>
      </c>
      <c r="DP237" s="232">
        <f t="shared" si="262"/>
        <v>0</v>
      </c>
      <c r="DQ237" s="228">
        <f t="shared" si="161"/>
        <v>0</v>
      </c>
      <c r="DR237" s="228">
        <f t="shared" si="162"/>
        <v>0</v>
      </c>
      <c r="DS237" s="230">
        <f>SUM(X237:Y237)+(1-TRP!$AK$253)*AC237</f>
        <v>0</v>
      </c>
      <c r="DT237" s="228">
        <f t="shared" si="163"/>
        <v>0</v>
      </c>
      <c r="DU237" s="228">
        <f t="shared" si="164"/>
        <v>0</v>
      </c>
      <c r="DV237" s="228">
        <f t="shared" si="165"/>
        <v>0</v>
      </c>
      <c r="DW237" s="228">
        <f t="shared" si="166"/>
        <v>0</v>
      </c>
      <c r="DX237" s="228">
        <f t="shared" si="167"/>
        <v>0</v>
      </c>
      <c r="DY237" s="228">
        <f t="shared" si="168"/>
        <v>0</v>
      </c>
      <c r="DZ237" s="228">
        <f t="shared" si="169"/>
        <v>0</v>
      </c>
      <c r="EA237" s="228">
        <f t="shared" si="170"/>
        <v>0</v>
      </c>
      <c r="EB237" s="230">
        <f>TRP!$AK$253*$AC237+SUM(M237:W237,Z237:AB237,AD237:AR237,AU237:AX237,BC237:BE237,BI237:BN237,BQ237:BR237,BV237)</f>
        <v>0</v>
      </c>
      <c r="EC237" s="228">
        <f t="shared" si="171"/>
        <v>0</v>
      </c>
      <c r="ED237" s="230">
        <f>CB237+$CI237*TRP!$AV$248</f>
        <v>0</v>
      </c>
      <c r="EE237" s="228">
        <f t="shared" si="172"/>
        <v>0</v>
      </c>
      <c r="EF237" s="230">
        <f>CD237+$CI237*TRP!$AV$249</f>
        <v>0</v>
      </c>
      <c r="EG237" s="230">
        <f>CE237+$CI237*TRP!$AV$250</f>
        <v>0</v>
      </c>
      <c r="EH237" s="230">
        <f>CF237+$CI237*TRP!$AV$251</f>
        <v>0</v>
      </c>
      <c r="EI237" s="228">
        <f t="shared" si="173"/>
        <v>0</v>
      </c>
      <c r="EJ237" s="228">
        <f t="shared" si="174"/>
        <v>0</v>
      </c>
      <c r="EK237" s="228">
        <f t="shared" si="175"/>
        <v>0</v>
      </c>
      <c r="EL237" s="230">
        <f>BS237+$BP237*TRP!$AN$246</f>
        <v>0</v>
      </c>
      <c r="EM237" s="228">
        <f t="shared" si="176"/>
        <v>0</v>
      </c>
      <c r="EN237" s="230">
        <f>BU237+$BP237*TRP!$AN$247</f>
        <v>0</v>
      </c>
    </row>
    <row r="238" spans="1:144" s="228" customFormat="1" ht="10.5" x14ac:dyDescent="0.25">
      <c r="A238" s="228" t="str">
        <f>TRP!C236</f>
        <v xml:space="preserve">GQ2A </v>
      </c>
      <c r="B238" s="228" t="str">
        <f>TRP!B236</f>
        <v>SANTE HUMAINE (PARTIE MARCHANDE)</v>
      </c>
      <c r="C238" s="233">
        <f>TRP!A236</f>
        <v>19</v>
      </c>
      <c r="D238" s="228">
        <f t="shared" ref="D238:BO238" si="263">D114</f>
        <v>0</v>
      </c>
      <c r="E238" s="228">
        <f t="shared" si="263"/>
        <v>0</v>
      </c>
      <c r="F238" s="228">
        <f t="shared" si="263"/>
        <v>0</v>
      </c>
      <c r="G238" s="228">
        <f t="shared" si="263"/>
        <v>13</v>
      </c>
      <c r="H238" s="228">
        <f t="shared" si="263"/>
        <v>16</v>
      </c>
      <c r="I238" s="228">
        <f t="shared" si="263"/>
        <v>12</v>
      </c>
      <c r="J238" s="228">
        <f t="shared" si="263"/>
        <v>14</v>
      </c>
      <c r="K238" s="228">
        <f t="shared" si="263"/>
        <v>47</v>
      </c>
      <c r="L238" s="228">
        <f t="shared" si="263"/>
        <v>1</v>
      </c>
      <c r="M238" s="228">
        <f t="shared" si="263"/>
        <v>8</v>
      </c>
      <c r="N238" s="228">
        <f t="shared" si="263"/>
        <v>4</v>
      </c>
      <c r="O238" s="228">
        <f t="shared" si="263"/>
        <v>29</v>
      </c>
      <c r="P238" s="228">
        <f t="shared" si="263"/>
        <v>9</v>
      </c>
      <c r="Q238" s="228">
        <f t="shared" si="263"/>
        <v>8</v>
      </c>
      <c r="R238" s="228">
        <f t="shared" si="263"/>
        <v>10</v>
      </c>
      <c r="S238" s="228">
        <f t="shared" si="263"/>
        <v>0</v>
      </c>
      <c r="T238" s="228">
        <f t="shared" si="263"/>
        <v>6</v>
      </c>
      <c r="U238" s="228">
        <f t="shared" si="263"/>
        <v>2</v>
      </c>
      <c r="V238" s="228">
        <f t="shared" si="263"/>
        <v>1</v>
      </c>
      <c r="W238" s="228">
        <f t="shared" si="263"/>
        <v>1</v>
      </c>
      <c r="X238" s="228">
        <f t="shared" si="263"/>
        <v>29</v>
      </c>
      <c r="Y238" s="228">
        <f t="shared" si="263"/>
        <v>16</v>
      </c>
      <c r="Z238" s="228">
        <f t="shared" si="263"/>
        <v>2</v>
      </c>
      <c r="AA238" s="228">
        <f t="shared" si="263"/>
        <v>1</v>
      </c>
      <c r="AB238" s="228">
        <f t="shared" si="263"/>
        <v>17</v>
      </c>
      <c r="AC238" s="228">
        <f t="shared" si="263"/>
        <v>1</v>
      </c>
      <c r="AD238" s="228">
        <f t="shared" si="263"/>
        <v>4</v>
      </c>
      <c r="AE238" s="228">
        <f t="shared" si="263"/>
        <v>4</v>
      </c>
      <c r="AF238" s="228">
        <f t="shared" si="263"/>
        <v>7</v>
      </c>
      <c r="AG238" s="228">
        <f t="shared" si="263"/>
        <v>14</v>
      </c>
      <c r="AH238" s="228">
        <f t="shared" si="263"/>
        <v>2</v>
      </c>
      <c r="AI238" s="228">
        <f t="shared" si="263"/>
        <v>2</v>
      </c>
      <c r="AJ238" s="228">
        <f t="shared" si="263"/>
        <v>6</v>
      </c>
      <c r="AK238" s="228">
        <f t="shared" si="263"/>
        <v>0</v>
      </c>
      <c r="AL238" s="228">
        <f t="shared" si="263"/>
        <v>1</v>
      </c>
      <c r="AM238" s="228">
        <f t="shared" si="263"/>
        <v>3</v>
      </c>
      <c r="AN238" s="228">
        <f t="shared" si="263"/>
        <v>6</v>
      </c>
      <c r="AO238" s="228">
        <f t="shared" si="263"/>
        <v>3</v>
      </c>
      <c r="AP238" s="228">
        <f t="shared" si="263"/>
        <v>7</v>
      </c>
      <c r="AQ238" s="228">
        <f t="shared" si="263"/>
        <v>0</v>
      </c>
      <c r="AR238" s="228">
        <f t="shared" si="263"/>
        <v>3</v>
      </c>
      <c r="AS238" s="228">
        <f t="shared" si="263"/>
        <v>4</v>
      </c>
      <c r="AT238" s="228">
        <f t="shared" si="263"/>
        <v>6</v>
      </c>
      <c r="AU238" s="228">
        <f t="shared" si="263"/>
        <v>4</v>
      </c>
      <c r="AV238" s="228">
        <f t="shared" si="263"/>
        <v>4</v>
      </c>
      <c r="AW238" s="228">
        <f t="shared" si="263"/>
        <v>2</v>
      </c>
      <c r="AX238" s="228">
        <f t="shared" si="263"/>
        <v>2</v>
      </c>
      <c r="AY238" s="228">
        <f t="shared" si="263"/>
        <v>3</v>
      </c>
      <c r="AZ238" s="228">
        <f t="shared" si="263"/>
        <v>4</v>
      </c>
      <c r="BA238" s="228">
        <f t="shared" si="263"/>
        <v>2</v>
      </c>
      <c r="BB238" s="228">
        <f t="shared" si="263"/>
        <v>8</v>
      </c>
      <c r="BC238" s="228">
        <f t="shared" si="263"/>
        <v>8</v>
      </c>
      <c r="BD238" s="228">
        <f t="shared" si="263"/>
        <v>1</v>
      </c>
      <c r="BE238" s="228">
        <f t="shared" si="263"/>
        <v>4</v>
      </c>
      <c r="BF238" s="228">
        <f t="shared" si="263"/>
        <v>12</v>
      </c>
      <c r="BG238" s="228">
        <f t="shared" si="263"/>
        <v>15</v>
      </c>
      <c r="BH238" s="228">
        <f t="shared" si="263"/>
        <v>7</v>
      </c>
      <c r="BI238" s="228">
        <f t="shared" si="263"/>
        <v>6</v>
      </c>
      <c r="BJ238" s="228">
        <f t="shared" si="263"/>
        <v>13</v>
      </c>
      <c r="BK238" s="228">
        <f t="shared" si="263"/>
        <v>9</v>
      </c>
      <c r="BL238" s="228">
        <f t="shared" si="263"/>
        <v>1</v>
      </c>
      <c r="BM238" s="228">
        <f t="shared" si="263"/>
        <v>9</v>
      </c>
      <c r="BN238" s="228">
        <f t="shared" si="263"/>
        <v>4</v>
      </c>
      <c r="BO238" s="228">
        <f t="shared" si="263"/>
        <v>0</v>
      </c>
      <c r="BP238" s="228">
        <f t="shared" ref="BP238:DP238" si="264">BP114</f>
        <v>0</v>
      </c>
      <c r="BQ238" s="228">
        <f t="shared" si="264"/>
        <v>0</v>
      </c>
      <c r="BR238" s="228">
        <f t="shared" si="264"/>
        <v>6</v>
      </c>
      <c r="BS238" s="228">
        <f t="shared" si="264"/>
        <v>22</v>
      </c>
      <c r="BT238" s="228">
        <f t="shared" si="264"/>
        <v>26</v>
      </c>
      <c r="BU238" s="228">
        <f t="shared" si="264"/>
        <v>2</v>
      </c>
      <c r="BV238" s="228">
        <f t="shared" si="264"/>
        <v>9</v>
      </c>
      <c r="BW238" s="228">
        <f t="shared" si="264"/>
        <v>111</v>
      </c>
      <c r="BX238" s="228">
        <f t="shared" si="264"/>
        <v>36</v>
      </c>
      <c r="BY238" s="228">
        <f t="shared" si="264"/>
        <v>23</v>
      </c>
      <c r="BZ238" s="228">
        <f t="shared" si="264"/>
        <v>99</v>
      </c>
      <c r="CA238" s="228">
        <f t="shared" si="264"/>
        <v>37</v>
      </c>
      <c r="CB238" s="228">
        <f t="shared" si="264"/>
        <v>1</v>
      </c>
      <c r="CC238" s="228">
        <f t="shared" si="264"/>
        <v>8</v>
      </c>
      <c r="CD238" s="228">
        <f t="shared" si="264"/>
        <v>29</v>
      </c>
      <c r="CE238" s="228">
        <f t="shared" si="264"/>
        <v>8</v>
      </c>
      <c r="CF238" s="228">
        <f t="shared" si="264"/>
        <v>10</v>
      </c>
      <c r="CG238" s="228">
        <f t="shared" si="264"/>
        <v>31</v>
      </c>
      <c r="CH238" s="228">
        <f t="shared" si="264"/>
        <v>4</v>
      </c>
      <c r="CI238" s="228">
        <f t="shared" si="264"/>
        <v>16</v>
      </c>
      <c r="CJ238" s="228">
        <f t="shared" si="264"/>
        <v>15</v>
      </c>
      <c r="CK238" s="228">
        <f t="shared" si="264"/>
        <v>103</v>
      </c>
      <c r="CL238" s="228">
        <f t="shared" si="264"/>
        <v>58</v>
      </c>
      <c r="CM238" s="228">
        <f t="shared" si="264"/>
        <v>22</v>
      </c>
      <c r="CN238" s="228">
        <f t="shared" si="264"/>
        <v>22</v>
      </c>
      <c r="CO238" s="228">
        <f t="shared" si="264"/>
        <v>43</v>
      </c>
      <c r="CP238" s="228">
        <f t="shared" si="264"/>
        <v>53</v>
      </c>
      <c r="CQ238" s="228">
        <f t="shared" si="264"/>
        <v>28</v>
      </c>
      <c r="CR238" s="228">
        <f t="shared" si="264"/>
        <v>15</v>
      </c>
      <c r="CS238" s="228">
        <f t="shared" si="264"/>
        <v>14</v>
      </c>
      <c r="CT238" s="228">
        <f t="shared" si="264"/>
        <v>7</v>
      </c>
      <c r="CU238" s="228">
        <f t="shared" si="264"/>
        <v>14</v>
      </c>
      <c r="CV238" s="228">
        <f t="shared" si="264"/>
        <v>0</v>
      </c>
      <c r="CW238" s="228">
        <f t="shared" si="264"/>
        <v>204</v>
      </c>
      <c r="CX238" s="228">
        <f t="shared" si="264"/>
        <v>10</v>
      </c>
      <c r="CY238" s="228">
        <f t="shared" si="264"/>
        <v>64</v>
      </c>
      <c r="CZ238" s="228">
        <f t="shared" si="264"/>
        <v>0</v>
      </c>
      <c r="DA238" s="228">
        <f t="shared" si="264"/>
        <v>156</v>
      </c>
      <c r="DB238" s="228">
        <f t="shared" si="264"/>
        <v>36</v>
      </c>
      <c r="DC238" s="228">
        <f t="shared" si="264"/>
        <v>11</v>
      </c>
      <c r="DD238" s="228">
        <f t="shared" si="264"/>
        <v>3</v>
      </c>
      <c r="DE238" s="228">
        <f t="shared" si="264"/>
        <v>53</v>
      </c>
      <c r="DF238" s="228">
        <f t="shared" si="264"/>
        <v>0</v>
      </c>
      <c r="DG238" s="228">
        <f t="shared" si="264"/>
        <v>6</v>
      </c>
      <c r="DH238" s="228">
        <f t="shared" si="264"/>
        <v>5</v>
      </c>
      <c r="DI238" s="228">
        <f t="shared" si="264"/>
        <v>4027</v>
      </c>
      <c r="DJ238" s="228">
        <f t="shared" si="264"/>
        <v>4</v>
      </c>
      <c r="DK238" s="228">
        <f t="shared" si="264"/>
        <v>3</v>
      </c>
      <c r="DL238" s="228">
        <f t="shared" si="264"/>
        <v>196</v>
      </c>
      <c r="DM238" s="228">
        <f t="shared" si="264"/>
        <v>32</v>
      </c>
      <c r="DN238" s="228">
        <f t="shared" si="264"/>
        <v>223</v>
      </c>
      <c r="DO238" s="228">
        <f t="shared" si="264"/>
        <v>0</v>
      </c>
      <c r="DP238" s="232">
        <f t="shared" si="264"/>
        <v>6342</v>
      </c>
      <c r="DQ238" s="228">
        <f t="shared" si="161"/>
        <v>0</v>
      </c>
      <c r="DR238" s="228">
        <f t="shared" si="162"/>
        <v>103</v>
      </c>
      <c r="DS238" s="230">
        <f>SUM(X238:Y238)+(1-TRP!$AK$253)*AC238</f>
        <v>45.7</v>
      </c>
      <c r="DT238" s="228">
        <f t="shared" si="163"/>
        <v>4</v>
      </c>
      <c r="DU238" s="228">
        <f t="shared" si="164"/>
        <v>6</v>
      </c>
      <c r="DV238" s="228">
        <f t="shared" si="165"/>
        <v>7</v>
      </c>
      <c r="DW238" s="228">
        <f t="shared" si="166"/>
        <v>2</v>
      </c>
      <c r="DX238" s="228">
        <f t="shared" si="167"/>
        <v>8</v>
      </c>
      <c r="DY238" s="228">
        <f t="shared" si="168"/>
        <v>12</v>
      </c>
      <c r="DZ238" s="228">
        <f t="shared" si="169"/>
        <v>15</v>
      </c>
      <c r="EA238" s="228">
        <f t="shared" si="170"/>
        <v>7</v>
      </c>
      <c r="EB238" s="230">
        <f>TRP!$AK$253*$AC238+SUM(M238:W238,Z238:AB238,AD238:AR238,AU238:AX238,BC238:BE238,BI238:BN238,BQ238:BR238,BV238)</f>
        <v>242.3</v>
      </c>
      <c r="EC238" s="228">
        <f t="shared" si="171"/>
        <v>147</v>
      </c>
      <c r="ED238" s="230">
        <f>CB238+$CI238*TRP!$AV$248</f>
        <v>1.4960680040243928</v>
      </c>
      <c r="EE238" s="228">
        <f t="shared" si="172"/>
        <v>8</v>
      </c>
      <c r="EF238" s="230">
        <f>CD238+$CI238*TRP!$AV$249</f>
        <v>40.091132549769597</v>
      </c>
      <c r="EG238" s="230">
        <f>CE238+$CI238*TRP!$AV$250</f>
        <v>11.235095520663144</v>
      </c>
      <c r="EH238" s="230">
        <f>CF238+$CI238*TRP!$AV$251</f>
        <v>11.177703925542868</v>
      </c>
      <c r="EI238" s="228">
        <f t="shared" si="173"/>
        <v>5357</v>
      </c>
      <c r="EJ238" s="228">
        <f t="shared" si="174"/>
        <v>264</v>
      </c>
      <c r="EK238" s="228">
        <f t="shared" si="175"/>
        <v>0</v>
      </c>
      <c r="EL238" s="230">
        <f>BS238+$BP238*TRP!$AN$246</f>
        <v>22</v>
      </c>
      <c r="EM238" s="228">
        <f t="shared" si="176"/>
        <v>26</v>
      </c>
      <c r="EN238" s="230">
        <f>BU238+$BP238*TRP!$AN$247</f>
        <v>2</v>
      </c>
    </row>
    <row r="239" spans="1:144" s="228" customFormat="1" ht="10.5" x14ac:dyDescent="0.25">
      <c r="A239" s="228" t="str">
        <f>TRP!C237</f>
        <v xml:space="preserve">GQ2B </v>
      </c>
      <c r="B239" s="228" t="str">
        <f>TRP!B237</f>
        <v>SANTE NON MARCHANDE</v>
      </c>
      <c r="C239" s="233">
        <f>TRP!A237</f>
        <v>20</v>
      </c>
      <c r="D239" s="228">
        <f t="shared" ref="D239:BO239" si="265">D115</f>
        <v>0</v>
      </c>
      <c r="E239" s="228">
        <f t="shared" si="265"/>
        <v>0</v>
      </c>
      <c r="F239" s="228">
        <f t="shared" si="265"/>
        <v>0</v>
      </c>
      <c r="G239" s="228">
        <f t="shared" si="265"/>
        <v>0</v>
      </c>
      <c r="H239" s="228">
        <f t="shared" si="265"/>
        <v>0</v>
      </c>
      <c r="I239" s="228">
        <f t="shared" si="265"/>
        <v>0</v>
      </c>
      <c r="J239" s="228">
        <f t="shared" si="265"/>
        <v>0</v>
      </c>
      <c r="K239" s="228">
        <f t="shared" si="265"/>
        <v>0</v>
      </c>
      <c r="L239" s="228">
        <f t="shared" si="265"/>
        <v>0</v>
      </c>
      <c r="M239" s="228">
        <f t="shared" si="265"/>
        <v>0</v>
      </c>
      <c r="N239" s="228">
        <f t="shared" si="265"/>
        <v>0</v>
      </c>
      <c r="O239" s="228">
        <f t="shared" si="265"/>
        <v>0</v>
      </c>
      <c r="P239" s="228">
        <f t="shared" si="265"/>
        <v>0</v>
      </c>
      <c r="Q239" s="228">
        <f t="shared" si="265"/>
        <v>0</v>
      </c>
      <c r="R239" s="228">
        <f t="shared" si="265"/>
        <v>0</v>
      </c>
      <c r="S239" s="228">
        <f t="shared" si="265"/>
        <v>0</v>
      </c>
      <c r="T239" s="228">
        <f t="shared" si="265"/>
        <v>0</v>
      </c>
      <c r="U239" s="228">
        <f t="shared" si="265"/>
        <v>0</v>
      </c>
      <c r="V239" s="228">
        <f t="shared" si="265"/>
        <v>0</v>
      </c>
      <c r="W239" s="228">
        <f t="shared" si="265"/>
        <v>0</v>
      </c>
      <c r="X239" s="228">
        <f t="shared" si="265"/>
        <v>0</v>
      </c>
      <c r="Y239" s="228">
        <f t="shared" si="265"/>
        <v>0</v>
      </c>
      <c r="Z239" s="228">
        <f t="shared" si="265"/>
        <v>0</v>
      </c>
      <c r="AA239" s="228">
        <f t="shared" si="265"/>
        <v>0</v>
      </c>
      <c r="AB239" s="228">
        <f t="shared" si="265"/>
        <v>0</v>
      </c>
      <c r="AC239" s="228">
        <f t="shared" si="265"/>
        <v>0</v>
      </c>
      <c r="AD239" s="228">
        <f t="shared" si="265"/>
        <v>0</v>
      </c>
      <c r="AE239" s="228">
        <f t="shared" si="265"/>
        <v>0</v>
      </c>
      <c r="AF239" s="228">
        <f t="shared" si="265"/>
        <v>0</v>
      </c>
      <c r="AG239" s="228">
        <f t="shared" si="265"/>
        <v>0</v>
      </c>
      <c r="AH239" s="228">
        <f t="shared" si="265"/>
        <v>0</v>
      </c>
      <c r="AI239" s="228">
        <f t="shared" si="265"/>
        <v>0</v>
      </c>
      <c r="AJ239" s="228">
        <f t="shared" si="265"/>
        <v>0</v>
      </c>
      <c r="AK239" s="228">
        <f t="shared" si="265"/>
        <v>0</v>
      </c>
      <c r="AL239" s="228">
        <f t="shared" si="265"/>
        <v>0</v>
      </c>
      <c r="AM239" s="228">
        <f t="shared" si="265"/>
        <v>0</v>
      </c>
      <c r="AN239" s="228">
        <f t="shared" si="265"/>
        <v>0</v>
      </c>
      <c r="AO239" s="228">
        <f t="shared" si="265"/>
        <v>0</v>
      </c>
      <c r="AP239" s="228">
        <f t="shared" si="265"/>
        <v>0</v>
      </c>
      <c r="AQ239" s="228">
        <f t="shared" si="265"/>
        <v>0</v>
      </c>
      <c r="AR239" s="228">
        <f t="shared" si="265"/>
        <v>0</v>
      </c>
      <c r="AS239" s="228">
        <f t="shared" si="265"/>
        <v>0</v>
      </c>
      <c r="AT239" s="228">
        <f t="shared" si="265"/>
        <v>0</v>
      </c>
      <c r="AU239" s="228">
        <f t="shared" si="265"/>
        <v>0</v>
      </c>
      <c r="AV239" s="228">
        <f t="shared" si="265"/>
        <v>0</v>
      </c>
      <c r="AW239" s="228">
        <f t="shared" si="265"/>
        <v>0</v>
      </c>
      <c r="AX239" s="228">
        <f t="shared" si="265"/>
        <v>0</v>
      </c>
      <c r="AY239" s="228">
        <f t="shared" si="265"/>
        <v>0</v>
      </c>
      <c r="AZ239" s="228">
        <f t="shared" si="265"/>
        <v>0</v>
      </c>
      <c r="BA239" s="228">
        <f t="shared" si="265"/>
        <v>0</v>
      </c>
      <c r="BB239" s="228">
        <f t="shared" si="265"/>
        <v>0</v>
      </c>
      <c r="BC239" s="228">
        <f t="shared" si="265"/>
        <v>0</v>
      </c>
      <c r="BD239" s="228">
        <f t="shared" si="265"/>
        <v>0</v>
      </c>
      <c r="BE239" s="228">
        <f t="shared" si="265"/>
        <v>0</v>
      </c>
      <c r="BF239" s="228">
        <f t="shared" si="265"/>
        <v>0</v>
      </c>
      <c r="BG239" s="228">
        <f t="shared" si="265"/>
        <v>0</v>
      </c>
      <c r="BH239" s="228">
        <f t="shared" si="265"/>
        <v>0</v>
      </c>
      <c r="BI239" s="228">
        <f t="shared" si="265"/>
        <v>0</v>
      </c>
      <c r="BJ239" s="228">
        <f t="shared" si="265"/>
        <v>0</v>
      </c>
      <c r="BK239" s="228">
        <f t="shared" si="265"/>
        <v>0</v>
      </c>
      <c r="BL239" s="228">
        <f t="shared" si="265"/>
        <v>0</v>
      </c>
      <c r="BM239" s="228">
        <f t="shared" si="265"/>
        <v>0</v>
      </c>
      <c r="BN239" s="228">
        <f t="shared" si="265"/>
        <v>0</v>
      </c>
      <c r="BO239" s="228">
        <f t="shared" si="265"/>
        <v>0</v>
      </c>
      <c r="BP239" s="228">
        <f t="shared" ref="BP239:DP239" si="266">BP115</f>
        <v>0</v>
      </c>
      <c r="BQ239" s="228">
        <f t="shared" si="266"/>
        <v>0</v>
      </c>
      <c r="BR239" s="228">
        <f t="shared" si="266"/>
        <v>0</v>
      </c>
      <c r="BS239" s="228">
        <f t="shared" si="266"/>
        <v>0</v>
      </c>
      <c r="BT239" s="228">
        <f t="shared" si="266"/>
        <v>0</v>
      </c>
      <c r="BU239" s="228">
        <f t="shared" si="266"/>
        <v>0</v>
      </c>
      <c r="BV239" s="228">
        <f t="shared" si="266"/>
        <v>0</v>
      </c>
      <c r="BW239" s="228">
        <f t="shared" si="266"/>
        <v>0</v>
      </c>
      <c r="BX239" s="228">
        <f t="shared" si="266"/>
        <v>0</v>
      </c>
      <c r="BY239" s="228">
        <f t="shared" si="266"/>
        <v>0</v>
      </c>
      <c r="BZ239" s="228">
        <f t="shared" si="266"/>
        <v>0</v>
      </c>
      <c r="CA239" s="228">
        <f t="shared" si="266"/>
        <v>0</v>
      </c>
      <c r="CB239" s="228">
        <f t="shared" si="266"/>
        <v>0</v>
      </c>
      <c r="CC239" s="228">
        <f t="shared" si="266"/>
        <v>0</v>
      </c>
      <c r="CD239" s="228">
        <f t="shared" si="266"/>
        <v>0</v>
      </c>
      <c r="CE239" s="228">
        <f t="shared" si="266"/>
        <v>0</v>
      </c>
      <c r="CF239" s="228">
        <f t="shared" si="266"/>
        <v>0</v>
      </c>
      <c r="CG239" s="228">
        <f t="shared" si="266"/>
        <v>0</v>
      </c>
      <c r="CH239" s="228">
        <f t="shared" si="266"/>
        <v>0</v>
      </c>
      <c r="CI239" s="228">
        <f t="shared" si="266"/>
        <v>0</v>
      </c>
      <c r="CJ239" s="228">
        <f t="shared" si="266"/>
        <v>0</v>
      </c>
      <c r="CK239" s="228">
        <f t="shared" si="266"/>
        <v>0</v>
      </c>
      <c r="CL239" s="228">
        <f t="shared" si="266"/>
        <v>0</v>
      </c>
      <c r="CM239" s="228">
        <f t="shared" si="266"/>
        <v>0</v>
      </c>
      <c r="CN239" s="228">
        <f t="shared" si="266"/>
        <v>0</v>
      </c>
      <c r="CO239" s="228">
        <f t="shared" si="266"/>
        <v>0</v>
      </c>
      <c r="CP239" s="228">
        <f t="shared" si="266"/>
        <v>0</v>
      </c>
      <c r="CQ239" s="228">
        <f t="shared" si="266"/>
        <v>0</v>
      </c>
      <c r="CR239" s="228">
        <f t="shared" si="266"/>
        <v>0</v>
      </c>
      <c r="CS239" s="228">
        <f t="shared" si="266"/>
        <v>0</v>
      </c>
      <c r="CT239" s="228">
        <f t="shared" si="266"/>
        <v>0</v>
      </c>
      <c r="CU239" s="228">
        <f t="shared" si="266"/>
        <v>0</v>
      </c>
      <c r="CV239" s="228">
        <f t="shared" si="266"/>
        <v>0</v>
      </c>
      <c r="CW239" s="228">
        <f t="shared" si="266"/>
        <v>0</v>
      </c>
      <c r="CX239" s="228">
        <f t="shared" si="266"/>
        <v>0</v>
      </c>
      <c r="CY239" s="228">
        <f t="shared" si="266"/>
        <v>0</v>
      </c>
      <c r="CZ239" s="228">
        <f t="shared" si="266"/>
        <v>0</v>
      </c>
      <c r="DA239" s="228">
        <f t="shared" si="266"/>
        <v>0</v>
      </c>
      <c r="DB239" s="228">
        <f t="shared" si="266"/>
        <v>0</v>
      </c>
      <c r="DC239" s="228">
        <f t="shared" si="266"/>
        <v>0</v>
      </c>
      <c r="DD239" s="228">
        <f t="shared" si="266"/>
        <v>0</v>
      </c>
      <c r="DE239" s="228">
        <f t="shared" si="266"/>
        <v>0</v>
      </c>
      <c r="DF239" s="228">
        <f t="shared" si="266"/>
        <v>0</v>
      </c>
      <c r="DG239" s="228">
        <f t="shared" si="266"/>
        <v>0</v>
      </c>
      <c r="DH239" s="228">
        <f t="shared" si="266"/>
        <v>0</v>
      </c>
      <c r="DI239" s="228">
        <f t="shared" si="266"/>
        <v>0</v>
      </c>
      <c r="DJ239" s="228">
        <f t="shared" si="266"/>
        <v>0</v>
      </c>
      <c r="DK239" s="228">
        <f t="shared" si="266"/>
        <v>0</v>
      </c>
      <c r="DL239" s="228">
        <f t="shared" si="266"/>
        <v>0</v>
      </c>
      <c r="DM239" s="228">
        <f t="shared" si="266"/>
        <v>0</v>
      </c>
      <c r="DN239" s="228">
        <f t="shared" si="266"/>
        <v>0</v>
      </c>
      <c r="DO239" s="228">
        <f t="shared" si="266"/>
        <v>0</v>
      </c>
      <c r="DP239" s="232">
        <f t="shared" si="266"/>
        <v>0</v>
      </c>
      <c r="DQ239" s="228">
        <f t="shared" si="161"/>
        <v>0</v>
      </c>
      <c r="DR239" s="228">
        <f t="shared" si="162"/>
        <v>0</v>
      </c>
      <c r="DS239" s="230">
        <f>SUM(X239:Y239)+(1-TRP!$AK$253)*AC239</f>
        <v>0</v>
      </c>
      <c r="DT239" s="228">
        <f t="shared" si="163"/>
        <v>0</v>
      </c>
      <c r="DU239" s="228">
        <f t="shared" si="164"/>
        <v>0</v>
      </c>
      <c r="DV239" s="228">
        <f t="shared" si="165"/>
        <v>0</v>
      </c>
      <c r="DW239" s="228">
        <f t="shared" si="166"/>
        <v>0</v>
      </c>
      <c r="DX239" s="228">
        <f t="shared" si="167"/>
        <v>0</v>
      </c>
      <c r="DY239" s="228">
        <f t="shared" si="168"/>
        <v>0</v>
      </c>
      <c r="DZ239" s="228">
        <f t="shared" si="169"/>
        <v>0</v>
      </c>
      <c r="EA239" s="228">
        <f t="shared" si="170"/>
        <v>0</v>
      </c>
      <c r="EB239" s="230">
        <f>TRP!$AK$253*$AC239+SUM(M239:W239,Z239:AB239,AD239:AR239,AU239:AX239,BC239:BE239,BI239:BN239,BQ239:BR239,BV239)</f>
        <v>0</v>
      </c>
      <c r="EC239" s="228">
        <f t="shared" si="171"/>
        <v>0</v>
      </c>
      <c r="ED239" s="230">
        <f>CB239+$CI239*TRP!$AV$248</f>
        <v>0</v>
      </c>
      <c r="EE239" s="228">
        <f t="shared" si="172"/>
        <v>0</v>
      </c>
      <c r="EF239" s="230">
        <f>CD239+$CI239*TRP!$AV$249</f>
        <v>0</v>
      </c>
      <c r="EG239" s="230">
        <f>CE239+$CI239*TRP!$AV$250</f>
        <v>0</v>
      </c>
      <c r="EH239" s="230">
        <f>CF239+$CI239*TRP!$AV$251</f>
        <v>0</v>
      </c>
      <c r="EI239" s="228">
        <f t="shared" si="173"/>
        <v>0</v>
      </c>
      <c r="EJ239" s="228">
        <f t="shared" si="174"/>
        <v>0</v>
      </c>
      <c r="EK239" s="228">
        <f t="shared" si="175"/>
        <v>0</v>
      </c>
      <c r="EL239" s="230">
        <f>BS239+$BP239*TRP!$AN$246</f>
        <v>0</v>
      </c>
      <c r="EM239" s="228">
        <f t="shared" si="176"/>
        <v>0</v>
      </c>
      <c r="EN239" s="230">
        <f>BU239+$BP239*TRP!$AN$247</f>
        <v>0</v>
      </c>
    </row>
    <row r="240" spans="1:144" s="228" customFormat="1" ht="10.5" x14ac:dyDescent="0.25">
      <c r="A240" s="228" t="str">
        <f>TRP!C238</f>
        <v xml:space="preserve">GQ2C </v>
      </c>
      <c r="B240" s="228" t="str">
        <f>TRP!B238</f>
        <v>ACTIVITES VETERINAIRES</v>
      </c>
      <c r="C240" s="233">
        <f>TRP!A238</f>
        <v>19</v>
      </c>
      <c r="D240" s="228">
        <f t="shared" ref="D240:BO240" si="267">D116</f>
        <v>241</v>
      </c>
      <c r="E240" s="228">
        <f t="shared" si="267"/>
        <v>0</v>
      </c>
      <c r="F240" s="228">
        <f t="shared" si="267"/>
        <v>0</v>
      </c>
      <c r="G240" s="228">
        <f t="shared" si="267"/>
        <v>44</v>
      </c>
      <c r="H240" s="228">
        <f t="shared" si="267"/>
        <v>0</v>
      </c>
      <c r="I240" s="228">
        <f t="shared" si="267"/>
        <v>0</v>
      </c>
      <c r="J240" s="228">
        <f t="shared" si="267"/>
        <v>9</v>
      </c>
      <c r="K240" s="228">
        <f t="shared" si="267"/>
        <v>0</v>
      </c>
      <c r="L240" s="228">
        <f t="shared" si="267"/>
        <v>0</v>
      </c>
      <c r="M240" s="228">
        <f t="shared" si="267"/>
        <v>0</v>
      </c>
      <c r="N240" s="228">
        <f t="shared" si="267"/>
        <v>0</v>
      </c>
      <c r="O240" s="228">
        <f t="shared" si="267"/>
        <v>0</v>
      </c>
      <c r="P240" s="228">
        <f t="shared" si="267"/>
        <v>0</v>
      </c>
      <c r="Q240" s="228">
        <f t="shared" si="267"/>
        <v>0</v>
      </c>
      <c r="R240" s="228">
        <f t="shared" si="267"/>
        <v>0</v>
      </c>
      <c r="S240" s="228">
        <f t="shared" si="267"/>
        <v>0</v>
      </c>
      <c r="T240" s="228">
        <f t="shared" si="267"/>
        <v>0</v>
      </c>
      <c r="U240" s="228">
        <f t="shared" si="267"/>
        <v>0</v>
      </c>
      <c r="V240" s="228">
        <f t="shared" si="267"/>
        <v>0</v>
      </c>
      <c r="W240" s="228">
        <f t="shared" si="267"/>
        <v>0</v>
      </c>
      <c r="X240" s="228">
        <f t="shared" si="267"/>
        <v>0</v>
      </c>
      <c r="Y240" s="228">
        <f t="shared" si="267"/>
        <v>0</v>
      </c>
      <c r="Z240" s="228">
        <f t="shared" si="267"/>
        <v>0</v>
      </c>
      <c r="AA240" s="228">
        <f t="shared" si="267"/>
        <v>0</v>
      </c>
      <c r="AB240" s="228">
        <f t="shared" si="267"/>
        <v>0</v>
      </c>
      <c r="AC240" s="228">
        <f t="shared" si="267"/>
        <v>0</v>
      </c>
      <c r="AD240" s="228">
        <f t="shared" si="267"/>
        <v>0</v>
      </c>
      <c r="AE240" s="228">
        <f t="shared" si="267"/>
        <v>0</v>
      </c>
      <c r="AF240" s="228">
        <f t="shared" si="267"/>
        <v>0</v>
      </c>
      <c r="AG240" s="228">
        <f t="shared" si="267"/>
        <v>0</v>
      </c>
      <c r="AH240" s="228">
        <f t="shared" si="267"/>
        <v>0</v>
      </c>
      <c r="AI240" s="228">
        <f t="shared" si="267"/>
        <v>0</v>
      </c>
      <c r="AJ240" s="228">
        <f t="shared" si="267"/>
        <v>0</v>
      </c>
      <c r="AK240" s="228">
        <f t="shared" si="267"/>
        <v>0</v>
      </c>
      <c r="AL240" s="228">
        <f t="shared" si="267"/>
        <v>0</v>
      </c>
      <c r="AM240" s="228">
        <f t="shared" si="267"/>
        <v>0</v>
      </c>
      <c r="AN240" s="228">
        <f t="shared" si="267"/>
        <v>0</v>
      </c>
      <c r="AO240" s="228">
        <f t="shared" si="267"/>
        <v>0</v>
      </c>
      <c r="AP240" s="228">
        <f t="shared" si="267"/>
        <v>0</v>
      </c>
      <c r="AQ240" s="228">
        <f t="shared" si="267"/>
        <v>0</v>
      </c>
      <c r="AR240" s="228">
        <f t="shared" si="267"/>
        <v>0</v>
      </c>
      <c r="AS240" s="228">
        <f t="shared" si="267"/>
        <v>0</v>
      </c>
      <c r="AT240" s="228">
        <f t="shared" si="267"/>
        <v>0</v>
      </c>
      <c r="AU240" s="228">
        <f t="shared" si="267"/>
        <v>0</v>
      </c>
      <c r="AV240" s="228">
        <f t="shared" si="267"/>
        <v>0</v>
      </c>
      <c r="AW240" s="228">
        <f t="shared" si="267"/>
        <v>0</v>
      </c>
      <c r="AX240" s="228">
        <f t="shared" si="267"/>
        <v>0</v>
      </c>
      <c r="AY240" s="228">
        <f t="shared" si="267"/>
        <v>0</v>
      </c>
      <c r="AZ240" s="228">
        <f t="shared" si="267"/>
        <v>0</v>
      </c>
      <c r="BA240" s="228">
        <f t="shared" si="267"/>
        <v>0</v>
      </c>
      <c r="BB240" s="228">
        <f t="shared" si="267"/>
        <v>0</v>
      </c>
      <c r="BC240" s="228">
        <f t="shared" si="267"/>
        <v>0</v>
      </c>
      <c r="BD240" s="228">
        <f t="shared" si="267"/>
        <v>0</v>
      </c>
      <c r="BE240" s="228">
        <f t="shared" si="267"/>
        <v>0</v>
      </c>
      <c r="BF240" s="228">
        <f t="shared" si="267"/>
        <v>0</v>
      </c>
      <c r="BG240" s="228">
        <f t="shared" si="267"/>
        <v>0</v>
      </c>
      <c r="BH240" s="228">
        <f t="shared" si="267"/>
        <v>0</v>
      </c>
      <c r="BI240" s="228">
        <f t="shared" si="267"/>
        <v>0</v>
      </c>
      <c r="BJ240" s="228">
        <f t="shared" si="267"/>
        <v>0</v>
      </c>
      <c r="BK240" s="228">
        <f t="shared" si="267"/>
        <v>0</v>
      </c>
      <c r="BL240" s="228">
        <f t="shared" si="267"/>
        <v>0</v>
      </c>
      <c r="BM240" s="228">
        <f t="shared" si="267"/>
        <v>0</v>
      </c>
      <c r="BN240" s="228">
        <f t="shared" si="267"/>
        <v>0</v>
      </c>
      <c r="BO240" s="228">
        <f t="shared" si="267"/>
        <v>0</v>
      </c>
      <c r="BP240" s="228">
        <f t="shared" ref="BP240:DP240" si="268">BP116</f>
        <v>0</v>
      </c>
      <c r="BQ240" s="228">
        <f t="shared" si="268"/>
        <v>0</v>
      </c>
      <c r="BR240" s="228">
        <f t="shared" si="268"/>
        <v>0</v>
      </c>
      <c r="BS240" s="228">
        <f t="shared" si="268"/>
        <v>0</v>
      </c>
      <c r="BT240" s="228">
        <f t="shared" si="268"/>
        <v>0</v>
      </c>
      <c r="BU240" s="228">
        <f t="shared" si="268"/>
        <v>0</v>
      </c>
      <c r="BV240" s="228">
        <f t="shared" si="268"/>
        <v>0</v>
      </c>
      <c r="BW240" s="228">
        <f t="shared" si="268"/>
        <v>0</v>
      </c>
      <c r="BX240" s="228">
        <f t="shared" si="268"/>
        <v>0</v>
      </c>
      <c r="BY240" s="228">
        <f t="shared" si="268"/>
        <v>0</v>
      </c>
      <c r="BZ240" s="228">
        <f t="shared" si="268"/>
        <v>0</v>
      </c>
      <c r="CA240" s="228">
        <f t="shared" si="268"/>
        <v>0</v>
      </c>
      <c r="CB240" s="228">
        <f t="shared" si="268"/>
        <v>0</v>
      </c>
      <c r="CC240" s="228">
        <f t="shared" si="268"/>
        <v>0</v>
      </c>
      <c r="CD240" s="228">
        <f t="shared" si="268"/>
        <v>0</v>
      </c>
      <c r="CE240" s="228">
        <f t="shared" si="268"/>
        <v>0</v>
      </c>
      <c r="CF240" s="228">
        <f t="shared" si="268"/>
        <v>0</v>
      </c>
      <c r="CG240" s="228">
        <f t="shared" si="268"/>
        <v>0</v>
      </c>
      <c r="CH240" s="228">
        <f t="shared" si="268"/>
        <v>0</v>
      </c>
      <c r="CI240" s="228">
        <f t="shared" si="268"/>
        <v>0</v>
      </c>
      <c r="CJ240" s="228">
        <f t="shared" si="268"/>
        <v>0</v>
      </c>
      <c r="CK240" s="228">
        <f t="shared" si="268"/>
        <v>0</v>
      </c>
      <c r="CL240" s="228">
        <f t="shared" si="268"/>
        <v>0</v>
      </c>
      <c r="CM240" s="228">
        <f t="shared" si="268"/>
        <v>0</v>
      </c>
      <c r="CN240" s="228">
        <f t="shared" si="268"/>
        <v>0</v>
      </c>
      <c r="CO240" s="228">
        <f t="shared" si="268"/>
        <v>0</v>
      </c>
      <c r="CP240" s="228">
        <f t="shared" si="268"/>
        <v>0</v>
      </c>
      <c r="CQ240" s="228">
        <f t="shared" si="268"/>
        <v>0</v>
      </c>
      <c r="CR240" s="228">
        <f t="shared" si="268"/>
        <v>0</v>
      </c>
      <c r="CS240" s="228">
        <f t="shared" si="268"/>
        <v>0</v>
      </c>
      <c r="CT240" s="228">
        <f t="shared" si="268"/>
        <v>0</v>
      </c>
      <c r="CU240" s="228">
        <f t="shared" si="268"/>
        <v>0</v>
      </c>
      <c r="CV240" s="228">
        <f t="shared" si="268"/>
        <v>0</v>
      </c>
      <c r="CW240" s="228">
        <f t="shared" si="268"/>
        <v>0</v>
      </c>
      <c r="CX240" s="228">
        <f t="shared" si="268"/>
        <v>0</v>
      </c>
      <c r="CY240" s="228">
        <f t="shared" si="268"/>
        <v>0</v>
      </c>
      <c r="CZ240" s="228">
        <f t="shared" si="268"/>
        <v>0</v>
      </c>
      <c r="DA240" s="228">
        <f t="shared" si="268"/>
        <v>0</v>
      </c>
      <c r="DB240" s="228">
        <f t="shared" si="268"/>
        <v>0</v>
      </c>
      <c r="DC240" s="228">
        <f t="shared" si="268"/>
        <v>364</v>
      </c>
      <c r="DD240" s="228">
        <f t="shared" si="268"/>
        <v>0</v>
      </c>
      <c r="DE240" s="228">
        <f t="shared" si="268"/>
        <v>0</v>
      </c>
      <c r="DF240" s="228">
        <f t="shared" si="268"/>
        <v>0</v>
      </c>
      <c r="DG240" s="228">
        <f t="shared" si="268"/>
        <v>0</v>
      </c>
      <c r="DH240" s="228">
        <f t="shared" si="268"/>
        <v>0</v>
      </c>
      <c r="DI240" s="228">
        <f t="shared" si="268"/>
        <v>0</v>
      </c>
      <c r="DJ240" s="228">
        <f t="shared" si="268"/>
        <v>0</v>
      </c>
      <c r="DK240" s="228">
        <f t="shared" si="268"/>
        <v>0</v>
      </c>
      <c r="DL240" s="228">
        <f t="shared" si="268"/>
        <v>0</v>
      </c>
      <c r="DM240" s="228">
        <f t="shared" si="268"/>
        <v>0</v>
      </c>
      <c r="DN240" s="228">
        <f t="shared" si="268"/>
        <v>0</v>
      </c>
      <c r="DO240" s="228">
        <f t="shared" si="268"/>
        <v>0</v>
      </c>
      <c r="DP240" s="232">
        <f t="shared" si="268"/>
        <v>658</v>
      </c>
      <c r="DQ240" s="228">
        <f t="shared" si="161"/>
        <v>241</v>
      </c>
      <c r="DR240" s="228">
        <f t="shared" si="162"/>
        <v>53</v>
      </c>
      <c r="DS240" s="230">
        <f>SUM(X240:Y240)+(1-TRP!$AK$253)*AC240</f>
        <v>0</v>
      </c>
      <c r="DT240" s="228">
        <f t="shared" si="163"/>
        <v>0</v>
      </c>
      <c r="DU240" s="228">
        <f t="shared" si="164"/>
        <v>0</v>
      </c>
      <c r="DV240" s="228">
        <f t="shared" si="165"/>
        <v>0</v>
      </c>
      <c r="DW240" s="228">
        <f t="shared" si="166"/>
        <v>0</v>
      </c>
      <c r="DX240" s="228">
        <f t="shared" si="167"/>
        <v>0</v>
      </c>
      <c r="DY240" s="228">
        <f t="shared" si="168"/>
        <v>0</v>
      </c>
      <c r="DZ240" s="228">
        <f t="shared" si="169"/>
        <v>0</v>
      </c>
      <c r="EA240" s="228">
        <f t="shared" si="170"/>
        <v>0</v>
      </c>
      <c r="EB240" s="230">
        <f>TRP!$AK$253*$AC240+SUM(M240:W240,Z240:AB240,AD240:AR240,AU240:AX240,BC240:BE240,BI240:BN240,BQ240:BR240,BV240)</f>
        <v>0</v>
      </c>
      <c r="EC240" s="228">
        <f t="shared" si="171"/>
        <v>0</v>
      </c>
      <c r="ED240" s="230">
        <f>CB240+$CI240*TRP!$AV$248</f>
        <v>0</v>
      </c>
      <c r="EE240" s="228">
        <f t="shared" si="172"/>
        <v>0</v>
      </c>
      <c r="EF240" s="230">
        <f>CD240+$CI240*TRP!$AV$249</f>
        <v>0</v>
      </c>
      <c r="EG240" s="230">
        <f>CE240+$CI240*TRP!$AV$250</f>
        <v>0</v>
      </c>
      <c r="EH240" s="230">
        <f>CF240+$CI240*TRP!$AV$251</f>
        <v>0</v>
      </c>
      <c r="EI240" s="228">
        <f t="shared" si="173"/>
        <v>364</v>
      </c>
      <c r="EJ240" s="228">
        <f t="shared" si="174"/>
        <v>0</v>
      </c>
      <c r="EK240" s="228">
        <f t="shared" si="175"/>
        <v>0</v>
      </c>
      <c r="EL240" s="230">
        <f>BS240+$BP240*TRP!$AN$246</f>
        <v>0</v>
      </c>
      <c r="EM240" s="228">
        <f t="shared" si="176"/>
        <v>0</v>
      </c>
      <c r="EN240" s="230">
        <f>BU240+$BP240*TRP!$AN$247</f>
        <v>0</v>
      </c>
    </row>
    <row r="241" spans="1:144" s="228" customFormat="1" ht="10.5" x14ac:dyDescent="0.25">
      <c r="A241" s="228" t="str">
        <f>TRP!C239</f>
        <v xml:space="preserve">GQ2D </v>
      </c>
      <c r="B241" s="228" t="str">
        <f>TRP!B239</f>
        <v>ACTION SOCIALE (PARTIE MARCHANDE)</v>
      </c>
      <c r="C241" s="233">
        <f>TRP!A239</f>
        <v>19</v>
      </c>
      <c r="D241" s="228">
        <f t="shared" ref="D241:BO241" si="269">D117</f>
        <v>0</v>
      </c>
      <c r="E241" s="228">
        <f t="shared" si="269"/>
        <v>0</v>
      </c>
      <c r="F241" s="228">
        <f t="shared" si="269"/>
        <v>0</v>
      </c>
      <c r="G241" s="228">
        <f t="shared" si="269"/>
        <v>0</v>
      </c>
      <c r="H241" s="228">
        <f t="shared" si="269"/>
        <v>0</v>
      </c>
      <c r="I241" s="228">
        <f t="shared" si="269"/>
        <v>0</v>
      </c>
      <c r="J241" s="228">
        <f t="shared" si="269"/>
        <v>0</v>
      </c>
      <c r="K241" s="228">
        <f t="shared" si="269"/>
        <v>0</v>
      </c>
      <c r="L241" s="228">
        <f t="shared" si="269"/>
        <v>0</v>
      </c>
      <c r="M241" s="228">
        <f t="shared" si="269"/>
        <v>0</v>
      </c>
      <c r="N241" s="228">
        <f t="shared" si="269"/>
        <v>0</v>
      </c>
      <c r="O241" s="228">
        <f t="shared" si="269"/>
        <v>0</v>
      </c>
      <c r="P241" s="228">
        <f t="shared" si="269"/>
        <v>0</v>
      </c>
      <c r="Q241" s="228">
        <f t="shared" si="269"/>
        <v>0</v>
      </c>
      <c r="R241" s="228">
        <f t="shared" si="269"/>
        <v>0</v>
      </c>
      <c r="S241" s="228">
        <f t="shared" si="269"/>
        <v>0</v>
      </c>
      <c r="T241" s="228">
        <f t="shared" si="269"/>
        <v>0</v>
      </c>
      <c r="U241" s="228">
        <f t="shared" si="269"/>
        <v>0</v>
      </c>
      <c r="V241" s="228">
        <f t="shared" si="269"/>
        <v>0</v>
      </c>
      <c r="W241" s="228">
        <f t="shared" si="269"/>
        <v>0</v>
      </c>
      <c r="X241" s="228">
        <f t="shared" si="269"/>
        <v>0</v>
      </c>
      <c r="Y241" s="228">
        <f t="shared" si="269"/>
        <v>0</v>
      </c>
      <c r="Z241" s="228">
        <f t="shared" si="269"/>
        <v>0</v>
      </c>
      <c r="AA241" s="228">
        <f t="shared" si="269"/>
        <v>0</v>
      </c>
      <c r="AB241" s="228">
        <f t="shared" si="269"/>
        <v>0</v>
      </c>
      <c r="AC241" s="228">
        <f t="shared" si="269"/>
        <v>0</v>
      </c>
      <c r="AD241" s="228">
        <f t="shared" si="269"/>
        <v>0</v>
      </c>
      <c r="AE241" s="228">
        <f t="shared" si="269"/>
        <v>0</v>
      </c>
      <c r="AF241" s="228">
        <f t="shared" si="269"/>
        <v>0</v>
      </c>
      <c r="AG241" s="228">
        <f t="shared" si="269"/>
        <v>0</v>
      </c>
      <c r="AH241" s="228">
        <f t="shared" si="269"/>
        <v>0</v>
      </c>
      <c r="AI241" s="228">
        <f t="shared" si="269"/>
        <v>0</v>
      </c>
      <c r="AJ241" s="228">
        <f t="shared" si="269"/>
        <v>0</v>
      </c>
      <c r="AK241" s="228">
        <f t="shared" si="269"/>
        <v>0</v>
      </c>
      <c r="AL241" s="228">
        <f t="shared" si="269"/>
        <v>0</v>
      </c>
      <c r="AM241" s="228">
        <f t="shared" si="269"/>
        <v>0</v>
      </c>
      <c r="AN241" s="228">
        <f t="shared" si="269"/>
        <v>0</v>
      </c>
      <c r="AO241" s="228">
        <f t="shared" si="269"/>
        <v>0</v>
      </c>
      <c r="AP241" s="228">
        <f t="shared" si="269"/>
        <v>0</v>
      </c>
      <c r="AQ241" s="228">
        <f t="shared" si="269"/>
        <v>0</v>
      </c>
      <c r="AR241" s="228">
        <f t="shared" si="269"/>
        <v>0</v>
      </c>
      <c r="AS241" s="228">
        <f t="shared" si="269"/>
        <v>0</v>
      </c>
      <c r="AT241" s="228">
        <f t="shared" si="269"/>
        <v>0</v>
      </c>
      <c r="AU241" s="228">
        <f t="shared" si="269"/>
        <v>0</v>
      </c>
      <c r="AV241" s="228">
        <f t="shared" si="269"/>
        <v>0</v>
      </c>
      <c r="AW241" s="228">
        <f t="shared" si="269"/>
        <v>0</v>
      </c>
      <c r="AX241" s="228">
        <f t="shared" si="269"/>
        <v>0</v>
      </c>
      <c r="AY241" s="228">
        <f t="shared" si="269"/>
        <v>0</v>
      </c>
      <c r="AZ241" s="228">
        <f t="shared" si="269"/>
        <v>0</v>
      </c>
      <c r="BA241" s="228">
        <f t="shared" si="269"/>
        <v>0</v>
      </c>
      <c r="BB241" s="228">
        <f t="shared" si="269"/>
        <v>0</v>
      </c>
      <c r="BC241" s="228">
        <f t="shared" si="269"/>
        <v>0</v>
      </c>
      <c r="BD241" s="228">
        <f t="shared" si="269"/>
        <v>0</v>
      </c>
      <c r="BE241" s="228">
        <f t="shared" si="269"/>
        <v>0</v>
      </c>
      <c r="BF241" s="228">
        <f t="shared" si="269"/>
        <v>0</v>
      </c>
      <c r="BG241" s="228">
        <f t="shared" si="269"/>
        <v>0</v>
      </c>
      <c r="BH241" s="228">
        <f t="shared" si="269"/>
        <v>0</v>
      </c>
      <c r="BI241" s="228">
        <f t="shared" si="269"/>
        <v>0</v>
      </c>
      <c r="BJ241" s="228">
        <f t="shared" si="269"/>
        <v>0</v>
      </c>
      <c r="BK241" s="228">
        <f t="shared" si="269"/>
        <v>0</v>
      </c>
      <c r="BL241" s="228">
        <f t="shared" si="269"/>
        <v>0</v>
      </c>
      <c r="BM241" s="228">
        <f t="shared" si="269"/>
        <v>0</v>
      </c>
      <c r="BN241" s="228">
        <f t="shared" si="269"/>
        <v>0</v>
      </c>
      <c r="BO241" s="228">
        <f t="shared" si="269"/>
        <v>0</v>
      </c>
      <c r="BP241" s="228">
        <f t="shared" ref="BP241:DP241" si="270">BP117</f>
        <v>0</v>
      </c>
      <c r="BQ241" s="228">
        <f t="shared" si="270"/>
        <v>0</v>
      </c>
      <c r="BR241" s="228">
        <f t="shared" si="270"/>
        <v>0</v>
      </c>
      <c r="BS241" s="228">
        <f t="shared" si="270"/>
        <v>0</v>
      </c>
      <c r="BT241" s="228">
        <f t="shared" si="270"/>
        <v>0</v>
      </c>
      <c r="BU241" s="228">
        <f t="shared" si="270"/>
        <v>0</v>
      </c>
      <c r="BV241" s="228">
        <f t="shared" si="270"/>
        <v>0</v>
      </c>
      <c r="BW241" s="228">
        <f t="shared" si="270"/>
        <v>0</v>
      </c>
      <c r="BX241" s="228">
        <f t="shared" si="270"/>
        <v>0</v>
      </c>
      <c r="BY241" s="228">
        <f t="shared" si="270"/>
        <v>0</v>
      </c>
      <c r="BZ241" s="228">
        <f t="shared" si="270"/>
        <v>0</v>
      </c>
      <c r="CA241" s="228">
        <f t="shared" si="270"/>
        <v>0</v>
      </c>
      <c r="CB241" s="228">
        <f t="shared" si="270"/>
        <v>0</v>
      </c>
      <c r="CC241" s="228">
        <f t="shared" si="270"/>
        <v>0</v>
      </c>
      <c r="CD241" s="228">
        <f t="shared" si="270"/>
        <v>0</v>
      </c>
      <c r="CE241" s="228">
        <f t="shared" si="270"/>
        <v>0</v>
      </c>
      <c r="CF241" s="228">
        <f t="shared" si="270"/>
        <v>0</v>
      </c>
      <c r="CG241" s="228">
        <f t="shared" si="270"/>
        <v>0</v>
      </c>
      <c r="CH241" s="228">
        <f t="shared" si="270"/>
        <v>0</v>
      </c>
      <c r="CI241" s="228">
        <f t="shared" si="270"/>
        <v>0</v>
      </c>
      <c r="CJ241" s="228">
        <f t="shared" si="270"/>
        <v>0</v>
      </c>
      <c r="CK241" s="228">
        <f t="shared" si="270"/>
        <v>0</v>
      </c>
      <c r="CL241" s="228">
        <f t="shared" si="270"/>
        <v>0</v>
      </c>
      <c r="CM241" s="228">
        <f t="shared" si="270"/>
        <v>0</v>
      </c>
      <c r="CN241" s="228">
        <f t="shared" si="270"/>
        <v>0</v>
      </c>
      <c r="CO241" s="228">
        <f t="shared" si="270"/>
        <v>0</v>
      </c>
      <c r="CP241" s="228">
        <f t="shared" si="270"/>
        <v>0</v>
      </c>
      <c r="CQ241" s="228">
        <f t="shared" si="270"/>
        <v>0</v>
      </c>
      <c r="CR241" s="228">
        <f t="shared" si="270"/>
        <v>0</v>
      </c>
      <c r="CS241" s="228">
        <f t="shared" si="270"/>
        <v>0</v>
      </c>
      <c r="CT241" s="228">
        <f t="shared" si="270"/>
        <v>0</v>
      </c>
      <c r="CU241" s="228">
        <f t="shared" si="270"/>
        <v>0</v>
      </c>
      <c r="CV241" s="228">
        <f t="shared" si="270"/>
        <v>0</v>
      </c>
      <c r="CW241" s="228">
        <f t="shared" si="270"/>
        <v>0</v>
      </c>
      <c r="CX241" s="228">
        <f t="shared" si="270"/>
        <v>0</v>
      </c>
      <c r="CY241" s="228">
        <f t="shared" si="270"/>
        <v>0</v>
      </c>
      <c r="CZ241" s="228">
        <f t="shared" si="270"/>
        <v>0</v>
      </c>
      <c r="DA241" s="228">
        <f t="shared" si="270"/>
        <v>0</v>
      </c>
      <c r="DB241" s="228">
        <f t="shared" si="270"/>
        <v>0</v>
      </c>
      <c r="DC241" s="228">
        <f t="shared" si="270"/>
        <v>0</v>
      </c>
      <c r="DD241" s="228">
        <f t="shared" si="270"/>
        <v>0</v>
      </c>
      <c r="DE241" s="228">
        <f t="shared" si="270"/>
        <v>0</v>
      </c>
      <c r="DF241" s="228">
        <f t="shared" si="270"/>
        <v>0</v>
      </c>
      <c r="DG241" s="228">
        <f t="shared" si="270"/>
        <v>0</v>
      </c>
      <c r="DH241" s="228">
        <f t="shared" si="270"/>
        <v>0</v>
      </c>
      <c r="DI241" s="228">
        <f t="shared" si="270"/>
        <v>0</v>
      </c>
      <c r="DJ241" s="228">
        <f t="shared" si="270"/>
        <v>0</v>
      </c>
      <c r="DK241" s="228">
        <f t="shared" si="270"/>
        <v>0</v>
      </c>
      <c r="DL241" s="228">
        <f t="shared" si="270"/>
        <v>0</v>
      </c>
      <c r="DM241" s="228">
        <f t="shared" si="270"/>
        <v>0</v>
      </c>
      <c r="DN241" s="228">
        <f t="shared" si="270"/>
        <v>0</v>
      </c>
      <c r="DO241" s="228">
        <f t="shared" si="270"/>
        <v>0</v>
      </c>
      <c r="DP241" s="232">
        <f t="shared" si="270"/>
        <v>0</v>
      </c>
      <c r="DQ241" s="228">
        <f t="shared" si="161"/>
        <v>0</v>
      </c>
      <c r="DR241" s="228">
        <f t="shared" si="162"/>
        <v>0</v>
      </c>
      <c r="DS241" s="230">
        <f>SUM(X241:Y241)+(1-TRP!$AK$253)*AC241</f>
        <v>0</v>
      </c>
      <c r="DT241" s="228">
        <f t="shared" si="163"/>
        <v>0</v>
      </c>
      <c r="DU241" s="228">
        <f t="shared" si="164"/>
        <v>0</v>
      </c>
      <c r="DV241" s="228">
        <f t="shared" si="165"/>
        <v>0</v>
      </c>
      <c r="DW241" s="228">
        <f t="shared" si="166"/>
        <v>0</v>
      </c>
      <c r="DX241" s="228">
        <f t="shared" si="167"/>
        <v>0</v>
      </c>
      <c r="DY241" s="228">
        <f t="shared" si="168"/>
        <v>0</v>
      </c>
      <c r="DZ241" s="228">
        <f t="shared" si="169"/>
        <v>0</v>
      </c>
      <c r="EA241" s="228">
        <f t="shared" si="170"/>
        <v>0</v>
      </c>
      <c r="EB241" s="230">
        <f>TRP!$AK$253*$AC241+SUM(M241:W241,Z241:AB241,AD241:AR241,AU241:AX241,BC241:BE241,BI241:BN241,BQ241:BR241,BV241)</f>
        <v>0</v>
      </c>
      <c r="EC241" s="228">
        <f t="shared" si="171"/>
        <v>0</v>
      </c>
      <c r="ED241" s="230">
        <f>CB241+$CI241*TRP!$AV$248</f>
        <v>0</v>
      </c>
      <c r="EE241" s="228">
        <f t="shared" si="172"/>
        <v>0</v>
      </c>
      <c r="EF241" s="230">
        <f>CD241+$CI241*TRP!$AV$249</f>
        <v>0</v>
      </c>
      <c r="EG241" s="230">
        <f>CE241+$CI241*TRP!$AV$250</f>
        <v>0</v>
      </c>
      <c r="EH241" s="230">
        <f>CF241+$CI241*TRP!$AV$251</f>
        <v>0</v>
      </c>
      <c r="EI241" s="228">
        <f t="shared" si="173"/>
        <v>0</v>
      </c>
      <c r="EJ241" s="228">
        <f t="shared" si="174"/>
        <v>0</v>
      </c>
      <c r="EK241" s="228">
        <f t="shared" si="175"/>
        <v>0</v>
      </c>
      <c r="EL241" s="230">
        <f>BS241+$BP241*TRP!$AN$246</f>
        <v>0</v>
      </c>
      <c r="EM241" s="228">
        <f t="shared" si="176"/>
        <v>0</v>
      </c>
      <c r="EN241" s="230">
        <f>BU241+$BP241*TRP!$AN$247</f>
        <v>0</v>
      </c>
    </row>
    <row r="242" spans="1:144" s="228" customFormat="1" ht="10.5" x14ac:dyDescent="0.25">
      <c r="A242" s="228" t="str">
        <f>TRP!C240</f>
        <v xml:space="preserve">GQ2E </v>
      </c>
      <c r="B242" s="228" t="str">
        <f>TRP!B240</f>
        <v>ACTION SOCIALE NON MARCHANDE</v>
      </c>
      <c r="C242" s="233">
        <f>TRP!A240</f>
        <v>20</v>
      </c>
      <c r="D242" s="228">
        <f t="shared" ref="D242:BO242" si="271">D118</f>
        <v>0</v>
      </c>
      <c r="E242" s="228">
        <f t="shared" si="271"/>
        <v>0</v>
      </c>
      <c r="F242" s="228">
        <f t="shared" si="271"/>
        <v>0</v>
      </c>
      <c r="G242" s="228">
        <f t="shared" si="271"/>
        <v>0</v>
      </c>
      <c r="H242" s="228">
        <f t="shared" si="271"/>
        <v>0</v>
      </c>
      <c r="I242" s="228">
        <f t="shared" si="271"/>
        <v>0</v>
      </c>
      <c r="J242" s="228">
        <f t="shared" si="271"/>
        <v>0</v>
      </c>
      <c r="K242" s="228">
        <f t="shared" si="271"/>
        <v>0</v>
      </c>
      <c r="L242" s="228">
        <f t="shared" si="271"/>
        <v>0</v>
      </c>
      <c r="M242" s="228">
        <f t="shared" si="271"/>
        <v>0</v>
      </c>
      <c r="N242" s="228">
        <f t="shared" si="271"/>
        <v>0</v>
      </c>
      <c r="O242" s="228">
        <f t="shared" si="271"/>
        <v>0</v>
      </c>
      <c r="P242" s="228">
        <f t="shared" si="271"/>
        <v>0</v>
      </c>
      <c r="Q242" s="228">
        <f t="shared" si="271"/>
        <v>0</v>
      </c>
      <c r="R242" s="228">
        <f t="shared" si="271"/>
        <v>0</v>
      </c>
      <c r="S242" s="228">
        <f t="shared" si="271"/>
        <v>0</v>
      </c>
      <c r="T242" s="228">
        <f t="shared" si="271"/>
        <v>0</v>
      </c>
      <c r="U242" s="228">
        <f t="shared" si="271"/>
        <v>0</v>
      </c>
      <c r="V242" s="228">
        <f t="shared" si="271"/>
        <v>0</v>
      </c>
      <c r="W242" s="228">
        <f t="shared" si="271"/>
        <v>0</v>
      </c>
      <c r="X242" s="228">
        <f t="shared" si="271"/>
        <v>0</v>
      </c>
      <c r="Y242" s="228">
        <f t="shared" si="271"/>
        <v>0</v>
      </c>
      <c r="Z242" s="228">
        <f t="shared" si="271"/>
        <v>0</v>
      </c>
      <c r="AA242" s="228">
        <f t="shared" si="271"/>
        <v>0</v>
      </c>
      <c r="AB242" s="228">
        <f t="shared" si="271"/>
        <v>0</v>
      </c>
      <c r="AC242" s="228">
        <f t="shared" si="271"/>
        <v>0</v>
      </c>
      <c r="AD242" s="228">
        <f t="shared" si="271"/>
        <v>0</v>
      </c>
      <c r="AE242" s="228">
        <f t="shared" si="271"/>
        <v>0</v>
      </c>
      <c r="AF242" s="228">
        <f t="shared" si="271"/>
        <v>0</v>
      </c>
      <c r="AG242" s="228">
        <f t="shared" si="271"/>
        <v>0</v>
      </c>
      <c r="AH242" s="228">
        <f t="shared" si="271"/>
        <v>0</v>
      </c>
      <c r="AI242" s="228">
        <f t="shared" si="271"/>
        <v>0</v>
      </c>
      <c r="AJ242" s="228">
        <f t="shared" si="271"/>
        <v>0</v>
      </c>
      <c r="AK242" s="228">
        <f t="shared" si="271"/>
        <v>0</v>
      </c>
      <c r="AL242" s="228">
        <f t="shared" si="271"/>
        <v>0</v>
      </c>
      <c r="AM242" s="228">
        <f t="shared" si="271"/>
        <v>0</v>
      </c>
      <c r="AN242" s="228">
        <f t="shared" si="271"/>
        <v>0</v>
      </c>
      <c r="AO242" s="228">
        <f t="shared" si="271"/>
        <v>0</v>
      </c>
      <c r="AP242" s="228">
        <f t="shared" si="271"/>
        <v>0</v>
      </c>
      <c r="AQ242" s="228">
        <f t="shared" si="271"/>
        <v>0</v>
      </c>
      <c r="AR242" s="228">
        <f t="shared" si="271"/>
        <v>0</v>
      </c>
      <c r="AS242" s="228">
        <f t="shared" si="271"/>
        <v>0</v>
      </c>
      <c r="AT242" s="228">
        <f t="shared" si="271"/>
        <v>0</v>
      </c>
      <c r="AU242" s="228">
        <f t="shared" si="271"/>
        <v>0</v>
      </c>
      <c r="AV242" s="228">
        <f t="shared" si="271"/>
        <v>0</v>
      </c>
      <c r="AW242" s="228">
        <f t="shared" si="271"/>
        <v>0</v>
      </c>
      <c r="AX242" s="228">
        <f t="shared" si="271"/>
        <v>0</v>
      </c>
      <c r="AY242" s="228">
        <f t="shared" si="271"/>
        <v>0</v>
      </c>
      <c r="AZ242" s="228">
        <f t="shared" si="271"/>
        <v>0</v>
      </c>
      <c r="BA242" s="228">
        <f t="shared" si="271"/>
        <v>0</v>
      </c>
      <c r="BB242" s="228">
        <f t="shared" si="271"/>
        <v>0</v>
      </c>
      <c r="BC242" s="228">
        <f t="shared" si="271"/>
        <v>0</v>
      </c>
      <c r="BD242" s="228">
        <f t="shared" si="271"/>
        <v>0</v>
      </c>
      <c r="BE242" s="228">
        <f t="shared" si="271"/>
        <v>0</v>
      </c>
      <c r="BF242" s="228">
        <f t="shared" si="271"/>
        <v>0</v>
      </c>
      <c r="BG242" s="228">
        <f t="shared" si="271"/>
        <v>0</v>
      </c>
      <c r="BH242" s="228">
        <f t="shared" si="271"/>
        <v>0</v>
      </c>
      <c r="BI242" s="228">
        <f t="shared" si="271"/>
        <v>0</v>
      </c>
      <c r="BJ242" s="228">
        <f t="shared" si="271"/>
        <v>0</v>
      </c>
      <c r="BK242" s="228">
        <f t="shared" si="271"/>
        <v>0</v>
      </c>
      <c r="BL242" s="228">
        <f t="shared" si="271"/>
        <v>0</v>
      </c>
      <c r="BM242" s="228">
        <f t="shared" si="271"/>
        <v>0</v>
      </c>
      <c r="BN242" s="228">
        <f t="shared" si="271"/>
        <v>0</v>
      </c>
      <c r="BO242" s="228">
        <f t="shared" si="271"/>
        <v>0</v>
      </c>
      <c r="BP242" s="228">
        <f t="shared" ref="BP242:DP242" si="272">BP118</f>
        <v>0</v>
      </c>
      <c r="BQ242" s="228">
        <f t="shared" si="272"/>
        <v>0</v>
      </c>
      <c r="BR242" s="228">
        <f t="shared" si="272"/>
        <v>0</v>
      </c>
      <c r="BS242" s="228">
        <f t="shared" si="272"/>
        <v>0</v>
      </c>
      <c r="BT242" s="228">
        <f t="shared" si="272"/>
        <v>0</v>
      </c>
      <c r="BU242" s="228">
        <f t="shared" si="272"/>
        <v>0</v>
      </c>
      <c r="BV242" s="228">
        <f t="shared" si="272"/>
        <v>0</v>
      </c>
      <c r="BW242" s="228">
        <f t="shared" si="272"/>
        <v>0</v>
      </c>
      <c r="BX242" s="228">
        <f t="shared" si="272"/>
        <v>0</v>
      </c>
      <c r="BY242" s="228">
        <f t="shared" si="272"/>
        <v>0</v>
      </c>
      <c r="BZ242" s="228">
        <f t="shared" si="272"/>
        <v>0</v>
      </c>
      <c r="CA242" s="228">
        <f t="shared" si="272"/>
        <v>0</v>
      </c>
      <c r="CB242" s="228">
        <f t="shared" si="272"/>
        <v>0</v>
      </c>
      <c r="CC242" s="228">
        <f t="shared" si="272"/>
        <v>0</v>
      </c>
      <c r="CD242" s="228">
        <f t="shared" si="272"/>
        <v>0</v>
      </c>
      <c r="CE242" s="228">
        <f t="shared" si="272"/>
        <v>0</v>
      </c>
      <c r="CF242" s="228">
        <f t="shared" si="272"/>
        <v>0</v>
      </c>
      <c r="CG242" s="228">
        <f t="shared" si="272"/>
        <v>0</v>
      </c>
      <c r="CH242" s="228">
        <f t="shared" si="272"/>
        <v>0</v>
      </c>
      <c r="CI242" s="228">
        <f t="shared" si="272"/>
        <v>0</v>
      </c>
      <c r="CJ242" s="228">
        <f t="shared" si="272"/>
        <v>0</v>
      </c>
      <c r="CK242" s="228">
        <f t="shared" si="272"/>
        <v>0</v>
      </c>
      <c r="CL242" s="228">
        <f t="shared" si="272"/>
        <v>0</v>
      </c>
      <c r="CM242" s="228">
        <f t="shared" si="272"/>
        <v>0</v>
      </c>
      <c r="CN242" s="228">
        <f t="shared" si="272"/>
        <v>0</v>
      </c>
      <c r="CO242" s="228">
        <f t="shared" si="272"/>
        <v>0</v>
      </c>
      <c r="CP242" s="228">
        <f t="shared" si="272"/>
        <v>0</v>
      </c>
      <c r="CQ242" s="228">
        <f t="shared" si="272"/>
        <v>0</v>
      </c>
      <c r="CR242" s="228">
        <f t="shared" si="272"/>
        <v>0</v>
      </c>
      <c r="CS242" s="228">
        <f t="shared" si="272"/>
        <v>0</v>
      </c>
      <c r="CT242" s="228">
        <f t="shared" si="272"/>
        <v>0</v>
      </c>
      <c r="CU242" s="228">
        <f t="shared" si="272"/>
        <v>0</v>
      </c>
      <c r="CV242" s="228">
        <f t="shared" si="272"/>
        <v>0</v>
      </c>
      <c r="CW242" s="228">
        <f t="shared" si="272"/>
        <v>0</v>
      </c>
      <c r="CX242" s="228">
        <f t="shared" si="272"/>
        <v>0</v>
      </c>
      <c r="CY242" s="228">
        <f t="shared" si="272"/>
        <v>0</v>
      </c>
      <c r="CZ242" s="228">
        <f t="shared" si="272"/>
        <v>0</v>
      </c>
      <c r="DA242" s="228">
        <f t="shared" si="272"/>
        <v>0</v>
      </c>
      <c r="DB242" s="228">
        <f t="shared" si="272"/>
        <v>0</v>
      </c>
      <c r="DC242" s="228">
        <f t="shared" si="272"/>
        <v>0</v>
      </c>
      <c r="DD242" s="228">
        <f t="shared" si="272"/>
        <v>0</v>
      </c>
      <c r="DE242" s="228">
        <f t="shared" si="272"/>
        <v>0</v>
      </c>
      <c r="DF242" s="228">
        <f t="shared" si="272"/>
        <v>0</v>
      </c>
      <c r="DG242" s="228">
        <f t="shared" si="272"/>
        <v>0</v>
      </c>
      <c r="DH242" s="228">
        <f t="shared" si="272"/>
        <v>0</v>
      </c>
      <c r="DI242" s="228">
        <f t="shared" si="272"/>
        <v>0</v>
      </c>
      <c r="DJ242" s="228">
        <f t="shared" si="272"/>
        <v>0</v>
      </c>
      <c r="DK242" s="228">
        <f t="shared" si="272"/>
        <v>0</v>
      </c>
      <c r="DL242" s="228">
        <f t="shared" si="272"/>
        <v>0</v>
      </c>
      <c r="DM242" s="228">
        <f t="shared" si="272"/>
        <v>0</v>
      </c>
      <c r="DN242" s="228">
        <f t="shared" si="272"/>
        <v>0</v>
      </c>
      <c r="DO242" s="228">
        <f t="shared" si="272"/>
        <v>0</v>
      </c>
      <c r="DP242" s="232">
        <f t="shared" si="272"/>
        <v>0</v>
      </c>
      <c r="DQ242" s="228">
        <f t="shared" si="161"/>
        <v>0</v>
      </c>
      <c r="DR242" s="228">
        <f t="shared" si="162"/>
        <v>0</v>
      </c>
      <c r="DS242" s="230">
        <f>SUM(X242:Y242)+(1-TRP!$AK$253)*AC242</f>
        <v>0</v>
      </c>
      <c r="DT242" s="228">
        <f t="shared" si="163"/>
        <v>0</v>
      </c>
      <c r="DU242" s="228">
        <f t="shared" si="164"/>
        <v>0</v>
      </c>
      <c r="DV242" s="228">
        <f t="shared" si="165"/>
        <v>0</v>
      </c>
      <c r="DW242" s="228">
        <f t="shared" si="166"/>
        <v>0</v>
      </c>
      <c r="DX242" s="228">
        <f t="shared" si="167"/>
        <v>0</v>
      </c>
      <c r="DY242" s="228">
        <f t="shared" si="168"/>
        <v>0</v>
      </c>
      <c r="DZ242" s="228">
        <f t="shared" si="169"/>
        <v>0</v>
      </c>
      <c r="EA242" s="228">
        <f t="shared" si="170"/>
        <v>0</v>
      </c>
      <c r="EB242" s="230">
        <f>TRP!$AK$253*$AC242+SUM(M242:W242,Z242:AB242,AD242:AR242,AU242:AX242,BC242:BE242,BI242:BN242,BQ242:BR242,BV242)</f>
        <v>0</v>
      </c>
      <c r="EC242" s="228">
        <f t="shared" si="171"/>
        <v>0</v>
      </c>
      <c r="ED242" s="230">
        <f>CB242+$CI242*TRP!$AV$248</f>
        <v>0</v>
      </c>
      <c r="EE242" s="228">
        <f t="shared" si="172"/>
        <v>0</v>
      </c>
      <c r="EF242" s="230">
        <f>CD242+$CI242*TRP!$AV$249</f>
        <v>0</v>
      </c>
      <c r="EG242" s="230">
        <f>CE242+$CI242*TRP!$AV$250</f>
        <v>0</v>
      </c>
      <c r="EH242" s="230">
        <f>CF242+$CI242*TRP!$AV$251</f>
        <v>0</v>
      </c>
      <c r="EI242" s="228">
        <f t="shared" si="173"/>
        <v>0</v>
      </c>
      <c r="EJ242" s="228">
        <f t="shared" si="174"/>
        <v>0</v>
      </c>
      <c r="EK242" s="228">
        <f t="shared" si="175"/>
        <v>0</v>
      </c>
      <c r="EL242" s="230">
        <f>BS242+$BP242*TRP!$AN$246</f>
        <v>0</v>
      </c>
      <c r="EM242" s="228">
        <f t="shared" si="176"/>
        <v>0</v>
      </c>
      <c r="EN242" s="230">
        <f>BU242+$BP242*TRP!$AN$247</f>
        <v>0</v>
      </c>
    </row>
    <row r="243" spans="1:144" s="228" customFormat="1" ht="10.5" x14ac:dyDescent="0.25">
      <c r="A243" s="228" t="str">
        <f>TRP!C241</f>
        <v xml:space="preserve">GR10 </v>
      </c>
      <c r="B243" s="228" t="str">
        <f>TRP!B241</f>
        <v>ADMINISTRATION PUBLIQUE</v>
      </c>
      <c r="C243" s="233">
        <f>TRP!A241</f>
        <v>20</v>
      </c>
      <c r="D243" s="228">
        <f t="shared" ref="D243:BO243" si="273">D119</f>
        <v>0</v>
      </c>
      <c r="E243" s="228">
        <f t="shared" si="273"/>
        <v>0</v>
      </c>
      <c r="F243" s="228">
        <f t="shared" si="273"/>
        <v>0</v>
      </c>
      <c r="G243" s="228">
        <f t="shared" si="273"/>
        <v>0</v>
      </c>
      <c r="H243" s="228">
        <f t="shared" si="273"/>
        <v>0</v>
      </c>
      <c r="I243" s="228">
        <f t="shared" si="273"/>
        <v>0</v>
      </c>
      <c r="J243" s="228">
        <f t="shared" si="273"/>
        <v>0</v>
      </c>
      <c r="K243" s="228">
        <f t="shared" si="273"/>
        <v>0</v>
      </c>
      <c r="L243" s="228">
        <f t="shared" si="273"/>
        <v>0</v>
      </c>
      <c r="M243" s="228">
        <f t="shared" si="273"/>
        <v>0</v>
      </c>
      <c r="N243" s="228">
        <f t="shared" si="273"/>
        <v>0</v>
      </c>
      <c r="O243" s="228">
        <f t="shared" si="273"/>
        <v>0</v>
      </c>
      <c r="P243" s="228">
        <f t="shared" si="273"/>
        <v>0</v>
      </c>
      <c r="Q243" s="228">
        <f t="shared" si="273"/>
        <v>0</v>
      </c>
      <c r="R243" s="228">
        <f t="shared" si="273"/>
        <v>0</v>
      </c>
      <c r="S243" s="228">
        <f t="shared" si="273"/>
        <v>0</v>
      </c>
      <c r="T243" s="228">
        <f t="shared" si="273"/>
        <v>0</v>
      </c>
      <c r="U243" s="228">
        <f t="shared" si="273"/>
        <v>0</v>
      </c>
      <c r="V243" s="228">
        <f t="shared" si="273"/>
        <v>0</v>
      </c>
      <c r="W243" s="228">
        <f t="shared" si="273"/>
        <v>0</v>
      </c>
      <c r="X243" s="228">
        <f t="shared" si="273"/>
        <v>0</v>
      </c>
      <c r="Y243" s="228">
        <f t="shared" si="273"/>
        <v>0</v>
      </c>
      <c r="Z243" s="228">
        <f t="shared" si="273"/>
        <v>0</v>
      </c>
      <c r="AA243" s="228">
        <f t="shared" si="273"/>
        <v>0</v>
      </c>
      <c r="AB243" s="228">
        <f t="shared" si="273"/>
        <v>0</v>
      </c>
      <c r="AC243" s="228">
        <f t="shared" si="273"/>
        <v>0</v>
      </c>
      <c r="AD243" s="228">
        <f t="shared" si="273"/>
        <v>0</v>
      </c>
      <c r="AE243" s="228">
        <f t="shared" si="273"/>
        <v>0</v>
      </c>
      <c r="AF243" s="228">
        <f t="shared" si="273"/>
        <v>0</v>
      </c>
      <c r="AG243" s="228">
        <f t="shared" si="273"/>
        <v>0</v>
      </c>
      <c r="AH243" s="228">
        <f t="shared" si="273"/>
        <v>0</v>
      </c>
      <c r="AI243" s="228">
        <f t="shared" si="273"/>
        <v>0</v>
      </c>
      <c r="AJ243" s="228">
        <f t="shared" si="273"/>
        <v>0</v>
      </c>
      <c r="AK243" s="228">
        <f t="shared" si="273"/>
        <v>0</v>
      </c>
      <c r="AL243" s="228">
        <f t="shared" si="273"/>
        <v>0</v>
      </c>
      <c r="AM243" s="228">
        <f t="shared" si="273"/>
        <v>0</v>
      </c>
      <c r="AN243" s="228">
        <f t="shared" si="273"/>
        <v>0</v>
      </c>
      <c r="AO243" s="228">
        <f t="shared" si="273"/>
        <v>0</v>
      </c>
      <c r="AP243" s="228">
        <f t="shared" si="273"/>
        <v>0</v>
      </c>
      <c r="AQ243" s="228">
        <f t="shared" si="273"/>
        <v>0</v>
      </c>
      <c r="AR243" s="228">
        <f t="shared" si="273"/>
        <v>0</v>
      </c>
      <c r="AS243" s="228">
        <f t="shared" si="273"/>
        <v>0</v>
      </c>
      <c r="AT243" s="228">
        <f t="shared" si="273"/>
        <v>0</v>
      </c>
      <c r="AU243" s="228">
        <f t="shared" si="273"/>
        <v>0</v>
      </c>
      <c r="AV243" s="228">
        <f t="shared" si="273"/>
        <v>0</v>
      </c>
      <c r="AW243" s="228">
        <f t="shared" si="273"/>
        <v>0</v>
      </c>
      <c r="AX243" s="228">
        <f t="shared" si="273"/>
        <v>0</v>
      </c>
      <c r="AY243" s="228">
        <f t="shared" si="273"/>
        <v>0</v>
      </c>
      <c r="AZ243" s="228">
        <f t="shared" si="273"/>
        <v>0</v>
      </c>
      <c r="BA243" s="228">
        <f t="shared" si="273"/>
        <v>0</v>
      </c>
      <c r="BB243" s="228">
        <f t="shared" si="273"/>
        <v>0</v>
      </c>
      <c r="BC243" s="228">
        <f t="shared" si="273"/>
        <v>0</v>
      </c>
      <c r="BD243" s="228">
        <f t="shared" si="273"/>
        <v>0</v>
      </c>
      <c r="BE243" s="228">
        <f t="shared" si="273"/>
        <v>0</v>
      </c>
      <c r="BF243" s="228">
        <f t="shared" si="273"/>
        <v>0</v>
      </c>
      <c r="BG243" s="228">
        <f t="shared" si="273"/>
        <v>0</v>
      </c>
      <c r="BH243" s="228">
        <f t="shared" si="273"/>
        <v>0</v>
      </c>
      <c r="BI243" s="228">
        <f t="shared" si="273"/>
        <v>0</v>
      </c>
      <c r="BJ243" s="228">
        <f t="shared" si="273"/>
        <v>0</v>
      </c>
      <c r="BK243" s="228">
        <f t="shared" si="273"/>
        <v>0</v>
      </c>
      <c r="BL243" s="228">
        <f t="shared" si="273"/>
        <v>0</v>
      </c>
      <c r="BM243" s="228">
        <f t="shared" si="273"/>
        <v>0</v>
      </c>
      <c r="BN243" s="228">
        <f t="shared" si="273"/>
        <v>0</v>
      </c>
      <c r="BO243" s="228">
        <f t="shared" si="273"/>
        <v>0</v>
      </c>
      <c r="BP243" s="228">
        <f t="shared" ref="BP243:DP243" si="274">BP119</f>
        <v>0</v>
      </c>
      <c r="BQ243" s="228">
        <f t="shared" si="274"/>
        <v>0</v>
      </c>
      <c r="BR243" s="228">
        <f t="shared" si="274"/>
        <v>0</v>
      </c>
      <c r="BS243" s="228">
        <f t="shared" si="274"/>
        <v>0</v>
      </c>
      <c r="BT243" s="228">
        <f t="shared" si="274"/>
        <v>0</v>
      </c>
      <c r="BU243" s="228">
        <f t="shared" si="274"/>
        <v>0</v>
      </c>
      <c r="BV243" s="228">
        <f t="shared" si="274"/>
        <v>0</v>
      </c>
      <c r="BW243" s="228">
        <f t="shared" si="274"/>
        <v>0</v>
      </c>
      <c r="BX243" s="228">
        <f t="shared" si="274"/>
        <v>0</v>
      </c>
      <c r="BY243" s="228">
        <f t="shared" si="274"/>
        <v>0</v>
      </c>
      <c r="BZ243" s="228">
        <f t="shared" si="274"/>
        <v>0</v>
      </c>
      <c r="CA243" s="228">
        <f t="shared" si="274"/>
        <v>0</v>
      </c>
      <c r="CB243" s="228">
        <f t="shared" si="274"/>
        <v>0</v>
      </c>
      <c r="CC243" s="228">
        <f t="shared" si="274"/>
        <v>0</v>
      </c>
      <c r="CD243" s="228">
        <f t="shared" si="274"/>
        <v>0</v>
      </c>
      <c r="CE243" s="228">
        <f t="shared" si="274"/>
        <v>0</v>
      </c>
      <c r="CF243" s="228">
        <f t="shared" si="274"/>
        <v>0</v>
      </c>
      <c r="CG243" s="228">
        <f t="shared" si="274"/>
        <v>0</v>
      </c>
      <c r="CH243" s="228">
        <f t="shared" si="274"/>
        <v>0</v>
      </c>
      <c r="CI243" s="228">
        <f t="shared" si="274"/>
        <v>0</v>
      </c>
      <c r="CJ243" s="228">
        <f t="shared" si="274"/>
        <v>0</v>
      </c>
      <c r="CK243" s="228">
        <f t="shared" si="274"/>
        <v>0</v>
      </c>
      <c r="CL243" s="228">
        <f t="shared" si="274"/>
        <v>0</v>
      </c>
      <c r="CM243" s="228">
        <f t="shared" si="274"/>
        <v>0</v>
      </c>
      <c r="CN243" s="228">
        <f t="shared" si="274"/>
        <v>0</v>
      </c>
      <c r="CO243" s="228">
        <f t="shared" si="274"/>
        <v>0</v>
      </c>
      <c r="CP243" s="228">
        <f t="shared" si="274"/>
        <v>0</v>
      </c>
      <c r="CQ243" s="228">
        <f t="shared" si="274"/>
        <v>0</v>
      </c>
      <c r="CR243" s="228">
        <f t="shared" si="274"/>
        <v>0</v>
      </c>
      <c r="CS243" s="228">
        <f t="shared" si="274"/>
        <v>0</v>
      </c>
      <c r="CT243" s="228">
        <f t="shared" si="274"/>
        <v>0</v>
      </c>
      <c r="CU243" s="228">
        <f t="shared" si="274"/>
        <v>0</v>
      </c>
      <c r="CV243" s="228">
        <f t="shared" si="274"/>
        <v>0</v>
      </c>
      <c r="CW243" s="228">
        <f t="shared" si="274"/>
        <v>0</v>
      </c>
      <c r="CX243" s="228">
        <f t="shared" si="274"/>
        <v>0</v>
      </c>
      <c r="CY243" s="228">
        <f t="shared" si="274"/>
        <v>0</v>
      </c>
      <c r="CZ243" s="228">
        <f t="shared" si="274"/>
        <v>0</v>
      </c>
      <c r="DA243" s="228">
        <f t="shared" si="274"/>
        <v>0</v>
      </c>
      <c r="DB243" s="228">
        <f t="shared" si="274"/>
        <v>0</v>
      </c>
      <c r="DC243" s="228">
        <f t="shared" si="274"/>
        <v>0</v>
      </c>
      <c r="DD243" s="228">
        <f t="shared" si="274"/>
        <v>0</v>
      </c>
      <c r="DE243" s="228">
        <f t="shared" si="274"/>
        <v>0</v>
      </c>
      <c r="DF243" s="228">
        <f t="shared" si="274"/>
        <v>0</v>
      </c>
      <c r="DG243" s="228">
        <f t="shared" si="274"/>
        <v>0</v>
      </c>
      <c r="DH243" s="228">
        <f t="shared" si="274"/>
        <v>0</v>
      </c>
      <c r="DI243" s="228">
        <f t="shared" si="274"/>
        <v>0</v>
      </c>
      <c r="DJ243" s="228">
        <f t="shared" si="274"/>
        <v>0</v>
      </c>
      <c r="DK243" s="228">
        <f t="shared" si="274"/>
        <v>0</v>
      </c>
      <c r="DL243" s="228">
        <f t="shared" si="274"/>
        <v>0</v>
      </c>
      <c r="DM243" s="228">
        <f t="shared" si="274"/>
        <v>0</v>
      </c>
      <c r="DN243" s="228">
        <f t="shared" si="274"/>
        <v>0</v>
      </c>
      <c r="DO243" s="228">
        <f t="shared" si="274"/>
        <v>0</v>
      </c>
      <c r="DP243" s="232">
        <f t="shared" si="274"/>
        <v>0</v>
      </c>
      <c r="DQ243" s="228">
        <f t="shared" si="161"/>
        <v>0</v>
      </c>
      <c r="DR243" s="228">
        <f t="shared" si="162"/>
        <v>0</v>
      </c>
      <c r="DS243" s="230">
        <f>SUM(X243:Y243)+(1-TRP!$AK$253)*AC243</f>
        <v>0</v>
      </c>
      <c r="DT243" s="228">
        <f t="shared" si="163"/>
        <v>0</v>
      </c>
      <c r="DU243" s="228">
        <f t="shared" si="164"/>
        <v>0</v>
      </c>
      <c r="DV243" s="228">
        <f t="shared" si="165"/>
        <v>0</v>
      </c>
      <c r="DW243" s="228">
        <f t="shared" si="166"/>
        <v>0</v>
      </c>
      <c r="DX243" s="228">
        <f t="shared" si="167"/>
        <v>0</v>
      </c>
      <c r="DY243" s="228">
        <f t="shared" si="168"/>
        <v>0</v>
      </c>
      <c r="DZ243" s="228">
        <f t="shared" si="169"/>
        <v>0</v>
      </c>
      <c r="EA243" s="228">
        <f t="shared" si="170"/>
        <v>0</v>
      </c>
      <c r="EB243" s="230">
        <f>TRP!$AK$253*$AC243+SUM(M243:W243,Z243:AB243,AD243:AR243,AU243:AX243,BC243:BE243,BI243:BN243,BQ243:BR243,BV243)</f>
        <v>0</v>
      </c>
      <c r="EC243" s="228">
        <f t="shared" si="171"/>
        <v>0</v>
      </c>
      <c r="ED243" s="230">
        <f>CB243+$CI243*TRP!$AV$248</f>
        <v>0</v>
      </c>
      <c r="EE243" s="228">
        <f t="shared" si="172"/>
        <v>0</v>
      </c>
      <c r="EF243" s="230">
        <f>CD243+$CI243*TRP!$AV$249</f>
        <v>0</v>
      </c>
      <c r="EG243" s="230">
        <f>CE243+$CI243*TRP!$AV$250</f>
        <v>0</v>
      </c>
      <c r="EH243" s="230">
        <f>CF243+$CI243*TRP!$AV$251</f>
        <v>0</v>
      </c>
      <c r="EI243" s="228">
        <f t="shared" si="173"/>
        <v>0</v>
      </c>
      <c r="EJ243" s="228">
        <f t="shared" si="174"/>
        <v>0</v>
      </c>
      <c r="EK243" s="228">
        <f t="shared" si="175"/>
        <v>0</v>
      </c>
      <c r="EL243" s="230">
        <f>BS243+$BP243*TRP!$AN$246</f>
        <v>0</v>
      </c>
      <c r="EM243" s="228">
        <f t="shared" si="176"/>
        <v>0</v>
      </c>
      <c r="EN243" s="230">
        <f>BU243+$BP243*TRP!$AN$247</f>
        <v>0</v>
      </c>
    </row>
    <row r="244" spans="1:144" s="228" customFormat="1" ht="10.5" x14ac:dyDescent="0.25">
      <c r="A244" s="228" t="str">
        <f>TRP!C242</f>
        <v xml:space="preserve">GR20 </v>
      </c>
      <c r="B244" s="228" t="str">
        <f>TRP!B242</f>
        <v>ACTIVITES ASSOCIATIVES</v>
      </c>
      <c r="C244" s="233">
        <f>TRP!A242</f>
        <v>20</v>
      </c>
      <c r="D244" s="228">
        <f t="shared" ref="D244:BO244" si="275">D120</f>
        <v>0</v>
      </c>
      <c r="E244" s="228">
        <f t="shared" si="275"/>
        <v>0</v>
      </c>
      <c r="F244" s="228">
        <f t="shared" si="275"/>
        <v>14</v>
      </c>
      <c r="G244" s="228">
        <f t="shared" si="275"/>
        <v>19</v>
      </c>
      <c r="H244" s="228">
        <f t="shared" si="275"/>
        <v>5</v>
      </c>
      <c r="I244" s="228">
        <f t="shared" si="275"/>
        <v>14</v>
      </c>
      <c r="J244" s="228">
        <f t="shared" si="275"/>
        <v>20</v>
      </c>
      <c r="K244" s="228">
        <f t="shared" si="275"/>
        <v>1</v>
      </c>
      <c r="L244" s="228">
        <f t="shared" si="275"/>
        <v>2</v>
      </c>
      <c r="M244" s="228">
        <f t="shared" si="275"/>
        <v>3</v>
      </c>
      <c r="N244" s="228">
        <f t="shared" si="275"/>
        <v>41</v>
      </c>
      <c r="O244" s="228">
        <f t="shared" si="275"/>
        <v>61</v>
      </c>
      <c r="P244" s="228">
        <f t="shared" si="275"/>
        <v>29</v>
      </c>
      <c r="Q244" s="228">
        <f t="shared" si="275"/>
        <v>7</v>
      </c>
      <c r="R244" s="228">
        <f t="shared" si="275"/>
        <v>1</v>
      </c>
      <c r="S244" s="228">
        <f t="shared" si="275"/>
        <v>2</v>
      </c>
      <c r="T244" s="228">
        <f t="shared" si="275"/>
        <v>3</v>
      </c>
      <c r="U244" s="228">
        <f t="shared" si="275"/>
        <v>2</v>
      </c>
      <c r="V244" s="228">
        <f t="shared" si="275"/>
        <v>1</v>
      </c>
      <c r="W244" s="228">
        <f t="shared" si="275"/>
        <v>24</v>
      </c>
      <c r="X244" s="228">
        <f t="shared" si="275"/>
        <v>10</v>
      </c>
      <c r="Y244" s="228">
        <f t="shared" si="275"/>
        <v>7</v>
      </c>
      <c r="Z244" s="228">
        <f t="shared" si="275"/>
        <v>0</v>
      </c>
      <c r="AA244" s="228">
        <f t="shared" si="275"/>
        <v>42</v>
      </c>
      <c r="AB244" s="228">
        <f t="shared" si="275"/>
        <v>0</v>
      </c>
      <c r="AC244" s="228">
        <f t="shared" si="275"/>
        <v>3</v>
      </c>
      <c r="AD244" s="228">
        <f t="shared" si="275"/>
        <v>5</v>
      </c>
      <c r="AE244" s="228">
        <f t="shared" si="275"/>
        <v>6</v>
      </c>
      <c r="AF244" s="228">
        <f t="shared" si="275"/>
        <v>19</v>
      </c>
      <c r="AG244" s="228">
        <f t="shared" si="275"/>
        <v>1</v>
      </c>
      <c r="AH244" s="228">
        <f t="shared" si="275"/>
        <v>1</v>
      </c>
      <c r="AI244" s="228">
        <f t="shared" si="275"/>
        <v>8</v>
      </c>
      <c r="AJ244" s="228">
        <f t="shared" si="275"/>
        <v>0</v>
      </c>
      <c r="AK244" s="228">
        <f t="shared" si="275"/>
        <v>5</v>
      </c>
      <c r="AL244" s="228">
        <f t="shared" si="275"/>
        <v>1</v>
      </c>
      <c r="AM244" s="228">
        <f t="shared" si="275"/>
        <v>18</v>
      </c>
      <c r="AN244" s="228">
        <f t="shared" si="275"/>
        <v>1</v>
      </c>
      <c r="AO244" s="228">
        <f t="shared" si="275"/>
        <v>8</v>
      </c>
      <c r="AP244" s="228">
        <f t="shared" si="275"/>
        <v>0</v>
      </c>
      <c r="AQ244" s="228">
        <f t="shared" si="275"/>
        <v>4</v>
      </c>
      <c r="AR244" s="228">
        <f t="shared" si="275"/>
        <v>2</v>
      </c>
      <c r="AS244" s="228">
        <f t="shared" si="275"/>
        <v>23</v>
      </c>
      <c r="AT244" s="228">
        <f t="shared" si="275"/>
        <v>5</v>
      </c>
      <c r="AU244" s="228">
        <f t="shared" si="275"/>
        <v>5</v>
      </c>
      <c r="AV244" s="228">
        <f t="shared" si="275"/>
        <v>2</v>
      </c>
      <c r="AW244" s="228">
        <f t="shared" si="275"/>
        <v>13</v>
      </c>
      <c r="AX244" s="228">
        <f t="shared" si="275"/>
        <v>5</v>
      </c>
      <c r="AY244" s="228">
        <f t="shared" si="275"/>
        <v>5</v>
      </c>
      <c r="AZ244" s="228">
        <f t="shared" si="275"/>
        <v>2</v>
      </c>
      <c r="BA244" s="228">
        <f t="shared" si="275"/>
        <v>18</v>
      </c>
      <c r="BB244" s="228">
        <f t="shared" si="275"/>
        <v>12</v>
      </c>
      <c r="BC244" s="228">
        <f t="shared" si="275"/>
        <v>0</v>
      </c>
      <c r="BD244" s="228">
        <f t="shared" si="275"/>
        <v>4</v>
      </c>
      <c r="BE244" s="228">
        <f t="shared" si="275"/>
        <v>10</v>
      </c>
      <c r="BF244" s="228">
        <f t="shared" si="275"/>
        <v>15</v>
      </c>
      <c r="BG244" s="228">
        <f t="shared" si="275"/>
        <v>10</v>
      </c>
      <c r="BH244" s="228">
        <f t="shared" si="275"/>
        <v>12</v>
      </c>
      <c r="BI244" s="228">
        <f t="shared" si="275"/>
        <v>15</v>
      </c>
      <c r="BJ244" s="228">
        <f t="shared" si="275"/>
        <v>10</v>
      </c>
      <c r="BK244" s="228">
        <f t="shared" si="275"/>
        <v>2</v>
      </c>
      <c r="BL244" s="228">
        <f t="shared" si="275"/>
        <v>12</v>
      </c>
      <c r="BM244" s="228">
        <f t="shared" si="275"/>
        <v>3</v>
      </c>
      <c r="BN244" s="228">
        <f t="shared" si="275"/>
        <v>0</v>
      </c>
      <c r="BO244" s="228">
        <f t="shared" si="275"/>
        <v>0</v>
      </c>
      <c r="BP244" s="228">
        <f t="shared" ref="BP244:DP244" si="276">BP120</f>
        <v>0</v>
      </c>
      <c r="BQ244" s="228">
        <f t="shared" si="276"/>
        <v>0</v>
      </c>
      <c r="BR244" s="228">
        <f t="shared" si="276"/>
        <v>88</v>
      </c>
      <c r="BS244" s="228">
        <f t="shared" si="276"/>
        <v>40</v>
      </c>
      <c r="BT244" s="228">
        <f t="shared" si="276"/>
        <v>3</v>
      </c>
      <c r="BU244" s="228">
        <f t="shared" si="276"/>
        <v>10</v>
      </c>
      <c r="BV244" s="228">
        <f t="shared" si="276"/>
        <v>100</v>
      </c>
      <c r="BW244" s="228">
        <f t="shared" si="276"/>
        <v>52</v>
      </c>
      <c r="BX244" s="228">
        <f t="shared" si="276"/>
        <v>26</v>
      </c>
      <c r="BY244" s="228">
        <f t="shared" si="276"/>
        <v>302</v>
      </c>
      <c r="BZ244" s="228">
        <f t="shared" si="276"/>
        <v>171</v>
      </c>
      <c r="CA244" s="228">
        <f t="shared" si="276"/>
        <v>4</v>
      </c>
      <c r="CB244" s="228">
        <f t="shared" si="276"/>
        <v>2</v>
      </c>
      <c r="CC244" s="228">
        <f t="shared" si="276"/>
        <v>22</v>
      </c>
      <c r="CD244" s="228">
        <f t="shared" si="276"/>
        <v>2</v>
      </c>
      <c r="CE244" s="228">
        <f t="shared" si="276"/>
        <v>15</v>
      </c>
      <c r="CF244" s="228">
        <f t="shared" si="276"/>
        <v>1</v>
      </c>
      <c r="CG244" s="228">
        <f t="shared" si="276"/>
        <v>8</v>
      </c>
      <c r="CH244" s="228">
        <f t="shared" si="276"/>
        <v>31</v>
      </c>
      <c r="CI244" s="228">
        <f t="shared" si="276"/>
        <v>112</v>
      </c>
      <c r="CJ244" s="228">
        <f t="shared" si="276"/>
        <v>123</v>
      </c>
      <c r="CK244" s="228">
        <f t="shared" si="276"/>
        <v>43</v>
      </c>
      <c r="CL244" s="228">
        <f t="shared" si="276"/>
        <v>58</v>
      </c>
      <c r="CM244" s="228">
        <f t="shared" si="276"/>
        <v>162</v>
      </c>
      <c r="CN244" s="228">
        <f t="shared" si="276"/>
        <v>12</v>
      </c>
      <c r="CO244" s="228">
        <f t="shared" si="276"/>
        <v>110</v>
      </c>
      <c r="CP244" s="228">
        <f t="shared" si="276"/>
        <v>39</v>
      </c>
      <c r="CQ244" s="228">
        <f t="shared" si="276"/>
        <v>32</v>
      </c>
      <c r="CR244" s="228">
        <f t="shared" si="276"/>
        <v>36</v>
      </c>
      <c r="CS244" s="228">
        <f t="shared" si="276"/>
        <v>65</v>
      </c>
      <c r="CT244" s="228">
        <f t="shared" si="276"/>
        <v>12</v>
      </c>
      <c r="CU244" s="228">
        <f t="shared" si="276"/>
        <v>1</v>
      </c>
      <c r="CV244" s="228">
        <f t="shared" si="276"/>
        <v>259</v>
      </c>
      <c r="CW244" s="228">
        <f t="shared" si="276"/>
        <v>8</v>
      </c>
      <c r="CX244" s="228">
        <f t="shared" si="276"/>
        <v>33</v>
      </c>
      <c r="CY244" s="228">
        <f t="shared" si="276"/>
        <v>39</v>
      </c>
      <c r="CZ244" s="228">
        <f t="shared" si="276"/>
        <v>0</v>
      </c>
      <c r="DA244" s="228">
        <f t="shared" si="276"/>
        <v>64</v>
      </c>
      <c r="DB244" s="228">
        <f t="shared" si="276"/>
        <v>24</v>
      </c>
      <c r="DC244" s="228">
        <f t="shared" si="276"/>
        <v>0</v>
      </c>
      <c r="DD244" s="228">
        <f t="shared" si="276"/>
        <v>0</v>
      </c>
      <c r="DE244" s="228">
        <f t="shared" si="276"/>
        <v>0</v>
      </c>
      <c r="DF244" s="228">
        <f t="shared" si="276"/>
        <v>0</v>
      </c>
      <c r="DG244" s="228">
        <f t="shared" si="276"/>
        <v>0</v>
      </c>
      <c r="DH244" s="228">
        <f t="shared" si="276"/>
        <v>0</v>
      </c>
      <c r="DI244" s="228">
        <f t="shared" si="276"/>
        <v>0</v>
      </c>
      <c r="DJ244" s="228">
        <f t="shared" si="276"/>
        <v>0</v>
      </c>
      <c r="DK244" s="228">
        <f t="shared" si="276"/>
        <v>4</v>
      </c>
      <c r="DL244" s="228">
        <f t="shared" si="276"/>
        <v>0</v>
      </c>
      <c r="DM244" s="228">
        <f t="shared" si="276"/>
        <v>0</v>
      </c>
      <c r="DN244" s="228">
        <f t="shared" si="276"/>
        <v>0</v>
      </c>
      <c r="DO244" s="228">
        <f t="shared" si="276"/>
        <v>0</v>
      </c>
      <c r="DP244" s="232">
        <f t="shared" si="276"/>
        <v>2686</v>
      </c>
      <c r="DQ244" s="228">
        <f t="shared" si="161"/>
        <v>14</v>
      </c>
      <c r="DR244" s="228">
        <f t="shared" si="162"/>
        <v>61</v>
      </c>
      <c r="DS244" s="230">
        <f>SUM(X244:Y244)+(1-TRP!$AK$253)*AC244</f>
        <v>19.100000000000001</v>
      </c>
      <c r="DT244" s="228">
        <f t="shared" si="163"/>
        <v>23</v>
      </c>
      <c r="DU244" s="228">
        <f t="shared" si="164"/>
        <v>5</v>
      </c>
      <c r="DV244" s="228">
        <f t="shared" si="165"/>
        <v>7</v>
      </c>
      <c r="DW244" s="228">
        <f t="shared" si="166"/>
        <v>18</v>
      </c>
      <c r="DX244" s="228">
        <f t="shared" si="167"/>
        <v>12</v>
      </c>
      <c r="DY244" s="228">
        <f t="shared" si="168"/>
        <v>15</v>
      </c>
      <c r="DZ244" s="228">
        <f t="shared" si="169"/>
        <v>10</v>
      </c>
      <c r="EA244" s="228">
        <f t="shared" si="170"/>
        <v>12</v>
      </c>
      <c r="EB244" s="230">
        <f>TRP!$AK$253*$AC244+SUM(M244:W244,Z244:AB244,AD244:AR244,AU244:AX244,BC244:BE244,BI244:BN244,BQ244:BR244,BV244)</f>
        <v>564.9</v>
      </c>
      <c r="EC244" s="228">
        <f t="shared" si="171"/>
        <v>78</v>
      </c>
      <c r="ED244" s="230">
        <f>CB244+$CI244*TRP!$AV$248</f>
        <v>5.4724760281707496</v>
      </c>
      <c r="EE244" s="228">
        <f t="shared" si="172"/>
        <v>22</v>
      </c>
      <c r="EF244" s="230">
        <f>CD244+$CI244*TRP!$AV$249</f>
        <v>79.637927848387164</v>
      </c>
      <c r="EG244" s="230">
        <f>CE244+$CI244*TRP!$AV$250</f>
        <v>37.645668644642015</v>
      </c>
      <c r="EH244" s="230">
        <f>CF244+$CI244*TRP!$AV$251</f>
        <v>9.2439274788000745</v>
      </c>
      <c r="EI244" s="228">
        <f t="shared" si="173"/>
        <v>1640</v>
      </c>
      <c r="EJ244" s="228">
        <f t="shared" si="174"/>
        <v>0</v>
      </c>
      <c r="EK244" s="228">
        <f t="shared" si="175"/>
        <v>0</v>
      </c>
      <c r="EL244" s="230">
        <f>BS244+$BP244*TRP!$AN$246</f>
        <v>40</v>
      </c>
      <c r="EM244" s="228">
        <f t="shared" si="176"/>
        <v>3</v>
      </c>
      <c r="EN244" s="230">
        <f>BU244+$BP244*TRP!$AN$247</f>
        <v>10</v>
      </c>
    </row>
    <row r="245" spans="1:144" s="228" customFormat="1" ht="10.5" x14ac:dyDescent="0.25">
      <c r="A245" s="228" t="str">
        <f>TRP!C245</f>
        <v>TOTAL</v>
      </c>
      <c r="B245" s="228" t="str">
        <f>TRP!B245</f>
        <v>Total des produits</v>
      </c>
      <c r="C245" s="233">
        <f>TRP!A245</f>
        <v>27</v>
      </c>
      <c r="D245" s="228">
        <f t="shared" ref="D245:BO245" si="277">D123</f>
        <v>40793</v>
      </c>
      <c r="E245" s="228">
        <f t="shared" si="277"/>
        <v>2659</v>
      </c>
      <c r="F245" s="228">
        <f t="shared" si="277"/>
        <v>721</v>
      </c>
      <c r="G245" s="228">
        <f t="shared" si="277"/>
        <v>23213</v>
      </c>
      <c r="H245" s="228">
        <f t="shared" si="277"/>
        <v>18484</v>
      </c>
      <c r="I245" s="228">
        <f t="shared" si="277"/>
        <v>11701</v>
      </c>
      <c r="J245" s="228">
        <f t="shared" si="277"/>
        <v>10791</v>
      </c>
      <c r="K245" s="228">
        <f t="shared" si="277"/>
        <v>28240</v>
      </c>
      <c r="L245" s="228">
        <f t="shared" si="277"/>
        <v>221</v>
      </c>
      <c r="M245" s="228">
        <f t="shared" si="277"/>
        <v>6674</v>
      </c>
      <c r="N245" s="228">
        <f t="shared" si="277"/>
        <v>2064</v>
      </c>
      <c r="O245" s="228">
        <f t="shared" si="277"/>
        <v>19606</v>
      </c>
      <c r="P245" s="228">
        <f t="shared" si="277"/>
        <v>26506</v>
      </c>
      <c r="Q245" s="228">
        <f t="shared" si="277"/>
        <v>12582</v>
      </c>
      <c r="R245" s="228">
        <f t="shared" si="277"/>
        <v>9027</v>
      </c>
      <c r="S245" s="228">
        <f t="shared" si="277"/>
        <v>896</v>
      </c>
      <c r="T245" s="228">
        <f t="shared" si="277"/>
        <v>2891</v>
      </c>
      <c r="U245" s="228">
        <f t="shared" si="277"/>
        <v>2030</v>
      </c>
      <c r="V245" s="228">
        <f t="shared" si="277"/>
        <v>1574</v>
      </c>
      <c r="W245" s="228">
        <f t="shared" si="277"/>
        <v>1194</v>
      </c>
      <c r="X245" s="228">
        <f t="shared" si="277"/>
        <v>55564</v>
      </c>
      <c r="Y245" s="228">
        <f t="shared" si="277"/>
        <v>19795</v>
      </c>
      <c r="Z245" s="228">
        <f t="shared" si="277"/>
        <v>2579</v>
      </c>
      <c r="AA245" s="228">
        <f t="shared" si="277"/>
        <v>2543</v>
      </c>
      <c r="AB245" s="228">
        <f t="shared" si="277"/>
        <v>39413</v>
      </c>
      <c r="AC245" s="228">
        <f t="shared" si="277"/>
        <v>750</v>
      </c>
      <c r="AD245" s="228">
        <f t="shared" si="277"/>
        <v>6534</v>
      </c>
      <c r="AE245" s="228">
        <f t="shared" si="277"/>
        <v>6352</v>
      </c>
      <c r="AF245" s="228">
        <f t="shared" si="277"/>
        <v>9413</v>
      </c>
      <c r="AG245" s="228">
        <f t="shared" si="277"/>
        <v>13842</v>
      </c>
      <c r="AH245" s="228">
        <f t="shared" si="277"/>
        <v>3513</v>
      </c>
      <c r="AI245" s="228">
        <f t="shared" si="277"/>
        <v>1377</v>
      </c>
      <c r="AJ245" s="228">
        <f t="shared" si="277"/>
        <v>8743</v>
      </c>
      <c r="AK245" s="228">
        <f t="shared" si="277"/>
        <v>2281</v>
      </c>
      <c r="AL245" s="228">
        <f t="shared" si="277"/>
        <v>1773</v>
      </c>
      <c r="AM245" s="228">
        <f t="shared" si="277"/>
        <v>4181</v>
      </c>
      <c r="AN245" s="228">
        <f t="shared" si="277"/>
        <v>8137</v>
      </c>
      <c r="AO245" s="228">
        <f t="shared" si="277"/>
        <v>3216</v>
      </c>
      <c r="AP245" s="228">
        <f t="shared" si="277"/>
        <v>8173</v>
      </c>
      <c r="AQ245" s="228">
        <f t="shared" si="277"/>
        <v>31</v>
      </c>
      <c r="AR245" s="228">
        <f t="shared" si="277"/>
        <v>3476</v>
      </c>
      <c r="AS245" s="228">
        <f t="shared" si="277"/>
        <v>4189</v>
      </c>
      <c r="AT245" s="228">
        <f t="shared" si="277"/>
        <v>13183</v>
      </c>
      <c r="AU245" s="228">
        <f t="shared" si="277"/>
        <v>3819</v>
      </c>
      <c r="AV245" s="228">
        <f t="shared" si="277"/>
        <v>3510</v>
      </c>
      <c r="AW245" s="228">
        <f t="shared" si="277"/>
        <v>904</v>
      </c>
      <c r="AX245" s="228">
        <f t="shared" si="277"/>
        <v>8418</v>
      </c>
      <c r="AY245" s="228">
        <f t="shared" si="277"/>
        <v>7213</v>
      </c>
      <c r="AZ245" s="228">
        <f t="shared" si="277"/>
        <v>7488</v>
      </c>
      <c r="BA245" s="228">
        <f t="shared" si="277"/>
        <v>5150</v>
      </c>
      <c r="BB245" s="228">
        <f t="shared" si="277"/>
        <v>19416</v>
      </c>
      <c r="BC245" s="228">
        <f t="shared" si="277"/>
        <v>8590</v>
      </c>
      <c r="BD245" s="228">
        <f t="shared" si="277"/>
        <v>361</v>
      </c>
      <c r="BE245" s="228">
        <f t="shared" si="277"/>
        <v>6590</v>
      </c>
      <c r="BF245" s="228">
        <f t="shared" si="277"/>
        <v>17661</v>
      </c>
      <c r="BG245" s="228">
        <f t="shared" si="277"/>
        <v>19545</v>
      </c>
      <c r="BH245" s="228">
        <f t="shared" si="277"/>
        <v>9493</v>
      </c>
      <c r="BI245" s="228">
        <f t="shared" si="277"/>
        <v>3821</v>
      </c>
      <c r="BJ245" s="228">
        <f t="shared" si="277"/>
        <v>17128</v>
      </c>
      <c r="BK245" s="228">
        <f t="shared" si="277"/>
        <v>8545</v>
      </c>
      <c r="BL245" s="228">
        <f t="shared" si="277"/>
        <v>4010</v>
      </c>
      <c r="BM245" s="228">
        <f t="shared" si="277"/>
        <v>16623</v>
      </c>
      <c r="BN245" s="228">
        <f t="shared" si="277"/>
        <v>7361</v>
      </c>
      <c r="BO245" s="228">
        <f t="shared" si="277"/>
        <v>35</v>
      </c>
      <c r="BP245" s="228">
        <f t="shared" ref="BP245:DP245" si="278">BP123</f>
        <v>201</v>
      </c>
      <c r="BQ245" s="228">
        <f t="shared" si="278"/>
        <v>2</v>
      </c>
      <c r="BR245" s="228">
        <f t="shared" si="278"/>
        <v>2607</v>
      </c>
      <c r="BS245" s="228">
        <f t="shared" si="278"/>
        <v>48116</v>
      </c>
      <c r="BT245" s="228">
        <f t="shared" si="278"/>
        <v>27203</v>
      </c>
      <c r="BU245" s="228">
        <f t="shared" si="278"/>
        <v>18307</v>
      </c>
      <c r="BV245" s="228">
        <f t="shared" si="278"/>
        <v>6868</v>
      </c>
      <c r="BW245" s="228">
        <f t="shared" si="278"/>
        <v>97436</v>
      </c>
      <c r="BX245" s="228">
        <f t="shared" si="278"/>
        <v>31670</v>
      </c>
      <c r="BY245" s="228">
        <f t="shared" si="278"/>
        <v>17783</v>
      </c>
      <c r="BZ245" s="228">
        <f t="shared" si="278"/>
        <v>96280</v>
      </c>
      <c r="CA245" s="228">
        <f t="shared" si="278"/>
        <v>45735</v>
      </c>
      <c r="CB245" s="228">
        <f t="shared" si="278"/>
        <v>3528</v>
      </c>
      <c r="CC245" s="228">
        <f t="shared" si="278"/>
        <v>5528</v>
      </c>
      <c r="CD245" s="228">
        <f t="shared" si="278"/>
        <v>24066</v>
      </c>
      <c r="CE245" s="228">
        <f t="shared" si="278"/>
        <v>7526</v>
      </c>
      <c r="CF245" s="228">
        <f t="shared" si="278"/>
        <v>11163</v>
      </c>
      <c r="CG245" s="228">
        <f t="shared" si="278"/>
        <v>14721</v>
      </c>
      <c r="CH245" s="228">
        <f t="shared" si="278"/>
        <v>5665</v>
      </c>
      <c r="CI245" s="228">
        <f t="shared" si="278"/>
        <v>7484</v>
      </c>
      <c r="CJ245" s="228">
        <f t="shared" si="278"/>
        <v>47850</v>
      </c>
      <c r="CK245" s="228">
        <f t="shared" si="278"/>
        <v>25688</v>
      </c>
      <c r="CL245" s="228">
        <f t="shared" si="278"/>
        <v>17170</v>
      </c>
      <c r="CM245" s="228">
        <f t="shared" si="278"/>
        <v>16427</v>
      </c>
      <c r="CN245" s="228">
        <f t="shared" si="278"/>
        <v>36454</v>
      </c>
      <c r="CO245" s="228">
        <f t="shared" si="278"/>
        <v>33296</v>
      </c>
      <c r="CP245" s="228">
        <f t="shared" si="278"/>
        <v>24786</v>
      </c>
      <c r="CQ245" s="228">
        <f t="shared" si="278"/>
        <v>20445</v>
      </c>
      <c r="CR245" s="228">
        <f t="shared" si="278"/>
        <v>28443</v>
      </c>
      <c r="CS245" s="228">
        <f t="shared" si="278"/>
        <v>10722</v>
      </c>
      <c r="CT245" s="228">
        <f t="shared" si="278"/>
        <v>26341</v>
      </c>
      <c r="CU245" s="228">
        <f t="shared" si="278"/>
        <v>12039</v>
      </c>
      <c r="CV245" s="228">
        <f t="shared" si="278"/>
        <v>2513</v>
      </c>
      <c r="CW245" s="228">
        <f t="shared" si="278"/>
        <v>47278</v>
      </c>
      <c r="CX245" s="228">
        <f t="shared" si="278"/>
        <v>6064</v>
      </c>
      <c r="CY245" s="228">
        <f t="shared" si="278"/>
        <v>16494</v>
      </c>
      <c r="CZ245" s="228">
        <f t="shared" si="278"/>
        <v>4145</v>
      </c>
      <c r="DA245" s="228">
        <f t="shared" si="278"/>
        <v>39358</v>
      </c>
      <c r="DB245" s="228">
        <f t="shared" si="278"/>
        <v>15198</v>
      </c>
      <c r="DC245" s="228">
        <f t="shared" si="278"/>
        <v>10947</v>
      </c>
      <c r="DD245" s="228">
        <f t="shared" si="278"/>
        <v>9256</v>
      </c>
      <c r="DE245" s="228">
        <f t="shared" si="278"/>
        <v>4299</v>
      </c>
      <c r="DF245" s="228">
        <f t="shared" si="278"/>
        <v>0</v>
      </c>
      <c r="DG245" s="228">
        <f t="shared" si="278"/>
        <v>5414</v>
      </c>
      <c r="DH245" s="228">
        <f t="shared" si="278"/>
        <v>12934</v>
      </c>
      <c r="DI245" s="228">
        <f t="shared" si="278"/>
        <v>16856</v>
      </c>
      <c r="DJ245" s="228">
        <f t="shared" si="278"/>
        <v>14626</v>
      </c>
      <c r="DK245" s="228">
        <f t="shared" si="278"/>
        <v>942</v>
      </c>
      <c r="DL245" s="228">
        <f t="shared" si="278"/>
        <v>7060</v>
      </c>
      <c r="DM245" s="228">
        <f t="shared" si="278"/>
        <v>6526</v>
      </c>
      <c r="DN245" s="228">
        <f t="shared" si="278"/>
        <v>48880</v>
      </c>
      <c r="DO245" s="228">
        <f t="shared" si="278"/>
        <v>4435</v>
      </c>
      <c r="DP245" s="232">
        <f t="shared" si="278"/>
        <v>1661381</v>
      </c>
      <c r="DQ245" s="228">
        <f t="shared" si="161"/>
        <v>44173</v>
      </c>
      <c r="DR245" s="228">
        <f t="shared" si="162"/>
        <v>92650</v>
      </c>
      <c r="DS245" s="230">
        <f>SUM(X245:Y245)+(1-TRP!$AK$253)*AC245</f>
        <v>75884</v>
      </c>
      <c r="DT245" s="228">
        <f t="shared" si="163"/>
        <v>4189</v>
      </c>
      <c r="DU245" s="228">
        <f t="shared" si="164"/>
        <v>13183</v>
      </c>
      <c r="DV245" s="228">
        <f t="shared" si="165"/>
        <v>14701</v>
      </c>
      <c r="DW245" s="228">
        <f t="shared" si="166"/>
        <v>5150</v>
      </c>
      <c r="DX245" s="228">
        <f t="shared" si="167"/>
        <v>19416</v>
      </c>
      <c r="DY245" s="228">
        <f t="shared" si="168"/>
        <v>17661</v>
      </c>
      <c r="DZ245" s="228">
        <f t="shared" si="169"/>
        <v>19545</v>
      </c>
      <c r="EA245" s="228">
        <f t="shared" si="170"/>
        <v>9493</v>
      </c>
      <c r="EB245" s="230">
        <f>TRP!$AK$253*$AC245+SUM(M245:W245,Z245:AB245,AD245:AR245,AU245:AX245,BC245:BE245,BI245:BN245,BQ245:BR245,BV245)</f>
        <v>310003</v>
      </c>
      <c r="EC245" s="228">
        <f t="shared" si="171"/>
        <v>129106</v>
      </c>
      <c r="ED245" s="230">
        <f>CB245+$CI245*TRP!$AV$248</f>
        <v>3760.0358088824096</v>
      </c>
      <c r="EE245" s="228">
        <f t="shared" si="172"/>
        <v>5528</v>
      </c>
      <c r="EF245" s="230">
        <f>CD245+$CI245*TRP!$AV$249</f>
        <v>29253.877250154728</v>
      </c>
      <c r="EG245" s="230">
        <f>CE245+$CI245*TRP!$AV$250</f>
        <v>9039.2159297901853</v>
      </c>
      <c r="EH245" s="230">
        <f>CF245+$CI245*TRP!$AV$251</f>
        <v>11713.871011172676</v>
      </c>
      <c r="EI245" s="228">
        <f t="shared" si="173"/>
        <v>661524</v>
      </c>
      <c r="EJ245" s="228">
        <f t="shared" si="174"/>
        <v>91546</v>
      </c>
      <c r="EK245" s="228">
        <f t="shared" si="175"/>
        <v>35</v>
      </c>
      <c r="EL245" s="230">
        <f>BS245+$BP245*TRP!$AN$246</f>
        <v>48264.545608773697</v>
      </c>
      <c r="EM245" s="228">
        <f t="shared" si="176"/>
        <v>27203</v>
      </c>
      <c r="EN245" s="230">
        <f>BU245+$BP245*TRP!$AN$247</f>
        <v>18359.454391226303</v>
      </c>
    </row>
    <row r="246" spans="1:144" s="228" customFormat="1" ht="10.5" x14ac:dyDescent="0.25">
      <c r="B246" s="228" t="str">
        <f>TRP!B246</f>
        <v>PETROLE TOTAL</v>
      </c>
      <c r="C246" s="233">
        <f>TRP!A246</f>
        <v>22</v>
      </c>
      <c r="D246" s="228">
        <f>D196+D193*TRP!$AN246</f>
        <v>3447</v>
      </c>
      <c r="E246" s="228">
        <f>E196+E193*TRP!$AN246</f>
        <v>173</v>
      </c>
      <c r="F246" s="228">
        <f>F196+F193*TRP!$AN246</f>
        <v>311</v>
      </c>
      <c r="G246" s="228">
        <f>G196+G193*TRP!$AN246</f>
        <v>156</v>
      </c>
      <c r="H246" s="228">
        <f>H196+H193*TRP!$AN246</f>
        <v>251</v>
      </c>
      <c r="I246" s="228">
        <f>I196+I193*TRP!$AN246</f>
        <v>107</v>
      </c>
      <c r="J246" s="228">
        <f>J196+J193*TRP!$AN246</f>
        <v>185</v>
      </c>
      <c r="K246" s="228">
        <f>K196+K193*TRP!$AN246</f>
        <v>284</v>
      </c>
      <c r="L246" s="228">
        <f>L196+L193*TRP!$AN246</f>
        <v>1</v>
      </c>
      <c r="M246" s="228">
        <f>M196+M193*TRP!$AN246</f>
        <v>84</v>
      </c>
      <c r="N246" s="228">
        <f>N196+N193*TRP!$AN246</f>
        <v>24</v>
      </c>
      <c r="O246" s="228">
        <f>O196+O193*TRP!$AN246</f>
        <v>252</v>
      </c>
      <c r="P246" s="228">
        <f>P196+P193*TRP!$AN246</f>
        <v>122</v>
      </c>
      <c r="Q246" s="228">
        <f>Q196+Q193*TRP!$AN246</f>
        <v>140</v>
      </c>
      <c r="R246" s="228">
        <f>R196+R193*TRP!$AN246</f>
        <v>117</v>
      </c>
      <c r="S246" s="228">
        <f>S196+S193*TRP!$AN246</f>
        <v>13</v>
      </c>
      <c r="T246" s="228">
        <f>T196+T193*TRP!$AN246</f>
        <v>46</v>
      </c>
      <c r="U246" s="228">
        <f>U196+U193*TRP!$AN246</f>
        <v>24</v>
      </c>
      <c r="V246" s="228">
        <f>V196+V193*TRP!$AN246</f>
        <v>9</v>
      </c>
      <c r="W246" s="228">
        <f>W196+W193*TRP!$AN246</f>
        <v>22</v>
      </c>
      <c r="X246" s="228">
        <f>X196+X193*TRP!$AN246</f>
        <v>384</v>
      </c>
      <c r="Y246" s="228">
        <f>Y196+Y193*TRP!$AN246</f>
        <v>84</v>
      </c>
      <c r="Z246" s="228">
        <f>Z196+Z193*TRP!$AN246</f>
        <v>16</v>
      </c>
      <c r="AA246" s="228">
        <f>AA196+AA193*TRP!$AN246</f>
        <v>18</v>
      </c>
      <c r="AB246" s="228">
        <f>AB196+AB193*TRP!$AN246</f>
        <v>77</v>
      </c>
      <c r="AC246" s="228">
        <f>AC196+AC193*TRP!$AN246</f>
        <v>10</v>
      </c>
      <c r="AD246" s="228">
        <f>AD196+AD193*TRP!$AN246</f>
        <v>36</v>
      </c>
      <c r="AE246" s="228">
        <f>AE196+AE193*TRP!$AN246</f>
        <v>55</v>
      </c>
      <c r="AF246" s="228">
        <f>AF196+AF193*TRP!$AN246</f>
        <v>77</v>
      </c>
      <c r="AG246" s="228">
        <f>AG196+AG193*TRP!$AN246</f>
        <v>113</v>
      </c>
      <c r="AH246" s="228">
        <f>AH196+AH193*TRP!$AN246</f>
        <v>42</v>
      </c>
      <c r="AI246" s="228">
        <f>AI196+AI193*TRP!$AN246</f>
        <v>17</v>
      </c>
      <c r="AJ246" s="228">
        <f>AJ196+AJ193*TRP!$AN246</f>
        <v>78</v>
      </c>
      <c r="AK246" s="228">
        <f>AK196+AK193*TRP!$AN246</f>
        <v>15</v>
      </c>
      <c r="AL246" s="228">
        <f>AL196+AL193*TRP!$AN246</f>
        <v>5</v>
      </c>
      <c r="AM246" s="228">
        <f>AM196+AM193*TRP!$AN246</f>
        <v>28</v>
      </c>
      <c r="AN246" s="228">
        <f>AN196+AN193*TRP!$AN246</f>
        <v>36</v>
      </c>
      <c r="AO246" s="228">
        <f>AO196+AO193*TRP!$AN246</f>
        <v>30</v>
      </c>
      <c r="AP246" s="228">
        <f>AP196+AP193*TRP!$AN246</f>
        <v>53</v>
      </c>
      <c r="AQ246" s="228">
        <f>AQ196+AQ193*TRP!$AN246</f>
        <v>14</v>
      </c>
      <c r="AR246" s="228">
        <f>AR196+AR193*TRP!$AN246</f>
        <v>281</v>
      </c>
      <c r="AS246" s="228">
        <f>AS196+AS193*TRP!$AN246</f>
        <v>91</v>
      </c>
      <c r="AT246" s="228">
        <f>AT196+AT193*TRP!$AN246</f>
        <v>533</v>
      </c>
      <c r="AU246" s="228">
        <f>AU196+AU193*TRP!$AN246</f>
        <v>55</v>
      </c>
      <c r="AV246" s="228">
        <f>AV196+AV193*TRP!$AN246</f>
        <v>33</v>
      </c>
      <c r="AW246" s="228">
        <f>AW196+AW193*TRP!$AN246</f>
        <v>23</v>
      </c>
      <c r="AX246" s="228">
        <f>AX196+AX193*TRP!$AN246</f>
        <v>118</v>
      </c>
      <c r="AY246" s="228">
        <f>AY196+AY193*TRP!$AN246</f>
        <v>126</v>
      </c>
      <c r="AZ246" s="228">
        <f>AZ196+AZ193*TRP!$AN246</f>
        <v>76</v>
      </c>
      <c r="BA246" s="228">
        <f>BA196+BA193*TRP!$AN246</f>
        <v>129.73678910730703</v>
      </c>
      <c r="BB246" s="228">
        <f>BB196+BB193*TRP!$AN246</f>
        <v>6931</v>
      </c>
      <c r="BC246" s="228">
        <f>BC196+BC193*TRP!$AN246</f>
        <v>131</v>
      </c>
      <c r="BD246" s="228">
        <f>BD196+BD193*TRP!$AN246</f>
        <v>10</v>
      </c>
      <c r="BE246" s="228">
        <f>BE196+BE193*TRP!$AN246</f>
        <v>88</v>
      </c>
      <c r="BF246" s="228">
        <f>BF196+BF193*TRP!$AN246</f>
        <v>168</v>
      </c>
      <c r="BG246" s="228">
        <f>BG196+BG193*TRP!$AN246</f>
        <v>0</v>
      </c>
      <c r="BH246" s="228">
        <f>BH196+BH193*TRP!$AN246</f>
        <v>0</v>
      </c>
      <c r="BI246" s="228">
        <f>BI196+BI193*TRP!$AN246</f>
        <v>43</v>
      </c>
      <c r="BJ246" s="228">
        <f>BJ196+BJ193*TRP!$AN246</f>
        <v>94</v>
      </c>
      <c r="BK246" s="228">
        <f>BK196+BK193*TRP!$AN246</f>
        <v>103</v>
      </c>
      <c r="BL246" s="228">
        <f>BL196+BL193*TRP!$AN246</f>
        <v>137</v>
      </c>
      <c r="BM246" s="228">
        <f>BM196+BM193*TRP!$AN246</f>
        <v>65</v>
      </c>
      <c r="BN246" s="228">
        <f>BN196+BN193*TRP!$AN246</f>
        <v>25</v>
      </c>
      <c r="BO246" s="228">
        <f>BO196+BO193*TRP!$AN246</f>
        <v>0</v>
      </c>
      <c r="BP246" s="228">
        <f>BP196+BP193*TRP!$AN246</f>
        <v>11.651295915240139</v>
      </c>
      <c r="BQ246" s="228">
        <f>BQ196+BQ193*TRP!$AN246</f>
        <v>0</v>
      </c>
      <c r="BR246" s="228">
        <f>BR196+BR193*TRP!$AN246</f>
        <v>46</v>
      </c>
      <c r="BS246" s="228">
        <f>BS196+BS193*TRP!$AN246</f>
        <v>31390.489820936036</v>
      </c>
      <c r="BT246" s="228">
        <f>BT196+BT193*TRP!$AN246</f>
        <v>490</v>
      </c>
      <c r="BU246" s="228">
        <f>BU196+BU193*TRP!$AN246</f>
        <v>7290.3579637493986</v>
      </c>
      <c r="BV246" s="228">
        <f>BV196+BV193*TRP!$AN246</f>
        <v>135</v>
      </c>
      <c r="BW246" s="228">
        <f>BW196+BW193*TRP!$AN246</f>
        <v>1537</v>
      </c>
      <c r="BX246" s="228">
        <f>BX196+BX193*TRP!$AN246</f>
        <v>2241</v>
      </c>
      <c r="BY246" s="228">
        <f>BY196+BY193*TRP!$AN246</f>
        <v>720</v>
      </c>
      <c r="BZ246" s="228">
        <f>BZ196+BZ193*TRP!$AN246</f>
        <v>7007</v>
      </c>
      <c r="CA246" s="228">
        <f>CA196+CA193*TRP!$AN246</f>
        <v>2369</v>
      </c>
      <c r="CB246" s="228">
        <f>CB196+CB193*TRP!$AN246</f>
        <v>121</v>
      </c>
      <c r="CC246" s="228">
        <f>CC196+CC193*TRP!$AN246</f>
        <v>1407</v>
      </c>
      <c r="CD246" s="228">
        <f>CD196+CD193*TRP!$AN246</f>
        <v>6850</v>
      </c>
      <c r="CE246" s="228">
        <f>CE196+CE193*TRP!$AN246</f>
        <v>951</v>
      </c>
      <c r="CF246" s="228">
        <f>CF196+CF193*TRP!$AN246</f>
        <v>2459</v>
      </c>
      <c r="CG246" s="228">
        <f>CG196+CG193*TRP!$AN246</f>
        <v>763</v>
      </c>
      <c r="CH246" s="228">
        <f>CH196+CH193*TRP!$AN246</f>
        <v>281</v>
      </c>
      <c r="CI246" s="228">
        <f>CI196+CI193*TRP!$AN246</f>
        <v>0</v>
      </c>
      <c r="CJ246" s="228">
        <f>CJ196+CJ193*TRP!$AN246</f>
        <v>305</v>
      </c>
      <c r="CK246" s="228">
        <f>CK196+CK193*TRP!$AN246</f>
        <v>92</v>
      </c>
      <c r="CL246" s="228">
        <f>CL196+CL193*TRP!$AN246</f>
        <v>57</v>
      </c>
      <c r="CM246" s="228">
        <f>CM196+CM193*TRP!$AN246</f>
        <v>164</v>
      </c>
      <c r="CN246" s="228">
        <f>CN196+CN193*TRP!$AN246</f>
        <v>185</v>
      </c>
      <c r="CO246" s="228">
        <f>CO196+CO193*TRP!$AN246</f>
        <v>751</v>
      </c>
      <c r="CP246" s="228">
        <f>CP196+CP193*TRP!$AN246</f>
        <v>707</v>
      </c>
      <c r="CQ246" s="228">
        <f>CQ196+CQ193*TRP!$AN246</f>
        <v>361</v>
      </c>
      <c r="CR246" s="228">
        <f>CR196+CR193*TRP!$AN246</f>
        <v>321</v>
      </c>
      <c r="CS246" s="228">
        <f>CS196+CS193*TRP!$AN246</f>
        <v>223</v>
      </c>
      <c r="CT246" s="228">
        <f>CT196+CT193*TRP!$AN246</f>
        <v>510</v>
      </c>
      <c r="CU246" s="228">
        <f>CU196+CU193*TRP!$AN246</f>
        <v>240</v>
      </c>
      <c r="CV246" s="228">
        <f>CV196+CV193*TRP!$AN246</f>
        <v>41</v>
      </c>
      <c r="CW246" s="228">
        <f>CW196+CW193*TRP!$AN246</f>
        <v>993</v>
      </c>
      <c r="CX246" s="228">
        <f>CX196+CX193*TRP!$AN246</f>
        <v>118</v>
      </c>
      <c r="CY246" s="228">
        <f>CY196+CY193*TRP!$AN246</f>
        <v>275</v>
      </c>
      <c r="CZ246" s="228">
        <f>CZ196+CZ193*TRP!$AN246</f>
        <v>22</v>
      </c>
      <c r="DA246" s="228">
        <f>DA196+DA193*TRP!$AN246</f>
        <v>1006</v>
      </c>
      <c r="DB246" s="228">
        <f>DB196+DB193*TRP!$AN246</f>
        <v>331</v>
      </c>
      <c r="DC246" s="228">
        <f>DC196+DC193*TRP!$AN246</f>
        <v>328</v>
      </c>
      <c r="DD246" s="228">
        <f>DD196+DD193*TRP!$AN246</f>
        <v>395</v>
      </c>
      <c r="DE246" s="228">
        <f>DE196+DE193*TRP!$AN246</f>
        <v>76</v>
      </c>
      <c r="DF246" s="228">
        <f>DF196+DF193*TRP!$AN246</f>
        <v>0</v>
      </c>
      <c r="DG246" s="228">
        <f>DG196+DG193*TRP!$AN246</f>
        <v>237</v>
      </c>
      <c r="DH246" s="228">
        <f>DH196+DH193*TRP!$AN246</f>
        <v>208</v>
      </c>
      <c r="DI246" s="228">
        <f>DI196+DI193*TRP!$AN246</f>
        <v>172</v>
      </c>
      <c r="DJ246" s="228">
        <f>DJ196+DJ193*TRP!$AN246</f>
        <v>91</v>
      </c>
      <c r="DK246" s="228">
        <f>DK196+DK193*TRP!$AN246</f>
        <v>15</v>
      </c>
      <c r="DL246" s="228">
        <f>DL196+DL193*TRP!$AN246</f>
        <v>157</v>
      </c>
      <c r="DM246" s="228">
        <f>DM196+DM193*TRP!$AN246</f>
        <v>95</v>
      </c>
      <c r="DN246" s="228">
        <f>DN196+DN193*TRP!$AN246</f>
        <v>1328</v>
      </c>
      <c r="DO246" s="228">
        <f>DO196+DO193*TRP!$AN246</f>
        <v>123</v>
      </c>
      <c r="DP246" s="232">
        <f>SUM(D246:DO246)</f>
        <v>92213.235869707976</v>
      </c>
      <c r="DQ246" s="228">
        <f t="shared" si="161"/>
        <v>3931</v>
      </c>
      <c r="DR246" s="228">
        <f t="shared" si="162"/>
        <v>984</v>
      </c>
      <c r="DS246" s="230">
        <f>SUM(X246:Y246)+(1-TRP!$AK$253)*AC246</f>
        <v>475</v>
      </c>
      <c r="DT246" s="228">
        <f t="shared" si="163"/>
        <v>91</v>
      </c>
      <c r="DU246" s="228">
        <f t="shared" si="164"/>
        <v>533</v>
      </c>
      <c r="DV246" s="228">
        <f t="shared" si="165"/>
        <v>202</v>
      </c>
      <c r="DW246" s="228">
        <f t="shared" si="166"/>
        <v>129.73678910730703</v>
      </c>
      <c r="DX246" s="228">
        <f t="shared" si="167"/>
        <v>6931</v>
      </c>
      <c r="DY246" s="228">
        <f t="shared" si="168"/>
        <v>168</v>
      </c>
      <c r="DZ246" s="228">
        <f t="shared" si="169"/>
        <v>0</v>
      </c>
      <c r="EA246" s="228">
        <f t="shared" si="170"/>
        <v>0</v>
      </c>
      <c r="EB246" s="230">
        <f>TRP!$AK$253*$AC246+SUM(M246:W246,Z246:AB246,AD246:AR246,AU246:AX246,BC246:BE246,BI246:BN246,BQ246:BR246,BV246)</f>
        <v>2953</v>
      </c>
      <c r="EC246" s="228">
        <f t="shared" si="171"/>
        <v>3778</v>
      </c>
      <c r="ED246" s="230">
        <f>CB246+$CI246*TRP!$AV$248</f>
        <v>121</v>
      </c>
      <c r="EE246" s="228">
        <f t="shared" si="172"/>
        <v>1407</v>
      </c>
      <c r="EF246" s="230">
        <f>CD246+$CI246*TRP!$AV$249</f>
        <v>6850</v>
      </c>
      <c r="EG246" s="230">
        <f>CE246+$CI246*TRP!$AV$250</f>
        <v>951</v>
      </c>
      <c r="EH246" s="230">
        <f>CF246+$CI246*TRP!$AV$251</f>
        <v>2459</v>
      </c>
      <c r="EI246" s="228">
        <f t="shared" si="173"/>
        <v>19200</v>
      </c>
      <c r="EJ246" s="228">
        <f t="shared" si="174"/>
        <v>1867</v>
      </c>
      <c r="EK246" s="228">
        <f t="shared" si="175"/>
        <v>0</v>
      </c>
      <c r="EL246" s="230">
        <f>BS246+$BP246*TRP!$AN$246</f>
        <v>31399.100511705845</v>
      </c>
      <c r="EM246" s="228">
        <f t="shared" si="176"/>
        <v>490</v>
      </c>
      <c r="EN246" s="230">
        <f>BU246+$BP246*TRP!$AN$247</f>
        <v>7293.3985688948287</v>
      </c>
    </row>
    <row r="247" spans="1:144" s="228" customFormat="1" ht="10.5" x14ac:dyDescent="0.25">
      <c r="B247" s="228" t="str">
        <f>TRP!B247</f>
        <v>GAZ TOTAL</v>
      </c>
      <c r="C247" s="233">
        <f>TRP!A247</f>
        <v>24</v>
      </c>
      <c r="D247" s="228">
        <f>D198+D193*TRP!$AN247</f>
        <v>148</v>
      </c>
      <c r="E247" s="228">
        <f>E198+E193*TRP!$AN247</f>
        <v>5</v>
      </c>
      <c r="F247" s="228">
        <f>F198+F193*TRP!$AN247</f>
        <v>22</v>
      </c>
      <c r="G247" s="228">
        <f>G198+G193*TRP!$AN247</f>
        <v>89</v>
      </c>
      <c r="H247" s="228">
        <f>H198+H193*TRP!$AN247</f>
        <v>347</v>
      </c>
      <c r="I247" s="228">
        <f>I198+I193*TRP!$AN247</f>
        <v>66</v>
      </c>
      <c r="J247" s="228">
        <f>J198+J193*TRP!$AN247</f>
        <v>178</v>
      </c>
      <c r="K247" s="228">
        <f>K198+K193*TRP!$AN247</f>
        <v>366</v>
      </c>
      <c r="L247" s="228">
        <f>L198+L193*TRP!$AN247</f>
        <v>1</v>
      </c>
      <c r="M247" s="228">
        <f>M198+M193*TRP!$AN247</f>
        <v>3</v>
      </c>
      <c r="N247" s="228">
        <f>N198+N193*TRP!$AN247</f>
        <v>15</v>
      </c>
      <c r="O247" s="228">
        <f>O198+O193*TRP!$AN247</f>
        <v>37</v>
      </c>
      <c r="P247" s="228">
        <f>P198+P193*TRP!$AN247</f>
        <v>116</v>
      </c>
      <c r="Q247" s="228">
        <f>Q198+Q193*TRP!$AN247</f>
        <v>22</v>
      </c>
      <c r="R247" s="228">
        <f>R198+R193*TRP!$AN247</f>
        <v>14</v>
      </c>
      <c r="S247" s="228">
        <f>S198+S193*TRP!$AN247</f>
        <v>1</v>
      </c>
      <c r="T247" s="228">
        <f>T198+T193*TRP!$AN247</f>
        <v>7</v>
      </c>
      <c r="U247" s="228">
        <f>U198+U193*TRP!$AN247</f>
        <v>11</v>
      </c>
      <c r="V247" s="228">
        <f>V198+V193*TRP!$AN247</f>
        <v>2</v>
      </c>
      <c r="W247" s="228">
        <f>W198+W193*TRP!$AN247</f>
        <v>1</v>
      </c>
      <c r="X247" s="228">
        <f>X198+X193*TRP!$AN247</f>
        <v>139</v>
      </c>
      <c r="Y247" s="228">
        <f>Y198+Y193*TRP!$AN247</f>
        <v>55</v>
      </c>
      <c r="Z247" s="228">
        <f>Z198+Z193*TRP!$AN247</f>
        <v>16</v>
      </c>
      <c r="AA247" s="228">
        <f>AA198+AA193*TRP!$AN247</f>
        <v>7</v>
      </c>
      <c r="AB247" s="228">
        <f>AB198+AB193*TRP!$AN247</f>
        <v>50</v>
      </c>
      <c r="AC247" s="228">
        <f>AC198+AC193*TRP!$AN247</f>
        <v>6</v>
      </c>
      <c r="AD247" s="228">
        <f>AD198+AD193*TRP!$AN247</f>
        <v>13</v>
      </c>
      <c r="AE247" s="228">
        <f>AE198+AE193*TRP!$AN247</f>
        <v>18</v>
      </c>
      <c r="AF247" s="228">
        <f>AF198+AF193*TRP!$AN247</f>
        <v>25</v>
      </c>
      <c r="AG247" s="228">
        <f>AG198+AG193*TRP!$AN247</f>
        <v>26</v>
      </c>
      <c r="AH247" s="228">
        <f>AH198+AH193*TRP!$AN247</f>
        <v>9</v>
      </c>
      <c r="AI247" s="228">
        <f>AI198+AI193*TRP!$AN247</f>
        <v>7</v>
      </c>
      <c r="AJ247" s="228">
        <f>AJ198+AJ193*TRP!$AN247</f>
        <v>22</v>
      </c>
      <c r="AK247" s="228">
        <f>AK198+AK193*TRP!$AN247</f>
        <v>4</v>
      </c>
      <c r="AL247" s="228">
        <f>AL198+AL193*TRP!$AN247</f>
        <v>6</v>
      </c>
      <c r="AM247" s="228">
        <f>AM198+AM193*TRP!$AN247</f>
        <v>11</v>
      </c>
      <c r="AN247" s="228">
        <f>AN198+AN193*TRP!$AN247</f>
        <v>6</v>
      </c>
      <c r="AO247" s="228">
        <f>AO198+AO193*TRP!$AN247</f>
        <v>5</v>
      </c>
      <c r="AP247" s="228">
        <f>AP198+AP193*TRP!$AN247</f>
        <v>12</v>
      </c>
      <c r="AQ247" s="228">
        <f>AQ198+AQ193*TRP!$AN247</f>
        <v>0</v>
      </c>
      <c r="AR247" s="228">
        <f>AR198+AR193*TRP!$AN247</f>
        <v>70</v>
      </c>
      <c r="AS247" s="228">
        <f>AS198+AS193*TRP!$AN247</f>
        <v>198</v>
      </c>
      <c r="AT247" s="228">
        <f>AT198+AT193*TRP!$AN247</f>
        <v>310</v>
      </c>
      <c r="AU247" s="228">
        <f>AU198+AU193*TRP!$AN247</f>
        <v>60</v>
      </c>
      <c r="AV247" s="228">
        <f>AV198+AV193*TRP!$AN247</f>
        <v>19</v>
      </c>
      <c r="AW247" s="228">
        <f>AW198+AW193*TRP!$AN247</f>
        <v>5</v>
      </c>
      <c r="AX247" s="228">
        <f>AX198+AX193*TRP!$AN247</f>
        <v>22</v>
      </c>
      <c r="AY247" s="228">
        <f>AY198+AY193*TRP!$AN247</f>
        <v>373</v>
      </c>
      <c r="AZ247" s="228">
        <f>AZ198+AZ193*TRP!$AN247</f>
        <v>78</v>
      </c>
      <c r="BA247" s="228">
        <f>BA198+BA193*TRP!$AN247</f>
        <v>587.263210892693</v>
      </c>
      <c r="BB247" s="228">
        <f>BB198+BB193*TRP!$AN247</f>
        <v>846</v>
      </c>
      <c r="BC247" s="228">
        <f>BC198+BC193*TRP!$AN247</f>
        <v>77</v>
      </c>
      <c r="BD247" s="228">
        <f>BD198+BD193*TRP!$AN247</f>
        <v>20</v>
      </c>
      <c r="BE247" s="228">
        <f>BE198+BE193*TRP!$AN247</f>
        <v>116</v>
      </c>
      <c r="BF247" s="228">
        <f>BF198+BF193*TRP!$AN247</f>
        <v>79</v>
      </c>
      <c r="BG247" s="228">
        <f>BG198+BG193*TRP!$AN247</f>
        <v>328</v>
      </c>
      <c r="BH247" s="228">
        <f>BH198+BH193*TRP!$AN247</f>
        <v>102</v>
      </c>
      <c r="BI247" s="228">
        <f>BI198+BI193*TRP!$AN247</f>
        <v>52</v>
      </c>
      <c r="BJ247" s="228">
        <f>BJ198+BJ193*TRP!$AN247</f>
        <v>114</v>
      </c>
      <c r="BK247" s="228">
        <f>BK198+BK193*TRP!$AN247</f>
        <v>65</v>
      </c>
      <c r="BL247" s="228">
        <f>BL198+BL193*TRP!$AN247</f>
        <v>16</v>
      </c>
      <c r="BM247" s="228">
        <f>BM198+BM193*TRP!$AN247</f>
        <v>47</v>
      </c>
      <c r="BN247" s="228">
        <f>BN198+BN193*TRP!$AN247</f>
        <v>16</v>
      </c>
      <c r="BO247" s="228">
        <f>BO198+BO193*TRP!$AN247</f>
        <v>0</v>
      </c>
      <c r="BP247" s="228">
        <f>BP198+BP193*TRP!$AN247</f>
        <v>2.3487040847598615</v>
      </c>
      <c r="BQ247" s="228">
        <f>BQ198+BQ193*TRP!$AN247</f>
        <v>0</v>
      </c>
      <c r="BR247" s="228">
        <f>BR198+BR193*TRP!$AN247</f>
        <v>24</v>
      </c>
      <c r="BS247" s="228">
        <f>BS198+BS193*TRP!$AN247</f>
        <v>8480.5101790639637</v>
      </c>
      <c r="BT247" s="228">
        <f>BT198+BT193*TRP!$AN247</f>
        <v>436</v>
      </c>
      <c r="BU247" s="228">
        <f>BU198+BU193*TRP!$AN247</f>
        <v>9215.6420362506014</v>
      </c>
      <c r="BV247" s="228">
        <f>BV198+BV193*TRP!$AN247</f>
        <v>27</v>
      </c>
      <c r="BW247" s="228">
        <f>BW198+BW193*TRP!$AN247</f>
        <v>42</v>
      </c>
      <c r="BX247" s="228">
        <f>BX198+BX193*TRP!$AN247</f>
        <v>6</v>
      </c>
      <c r="BY247" s="228">
        <f>BY198+BY193*TRP!$AN247</f>
        <v>25</v>
      </c>
      <c r="BZ247" s="228">
        <f>BZ198+BZ193*TRP!$AN247</f>
        <v>150</v>
      </c>
      <c r="CA247" s="228">
        <f>CA198+CA193*TRP!$AN247</f>
        <v>274</v>
      </c>
      <c r="CB247" s="228">
        <f>CB198+CB193*TRP!$AN247</f>
        <v>46</v>
      </c>
      <c r="CC247" s="228">
        <f>CC198+CC193*TRP!$AN247</f>
        <v>63</v>
      </c>
      <c r="CD247" s="228">
        <f>CD198+CD193*TRP!$AN247</f>
        <v>52</v>
      </c>
      <c r="CE247" s="228">
        <f>CE198+CE193*TRP!$AN247</f>
        <v>0</v>
      </c>
      <c r="CF247" s="228">
        <f>CF198+CF193*TRP!$AN247</f>
        <v>1</v>
      </c>
      <c r="CG247" s="228">
        <f>CG198+CG193*TRP!$AN247</f>
        <v>194</v>
      </c>
      <c r="CH247" s="228">
        <f>CH198+CH193*TRP!$AN247</f>
        <v>2</v>
      </c>
      <c r="CI247" s="228">
        <f>CI198+CI193*TRP!$AN247</f>
        <v>14</v>
      </c>
      <c r="CJ247" s="228">
        <f>CJ198+CJ193*TRP!$AN247</f>
        <v>63</v>
      </c>
      <c r="CK247" s="228">
        <f>CK198+CK193*TRP!$AN247</f>
        <v>34</v>
      </c>
      <c r="CL247" s="228">
        <f>CL198+CL193*TRP!$AN247</f>
        <v>26</v>
      </c>
      <c r="CM247" s="228">
        <f>CM198+CM193*TRP!$AN247</f>
        <v>10</v>
      </c>
      <c r="CN247" s="228">
        <f>CN198+CN193*TRP!$AN247</f>
        <v>41</v>
      </c>
      <c r="CO247" s="228">
        <f>CO198+CO193*TRP!$AN247</f>
        <v>138</v>
      </c>
      <c r="CP247" s="228">
        <f>CP198+CP193*TRP!$AN247</f>
        <v>16</v>
      </c>
      <c r="CQ247" s="228">
        <f>CQ198+CQ193*TRP!$AN247</f>
        <v>57</v>
      </c>
      <c r="CR247" s="228">
        <f>CR198+CR193*TRP!$AN247</f>
        <v>85</v>
      </c>
      <c r="CS247" s="228">
        <f>CS198+CS193*TRP!$AN247</f>
        <v>19</v>
      </c>
      <c r="CT247" s="228">
        <f>CT198+CT193*TRP!$AN247</f>
        <v>27</v>
      </c>
      <c r="CU247" s="228">
        <f>CU198+CU193*TRP!$AN247</f>
        <v>2</v>
      </c>
      <c r="CV247" s="228">
        <f>CV198+CV193*TRP!$AN247</f>
        <v>1</v>
      </c>
      <c r="CW247" s="228">
        <f>CW198+CW193*TRP!$AN247</f>
        <v>34</v>
      </c>
      <c r="CX247" s="228">
        <f>CX198+CX193*TRP!$AN247</f>
        <v>40</v>
      </c>
      <c r="CY247" s="228">
        <f>CY198+CY193*TRP!$AN247</f>
        <v>7</v>
      </c>
      <c r="CZ247" s="228">
        <f>CZ198+CZ193*TRP!$AN247</f>
        <v>19</v>
      </c>
      <c r="DA247" s="228">
        <f>DA198+DA193*TRP!$AN247</f>
        <v>424</v>
      </c>
      <c r="DB247" s="228">
        <f>DB198+DB193*TRP!$AN247</f>
        <v>56</v>
      </c>
      <c r="DC247" s="228">
        <f>DC198+DC193*TRP!$AN247</f>
        <v>69</v>
      </c>
      <c r="DD247" s="228">
        <f>DD198+DD193*TRP!$AN247</f>
        <v>216</v>
      </c>
      <c r="DE247" s="228">
        <f>DE198+DE193*TRP!$AN247</f>
        <v>47</v>
      </c>
      <c r="DF247" s="228">
        <f>DF198+DF193*TRP!$AN247</f>
        <v>0</v>
      </c>
      <c r="DG247" s="228">
        <f>DG198+DG193*TRP!$AN247</f>
        <v>132</v>
      </c>
      <c r="DH247" s="228">
        <f>DH198+DH193*TRP!$AN247</f>
        <v>534</v>
      </c>
      <c r="DI247" s="228">
        <f>DI198+DI193*TRP!$AN247</f>
        <v>256</v>
      </c>
      <c r="DJ247" s="228">
        <f>DJ198+DJ193*TRP!$AN247</f>
        <v>426</v>
      </c>
      <c r="DK247" s="228">
        <f>DK198+DK193*TRP!$AN247</f>
        <v>7</v>
      </c>
      <c r="DL247" s="228">
        <f>DL198+DL193*TRP!$AN247</f>
        <v>187</v>
      </c>
      <c r="DM247" s="228">
        <f>DM198+DM193*TRP!$AN247</f>
        <v>124</v>
      </c>
      <c r="DN247" s="228">
        <f>DN198+DN193*TRP!$AN247</f>
        <v>330</v>
      </c>
      <c r="DO247" s="228">
        <f>DO198+DO193*TRP!$AN247</f>
        <v>61</v>
      </c>
      <c r="DP247" s="232">
        <f>SUM(D247:DO247)</f>
        <v>28030.764130292016</v>
      </c>
      <c r="DQ247" s="228">
        <f t="shared" si="161"/>
        <v>175</v>
      </c>
      <c r="DR247" s="228">
        <f t="shared" si="162"/>
        <v>1047</v>
      </c>
      <c r="DS247" s="230">
        <f>SUM(X247:Y247)+(1-TRP!$AK$253)*AC247</f>
        <v>198.2</v>
      </c>
      <c r="DT247" s="228">
        <f t="shared" si="163"/>
        <v>198</v>
      </c>
      <c r="DU247" s="228">
        <f t="shared" si="164"/>
        <v>310</v>
      </c>
      <c r="DV247" s="228">
        <f t="shared" si="165"/>
        <v>451</v>
      </c>
      <c r="DW247" s="228">
        <f t="shared" si="166"/>
        <v>587.263210892693</v>
      </c>
      <c r="DX247" s="228">
        <f t="shared" si="167"/>
        <v>846</v>
      </c>
      <c r="DY247" s="228">
        <f t="shared" si="168"/>
        <v>79</v>
      </c>
      <c r="DZ247" s="228">
        <f t="shared" si="169"/>
        <v>328</v>
      </c>
      <c r="EA247" s="228">
        <f t="shared" si="170"/>
        <v>102</v>
      </c>
      <c r="EB247" s="230">
        <f>TRP!$AK$253*$AC247+SUM(M247:W247,Z247:AB247,AD247:AR247,AU247:AX247,BC247:BE247,BI247:BN247,BQ247:BR247,BV247)</f>
        <v>1217.8</v>
      </c>
      <c r="EC247" s="228">
        <f t="shared" si="171"/>
        <v>48</v>
      </c>
      <c r="ED247" s="230">
        <f>CB247+$CI247*TRP!$AV$248</f>
        <v>46.434059503521347</v>
      </c>
      <c r="EE247" s="228">
        <f t="shared" si="172"/>
        <v>63</v>
      </c>
      <c r="EF247" s="230">
        <f>CD247+$CI247*TRP!$AV$249</f>
        <v>61.704740981048396</v>
      </c>
      <c r="EG247" s="230">
        <f>CE247+$CI247*TRP!$AV$250</f>
        <v>2.8307085805802519</v>
      </c>
      <c r="EH247" s="230">
        <f>CF247+$CI247*TRP!$AV$251</f>
        <v>2.0304909348500093</v>
      </c>
      <c r="EI247" s="228">
        <f t="shared" si="173"/>
        <v>2639</v>
      </c>
      <c r="EJ247" s="228">
        <f t="shared" si="174"/>
        <v>1494</v>
      </c>
      <c r="EK247" s="228">
        <f t="shared" si="175"/>
        <v>0</v>
      </c>
      <c r="EL247" s="230">
        <f>BS247+$BP247*TRP!$AN$246</f>
        <v>8482.2459486067492</v>
      </c>
      <c r="EM247" s="228">
        <f t="shared" si="176"/>
        <v>436</v>
      </c>
      <c r="EN247" s="230">
        <f>BU247+$BP247*TRP!$AN$247</f>
        <v>9216.2549707925755</v>
      </c>
    </row>
    <row r="248" spans="1:144" s="228" customFormat="1" ht="10.5" x14ac:dyDescent="0.25">
      <c r="B248" s="228" t="str">
        <f>TRP!B248</f>
        <v>TRANSPORTS FERROVIAIRES</v>
      </c>
      <c r="C248" s="233">
        <f>TRP!A248</f>
        <v>14</v>
      </c>
      <c r="D248" s="228">
        <f>D205+D$212*TRP!$AV248</f>
        <v>0</v>
      </c>
      <c r="E248" s="228">
        <f>E205+E$212*TRP!$AV248</f>
        <v>0</v>
      </c>
      <c r="F248" s="228">
        <f>F205+F$212*TRP!$AV248</f>
        <v>1</v>
      </c>
      <c r="G248" s="228">
        <f>G205+G$212*TRP!$AV248</f>
        <v>2.9222635155945218</v>
      </c>
      <c r="H248" s="228">
        <f>H205+H$212*TRP!$AV248</f>
        <v>3.0772847668521446</v>
      </c>
      <c r="I248" s="228">
        <f>I205+I$212*TRP!$AV248</f>
        <v>4.6663655216311106</v>
      </c>
      <c r="J248" s="228">
        <f>J205+J$212*TRP!$AV248</f>
        <v>1.8061105065396381</v>
      </c>
      <c r="K248" s="228">
        <f>K205+K$212*TRP!$AV248</f>
        <v>12.0536927909985</v>
      </c>
      <c r="L248" s="228">
        <f>L205+L$212*TRP!$AV248</f>
        <v>0</v>
      </c>
      <c r="M248" s="228">
        <f>M205+M$212*TRP!$AV248</f>
        <v>1.2790382522637209</v>
      </c>
      <c r="N248" s="228">
        <f>N205+N$212*TRP!$AV248</f>
        <v>1.1860255015091472</v>
      </c>
      <c r="O248" s="228">
        <f>O205+O$212*TRP!$AV248</f>
        <v>10.658501529679896</v>
      </c>
      <c r="P248" s="228">
        <f>P205+P$212*TRP!$AV248</f>
        <v>17.930127507545738</v>
      </c>
      <c r="Q248" s="228">
        <f>Q205+Q$212*TRP!$AV248</f>
        <v>10.713097755785064</v>
      </c>
      <c r="R248" s="228">
        <f>R205+R$212*TRP!$AV248</f>
        <v>2.4960680040243926</v>
      </c>
      <c r="S248" s="228">
        <f>S205+S$212*TRP!$AV248</f>
        <v>1.1550212512576228</v>
      </c>
      <c r="T248" s="228">
        <f>T205+T$212*TRP!$AV248</f>
        <v>7.2480340020121963</v>
      </c>
      <c r="U248" s="228">
        <f>U205+U$212*TRP!$AV248</f>
        <v>2.0620085005030493</v>
      </c>
      <c r="V248" s="228">
        <f>V205+V$212*TRP!$AV248</f>
        <v>4.2170297517606716</v>
      </c>
      <c r="W248" s="228">
        <f>W205+W$212*TRP!$AV248</f>
        <v>1.0930127507545737</v>
      </c>
      <c r="X248" s="228">
        <f>X205+X$212*TRP!$AV248</f>
        <v>4.2943145186128167</v>
      </c>
      <c r="Y248" s="228">
        <f>Y205+Y$212*TRP!$AV248</f>
        <v>3.945403773894832</v>
      </c>
      <c r="Z248" s="228">
        <f>Z205+Z$212*TRP!$AV248</f>
        <v>1.4960680040243928</v>
      </c>
      <c r="AA248" s="228">
        <f>AA205+AA$212*TRP!$AV248</f>
        <v>0.40305525326981911</v>
      </c>
      <c r="AB248" s="228">
        <f>AB205+AB$212*TRP!$AV248</f>
        <v>3.2943145186128167</v>
      </c>
      <c r="AC248" s="228">
        <f>AC205+AC$212*TRP!$AV248</f>
        <v>0</v>
      </c>
      <c r="AD248" s="228">
        <f>AD205+AD$212*TRP!$AV248</f>
        <v>1.5580765045274418</v>
      </c>
      <c r="AE248" s="228">
        <f>AE205+AE$212*TRP!$AV248</f>
        <v>1.7751062562881137</v>
      </c>
      <c r="AF248" s="228">
        <f>AF205+AF$212*TRP!$AV248</f>
        <v>2.68209350553354</v>
      </c>
      <c r="AG248" s="228">
        <f>AG205+AG$212*TRP!$AV248</f>
        <v>2.6122210130792762</v>
      </c>
      <c r="AH248" s="228">
        <f>AH205+AH$212*TRP!$AV248</f>
        <v>1.34104675276677</v>
      </c>
      <c r="AI248" s="228">
        <f>AI205+AI$212*TRP!$AV248</f>
        <v>1.1550212512576228</v>
      </c>
      <c r="AJ248" s="228">
        <f>AJ205+AJ$212*TRP!$AV248</f>
        <v>2.6122210130792762</v>
      </c>
      <c r="AK248" s="228">
        <f>AK205+AK$212*TRP!$AV248</f>
        <v>1.2790382522637209</v>
      </c>
      <c r="AL248" s="228">
        <f>AL205+AL$212*TRP!$AV248</f>
        <v>1.0930127507545737</v>
      </c>
      <c r="AM248" s="228">
        <f>AM205+AM$212*TRP!$AV248</f>
        <v>1.4030552532698191</v>
      </c>
      <c r="AN248" s="228">
        <f>AN205+AN$212*TRP!$AV248</f>
        <v>4.7362380140853748</v>
      </c>
      <c r="AO248" s="228">
        <f>AO205+AO$212*TRP!$AV248</f>
        <v>1.68209350553354</v>
      </c>
      <c r="AP248" s="228">
        <f>AP205+AP$212*TRP!$AV248</f>
        <v>6.6510892552820158</v>
      </c>
      <c r="AQ248" s="228">
        <f>AQ205+AQ$212*TRP!$AV248</f>
        <v>0</v>
      </c>
      <c r="AR248" s="228">
        <f>AR205+AR$212*TRP!$AV248</f>
        <v>2.5192082623247032</v>
      </c>
      <c r="AS248" s="228">
        <f>AS205+AS$212*TRP!$AV248</f>
        <v>2.3021785105640311</v>
      </c>
      <c r="AT248" s="228">
        <f>AT205+AT$212*TRP!$AV248</f>
        <v>4.0384165246494064</v>
      </c>
      <c r="AU248" s="228">
        <f>AU205+AU$212*TRP!$AV248</f>
        <v>1.4030552532698191</v>
      </c>
      <c r="AV248" s="228">
        <f>AV205+AV$212*TRP!$AV248</f>
        <v>1.9611317577972609</v>
      </c>
      <c r="AW248" s="228">
        <f>AW205+AW$212*TRP!$AV248</f>
        <v>1.1240170010060981</v>
      </c>
      <c r="AX248" s="228">
        <f>AX205+AX$212*TRP!$AV248</f>
        <v>2.860255015091473</v>
      </c>
      <c r="AY248" s="228">
        <f>AY205+AY$212*TRP!$AV248</f>
        <v>2.5192082623247032</v>
      </c>
      <c r="AZ248" s="228">
        <f>AZ205+AZ$212*TRP!$AV248</f>
        <v>4.7130977557850642</v>
      </c>
      <c r="BA248" s="228">
        <f>BA205+BA$212*TRP!$AV248</f>
        <v>2.3410467527667702</v>
      </c>
      <c r="BB248" s="228">
        <f>BB205+BB$212*TRP!$AV248</f>
        <v>5.271174260312506</v>
      </c>
      <c r="BC248" s="228">
        <f>BC205+BC$212*TRP!$AV248</f>
        <v>4.8292507648399479</v>
      </c>
      <c r="BD248" s="228">
        <f>BD205+BD$212*TRP!$AV248</f>
        <v>1</v>
      </c>
      <c r="BE248" s="228">
        <f>BE205+BE$212*TRP!$AV248</f>
        <v>1.9301275075457365</v>
      </c>
      <c r="BF248" s="228">
        <f>BF205+BF$212*TRP!$AV248</f>
        <v>5.6432252633308009</v>
      </c>
      <c r="BG248" s="228">
        <f>BG205+BG$212*TRP!$AV248</f>
        <v>9.6117692955259422</v>
      </c>
      <c r="BH248" s="228">
        <f>BH205+BH$212*TRP!$AV248</f>
        <v>3.1471572593064083</v>
      </c>
      <c r="BI248" s="228">
        <f>BI205+BI$212*TRP!$AV248</f>
        <v>2.1161530090548837</v>
      </c>
      <c r="BJ248" s="228">
        <f>BJ205+BJ$212*TRP!$AV248</f>
        <v>8.4803400201219645</v>
      </c>
      <c r="BK248" s="228">
        <f>BK205+BK$212*TRP!$AV248</f>
        <v>7.4960680040243926</v>
      </c>
      <c r="BL248" s="228">
        <f>BL205+BL$212*TRP!$AV248</f>
        <v>1.7130977557850646</v>
      </c>
      <c r="BM248" s="228">
        <f>BM205+BM$212*TRP!$AV248</f>
        <v>2.8681190070426874</v>
      </c>
      <c r="BN248" s="228">
        <f>BN205+BN$212*TRP!$AV248</f>
        <v>0.18602550150914729</v>
      </c>
      <c r="BO248" s="228">
        <f>BO205+BO$212*TRP!$AV248</f>
        <v>0</v>
      </c>
      <c r="BP248" s="228">
        <f>BP205+BP$212*TRP!$AV248</f>
        <v>0</v>
      </c>
      <c r="BQ248" s="228">
        <f>BQ205+BQ$212*TRP!$AV248</f>
        <v>0</v>
      </c>
      <c r="BR248" s="228">
        <f>BR205+BR$212*TRP!$AV248</f>
        <v>6.6510892552820158</v>
      </c>
      <c r="BS248" s="228">
        <f>BS205+BS$212*TRP!$AV248</f>
        <v>26.053241073445168</v>
      </c>
      <c r="BT248" s="228">
        <f>BT205+BT$212*TRP!$AV248</f>
        <v>15.960228322690595</v>
      </c>
      <c r="BU248" s="228">
        <f>BU205+BU$212*TRP!$AV248</f>
        <v>1.5270722542759172</v>
      </c>
      <c r="BV248" s="228">
        <f>BV205+BV$212*TRP!$AV248</f>
        <v>8.0226885407469766</v>
      </c>
      <c r="BW248" s="228">
        <f>BW205+BW$212*TRP!$AV248</f>
        <v>33.014372831242426</v>
      </c>
      <c r="BX248" s="228">
        <f>BX205+BX$212*TRP!$AV248</f>
        <v>9.7205100301829468</v>
      </c>
      <c r="BY248" s="228">
        <f>BY205+BY$212*TRP!$AV248</f>
        <v>31.836211321684495</v>
      </c>
      <c r="BZ248" s="228">
        <f>BZ205+BZ$212*TRP!$AV248</f>
        <v>326.44590682298832</v>
      </c>
      <c r="CA248" s="228">
        <f>CA205+CA$212*TRP!$AV248</f>
        <v>153.61601954705048</v>
      </c>
      <c r="CB248" s="228">
        <f>CB205+CB$212*TRP!$AV248</f>
        <v>18.062008500503048</v>
      </c>
      <c r="CC248" s="228">
        <f>CC205+CC$212*TRP!$AV248</f>
        <v>1.9611317577972609</v>
      </c>
      <c r="CD248" s="228">
        <f>CD205+CD$212*TRP!$AV248</f>
        <v>5.8135227809375198</v>
      </c>
      <c r="CE248" s="228">
        <f>CE205+CE$212*TRP!$AV248</f>
        <v>6.1467055417530752</v>
      </c>
      <c r="CF248" s="228">
        <f>CF205+CF$212*TRP!$AV248</f>
        <v>11.161981808102171</v>
      </c>
      <c r="CG248" s="228">
        <f>CG205+CG$212*TRP!$AV248</f>
        <v>32.725663716814161</v>
      </c>
      <c r="CH248" s="228">
        <f>CH205+CH$212*TRP!$AV248</f>
        <v>10.147157259306407</v>
      </c>
      <c r="CI248" s="228">
        <f>CI205+CI$212*TRP!$AV248</f>
        <v>54.304621891875243</v>
      </c>
      <c r="CJ248" s="228">
        <f>CJ205+CJ$212*TRP!$AV248</f>
        <v>36.333182760815554</v>
      </c>
      <c r="CK248" s="228">
        <f>CK205+CK$212*TRP!$AV248</f>
        <v>20.643225263330802</v>
      </c>
      <c r="CL248" s="228">
        <f>CL205+CL$212*TRP!$AV248</f>
        <v>19</v>
      </c>
      <c r="CM248" s="228">
        <f>CM205+CM$212*TRP!$AV248</f>
        <v>3.8292507648399483</v>
      </c>
      <c r="CN248" s="228">
        <f>CN205+CN$212*TRP!$AV248</f>
        <v>6.8056587889863049</v>
      </c>
      <c r="CO248" s="228">
        <f>CO205+CO$212*TRP!$AV248</f>
        <v>26.945403773894832</v>
      </c>
      <c r="CP248" s="228">
        <f>CP205+CP$212*TRP!$AV248</f>
        <v>29.542348520625012</v>
      </c>
      <c r="CQ248" s="228">
        <f>CQ205+CQ$212*TRP!$AV248</f>
        <v>25.046280516600621</v>
      </c>
      <c r="CR248" s="228">
        <f>CR205+CR$212*TRP!$AV248</f>
        <v>20.837114756791163</v>
      </c>
      <c r="CS248" s="228">
        <f>CS205+CS$212*TRP!$AV248</f>
        <v>15.992136008048785</v>
      </c>
      <c r="CT248" s="228">
        <f>CT205+CT$212*TRP!$AV248</f>
        <v>36.883395273391784</v>
      </c>
      <c r="CU248" s="228">
        <f>CU205+CU$212*TRP!$AV248</f>
        <v>24.829250764839948</v>
      </c>
      <c r="CV248" s="228">
        <f>CV205+CV$212*TRP!$AV248</f>
        <v>11.457199761821654</v>
      </c>
      <c r="CW248" s="228">
        <f>CW205+CW$212*TRP!$AV248</f>
        <v>25.728374022134162</v>
      </c>
      <c r="CX248" s="228">
        <f>CX205+CX$212*TRP!$AV248</f>
        <v>4.8681190070426874</v>
      </c>
      <c r="CY248" s="228">
        <f>CY205+CY$212*TRP!$AV248</f>
        <v>6.6043570211280622</v>
      </c>
      <c r="CZ248" s="228">
        <f>CZ205+CZ$212*TRP!$AV248</f>
        <v>133</v>
      </c>
      <c r="DA248" s="228">
        <f>DA205+DA$212*TRP!$AV248</f>
        <v>19.805658788986307</v>
      </c>
      <c r="DB248" s="228">
        <f>DB205+DB$212*TRP!$AV248</f>
        <v>8.6506375377286826</v>
      </c>
      <c r="DC248" s="228">
        <f>DC205+DC$212*TRP!$AV248</f>
        <v>11.549760795022895</v>
      </c>
      <c r="DD248" s="228">
        <f>DD205+DD$212*TRP!$AV248</f>
        <v>70</v>
      </c>
      <c r="DE248" s="228">
        <f>DE205+DE$212*TRP!$AV248</f>
        <v>5.1161530090548837</v>
      </c>
      <c r="DF248" s="228">
        <f>DF205+DF$212*TRP!$AV248</f>
        <v>0</v>
      </c>
      <c r="DG248" s="228">
        <f>DG205+DG$212*TRP!$AV248</f>
        <v>19.240170010060982</v>
      </c>
      <c r="DH248" s="228">
        <f>DH205+DH$212*TRP!$AV248</f>
        <v>294</v>
      </c>
      <c r="DI248" s="228">
        <f>DI205+DI$212*TRP!$AV248</f>
        <v>13.542348520625012</v>
      </c>
      <c r="DJ248" s="228">
        <f>DJ205+DJ$212*TRP!$AV248</f>
        <v>0</v>
      </c>
      <c r="DK248" s="228">
        <f>DK205+DK$212*TRP!$AV248</f>
        <v>4.1550212512576223</v>
      </c>
      <c r="DL248" s="228">
        <f>DL205+DL$212*TRP!$AV248</f>
        <v>4.7441020060365888</v>
      </c>
      <c r="DM248" s="228">
        <f>DM205+DM$212*TRP!$AV248</f>
        <v>22</v>
      </c>
      <c r="DN248" s="228">
        <f>DN205+DN$212*TRP!$AV248</f>
        <v>207.57335277087654</v>
      </c>
      <c r="DO248" s="228">
        <f>DO205+DO$212*TRP!$AV248</f>
        <v>121</v>
      </c>
      <c r="DP248" s="232">
        <f t="shared" ref="DP248:DP253" si="279">SUM(D248:DO248)</f>
        <v>2212.5439089994456</v>
      </c>
      <c r="DQ248" s="228">
        <f t="shared" si="161"/>
        <v>1</v>
      </c>
      <c r="DR248" s="228">
        <f t="shared" si="162"/>
        <v>24.525717101615914</v>
      </c>
      <c r="DS248" s="230">
        <f>SUM(X248:Y248)+(1-TRP!$AK$253)*AC248</f>
        <v>8.2397182925076482</v>
      </c>
      <c r="DT248" s="228">
        <f t="shared" si="163"/>
        <v>2.3021785105640311</v>
      </c>
      <c r="DU248" s="228">
        <f t="shared" si="164"/>
        <v>4.0384165246494064</v>
      </c>
      <c r="DV248" s="228">
        <f t="shared" si="165"/>
        <v>7.2323060181097674</v>
      </c>
      <c r="DW248" s="228">
        <f t="shared" si="166"/>
        <v>2.3410467527667702</v>
      </c>
      <c r="DX248" s="228">
        <f t="shared" si="167"/>
        <v>5.271174260312506</v>
      </c>
      <c r="DY248" s="228">
        <f t="shared" si="168"/>
        <v>5.6432252633308009</v>
      </c>
      <c r="DZ248" s="228">
        <f t="shared" si="169"/>
        <v>9.6117692955259422</v>
      </c>
      <c r="EA248" s="228">
        <f t="shared" si="170"/>
        <v>3.1471572593064083</v>
      </c>
      <c r="EB248" s="230">
        <f>TRP!$AK$253*$AC248+SUM(M248:W248,Z248:AB248,AD248:AR248,AU248:AX248,BC248:BE248,BI248:BN248,BQ248:BR248,BV248)</f>
        <v>150.9723425661663</v>
      </c>
      <c r="EC248" s="228">
        <f t="shared" si="171"/>
        <v>42.734882861425376</v>
      </c>
      <c r="ED248" s="230">
        <f>CB248+$CI248*TRP!$AV$248</f>
        <v>19.745682587453167</v>
      </c>
      <c r="EE248" s="228">
        <f t="shared" si="172"/>
        <v>1.9611317577972609</v>
      </c>
      <c r="EF248" s="230">
        <f>CD248+$CI248*TRP!$AV$249</f>
        <v>43.457257747681773</v>
      </c>
      <c r="EG248" s="230">
        <f>CE248+$CI248*TRP!$AV$250</f>
        <v>17.126745481360032</v>
      </c>
      <c r="EH248" s="230">
        <f>CF248+$CI248*TRP!$AV$251</f>
        <v>15.159154706676086</v>
      </c>
      <c r="EI248" s="228">
        <f t="shared" si="173"/>
        <v>1026.9201075909079</v>
      </c>
      <c r="EJ248" s="228">
        <f t="shared" si="174"/>
        <v>777.57335277087657</v>
      </c>
      <c r="EK248" s="228">
        <f t="shared" si="175"/>
        <v>0</v>
      </c>
      <c r="EL248" s="230">
        <f>BS248+$BP248*TRP!$AN$246</f>
        <v>26.053241073445168</v>
      </c>
      <c r="EM248" s="228">
        <f t="shared" si="176"/>
        <v>15.960228322690595</v>
      </c>
      <c r="EN248" s="230">
        <f>BU248+$BP248*TRP!$AN$247</f>
        <v>1.5270722542759172</v>
      </c>
    </row>
    <row r="249" spans="1:144" s="228" customFormat="1" ht="10.5" x14ac:dyDescent="0.25">
      <c r="B249" s="228" t="str">
        <f>TRP!B249</f>
        <v>TRANSPORT ROUTIER (OU PAR CONDUITES) DE marchandises</v>
      </c>
      <c r="C249" s="233">
        <f>TRP!A249</f>
        <v>16</v>
      </c>
      <c r="D249" s="228">
        <f>D207+D$212*TRP!$AV249</f>
        <v>37</v>
      </c>
      <c r="E249" s="228">
        <f>E207+E$212*TRP!$AV249</f>
        <v>0</v>
      </c>
      <c r="F249" s="228">
        <f>F207+F$212*TRP!$AV249</f>
        <v>0</v>
      </c>
      <c r="G249" s="228">
        <f>G207+G$212*TRP!$AV249</f>
        <v>44.978138630357179</v>
      </c>
      <c r="H249" s="228">
        <f>H207+H$212*TRP!$AV249</f>
        <v>49.444117552160179</v>
      </c>
      <c r="I249" s="228">
        <f>I207+I$212*TRP!$AV249</f>
        <v>61.614837455011575</v>
      </c>
      <c r="J249" s="228">
        <f>J207+J$212*TRP!$AV249</f>
        <v>19.023090393375593</v>
      </c>
      <c r="K249" s="228">
        <f>K207+K$212*TRP!$AV249</f>
        <v>117.99091285077775</v>
      </c>
      <c r="L249" s="228">
        <f>L207+L$212*TRP!$AV249</f>
        <v>0</v>
      </c>
      <c r="M249" s="228">
        <f>M207+M$212*TRP!$AV249</f>
        <v>13.238762059245397</v>
      </c>
      <c r="N249" s="228">
        <f>N207+N$212*TRP!$AV249</f>
        <v>5.159174706163598</v>
      </c>
      <c r="O249" s="228">
        <f>O207+O$212*TRP!$AV249</f>
        <v>98.797102554550762</v>
      </c>
      <c r="P249" s="228">
        <f>P207+P$212*TRP!$AV249</f>
        <v>24.795873530817993</v>
      </c>
      <c r="Q249" s="228">
        <f>Q207+Q$212*TRP!$AV249</f>
        <v>17.943503040293791</v>
      </c>
      <c r="R249" s="228">
        <f>R207+R$212*TRP!$AV249</f>
        <v>12.091132549769595</v>
      </c>
      <c r="S249" s="228">
        <f>S207+S$212*TRP!$AV249</f>
        <v>3.4659789218029986</v>
      </c>
      <c r="T249" s="228">
        <f>T207+T$212*TRP!$AV249</f>
        <v>6.5455662748847976</v>
      </c>
      <c r="U249" s="228">
        <f>U207+U$212*TRP!$AV249</f>
        <v>1.3863915687211994</v>
      </c>
      <c r="V249" s="228">
        <f>V207+V$212*TRP!$AV249</f>
        <v>5.8523704905241978</v>
      </c>
      <c r="W249" s="228">
        <f>W207+W$212*TRP!$AV249</f>
        <v>4.0795873530817985</v>
      </c>
      <c r="X249" s="228">
        <f>X207+X$212*TRP!$AV249</f>
        <v>56.296488042684381</v>
      </c>
      <c r="Y249" s="228">
        <f>Y207+Y$212*TRP!$AV249</f>
        <v>68.85359951425697</v>
      </c>
      <c r="Z249" s="228">
        <f>Z207+Z$212*TRP!$AV249</f>
        <v>12.091132549769595</v>
      </c>
      <c r="AA249" s="228">
        <f>AA207+AA$212*TRP!$AV249</f>
        <v>9.0115451966877966</v>
      </c>
      <c r="AB249" s="228">
        <f>AB207+AB$212*TRP!$AV249</f>
        <v>52.296488042684381</v>
      </c>
      <c r="AC249" s="228">
        <f>AC207+AC$212*TRP!$AV249</f>
        <v>0</v>
      </c>
      <c r="AD249" s="228">
        <f>AD207+AD$212*TRP!$AV249</f>
        <v>13.477524118490795</v>
      </c>
      <c r="AE249" s="228">
        <f>AE207+AE$212*TRP!$AV249</f>
        <v>18.329894609014993</v>
      </c>
      <c r="AF249" s="228">
        <f>AF207+AF$212*TRP!$AV249</f>
        <v>17.250307255933194</v>
      </c>
      <c r="AG249" s="228">
        <f>AG207+AG$212*TRP!$AV249</f>
        <v>38.046180786751187</v>
      </c>
      <c r="AH249" s="228">
        <f>AH207+AH$212*TRP!$AV249</f>
        <v>8.625153627966597</v>
      </c>
      <c r="AI249" s="228">
        <f>AI207+AI$212*TRP!$AV249</f>
        <v>3.4659789218029986</v>
      </c>
      <c r="AJ249" s="228">
        <f>AJ207+AJ$212*TRP!$AV249</f>
        <v>38.046180786751187</v>
      </c>
      <c r="AK249" s="228">
        <f>AK207+AK$212*TRP!$AV249</f>
        <v>6.2387620592453974</v>
      </c>
      <c r="AL249" s="228">
        <f>AL207+AL$212*TRP!$AV249</f>
        <v>3.079587353081799</v>
      </c>
      <c r="AM249" s="228">
        <f>AM207+AM$212*TRP!$AV249</f>
        <v>9.0115451966877966</v>
      </c>
      <c r="AN249" s="228">
        <f>AN207+AN$212*TRP!$AV249</f>
        <v>39.818963924193582</v>
      </c>
      <c r="AO249" s="228">
        <f>AO207+AO$212*TRP!$AV249</f>
        <v>16.250307255933194</v>
      </c>
      <c r="AP249" s="228">
        <f>AP207+AP$212*TRP!$AV249</f>
        <v>18.557111471572593</v>
      </c>
      <c r="AQ249" s="228">
        <f>AQ207+AQ$212*TRP!$AV249</f>
        <v>0</v>
      </c>
      <c r="AR249" s="228">
        <f>AR207+AR$212*TRP!$AV249</f>
        <v>34.966593433669388</v>
      </c>
      <c r="AS249" s="228">
        <f>AS207+AS$212*TRP!$AV249</f>
        <v>31.114222943145187</v>
      </c>
      <c r="AT249" s="228">
        <f>AT207+AT$212*TRP!$AV249</f>
        <v>69.933186867338776</v>
      </c>
      <c r="AU249" s="228">
        <f>AU207+AU$212*TRP!$AV249</f>
        <v>10.011545196687797</v>
      </c>
      <c r="AV249" s="228">
        <f>AV207+AV$212*TRP!$AV249</f>
        <v>22.48906931517859</v>
      </c>
      <c r="AW249" s="228">
        <f>AW207+AW$212*TRP!$AV249</f>
        <v>3.7727831374423988</v>
      </c>
      <c r="AX249" s="228">
        <f>AX207+AX$212*TRP!$AV249</f>
        <v>42.591747061635985</v>
      </c>
      <c r="AY249" s="228">
        <f>AY207+AY$212*TRP!$AV249</f>
        <v>34.966593433669388</v>
      </c>
      <c r="AZ249" s="228">
        <f>AZ207+AZ$212*TRP!$AV249</f>
        <v>17.943503040293791</v>
      </c>
      <c r="BA249" s="228">
        <f>BA207+BA$212*TRP!$AV249</f>
        <v>8.625153627966597</v>
      </c>
      <c r="BB249" s="228">
        <f>BB207+BB$212*TRP!$AV249</f>
        <v>31.421027158784586</v>
      </c>
      <c r="BC249" s="228">
        <f>BC207+BC$212*TRP!$AV249</f>
        <v>42.898551277275381</v>
      </c>
      <c r="BD249" s="228">
        <f>BD207+BD$212*TRP!$AV249</f>
        <v>0</v>
      </c>
      <c r="BE249" s="228">
        <f>BE207+BE$212*TRP!$AV249</f>
        <v>21.795873530817993</v>
      </c>
      <c r="BF249" s="228">
        <f>BF207+BF$212*TRP!$AV249</f>
        <v>41.739376571111784</v>
      </c>
      <c r="BG249" s="228">
        <f>BG207+BG$212*TRP!$AV249</f>
        <v>128.46843696926857</v>
      </c>
      <c r="BH249" s="228">
        <f>BH207+BH$212*TRP!$AV249</f>
        <v>26.64824402134219</v>
      </c>
      <c r="BI249" s="228">
        <f>BI207+BI$212*TRP!$AV249</f>
        <v>25.95504823698159</v>
      </c>
      <c r="BJ249" s="228">
        <f>BJ207+BJ$212*TRP!$AV249</f>
        <v>58.455662748847978</v>
      </c>
      <c r="BK249" s="228">
        <f>BK207+BK$212*TRP!$AV249</f>
        <v>13.091132549769595</v>
      </c>
      <c r="BL249" s="228">
        <f>BL207+BL$212*TRP!$AV249</f>
        <v>16.943503040293791</v>
      </c>
      <c r="BM249" s="228">
        <f>BM207+BM$212*TRP!$AV249</f>
        <v>20.409481962096791</v>
      </c>
      <c r="BN249" s="228">
        <f>BN207+BN$212*TRP!$AV249</f>
        <v>4.159174706163598</v>
      </c>
      <c r="BO249" s="228">
        <f>BO207+BO$212*TRP!$AV249</f>
        <v>0</v>
      </c>
      <c r="BP249" s="228">
        <f>BP207+BP$212*TRP!$AV249</f>
        <v>0</v>
      </c>
      <c r="BQ249" s="228">
        <f>BQ207+BQ$212*TRP!$AV249</f>
        <v>0</v>
      </c>
      <c r="BR249" s="228">
        <f>BR207+BR$212*TRP!$AV249</f>
        <v>19.557111471572593</v>
      </c>
      <c r="BS249" s="228">
        <f>BS207+BS$212*TRP!$AV249</f>
        <v>206.41316903329511</v>
      </c>
      <c r="BT249" s="228">
        <f>BT207+BT$212*TRP!$AV249</f>
        <v>202.33358168021331</v>
      </c>
      <c r="BU249" s="228">
        <f>BU207+BU$212*TRP!$AV249</f>
        <v>12.784328334130194</v>
      </c>
      <c r="BV249" s="228">
        <f>BV207+BV$212*TRP!$AV249</f>
        <v>113.29771706641715</v>
      </c>
      <c r="BW249" s="228">
        <f>BW207+BW$212*TRP!$AV249</f>
        <v>245.9022383484737</v>
      </c>
      <c r="BX249" s="228">
        <f>BX207+BX$212*TRP!$AV249</f>
        <v>86.18349412327197</v>
      </c>
      <c r="BY249" s="228">
        <f>BY207+BY$212*TRP!$AV249</f>
        <v>514.56079854277095</v>
      </c>
      <c r="BZ249" s="228">
        <f>BZ207+BZ$212*TRP!$AV249</f>
        <v>6024.1366064278827</v>
      </c>
      <c r="CA249" s="228">
        <f>CA207+CA$212*TRP!$AV249</f>
        <v>2060.6642213298683</v>
      </c>
      <c r="CB249" s="228">
        <f>CB207+CB$212*TRP!$AV249</f>
        <v>3.3863915687211996</v>
      </c>
      <c r="CC249" s="228">
        <f>CC207+CC$212*TRP!$AV249</f>
        <v>49.48906931517859</v>
      </c>
      <c r="CD249" s="228">
        <f>CD207+CD$212*TRP!$AV249</f>
        <v>4369.2630814763534</v>
      </c>
      <c r="CE249" s="228">
        <f>CE207+CE$212*TRP!$AV249</f>
        <v>115.07050020385955</v>
      </c>
      <c r="CF249" s="228">
        <f>CF207+CF$212*TRP!$AV249</f>
        <v>162.12822618729854</v>
      </c>
      <c r="CG249" s="228">
        <f>CG207+CG$212*TRP!$AV249</f>
        <v>676.53476611883696</v>
      </c>
      <c r="CH249" s="228">
        <f>CH207+CH$212*TRP!$AV249</f>
        <v>27.64824402134219</v>
      </c>
      <c r="CI249" s="228">
        <f>CI207+CI$212*TRP!$AV249</f>
        <v>1147.9990320338143</v>
      </c>
      <c r="CJ249" s="228">
        <f>CJ207+CJ$212*TRP!$AV249</f>
        <v>37.807418727505791</v>
      </c>
      <c r="CK249" s="228">
        <f>CK207+CK$212*TRP!$AV249</f>
        <v>40.739376571111784</v>
      </c>
      <c r="CL249" s="228">
        <f>CL207+CL$212*TRP!$AV249</f>
        <v>1</v>
      </c>
      <c r="CM249" s="228">
        <f>CM207+CM$212*TRP!$AV249</f>
        <v>41.898551277275381</v>
      </c>
      <c r="CN249" s="228">
        <f>CN207+CN$212*TRP!$AV249</f>
        <v>110.44534657589296</v>
      </c>
      <c r="CO249" s="228">
        <f>CO207+CO$212*TRP!$AV249</f>
        <v>71.85359951425697</v>
      </c>
      <c r="CP249" s="228">
        <f>CP207+CP$212*TRP!$AV249</f>
        <v>59.842054317569172</v>
      </c>
      <c r="CQ249" s="228">
        <f>CQ207+CQ$212*TRP!$AV249</f>
        <v>47.750921767799582</v>
      </c>
      <c r="CR249" s="228">
        <f>CR207+CR$212*TRP!$AV249</f>
        <v>19.71628617773619</v>
      </c>
      <c r="CS249" s="228">
        <f>CS207+CS$212*TRP!$AV249</f>
        <v>23.18226509953919</v>
      </c>
      <c r="CT249" s="228">
        <f>CT207+CT$212*TRP!$AV249</f>
        <v>67.467207945535776</v>
      </c>
      <c r="CU249" s="228">
        <f>CU207+CU$212*TRP!$AV249</f>
        <v>42.898551277275381</v>
      </c>
      <c r="CV249" s="228">
        <f>CV207+CV$212*TRP!$AV249</f>
        <v>34.580201864948187</v>
      </c>
      <c r="CW249" s="228">
        <f>CW207+CW$212*TRP!$AV249</f>
        <v>66.001229023732776</v>
      </c>
      <c r="CX249" s="228">
        <f>CX207+CX$212*TRP!$AV249</f>
        <v>20.409481962096791</v>
      </c>
      <c r="CY249" s="228">
        <f>CY207+CY$212*TRP!$AV249</f>
        <v>61.228445886290373</v>
      </c>
      <c r="CZ249" s="228">
        <f>CZ207+CZ$212*TRP!$AV249</f>
        <v>0</v>
      </c>
      <c r="DA249" s="228">
        <f>DA207+DA$212*TRP!$AV249</f>
        <v>109.44534657589296</v>
      </c>
      <c r="DB249" s="228">
        <f>DB207+DB$212*TRP!$AV249</f>
        <v>106.97936765408996</v>
      </c>
      <c r="DC249" s="228">
        <f>DC207+DC$212*TRP!$AV249</f>
        <v>126.08204540054734</v>
      </c>
      <c r="DD249" s="228">
        <f>DD207+DD$212*TRP!$AV249</f>
        <v>17</v>
      </c>
      <c r="DE249" s="228">
        <f>DE207+DE$212*TRP!$AV249</f>
        <v>25.95504823698159</v>
      </c>
      <c r="DF249" s="228">
        <f>DF207+DF$212*TRP!$AV249</f>
        <v>0</v>
      </c>
      <c r="DG249" s="228">
        <f>DG207+DG$212*TRP!$AV249</f>
        <v>28.727831374423989</v>
      </c>
      <c r="DH249" s="228">
        <f>DH207+DH$212*TRP!$AV249</f>
        <v>15</v>
      </c>
      <c r="DI249" s="228">
        <f>DI207+DI$212*TRP!$AV249</f>
        <v>68.842054317569165</v>
      </c>
      <c r="DJ249" s="228">
        <f>DJ207+DJ$212*TRP!$AV249</f>
        <v>311</v>
      </c>
      <c r="DK249" s="228">
        <f>DK207+DK$212*TRP!$AV249</f>
        <v>8.4659789218029982</v>
      </c>
      <c r="DL249" s="228">
        <f>DL207+DL$212*TRP!$AV249</f>
        <v>22.636698824654392</v>
      </c>
      <c r="DM249" s="228">
        <f>DM207+DM$212*TRP!$AV249</f>
        <v>2</v>
      </c>
      <c r="DN249" s="228">
        <f>DN207+DN$212*TRP!$AV249</f>
        <v>439.53525010192976</v>
      </c>
      <c r="DO249" s="228">
        <f>DO207+DO$212*TRP!$AV249</f>
        <v>0</v>
      </c>
      <c r="DP249" s="232">
        <f t="shared" si="279"/>
        <v>19726.396338154584</v>
      </c>
      <c r="DQ249" s="228">
        <f t="shared" si="161"/>
        <v>37</v>
      </c>
      <c r="DR249" s="228">
        <f t="shared" si="162"/>
        <v>293.05109688168227</v>
      </c>
      <c r="DS249" s="230">
        <f>SUM(X249:Y249)+(1-TRP!$AK$253)*AC249</f>
        <v>125.15008755694134</v>
      </c>
      <c r="DT249" s="228">
        <f t="shared" si="163"/>
        <v>31.114222943145187</v>
      </c>
      <c r="DU249" s="228">
        <f t="shared" si="164"/>
        <v>69.933186867338776</v>
      </c>
      <c r="DV249" s="228">
        <f t="shared" si="165"/>
        <v>52.910096473963179</v>
      </c>
      <c r="DW249" s="228">
        <f t="shared" si="166"/>
        <v>8.625153627966597</v>
      </c>
      <c r="DX249" s="228">
        <f t="shared" si="167"/>
        <v>31.421027158784586</v>
      </c>
      <c r="DY249" s="228">
        <f t="shared" si="168"/>
        <v>41.739376571111784</v>
      </c>
      <c r="DZ249" s="228">
        <f t="shared" si="169"/>
        <v>128.46843696926857</v>
      </c>
      <c r="EA249" s="228">
        <f t="shared" si="170"/>
        <v>26.64824402134219</v>
      </c>
      <c r="EB249" s="230">
        <f>TRP!$AK$253*$AC249+SUM(M249:W249,Z249:AB249,AD249:AR249,AU249:AX249,BC249:BE249,BI249:BN249,BQ249:BR249,BV249)</f>
        <v>947.34710094127377</v>
      </c>
      <c r="EC249" s="228">
        <f t="shared" si="171"/>
        <v>332.0857324717457</v>
      </c>
      <c r="ED249" s="230">
        <f>CB249+$CI249*TRP!$AV$248</f>
        <v>38.979240846405524</v>
      </c>
      <c r="EE249" s="228">
        <f t="shared" si="172"/>
        <v>49.48906931517859</v>
      </c>
      <c r="EF249" s="230">
        <f>CD249+$CI249*TRP!$AV$249</f>
        <v>5165.0511709322427</v>
      </c>
      <c r="EG249" s="230">
        <f>CE249+$CI249*TRP!$AV$250</f>
        <v>347.18840809499818</v>
      </c>
      <c r="EH249" s="230">
        <f>CF249+$CI249*TRP!$AV$251</f>
        <v>246.62841159640078</v>
      </c>
      <c r="EI249" s="228">
        <f t="shared" si="173"/>
        <v>10564.499945735228</v>
      </c>
      <c r="EJ249" s="228">
        <f t="shared" si="174"/>
        <v>767.53525010192971</v>
      </c>
      <c r="EK249" s="228">
        <f t="shared" si="175"/>
        <v>0</v>
      </c>
      <c r="EL249" s="230">
        <f>BS249+$BP249*TRP!$AN$246</f>
        <v>206.41316903329511</v>
      </c>
      <c r="EM249" s="228">
        <f t="shared" si="176"/>
        <v>202.33358168021331</v>
      </c>
      <c r="EN249" s="230">
        <f>BU249+$BP249*TRP!$AN$247</f>
        <v>12.784328334130194</v>
      </c>
    </row>
    <row r="250" spans="1:144" s="228" customFormat="1" ht="10.5" x14ac:dyDescent="0.25">
      <c r="B250" s="228" t="str">
        <f>TRP!B250</f>
        <v>TRANSPORTS PAR EAU</v>
      </c>
      <c r="C250" s="233">
        <f>TRP!A250</f>
        <v>17</v>
      </c>
      <c r="D250" s="228">
        <f>D208+D$212*TRP!$AV250</f>
        <v>0</v>
      </c>
      <c r="E250" s="228">
        <f>E208+E$212*TRP!$AV250</f>
        <v>0</v>
      </c>
      <c r="F250" s="228">
        <f>F208+F$212*TRP!$AV250</f>
        <v>0</v>
      </c>
      <c r="G250" s="228">
        <f>G208+G$212*TRP!$AV250</f>
        <v>12.535995142569686</v>
      </c>
      <c r="H250" s="228">
        <f>H208+H$212*TRP!$AV250</f>
        <v>13.546962492776919</v>
      </c>
      <c r="I250" s="228">
        <f>I208+I$212*TRP!$AV250</f>
        <v>17.388638423564405</v>
      </c>
      <c r="J250" s="228">
        <f>J208+J$212*TRP!$AV250</f>
        <v>5.2570302210776108</v>
      </c>
      <c r="K250" s="228">
        <f>K208+K$212*TRP!$AV250</f>
        <v>32.957535616755791</v>
      </c>
      <c r="L250" s="228">
        <f>L208+L$212*TRP!$AV250</f>
        <v>0</v>
      </c>
      <c r="M250" s="228">
        <f>M208+M$212*TRP!$AV250</f>
        <v>1.8197412303730189</v>
      </c>
      <c r="N250" s="228">
        <f>N208+N$212*TRP!$AV250</f>
        <v>1.2131608202486794</v>
      </c>
      <c r="O250" s="228">
        <f>O208+O$212*TRP!$AV250</f>
        <v>23.858829464890693</v>
      </c>
      <c r="P250" s="228">
        <f>P208+P$212*TRP!$AV250</f>
        <v>6.0658041012433968</v>
      </c>
      <c r="Q250" s="228">
        <f>Q208+Q$212*TRP!$AV250</f>
        <v>4.6504498109532708</v>
      </c>
      <c r="R250" s="228">
        <f>R208+R$212*TRP!$AV250</f>
        <v>3.2350955206631449</v>
      </c>
      <c r="S250" s="228">
        <f>S208+S$212*TRP!$AV250</f>
        <v>1.0109673502072327</v>
      </c>
      <c r="T250" s="228">
        <f>T208+T$212*TRP!$AV250</f>
        <v>1.6175477603315724</v>
      </c>
      <c r="U250" s="228">
        <f>U208+U$212*TRP!$AV250</f>
        <v>0.40438694008289311</v>
      </c>
      <c r="V250" s="228">
        <f>V208+V$212*TRP!$AV250</f>
        <v>1.4153542902901259</v>
      </c>
      <c r="W250" s="228">
        <f>W208+W$212*TRP!$AV250</f>
        <v>0.60658041012433972</v>
      </c>
      <c r="X250" s="228">
        <f>X208+X$212*TRP!$AV250</f>
        <v>14.962316783067045</v>
      </c>
      <c r="Y250" s="228">
        <f>Y208+Y$212*TRP!$AV250</f>
        <v>19.208379653937424</v>
      </c>
      <c r="Z250" s="228">
        <f>Z208+Z$212*TRP!$AV250</f>
        <v>3.2350955206631449</v>
      </c>
      <c r="AA250" s="228">
        <f>AA208+AA$212*TRP!$AV250</f>
        <v>2.6285151105388054</v>
      </c>
      <c r="AB250" s="228">
        <f>AB208+AB$212*TRP!$AV250</f>
        <v>14.962316783067045</v>
      </c>
      <c r="AC250" s="228">
        <f>AC208+AC$212*TRP!$AV250</f>
        <v>0</v>
      </c>
      <c r="AD250" s="228">
        <f>AD208+AD$212*TRP!$AV250</f>
        <v>3.6394824607460379</v>
      </c>
      <c r="AE250" s="228">
        <f>AE208+AE$212*TRP!$AV250</f>
        <v>5.0548367510361638</v>
      </c>
      <c r="AF250" s="228">
        <f>AF208+AF$212*TRP!$AV250</f>
        <v>4.4482563409118239</v>
      </c>
      <c r="AG250" s="228">
        <f>AG208+AG$212*TRP!$AV250</f>
        <v>10.514060442155222</v>
      </c>
      <c r="AH250" s="228">
        <f>AH208+AH$212*TRP!$AV250</f>
        <v>2.2241281704559119</v>
      </c>
      <c r="AI250" s="228">
        <f>AI208+AI$212*TRP!$AV250</f>
        <v>1.0109673502072327</v>
      </c>
      <c r="AJ250" s="228">
        <f>AJ208+AJ$212*TRP!$AV250</f>
        <v>10.514060442155222</v>
      </c>
      <c r="AK250" s="228">
        <f>AK208+AK$212*TRP!$AV250</f>
        <v>1.8197412303730189</v>
      </c>
      <c r="AL250" s="228">
        <f>AL208+AL$212*TRP!$AV250</f>
        <v>0.60658041012433972</v>
      </c>
      <c r="AM250" s="228">
        <f>AM208+AM$212*TRP!$AV250</f>
        <v>2.6285151105388054</v>
      </c>
      <c r="AN250" s="228">
        <f>AN208+AN$212*TRP!$AV250</f>
        <v>11.322834322321008</v>
      </c>
      <c r="AO250" s="228">
        <f>AO208+AO$212*TRP!$AV250</f>
        <v>4.4482563409118239</v>
      </c>
      <c r="AP250" s="228">
        <f>AP208+AP$212*TRP!$AV250</f>
        <v>4.2460628708703778</v>
      </c>
      <c r="AQ250" s="228">
        <f>AQ208+AQ$212*TRP!$AV250</f>
        <v>0</v>
      </c>
      <c r="AR250" s="228">
        <f>AR208+AR$212*TRP!$AV250</f>
        <v>9.9074800320308807</v>
      </c>
      <c r="AS250" s="228">
        <f>AS208+AS$212*TRP!$AV250</f>
        <v>8.4921257417407556</v>
      </c>
      <c r="AT250" s="228">
        <f>AT208+AT$212*TRP!$AV250</f>
        <v>19.814960064061761</v>
      </c>
      <c r="AU250" s="228">
        <f>AU208+AU$212*TRP!$AV250</f>
        <v>2.6285151105388054</v>
      </c>
      <c r="AV250" s="228">
        <f>AV208+AV$212*TRP!$AV250</f>
        <v>6.2679975712848428</v>
      </c>
      <c r="AW250" s="228">
        <f>AW208+AW$212*TRP!$AV250</f>
        <v>0.80877388016578622</v>
      </c>
      <c r="AX250" s="228">
        <f>AX208+AX$212*TRP!$AV250</f>
        <v>12.131608202486794</v>
      </c>
      <c r="AY250" s="228">
        <f>AY208+AY$212*TRP!$AV250</f>
        <v>9.9074800320308807</v>
      </c>
      <c r="AZ250" s="228">
        <f>AZ208+AZ$212*TRP!$AV250</f>
        <v>4.6504498109532708</v>
      </c>
      <c r="BA250" s="228">
        <f>BA208+BA$212*TRP!$AV250</f>
        <v>2.2241281704559119</v>
      </c>
      <c r="BB250" s="228">
        <f>BB208+BB$212*TRP!$AV250</f>
        <v>8.2899322716993087</v>
      </c>
      <c r="BC250" s="228">
        <f>BC208+BC$212*TRP!$AV250</f>
        <v>11.929414732445347</v>
      </c>
      <c r="BD250" s="228">
        <f>BD208+BD$212*TRP!$AV250</f>
        <v>0</v>
      </c>
      <c r="BE250" s="228">
        <f>BE208+BE$212*TRP!$AV250</f>
        <v>6.0658041012433968</v>
      </c>
      <c r="BF250" s="228">
        <f>BF208+BF$212*TRP!$AV250</f>
        <v>10.716253912196667</v>
      </c>
      <c r="BG250" s="228">
        <f>BG208+BG$212*TRP!$AV250</f>
        <v>36.597018077501829</v>
      </c>
      <c r="BH250" s="228">
        <f>BH208+BH$212*TRP!$AV250</f>
        <v>7.4811583915335227</v>
      </c>
      <c r="BI250" s="228">
        <f>BI208+BI$212*TRP!$AV250</f>
        <v>7.2789649214920757</v>
      </c>
      <c r="BJ250" s="228">
        <f>BJ208+BJ$212*TRP!$AV250</f>
        <v>16.175477603315723</v>
      </c>
      <c r="BK250" s="228">
        <f>BK208+BK$212*TRP!$AV250</f>
        <v>3.2350955206631449</v>
      </c>
      <c r="BL250" s="228">
        <f>BL208+BL$212*TRP!$AV250</f>
        <v>4.6504498109532708</v>
      </c>
      <c r="BM250" s="228">
        <f>BM208+BM$212*TRP!$AV250</f>
        <v>5.6614171611605038</v>
      </c>
      <c r="BN250" s="228">
        <f>BN208+BN$212*TRP!$AV250</f>
        <v>1.2131608202486794</v>
      </c>
      <c r="BO250" s="228">
        <f>BO208+BO$212*TRP!$AV250</f>
        <v>0</v>
      </c>
      <c r="BP250" s="228">
        <f>BP208+BP$212*TRP!$AV250</f>
        <v>0</v>
      </c>
      <c r="BQ250" s="228">
        <f>BQ208+BQ$212*TRP!$AV250</f>
        <v>0</v>
      </c>
      <c r="BR250" s="228">
        <f>BR208+BR$212*TRP!$AV250</f>
        <v>4.2460628708703778</v>
      </c>
      <c r="BS250" s="228">
        <f>BS208+BS$212*TRP!$AV250</f>
        <v>59.040493252102394</v>
      </c>
      <c r="BT250" s="228">
        <f>BT208+BT$212*TRP!$AV250</f>
        <v>58.433912841978056</v>
      </c>
      <c r="BU250" s="228">
        <f>BU208+BU$212*TRP!$AV250</f>
        <v>3.4372889907045914</v>
      </c>
      <c r="BV250" s="228">
        <f>BV208+BV$212*TRP!$AV250</f>
        <v>32.755342146714341</v>
      </c>
      <c r="BW250" s="228">
        <f>BW208+BW$212*TRP!$AV250</f>
        <v>65.308490823387231</v>
      </c>
      <c r="BX250" s="228">
        <f>BX208+BX$212*TRP!$AV250</f>
        <v>24.263216404973587</v>
      </c>
      <c r="BY250" s="228">
        <f>BY208+BY$212*TRP!$AV250</f>
        <v>57.625138961812269</v>
      </c>
      <c r="BZ250" s="228">
        <f>BZ208+BZ$212*TRP!$AV250</f>
        <v>661.57703397561318</v>
      </c>
      <c r="CA250" s="228">
        <f>CA208+CA$212*TRP!$AV250</f>
        <v>238.79048811894839</v>
      </c>
      <c r="CB250" s="228">
        <f>CB208+CB$212*TRP!$AV250</f>
        <v>0.40438694008289311</v>
      </c>
      <c r="CC250" s="228">
        <f>CC208+CC$212*TRP!$AV250</f>
        <v>6.2679975712848428</v>
      </c>
      <c r="CD250" s="228">
        <f>CD208+CD$212*TRP!$AV250</f>
        <v>24.869796815097928</v>
      </c>
      <c r="CE250" s="228">
        <f>CE208+CE$212*TRP!$AV250</f>
        <v>1604.5641160268801</v>
      </c>
      <c r="CF250" s="228">
        <f>CF208+CF$212*TRP!$AV250</f>
        <v>46.706691579574155</v>
      </c>
      <c r="CG250" s="228">
        <f>CG208+CG$212*TRP!$AV250</f>
        <v>274.29077117572695</v>
      </c>
      <c r="CH250" s="228">
        <f>CH208+CH$212*TRP!$AV250</f>
        <v>7.4811583915335227</v>
      </c>
      <c r="CI250" s="228">
        <f>CI208+CI$212*TRP!$AV250</f>
        <v>421.01742632457371</v>
      </c>
      <c r="CJ250" s="228">
        <f>CJ208+CJ$212*TRP!$AV250</f>
        <v>8.6943192117822026</v>
      </c>
      <c r="CK250" s="228">
        <f>CK208+CK$212*TRP!$AV250</f>
        <v>10.716253912196667</v>
      </c>
      <c r="CL250" s="228">
        <f>CL208+CL$212*TRP!$AV250</f>
        <v>0</v>
      </c>
      <c r="CM250" s="228">
        <f>CM208+CM$212*TRP!$AV250</f>
        <v>11.929414732445347</v>
      </c>
      <c r="CN250" s="228">
        <f>CN208+CN$212*TRP!$AV250</f>
        <v>31.339987856424216</v>
      </c>
      <c r="CO250" s="228">
        <f>CO208+CO$212*TRP!$AV250</f>
        <v>19.208379653937424</v>
      </c>
      <c r="CP250" s="228">
        <f>CP208+CP$212*TRP!$AV250</f>
        <v>16.579864543398617</v>
      </c>
      <c r="CQ250" s="228">
        <f>CQ208+CQ$212*TRP!$AV250</f>
        <v>13.344769022735473</v>
      </c>
      <c r="CR250" s="228">
        <f>CR208+CR$212*TRP!$AV250</f>
        <v>5.4592236911190568</v>
      </c>
      <c r="CS250" s="228">
        <f>CS208+CS$212*TRP!$AV250</f>
        <v>6.4701910413262897</v>
      </c>
      <c r="CT250" s="228">
        <f>CT208+CT$212*TRP!$AV250</f>
        <v>18.80399271385453</v>
      </c>
      <c r="CU250" s="228">
        <f>CU208+CU$212*TRP!$AV250</f>
        <v>11.929414732445347</v>
      </c>
      <c r="CV250" s="228">
        <f>CV208+CV$212*TRP!$AV250</f>
        <v>9.5030930919479886</v>
      </c>
      <c r="CW250" s="228">
        <f>CW208+CW$212*TRP!$AV250</f>
        <v>17.793025363647295</v>
      </c>
      <c r="CX250" s="228">
        <f>CX208+CX$212*TRP!$AV250</f>
        <v>5.6614171611605038</v>
      </c>
      <c r="CY250" s="228">
        <f>CY208+CY$212*TRP!$AV250</f>
        <v>16.984251483481511</v>
      </c>
      <c r="CZ250" s="228">
        <f>CZ208+CZ$212*TRP!$AV250</f>
        <v>0</v>
      </c>
      <c r="DA250" s="228">
        <f>DA208+DA$212*TRP!$AV250</f>
        <v>31.339987856424216</v>
      </c>
      <c r="DB250" s="228">
        <f>DB208+DB$212*TRP!$AV250</f>
        <v>30.329020506216985</v>
      </c>
      <c r="DC250" s="228">
        <f>DC208+DC$212*TRP!$AV250</f>
        <v>36.192631137418935</v>
      </c>
      <c r="DD250" s="228">
        <f>DD208+DD$212*TRP!$AV250</f>
        <v>0</v>
      </c>
      <c r="DE250" s="228">
        <f>DE208+DE$212*TRP!$AV250</f>
        <v>7.2789649214920757</v>
      </c>
      <c r="DF250" s="228">
        <f>DF208+DF$212*TRP!$AV250</f>
        <v>0</v>
      </c>
      <c r="DG250" s="228">
        <f>DG208+DG$212*TRP!$AV250</f>
        <v>8.0877388016578617</v>
      </c>
      <c r="DH250" s="228">
        <f>DH208+DH$212*TRP!$AV250</f>
        <v>0</v>
      </c>
      <c r="DI250" s="228">
        <f>DI208+DI$212*TRP!$AV250</f>
        <v>16.579864543398617</v>
      </c>
      <c r="DJ250" s="228">
        <f>DJ208+DJ$212*TRP!$AV250</f>
        <v>0</v>
      </c>
      <c r="DK250" s="228">
        <f>DK208+DK$212*TRP!$AV250</f>
        <v>1.0109673502072327</v>
      </c>
      <c r="DL250" s="228">
        <f>DL208+DL$212*TRP!$AV250</f>
        <v>4.8526432809947178</v>
      </c>
      <c r="DM250" s="228">
        <f>DM208+DM$212*TRP!$AV250</f>
        <v>0</v>
      </c>
      <c r="DN250" s="228">
        <f>DN208+DN$212*TRP!$AV250</f>
        <v>18.782058013440064</v>
      </c>
      <c r="DO250" s="228">
        <f>DO208+DO$212*TRP!$AV250</f>
        <v>0</v>
      </c>
      <c r="DP250" s="232">
        <f t="shared" si="279"/>
        <v>4391.1374394654504</v>
      </c>
      <c r="DQ250" s="228">
        <f t="shared" si="161"/>
        <v>0</v>
      </c>
      <c r="DR250" s="228">
        <f t="shared" si="162"/>
        <v>81.686161896744409</v>
      </c>
      <c r="DS250" s="230">
        <f>SUM(X250:Y250)+(1-TRP!$AK$253)*AC250</f>
        <v>34.170696437004466</v>
      </c>
      <c r="DT250" s="228">
        <f t="shared" si="163"/>
        <v>8.4921257417407556</v>
      </c>
      <c r="DU250" s="228">
        <f t="shared" si="164"/>
        <v>19.814960064061761</v>
      </c>
      <c r="DV250" s="228">
        <f t="shared" si="165"/>
        <v>14.557929842984151</v>
      </c>
      <c r="DW250" s="228">
        <f t="shared" si="166"/>
        <v>2.2241281704559119</v>
      </c>
      <c r="DX250" s="228">
        <f t="shared" si="167"/>
        <v>8.2899322716993087</v>
      </c>
      <c r="DY250" s="228">
        <f t="shared" si="168"/>
        <v>10.716253912196667</v>
      </c>
      <c r="DZ250" s="228">
        <f t="shared" si="169"/>
        <v>36.597018077501829</v>
      </c>
      <c r="EA250" s="228">
        <f t="shared" si="170"/>
        <v>7.4811583915335227</v>
      </c>
      <c r="EB250" s="230">
        <f>TRP!$AK$253*$AC250+SUM(M250:W250,Z250:AB250,AD250:AR250,AU250:AX250,BC250:BE250,BI250:BN250,BQ250:BR250,BV250)</f>
        <v>254.15719184209837</v>
      </c>
      <c r="EC250" s="228">
        <f t="shared" si="171"/>
        <v>89.571707228360822</v>
      </c>
      <c r="ED250" s="230">
        <f>CB250+$CI250*TRP!$AV$248</f>
        <v>13.457716586102777</v>
      </c>
      <c r="EE250" s="228">
        <f t="shared" si="172"/>
        <v>6.2679975712848428</v>
      </c>
      <c r="EF250" s="230">
        <f>CD250+$CI250*TRP!$AV$249</f>
        <v>316.7173018856418</v>
      </c>
      <c r="EG250" s="230">
        <f>CE250+$CI250*TRP!$AV$250</f>
        <v>1689.6910904033648</v>
      </c>
      <c r="EH250" s="230">
        <f>CF250+$CI250*TRP!$AV$251</f>
        <v>77.696308811099499</v>
      </c>
      <c r="EI250" s="228">
        <f t="shared" si="173"/>
        <v>1579.8540072333467</v>
      </c>
      <c r="EJ250" s="228">
        <f t="shared" si="174"/>
        <v>18.782058013440064</v>
      </c>
      <c r="EK250" s="228">
        <f t="shared" si="175"/>
        <v>0</v>
      </c>
      <c r="EL250" s="230">
        <f>BS250+$BP250*TRP!$AN$246</f>
        <v>59.040493252102394</v>
      </c>
      <c r="EM250" s="228">
        <f t="shared" si="176"/>
        <v>58.433912841978056</v>
      </c>
      <c r="EN250" s="230">
        <f>BU250+$BP250*TRP!$AN$247</f>
        <v>3.4372889907045914</v>
      </c>
    </row>
    <row r="251" spans="1:144" s="228" customFormat="1" ht="10.5" x14ac:dyDescent="0.25">
      <c r="B251" s="228" t="str">
        <f>TRP!B251</f>
        <v>TRANSPORTS AERIENS</v>
      </c>
      <c r="C251" s="233">
        <f>TRP!A251</f>
        <v>18</v>
      </c>
      <c r="D251" s="228">
        <f>D209+D$212*TRP!$AV251</f>
        <v>4</v>
      </c>
      <c r="E251" s="228">
        <f>E209+E$212*TRP!$AV251</f>
        <v>0</v>
      </c>
      <c r="F251" s="228">
        <f>F209+F$212*TRP!$AV251</f>
        <v>5</v>
      </c>
      <c r="G251" s="228">
        <f>G209+G$212*TRP!$AV251</f>
        <v>23.563602711478612</v>
      </c>
      <c r="H251" s="228">
        <f>H209+H$212*TRP!$AV251</f>
        <v>27.931635188210759</v>
      </c>
      <c r="I251" s="228">
        <f>I209+I$212*TRP!$AV251</f>
        <v>46.330158599792917</v>
      </c>
      <c r="J251" s="228">
        <f>J209+J$212*TRP!$AV251</f>
        <v>14.91376887900716</v>
      </c>
      <c r="K251" s="228">
        <f>K209+K$212*TRP!$AV251</f>
        <v>57.997858741467965</v>
      </c>
      <c r="L251" s="228">
        <f>L209+L$212*TRP!$AV251</f>
        <v>1</v>
      </c>
      <c r="M251" s="228">
        <f>M209+M$212*TRP!$AV251</f>
        <v>21.662458458117865</v>
      </c>
      <c r="N251" s="228">
        <f>N209+N$212*TRP!$AV251</f>
        <v>5.4416389720785752</v>
      </c>
      <c r="O251" s="228">
        <f>O209+O$212*TRP!$AV251</f>
        <v>48.685566450878653</v>
      </c>
      <c r="P251" s="228">
        <f>P209+P$212*TRP!$AV251</f>
        <v>83.208194860392879</v>
      </c>
      <c r="Q251" s="228">
        <f>Q209+Q$212*TRP!$AV251</f>
        <v>45.692949392967876</v>
      </c>
      <c r="R251" s="228">
        <f>R209+R$212*TRP!$AV251</f>
        <v>5.1777039255428683</v>
      </c>
      <c r="S251" s="228">
        <f>S209+S$212*TRP!$AV251</f>
        <v>1.3680324767321461</v>
      </c>
      <c r="T251" s="228">
        <f>T209+T$212*TRP!$AV251</f>
        <v>1.5888519627714339</v>
      </c>
      <c r="U251" s="228">
        <f>U209+U$212*TRP!$AV251</f>
        <v>2.1472129906928585</v>
      </c>
      <c r="V251" s="228">
        <f>V209+V$212*TRP!$AV251</f>
        <v>2.5152454674250047</v>
      </c>
      <c r="W251" s="228">
        <f>W209+W$212*TRP!$AV251</f>
        <v>3.2208194860392876</v>
      </c>
      <c r="X251" s="228">
        <f>X209+X$212*TRP!$AV251</f>
        <v>21.446880655635763</v>
      </c>
      <c r="Y251" s="228">
        <f>Y209+Y$212*TRP!$AV251</f>
        <v>32.992617057910778</v>
      </c>
      <c r="Z251" s="228">
        <f>Z209+Z$212*TRP!$AV251</f>
        <v>3.1777039255428678</v>
      </c>
      <c r="AA251" s="228">
        <f>AA209+AA$212*TRP!$AV251</f>
        <v>10.956884439503581</v>
      </c>
      <c r="AB251" s="228">
        <f>AB209+AB$212*TRP!$AV251</f>
        <v>43.446880655635766</v>
      </c>
      <c r="AC251" s="228">
        <f>AC209+AC$212*TRP!$AV251</f>
        <v>1</v>
      </c>
      <c r="AD251" s="228">
        <f>AD209+AD$212*TRP!$AV251</f>
        <v>4.3249169162357264</v>
      </c>
      <c r="AE251" s="228">
        <f>AE209+AE$212*TRP!$AV251</f>
        <v>2.840162383660731</v>
      </c>
      <c r="AF251" s="228">
        <f>AF209+AF$212*TRP!$AV251</f>
        <v>9.6193428976214435</v>
      </c>
      <c r="AG251" s="228">
        <f>AG209+AG$212*TRP!$AV251</f>
        <v>8.8275377580143211</v>
      </c>
      <c r="AH251" s="228">
        <f>AH209+AH$212*TRP!$AV251</f>
        <v>3.8096714488107217</v>
      </c>
      <c r="AI251" s="228">
        <f>AI209+AI$212*TRP!$AV251</f>
        <v>3.3680324767321461</v>
      </c>
      <c r="AJ251" s="228">
        <f>AJ209+AJ$212*TRP!$AV251</f>
        <v>7.8275377580143211</v>
      </c>
      <c r="AK251" s="228">
        <f>AK209+AK$212*TRP!$AV251</f>
        <v>4.6624584581178627</v>
      </c>
      <c r="AL251" s="228">
        <f>AL209+AL$212*TRP!$AV251</f>
        <v>1.2208194860392878</v>
      </c>
      <c r="AM251" s="228">
        <f>AM209+AM$212*TRP!$AV251</f>
        <v>4.9568844395035798</v>
      </c>
      <c r="AN251" s="228">
        <f>AN209+AN$212*TRP!$AV251</f>
        <v>13.121963739400037</v>
      </c>
      <c r="AO251" s="228">
        <f>AO209+AO$212*TRP!$AV251</f>
        <v>4.6193428976214435</v>
      </c>
      <c r="AP251" s="228">
        <f>AP209+AP$212*TRP!$AV251</f>
        <v>11.545736402275015</v>
      </c>
      <c r="AQ251" s="228">
        <f>AQ209+AQ$212*TRP!$AV251</f>
        <v>0</v>
      </c>
      <c r="AR251" s="228">
        <f>AR209+AR$212*TRP!$AV251</f>
        <v>11.606718271975033</v>
      </c>
      <c r="AS251" s="228">
        <f>AS209+AS$212*TRP!$AV251</f>
        <v>15.091472804550028</v>
      </c>
      <c r="AT251" s="228">
        <f>AT209+AT$212*TRP!$AV251</f>
        <v>46.213436543950067</v>
      </c>
      <c r="AU251" s="228">
        <f>AU209+AU$212*TRP!$AV251</f>
        <v>12.956884439503581</v>
      </c>
      <c r="AV251" s="228">
        <f>AV209+AV$212*TRP!$AV251</f>
        <v>11.281801355739306</v>
      </c>
      <c r="AW251" s="228">
        <f>AW209+AW$212*TRP!$AV251</f>
        <v>3.2944259813857171</v>
      </c>
      <c r="AX251" s="228">
        <f>AX209+AX$212*TRP!$AV251</f>
        <v>9.4163897207857552</v>
      </c>
      <c r="AY251" s="228">
        <f>AY209+AY$212*TRP!$AV251</f>
        <v>12.606718271975033</v>
      </c>
      <c r="AZ251" s="228">
        <f>AZ209+AZ$212*TRP!$AV251</f>
        <v>10.692949392967872</v>
      </c>
      <c r="BA251" s="228">
        <f>BA209+BA$212*TRP!$AV251</f>
        <v>12.809671448810722</v>
      </c>
      <c r="BB251" s="228">
        <f>BB209+BB$212*TRP!$AV251</f>
        <v>27.017866309203598</v>
      </c>
      <c r="BC251" s="228">
        <f>BC209+BC$212*TRP!$AV251</f>
        <v>16.342783225439327</v>
      </c>
      <c r="BD251" s="228">
        <f>BD209+BD$212*TRP!$AV251</f>
        <v>1</v>
      </c>
      <c r="BE251" s="228">
        <f>BE209+BE$212*TRP!$AV251</f>
        <v>16.208194860392876</v>
      </c>
      <c r="BF251" s="228">
        <f>BF209+BF$212*TRP!$AV251</f>
        <v>30.901144253360748</v>
      </c>
      <c r="BG251" s="228">
        <f>BG209+BG$212*TRP!$AV251</f>
        <v>30.322775657703694</v>
      </c>
      <c r="BH251" s="228">
        <f>BH209+BH$212*TRP!$AV251</f>
        <v>12.723440327817881</v>
      </c>
      <c r="BI251" s="228">
        <f>BI209+BI$212*TRP!$AV251</f>
        <v>10.649833832471453</v>
      </c>
      <c r="BJ251" s="228">
        <f>BJ209+BJ$212*TRP!$AV251</f>
        <v>18.888519627714338</v>
      </c>
      <c r="BK251" s="228">
        <f>BK209+BK$212*TRP!$AV251</f>
        <v>20.177703925542868</v>
      </c>
      <c r="BL251" s="228">
        <f>BL209+BL$212*TRP!$AV251</f>
        <v>12.692949392967872</v>
      </c>
      <c r="BM251" s="228">
        <f>BM209+BM$212*TRP!$AV251</f>
        <v>28.060981869700019</v>
      </c>
      <c r="BN251" s="228">
        <f>BN209+BN$212*TRP!$AV251</f>
        <v>6.4416389720785752</v>
      </c>
      <c r="BO251" s="228">
        <f>BO209+BO$212*TRP!$AV251</f>
        <v>0</v>
      </c>
      <c r="BP251" s="228">
        <f>BP209+BP$212*TRP!$AV251</f>
        <v>0</v>
      </c>
      <c r="BQ251" s="228">
        <f>BQ209+BQ$212*TRP!$AV251</f>
        <v>0</v>
      </c>
      <c r="BR251" s="228">
        <f>BR209+BR$212*TRP!$AV251</f>
        <v>1.545736402275014</v>
      </c>
      <c r="BS251" s="228">
        <f>BS209+BS$212*TRP!$AV251</f>
        <v>74.493096641157337</v>
      </c>
      <c r="BT251" s="228">
        <f>BT209+BT$212*TRP!$AV251</f>
        <v>49.272277155118047</v>
      </c>
      <c r="BU251" s="228">
        <f>BU209+BU$212*TRP!$AV251</f>
        <v>5.2513104208892969</v>
      </c>
      <c r="BV251" s="228">
        <f>BV209+BV$212*TRP!$AV251</f>
        <v>19.924252246121537</v>
      </c>
      <c r="BW251" s="228">
        <f>BW209+BW$212*TRP!$AV251</f>
        <v>117.77489799689664</v>
      </c>
      <c r="BX251" s="228">
        <f>BX209+BX$212*TRP!$AV251</f>
        <v>53.83277944157151</v>
      </c>
      <c r="BY251" s="228">
        <f>BY209+BY$212*TRP!$AV251</f>
        <v>110.97785117373233</v>
      </c>
      <c r="BZ251" s="228">
        <f>BZ209+BZ$212*TRP!$AV251</f>
        <v>708.84045277351652</v>
      </c>
      <c r="CA251" s="228">
        <f>CA209+CA$212*TRP!$AV251</f>
        <v>538.92927100413294</v>
      </c>
      <c r="CB251" s="228">
        <f>CB209+CB$212*TRP!$AV251</f>
        <v>3.1472129906928585</v>
      </c>
      <c r="CC251" s="228">
        <f>CC209+CC$212*TRP!$AV251</f>
        <v>17.281801355739308</v>
      </c>
      <c r="CD251" s="228">
        <f>CD209+CD$212*TRP!$AV251</f>
        <v>47.053598927610793</v>
      </c>
      <c r="CE251" s="228">
        <f>CE209+CE$212*TRP!$AV251</f>
        <v>44.218678227507255</v>
      </c>
      <c r="CF251" s="228">
        <f>CF209+CF$212*TRP!$AV251</f>
        <v>2409.003100425025</v>
      </c>
      <c r="CG251" s="228">
        <f>CG209+CG$212*TRP!$AV251</f>
        <v>249.448798988622</v>
      </c>
      <c r="CH251" s="228">
        <f>CH209+CH$212*TRP!$AV251</f>
        <v>184.72344032781788</v>
      </c>
      <c r="CI251" s="228">
        <f>CI209+CI$212*TRP!$AV251</f>
        <v>311.67891974973674</v>
      </c>
      <c r="CJ251" s="228">
        <f>CJ209+CJ$212*TRP!$AV251</f>
        <v>358.16507929989643</v>
      </c>
      <c r="CK251" s="228">
        <f>CK209+CK$212*TRP!$AV251</f>
        <v>129.90114425336074</v>
      </c>
      <c r="CL251" s="228">
        <f>CL209+CL$212*TRP!$AV251</f>
        <v>186</v>
      </c>
      <c r="CM251" s="228">
        <f>CM209+CM$212*TRP!$AV251</f>
        <v>37.342783225439327</v>
      </c>
      <c r="CN251" s="228">
        <f>CN209+CN$212*TRP!$AV251</f>
        <v>88.409006778696536</v>
      </c>
      <c r="CO251" s="228">
        <f>CO209+CO$212*TRP!$AV251</f>
        <v>66.992617057910778</v>
      </c>
      <c r="CP251" s="228">
        <f>CP209+CP$212*TRP!$AV251</f>
        <v>181.0357326184072</v>
      </c>
      <c r="CQ251" s="228">
        <f>CQ209+CQ$212*TRP!$AV251</f>
        <v>174.85802869286434</v>
      </c>
      <c r="CR251" s="228">
        <f>CR209+CR$212*TRP!$AV251</f>
        <v>141.98737537435358</v>
      </c>
      <c r="CS251" s="228">
        <f>CS209+CS$212*TRP!$AV251</f>
        <v>76.355407851085729</v>
      </c>
      <c r="CT251" s="228">
        <f>CT209+CT$212*TRP!$AV251</f>
        <v>205.84540406721791</v>
      </c>
      <c r="CU251" s="228">
        <f>CU209+CU$212*TRP!$AV251</f>
        <v>111.34278322543932</v>
      </c>
      <c r="CV251" s="228">
        <f>CV209+CV$212*TRP!$AV251</f>
        <v>37.459505281282176</v>
      </c>
      <c r="CW251" s="228">
        <f>CW209+CW$212*TRP!$AV251</f>
        <v>353.47737159048575</v>
      </c>
      <c r="CX251" s="228">
        <f>CX209+CX$212*TRP!$AV251</f>
        <v>17.060981869700019</v>
      </c>
      <c r="CY251" s="228">
        <f>CY209+CY$212*TRP!$AV251</f>
        <v>103.18294560910006</v>
      </c>
      <c r="CZ251" s="228">
        <f>CZ209+CZ$212*TRP!$AV251</f>
        <v>100</v>
      </c>
      <c r="DA251" s="228">
        <f>DA209+DA$212*TRP!$AV251</f>
        <v>138.40900677869652</v>
      </c>
      <c r="DB251" s="228">
        <f>DB209+DB$212*TRP!$AV251</f>
        <v>171.04097430196438</v>
      </c>
      <c r="DC251" s="228">
        <f>DC209+DC$212*TRP!$AV251</f>
        <v>111.17556266701084</v>
      </c>
      <c r="DD251" s="228">
        <f>DD209+DD$212*TRP!$AV251</f>
        <v>29</v>
      </c>
      <c r="DE251" s="228">
        <f>DE209+DE$212*TRP!$AV251</f>
        <v>36.649833832471451</v>
      </c>
      <c r="DF251" s="228">
        <f>DF209+DF$212*TRP!$AV251</f>
        <v>0</v>
      </c>
      <c r="DG251" s="228">
        <f>DG209+DG$212*TRP!$AV251</f>
        <v>99.944259813857173</v>
      </c>
      <c r="DH251" s="228">
        <f>DH209+DH$212*TRP!$AV251</f>
        <v>0</v>
      </c>
      <c r="DI251" s="228">
        <f>DI209+DI$212*TRP!$AV251</f>
        <v>131.0357326184072</v>
      </c>
      <c r="DJ251" s="228">
        <f>DJ209+DJ$212*TRP!$AV251</f>
        <v>0</v>
      </c>
      <c r="DK251" s="228">
        <f>DK209+DK$212*TRP!$AV251</f>
        <v>4.3680324767321466</v>
      </c>
      <c r="DL251" s="228">
        <f>DL209+DL$212*TRP!$AV251</f>
        <v>59.766555888314301</v>
      </c>
      <c r="DM251" s="228">
        <f>DM209+DM$212*TRP!$AV251</f>
        <v>11</v>
      </c>
      <c r="DN251" s="228">
        <f>DN209+DN$212*TRP!$AV251</f>
        <v>157.10933911375363</v>
      </c>
      <c r="DO251" s="228">
        <f>DO209+DO$212*TRP!$AV251</f>
        <v>50</v>
      </c>
      <c r="DP251" s="232">
        <f t="shared" si="279"/>
        <v>9288.922313380519</v>
      </c>
      <c r="DQ251" s="228">
        <f t="shared" si="161"/>
        <v>9</v>
      </c>
      <c r="DR251" s="228">
        <f t="shared" si="162"/>
        <v>171.73702411995743</v>
      </c>
      <c r="DS251" s="230">
        <f>SUM(X251:Y251)+(1-TRP!$AK$253)*AC251</f>
        <v>55.139497713546547</v>
      </c>
      <c r="DT251" s="228">
        <f t="shared" si="163"/>
        <v>15.091472804550028</v>
      </c>
      <c r="DU251" s="228">
        <f t="shared" si="164"/>
        <v>46.213436543950067</v>
      </c>
      <c r="DV251" s="228">
        <f t="shared" si="165"/>
        <v>23.299667664942906</v>
      </c>
      <c r="DW251" s="228">
        <f t="shared" si="166"/>
        <v>12.809671448810722</v>
      </c>
      <c r="DX251" s="228">
        <f t="shared" si="167"/>
        <v>27.017866309203598</v>
      </c>
      <c r="DY251" s="228">
        <f t="shared" si="168"/>
        <v>30.901144253360748</v>
      </c>
      <c r="DZ251" s="228">
        <f t="shared" si="169"/>
        <v>30.322775657703694</v>
      </c>
      <c r="EA251" s="228">
        <f t="shared" si="170"/>
        <v>12.723440327817881</v>
      </c>
      <c r="EB251" s="230">
        <f>TRP!$AK$253*$AC251+SUM(M251:W251,Z251:AB251,AD251:AR251,AU251:AX251,BC251:BE251,BI251:BN251,BQ251:BR251,BV251)</f>
        <v>559.82336465046149</v>
      </c>
      <c r="EC251" s="228">
        <f t="shared" si="171"/>
        <v>171.60767743846816</v>
      </c>
      <c r="ED251" s="230">
        <f>CB251+$CI251*TRP!$AV$248</f>
        <v>12.810584216738533</v>
      </c>
      <c r="EE251" s="228">
        <f t="shared" si="172"/>
        <v>17.281801355739308</v>
      </c>
      <c r="EF251" s="230">
        <f>CD251+$CI251*TRP!$AV$249</f>
        <v>263.10811217219396</v>
      </c>
      <c r="EG251" s="230">
        <f>CE251+$CI251*TRP!$AV$250</f>
        <v>107.23812055047608</v>
      </c>
      <c r="EH251" s="230">
        <f>CF251+$CI251*TRP!$AV$251</f>
        <v>2431.9446933811641</v>
      </c>
      <c r="EI251" s="228">
        <f t="shared" si="173"/>
        <v>4843.7259394405164</v>
      </c>
      <c r="EJ251" s="228">
        <f t="shared" si="174"/>
        <v>318.10933911375366</v>
      </c>
      <c r="EK251" s="228">
        <f t="shared" si="175"/>
        <v>0</v>
      </c>
      <c r="EL251" s="230">
        <f>BS251+$BP251*TRP!$AN$246</f>
        <v>74.493096641157337</v>
      </c>
      <c r="EM251" s="228">
        <f t="shared" si="176"/>
        <v>49.272277155118047</v>
      </c>
      <c r="EN251" s="230">
        <f>BU251+$BP251*TRP!$AN$247</f>
        <v>5.2513104208892969</v>
      </c>
    </row>
    <row r="252" spans="1:144" s="228" customFormat="1" ht="10.5" x14ac:dyDescent="0.25">
      <c r="B252" s="228" t="str">
        <f>TRP!B252</f>
        <v>AUTOMOBILES (VOITURE + MOTOCYCLE)</v>
      </c>
      <c r="C252" s="233">
        <f>TRP!A252</f>
        <v>3</v>
      </c>
      <c r="D252" s="228">
        <f>SUM(D149:D150,D154)-D253</f>
        <v>158</v>
      </c>
      <c r="E252" s="228">
        <f t="shared" ref="E252:BP252" si="280">SUM(E149:E150,E154)-E253</f>
        <v>20</v>
      </c>
      <c r="F252" s="228">
        <f t="shared" si="280"/>
        <v>0</v>
      </c>
      <c r="G252" s="228">
        <f t="shared" si="280"/>
        <v>18.399999999999999</v>
      </c>
      <c r="H252" s="228">
        <f t="shared" si="280"/>
        <v>7</v>
      </c>
      <c r="I252" s="228">
        <f t="shared" si="280"/>
        <v>161</v>
      </c>
      <c r="J252" s="228">
        <f t="shared" si="280"/>
        <v>16</v>
      </c>
      <c r="K252" s="228">
        <f t="shared" si="280"/>
        <v>22.7</v>
      </c>
      <c r="L252" s="228">
        <f t="shared" si="280"/>
        <v>0</v>
      </c>
      <c r="M252" s="228">
        <f t="shared" si="280"/>
        <v>2.7</v>
      </c>
      <c r="N252" s="228">
        <f t="shared" si="280"/>
        <v>4</v>
      </c>
      <c r="O252" s="228">
        <f t="shared" si="280"/>
        <v>10.7</v>
      </c>
      <c r="P252" s="228">
        <f t="shared" si="280"/>
        <v>3.7</v>
      </c>
      <c r="Q252" s="228">
        <f t="shared" si="280"/>
        <v>10.7</v>
      </c>
      <c r="R252" s="228">
        <f t="shared" si="280"/>
        <v>14.7</v>
      </c>
      <c r="S252" s="228">
        <f t="shared" si="280"/>
        <v>3</v>
      </c>
      <c r="T252" s="228">
        <f t="shared" si="280"/>
        <v>3.7</v>
      </c>
      <c r="U252" s="228">
        <f t="shared" si="280"/>
        <v>5</v>
      </c>
      <c r="V252" s="228">
        <f t="shared" si="280"/>
        <v>7</v>
      </c>
      <c r="W252" s="228">
        <f t="shared" si="280"/>
        <v>3</v>
      </c>
      <c r="X252" s="228">
        <f t="shared" si="280"/>
        <v>21873</v>
      </c>
      <c r="Y252" s="228">
        <f t="shared" si="280"/>
        <v>3737.7</v>
      </c>
      <c r="Z252" s="228">
        <f t="shared" si="280"/>
        <v>6.7</v>
      </c>
      <c r="AA252" s="228">
        <f t="shared" si="280"/>
        <v>10</v>
      </c>
      <c r="AB252" s="228">
        <f t="shared" si="280"/>
        <v>20.7</v>
      </c>
      <c r="AC252" s="228">
        <f t="shared" si="280"/>
        <v>47.3</v>
      </c>
      <c r="AD252" s="228">
        <f t="shared" si="280"/>
        <v>18.7</v>
      </c>
      <c r="AE252" s="228">
        <f t="shared" si="280"/>
        <v>20.399999999999999</v>
      </c>
      <c r="AF252" s="228">
        <f t="shared" si="280"/>
        <v>43.7</v>
      </c>
      <c r="AG252" s="228">
        <f t="shared" si="280"/>
        <v>110.7</v>
      </c>
      <c r="AH252" s="228">
        <f t="shared" si="280"/>
        <v>30.7</v>
      </c>
      <c r="AI252" s="228">
        <f t="shared" si="280"/>
        <v>14</v>
      </c>
      <c r="AJ252" s="228">
        <f t="shared" si="280"/>
        <v>47.7</v>
      </c>
      <c r="AK252" s="228">
        <f t="shared" si="280"/>
        <v>24</v>
      </c>
      <c r="AL252" s="228">
        <f t="shared" si="280"/>
        <v>2.7</v>
      </c>
      <c r="AM252" s="228">
        <f t="shared" si="280"/>
        <v>19</v>
      </c>
      <c r="AN252" s="228">
        <f t="shared" si="280"/>
        <v>14.7</v>
      </c>
      <c r="AO252" s="228">
        <f t="shared" si="280"/>
        <v>16.7</v>
      </c>
      <c r="AP252" s="228">
        <f t="shared" si="280"/>
        <v>14.7</v>
      </c>
      <c r="AQ252" s="228">
        <f t="shared" si="280"/>
        <v>0</v>
      </c>
      <c r="AR252" s="228">
        <f t="shared" si="280"/>
        <v>19</v>
      </c>
      <c r="AS252" s="228">
        <f t="shared" si="280"/>
        <v>12.7</v>
      </c>
      <c r="AT252" s="228">
        <f t="shared" si="280"/>
        <v>69.8</v>
      </c>
      <c r="AU252" s="228">
        <f t="shared" si="280"/>
        <v>8.6999999999999993</v>
      </c>
      <c r="AV252" s="228">
        <f t="shared" si="280"/>
        <v>5</v>
      </c>
      <c r="AW252" s="228">
        <f t="shared" si="280"/>
        <v>5</v>
      </c>
      <c r="AX252" s="228">
        <f t="shared" si="280"/>
        <v>15.7</v>
      </c>
      <c r="AY252" s="228">
        <f t="shared" si="280"/>
        <v>10.7</v>
      </c>
      <c r="AZ252" s="228">
        <f t="shared" si="280"/>
        <v>8.6999999999999993</v>
      </c>
      <c r="BA252" s="228">
        <f t="shared" si="280"/>
        <v>6</v>
      </c>
      <c r="BB252" s="228">
        <f t="shared" si="280"/>
        <v>18.399999999999999</v>
      </c>
      <c r="BC252" s="228">
        <f t="shared" si="280"/>
        <v>12.7</v>
      </c>
      <c r="BD252" s="228">
        <f t="shared" si="280"/>
        <v>1</v>
      </c>
      <c r="BE252" s="228">
        <f t="shared" si="280"/>
        <v>4.7</v>
      </c>
      <c r="BF252" s="228">
        <f t="shared" si="280"/>
        <v>10.1</v>
      </c>
      <c r="BG252" s="228">
        <f t="shared" si="280"/>
        <v>20.399999999999999</v>
      </c>
      <c r="BH252" s="228">
        <f t="shared" si="280"/>
        <v>16</v>
      </c>
      <c r="BI252" s="228">
        <f t="shared" si="280"/>
        <v>15</v>
      </c>
      <c r="BJ252" s="228">
        <f t="shared" si="280"/>
        <v>25.7</v>
      </c>
      <c r="BK252" s="228">
        <f t="shared" si="280"/>
        <v>22.7</v>
      </c>
      <c r="BL252" s="228">
        <f t="shared" si="280"/>
        <v>55.1</v>
      </c>
      <c r="BM252" s="228">
        <f t="shared" si="280"/>
        <v>31.7</v>
      </c>
      <c r="BN252" s="228">
        <f t="shared" si="280"/>
        <v>17.7</v>
      </c>
      <c r="BO252" s="228">
        <f t="shared" si="280"/>
        <v>0</v>
      </c>
      <c r="BP252" s="228">
        <f t="shared" si="280"/>
        <v>0</v>
      </c>
      <c r="BQ252" s="228">
        <f t="shared" ref="BQ252:DO252" si="281">SUM(BQ149:BQ150,BQ154)-BQ253</f>
        <v>0</v>
      </c>
      <c r="BR252" s="228">
        <f t="shared" si="281"/>
        <v>10</v>
      </c>
      <c r="BS252" s="228">
        <f t="shared" si="281"/>
        <v>60.7</v>
      </c>
      <c r="BT252" s="228">
        <f t="shared" si="281"/>
        <v>65.7</v>
      </c>
      <c r="BU252" s="228">
        <f t="shared" si="281"/>
        <v>3.7</v>
      </c>
      <c r="BV252" s="228">
        <f t="shared" si="281"/>
        <v>13.7</v>
      </c>
      <c r="BW252" s="228">
        <f t="shared" si="281"/>
        <v>55.8</v>
      </c>
      <c r="BX252" s="228">
        <f t="shared" si="281"/>
        <v>29.7</v>
      </c>
      <c r="BY252" s="228">
        <f t="shared" si="281"/>
        <v>4569.8</v>
      </c>
      <c r="BZ252" s="228">
        <f t="shared" si="281"/>
        <v>1147.8</v>
      </c>
      <c r="CA252" s="228">
        <f t="shared" si="281"/>
        <v>178.6</v>
      </c>
      <c r="CB252" s="228">
        <f t="shared" si="281"/>
        <v>3</v>
      </c>
      <c r="CC252" s="228">
        <f t="shared" si="281"/>
        <v>49.7</v>
      </c>
      <c r="CD252" s="228">
        <f t="shared" si="281"/>
        <v>445.8</v>
      </c>
      <c r="CE252" s="228">
        <f t="shared" si="281"/>
        <v>41</v>
      </c>
      <c r="CF252" s="228">
        <f t="shared" si="281"/>
        <v>69</v>
      </c>
      <c r="CG252" s="228">
        <f t="shared" si="281"/>
        <v>497.9</v>
      </c>
      <c r="CH252" s="228">
        <f t="shared" si="281"/>
        <v>39</v>
      </c>
      <c r="CI252" s="228">
        <f t="shared" si="281"/>
        <v>61.7</v>
      </c>
      <c r="CJ252" s="228">
        <f t="shared" si="281"/>
        <v>7</v>
      </c>
      <c r="CK252" s="228">
        <f t="shared" si="281"/>
        <v>0</v>
      </c>
      <c r="CL252" s="228">
        <f t="shared" si="281"/>
        <v>0</v>
      </c>
      <c r="CM252" s="228">
        <f t="shared" si="281"/>
        <v>18</v>
      </c>
      <c r="CN252" s="228">
        <f t="shared" si="281"/>
        <v>23</v>
      </c>
      <c r="CO252" s="228">
        <f t="shared" si="281"/>
        <v>136</v>
      </c>
      <c r="CP252" s="228">
        <f t="shared" si="281"/>
        <v>52.7</v>
      </c>
      <c r="CQ252" s="228">
        <f t="shared" si="281"/>
        <v>38.700000000000003</v>
      </c>
      <c r="CR252" s="228">
        <f t="shared" si="281"/>
        <v>63</v>
      </c>
      <c r="CS252" s="228">
        <f t="shared" si="281"/>
        <v>11</v>
      </c>
      <c r="CT252" s="228">
        <f t="shared" si="281"/>
        <v>39.700000000000003</v>
      </c>
      <c r="CU252" s="228">
        <f t="shared" si="281"/>
        <v>40.700000000000003</v>
      </c>
      <c r="CV252" s="228">
        <f t="shared" si="281"/>
        <v>17</v>
      </c>
      <c r="CW252" s="228">
        <f t="shared" si="281"/>
        <v>288.8</v>
      </c>
      <c r="CX252" s="228">
        <f t="shared" si="281"/>
        <v>3</v>
      </c>
      <c r="CY252" s="228">
        <f t="shared" si="281"/>
        <v>76.099999999999994</v>
      </c>
      <c r="CZ252" s="228">
        <f t="shared" si="281"/>
        <v>0</v>
      </c>
      <c r="DA252" s="228">
        <f t="shared" si="281"/>
        <v>29.4</v>
      </c>
      <c r="DB252" s="228">
        <f t="shared" si="281"/>
        <v>39.4</v>
      </c>
      <c r="DC252" s="228">
        <f t="shared" si="281"/>
        <v>64.7</v>
      </c>
      <c r="DD252" s="228">
        <f t="shared" si="281"/>
        <v>133</v>
      </c>
      <c r="DE252" s="228">
        <f t="shared" si="281"/>
        <v>11.7</v>
      </c>
      <c r="DF252" s="228">
        <f t="shared" si="281"/>
        <v>0</v>
      </c>
      <c r="DG252" s="228">
        <f t="shared" si="281"/>
        <v>18.7</v>
      </c>
      <c r="DH252" s="228">
        <f t="shared" si="281"/>
        <v>2</v>
      </c>
      <c r="DI252" s="228">
        <f t="shared" si="281"/>
        <v>26.7</v>
      </c>
      <c r="DJ252" s="228">
        <f t="shared" si="281"/>
        <v>0</v>
      </c>
      <c r="DK252" s="228">
        <f t="shared" si="281"/>
        <v>2</v>
      </c>
      <c r="DL252" s="228">
        <f t="shared" si="281"/>
        <v>21.7</v>
      </c>
      <c r="DM252" s="228">
        <f t="shared" si="281"/>
        <v>72</v>
      </c>
      <c r="DN252" s="228">
        <f t="shared" si="281"/>
        <v>102.4</v>
      </c>
      <c r="DO252" s="228">
        <f t="shared" si="281"/>
        <v>120</v>
      </c>
      <c r="DP252" s="232">
        <f t="shared" si="279"/>
        <v>35757.899999999994</v>
      </c>
      <c r="DQ252" s="228">
        <f t="shared" si="161"/>
        <v>178</v>
      </c>
      <c r="DR252" s="228">
        <f t="shared" si="162"/>
        <v>225.1</v>
      </c>
      <c r="DS252" s="230">
        <f>SUM(X252:Y252)+(1-TRP!$AK$253)*AC252</f>
        <v>25643.81</v>
      </c>
      <c r="DT252" s="228">
        <f t="shared" si="163"/>
        <v>12.7</v>
      </c>
      <c r="DU252" s="228">
        <f t="shared" si="164"/>
        <v>69.8</v>
      </c>
      <c r="DV252" s="228">
        <f t="shared" si="165"/>
        <v>19.399999999999999</v>
      </c>
      <c r="DW252" s="228">
        <f t="shared" si="166"/>
        <v>6</v>
      </c>
      <c r="DX252" s="228">
        <f t="shared" si="167"/>
        <v>18.399999999999999</v>
      </c>
      <c r="DY252" s="228">
        <f t="shared" si="168"/>
        <v>10.1</v>
      </c>
      <c r="DZ252" s="228">
        <f t="shared" si="169"/>
        <v>20.399999999999999</v>
      </c>
      <c r="EA252" s="228">
        <f t="shared" si="170"/>
        <v>16</v>
      </c>
      <c r="EB252" s="230">
        <f>TRP!$AK$253*$AC252+SUM(M252:W252,Z252:AB252,AD252:AR252,AU252:AX252,BC252:BE252,BI252:BN252,BQ252:BR252,BV252)</f>
        <v>760.89000000000044</v>
      </c>
      <c r="EC252" s="228">
        <f t="shared" si="171"/>
        <v>85.5</v>
      </c>
      <c r="ED252" s="230">
        <f>CB252+$CI252*TRP!$AV$248</f>
        <v>4.9129622405190645</v>
      </c>
      <c r="EE252" s="228">
        <f t="shared" si="172"/>
        <v>49.7</v>
      </c>
      <c r="EF252" s="230">
        <f>CD252+$CI252*TRP!$AV$249</f>
        <v>488.57017989504902</v>
      </c>
      <c r="EG252" s="230">
        <f>CE252+$CI252*TRP!$AV$250</f>
        <v>53.475337101557251</v>
      </c>
      <c r="EH252" s="230">
        <f>CF252+$CI252*TRP!$AV$251</f>
        <v>73.541520762874683</v>
      </c>
      <c r="EI252" s="228">
        <f t="shared" si="173"/>
        <v>7595.0999999999985</v>
      </c>
      <c r="EJ252" s="228">
        <f t="shared" si="174"/>
        <v>296.39999999999998</v>
      </c>
      <c r="EK252" s="228">
        <f t="shared" si="175"/>
        <v>0</v>
      </c>
      <c r="EL252" s="230">
        <f>BS252+$BP252*TRP!$AN$246</f>
        <v>60.7</v>
      </c>
      <c r="EM252" s="228">
        <f t="shared" si="176"/>
        <v>65.7</v>
      </c>
      <c r="EN252" s="230">
        <f>BU252+$BP252*TRP!$AN$247</f>
        <v>3.7</v>
      </c>
    </row>
    <row r="253" spans="1:144" s="228" customFormat="1" ht="10.5" x14ac:dyDescent="0.25">
      <c r="B253" s="228" t="str">
        <f>TRP!B253</f>
        <v>FABRICATION CYCLE</v>
      </c>
      <c r="C253" s="233">
        <f>TRP!A253</f>
        <v>12</v>
      </c>
      <c r="D253" s="228">
        <f>D154*TRP!$AK$253</f>
        <v>0</v>
      </c>
      <c r="E253" s="228">
        <f>E154*TRP!$AK$253</f>
        <v>0</v>
      </c>
      <c r="F253" s="228">
        <f>F154*TRP!$AK$253</f>
        <v>0</v>
      </c>
      <c r="G253" s="228">
        <f>G154*TRP!$AK$253</f>
        <v>0.6</v>
      </c>
      <c r="H253" s="228">
        <f>H154*TRP!$AK$253</f>
        <v>0</v>
      </c>
      <c r="I253" s="228">
        <f>I154*TRP!$AK$253</f>
        <v>0</v>
      </c>
      <c r="J253" s="228">
        <f>J154*TRP!$AK$253</f>
        <v>0</v>
      </c>
      <c r="K253" s="228">
        <f>K154*TRP!$AK$253</f>
        <v>0.3</v>
      </c>
      <c r="L253" s="228">
        <f>L154*TRP!$AK$253</f>
        <v>0</v>
      </c>
      <c r="M253" s="228">
        <f>M154*TRP!$AK$253</f>
        <v>0.3</v>
      </c>
      <c r="N253" s="228">
        <f>N154*TRP!$AK$253</f>
        <v>0</v>
      </c>
      <c r="O253" s="228">
        <f>O154*TRP!$AK$253</f>
        <v>0.3</v>
      </c>
      <c r="P253" s="228">
        <f>P154*TRP!$AK$253</f>
        <v>0.3</v>
      </c>
      <c r="Q253" s="228">
        <f>Q154*TRP!$AK$253</f>
        <v>0.3</v>
      </c>
      <c r="R253" s="228">
        <f>R154*TRP!$AK$253</f>
        <v>0.3</v>
      </c>
      <c r="S253" s="228">
        <f>S154*TRP!$AK$253</f>
        <v>0</v>
      </c>
      <c r="T253" s="228">
        <f>T154*TRP!$AK$253</f>
        <v>0.3</v>
      </c>
      <c r="U253" s="228">
        <f>U154*TRP!$AK$253</f>
        <v>0</v>
      </c>
      <c r="V253" s="228">
        <f>V154*TRP!$AK$253</f>
        <v>0</v>
      </c>
      <c r="W253" s="228">
        <f>W154*TRP!$AK$253</f>
        <v>0</v>
      </c>
      <c r="X253" s="228">
        <f>X154*TRP!$AK$253</f>
        <v>9</v>
      </c>
      <c r="Y253" s="228">
        <f>Y154*TRP!$AK$253</f>
        <v>3.3</v>
      </c>
      <c r="Z253" s="228">
        <f>Z154*TRP!$AK$253</f>
        <v>0.3</v>
      </c>
      <c r="AA253" s="228">
        <f>AA154*TRP!$AK$253</f>
        <v>0</v>
      </c>
      <c r="AB253" s="228">
        <f>AB154*TRP!$AK$253</f>
        <v>0.3</v>
      </c>
      <c r="AC253" s="228">
        <f>AC154*TRP!$AK$253</f>
        <v>14.7</v>
      </c>
      <c r="AD253" s="228">
        <f>AD154*TRP!$AK$253</f>
        <v>0.3</v>
      </c>
      <c r="AE253" s="228">
        <f>AE154*TRP!$AK$253</f>
        <v>0.6</v>
      </c>
      <c r="AF253" s="228">
        <f>AF154*TRP!$AK$253</f>
        <v>0.3</v>
      </c>
      <c r="AG253" s="228">
        <f>AG154*TRP!$AK$253</f>
        <v>0.3</v>
      </c>
      <c r="AH253" s="228">
        <f>AH154*TRP!$AK$253</f>
        <v>0.3</v>
      </c>
      <c r="AI253" s="228">
        <f>AI154*TRP!$AK$253</f>
        <v>0</v>
      </c>
      <c r="AJ253" s="228">
        <f>AJ154*TRP!$AK$253</f>
        <v>0.3</v>
      </c>
      <c r="AK253" s="228">
        <f>AK154*TRP!$AK$253</f>
        <v>0</v>
      </c>
      <c r="AL253" s="228">
        <f>AL154*TRP!$AK$253</f>
        <v>0.3</v>
      </c>
      <c r="AM253" s="228">
        <f>AM154*TRP!$AK$253</f>
        <v>0</v>
      </c>
      <c r="AN253" s="228">
        <f>AN154*TRP!$AK$253</f>
        <v>0.3</v>
      </c>
      <c r="AO253" s="228">
        <f>AO154*TRP!$AK$253</f>
        <v>0.3</v>
      </c>
      <c r="AP253" s="228">
        <f>AP154*TRP!$AK$253</f>
        <v>0.3</v>
      </c>
      <c r="AQ253" s="228">
        <f>AQ154*TRP!$AK$253</f>
        <v>0</v>
      </c>
      <c r="AR253" s="228">
        <f>AR154*TRP!$AK$253</f>
        <v>0</v>
      </c>
      <c r="AS253" s="228">
        <f>AS154*TRP!$AK$253</f>
        <v>0.3</v>
      </c>
      <c r="AT253" s="228">
        <f>AT154*TRP!$AK$253</f>
        <v>1.2</v>
      </c>
      <c r="AU253" s="228">
        <f>AU154*TRP!$AK$253</f>
        <v>0.3</v>
      </c>
      <c r="AV253" s="228">
        <f>AV154*TRP!$AK$253</f>
        <v>0</v>
      </c>
      <c r="AW253" s="228">
        <f>AW154*TRP!$AK$253</f>
        <v>0</v>
      </c>
      <c r="AX253" s="228">
        <f>AX154*TRP!$AK$253</f>
        <v>0.3</v>
      </c>
      <c r="AY253" s="228">
        <f>AY154*TRP!$AK$253</f>
        <v>0.3</v>
      </c>
      <c r="AZ253" s="228">
        <f>AZ154*TRP!$AK$253</f>
        <v>0.3</v>
      </c>
      <c r="BA253" s="228">
        <f>BA154*TRP!$AK$253</f>
        <v>0</v>
      </c>
      <c r="BB253" s="228">
        <f>BB154*TRP!$AK$253</f>
        <v>0.6</v>
      </c>
      <c r="BC253" s="228">
        <f>BC154*TRP!$AK$253</f>
        <v>0.3</v>
      </c>
      <c r="BD253" s="228">
        <f>BD154*TRP!$AK$253</f>
        <v>0</v>
      </c>
      <c r="BE253" s="228">
        <f>BE154*TRP!$AK$253</f>
        <v>0.3</v>
      </c>
      <c r="BF253" s="228">
        <f>BF154*TRP!$AK$253</f>
        <v>0.89999999999999991</v>
      </c>
      <c r="BG253" s="228">
        <f>BG154*TRP!$AK$253</f>
        <v>0.6</v>
      </c>
      <c r="BH253" s="228">
        <f>BH154*TRP!$AK$253</f>
        <v>0</v>
      </c>
      <c r="BI253" s="228">
        <f>BI154*TRP!$AK$253</f>
        <v>0</v>
      </c>
      <c r="BJ253" s="228">
        <f>BJ154*TRP!$AK$253</f>
        <v>0.3</v>
      </c>
      <c r="BK253" s="228">
        <f>BK154*TRP!$AK$253</f>
        <v>0.3</v>
      </c>
      <c r="BL253" s="228">
        <f>BL154*TRP!$AK$253</f>
        <v>0.89999999999999991</v>
      </c>
      <c r="BM253" s="228">
        <f>BM154*TRP!$AK$253</f>
        <v>0.3</v>
      </c>
      <c r="BN253" s="228">
        <f>BN154*TRP!$AK$253</f>
        <v>0.3</v>
      </c>
      <c r="BO253" s="228">
        <f>BO154*TRP!$AK$253</f>
        <v>0</v>
      </c>
      <c r="BP253" s="228">
        <f>BP154*TRP!$AK$253</f>
        <v>0</v>
      </c>
      <c r="BQ253" s="228">
        <f>BQ154*TRP!$AK$253</f>
        <v>0</v>
      </c>
      <c r="BR253" s="228">
        <f>BR154*TRP!$AK$253</f>
        <v>0</v>
      </c>
      <c r="BS253" s="228">
        <f>BS154*TRP!$AK$253</f>
        <v>0.3</v>
      </c>
      <c r="BT253" s="228">
        <f>BT154*TRP!$AK$253</f>
        <v>0.3</v>
      </c>
      <c r="BU253" s="228">
        <f>BU154*TRP!$AK$253</f>
        <v>0.3</v>
      </c>
      <c r="BV253" s="228">
        <f>BV154*TRP!$AK$253</f>
        <v>0.3</v>
      </c>
      <c r="BW253" s="228">
        <f>BW154*TRP!$AK$253</f>
        <v>1.2</v>
      </c>
      <c r="BX253" s="228">
        <f>BX154*TRP!$AK$253</f>
        <v>0.3</v>
      </c>
      <c r="BY253" s="228">
        <f>BY154*TRP!$AK$253</f>
        <v>10.199999999999999</v>
      </c>
      <c r="BZ253" s="228">
        <f>BZ154*TRP!$AK$253</f>
        <v>1.2</v>
      </c>
      <c r="CA253" s="228">
        <f>CA154*TRP!$AK$253</f>
        <v>2.4</v>
      </c>
      <c r="CB253" s="228">
        <f>CB154*TRP!$AK$253</f>
        <v>0</v>
      </c>
      <c r="CC253" s="228">
        <f>CC154*TRP!$AK$253</f>
        <v>0.3</v>
      </c>
      <c r="CD253" s="228">
        <f>CD154*TRP!$AK$253</f>
        <v>1.2</v>
      </c>
      <c r="CE253" s="228">
        <f>CE154*TRP!$AK$253</f>
        <v>0</v>
      </c>
      <c r="CF253" s="228">
        <f>CF154*TRP!$AK$253</f>
        <v>0</v>
      </c>
      <c r="CG253" s="228">
        <f>CG154*TRP!$AK$253</f>
        <v>2.1</v>
      </c>
      <c r="CH253" s="228">
        <f>CH154*TRP!$AK$253</f>
        <v>0</v>
      </c>
      <c r="CI253" s="228">
        <f>CI154*TRP!$AK$253</f>
        <v>3.3</v>
      </c>
      <c r="CJ253" s="228">
        <f>CJ154*TRP!$AK$253</f>
        <v>0</v>
      </c>
      <c r="CK253" s="228">
        <f>CK154*TRP!$AK$253</f>
        <v>0</v>
      </c>
      <c r="CL253" s="228">
        <f>CL154*TRP!$AK$253</f>
        <v>0</v>
      </c>
      <c r="CM253" s="228">
        <f>CM154*TRP!$AK$253</f>
        <v>0</v>
      </c>
      <c r="CN253" s="228">
        <f>CN154*TRP!$AK$253</f>
        <v>0</v>
      </c>
      <c r="CO253" s="228">
        <f>CO154*TRP!$AK$253</f>
        <v>3</v>
      </c>
      <c r="CP253" s="228">
        <f>CP154*TRP!$AK$253</f>
        <v>0.3</v>
      </c>
      <c r="CQ253" s="228">
        <f>CQ154*TRP!$AK$253</f>
        <v>0.3</v>
      </c>
      <c r="CR253" s="228">
        <f>CR154*TRP!$AK$253</f>
        <v>0</v>
      </c>
      <c r="CS253" s="228">
        <f>CS154*TRP!$AK$253</f>
        <v>0</v>
      </c>
      <c r="CT253" s="228">
        <f>CT154*TRP!$AK$253</f>
        <v>0.3</v>
      </c>
      <c r="CU253" s="228">
        <f>CU154*TRP!$AK$253</f>
        <v>0.3</v>
      </c>
      <c r="CV253" s="228">
        <f>CV154*TRP!$AK$253</f>
        <v>0</v>
      </c>
      <c r="CW253" s="228">
        <f>CW154*TRP!$AK$253</f>
        <v>1.2</v>
      </c>
      <c r="CX253" s="228">
        <f>CX154*TRP!$AK$253</f>
        <v>0</v>
      </c>
      <c r="CY253" s="228">
        <f>CY154*TRP!$AK$253</f>
        <v>0.89999999999999991</v>
      </c>
      <c r="CZ253" s="228">
        <f>CZ154*TRP!$AK$253</f>
        <v>0</v>
      </c>
      <c r="DA253" s="228">
        <f>DA154*TRP!$AK$253</f>
        <v>0.6</v>
      </c>
      <c r="DB253" s="228">
        <f>DB154*TRP!$AK$253</f>
        <v>0.6</v>
      </c>
      <c r="DC253" s="228">
        <f>DC154*TRP!$AK$253</f>
        <v>0.3</v>
      </c>
      <c r="DD253" s="228">
        <f>DD154*TRP!$AK$253</f>
        <v>0</v>
      </c>
      <c r="DE253" s="228">
        <f>DE154*TRP!$AK$253</f>
        <v>0.3</v>
      </c>
      <c r="DF253" s="228">
        <f>DF154*TRP!$AK$253</f>
        <v>0</v>
      </c>
      <c r="DG253" s="228">
        <f>DG154*TRP!$AK$253</f>
        <v>0.3</v>
      </c>
      <c r="DH253" s="228">
        <f>DH154*TRP!$AK$253</f>
        <v>0</v>
      </c>
      <c r="DI253" s="228">
        <f>DI154*TRP!$AK$253</f>
        <v>0.3</v>
      </c>
      <c r="DJ253" s="228">
        <f>DJ154*TRP!$AK$253</f>
        <v>0</v>
      </c>
      <c r="DK253" s="228">
        <f>DK154*TRP!$AK$253</f>
        <v>0</v>
      </c>
      <c r="DL253" s="228">
        <f>DL154*TRP!$AK$253</f>
        <v>0.3</v>
      </c>
      <c r="DM253" s="228">
        <f>DM154*TRP!$AK$253</f>
        <v>0</v>
      </c>
      <c r="DN253" s="228">
        <f>DN154*TRP!$AK$253</f>
        <v>0.6</v>
      </c>
      <c r="DO253" s="228">
        <f>DO154*TRP!$AK$253</f>
        <v>0</v>
      </c>
      <c r="DP253" s="232">
        <f t="shared" si="279"/>
        <v>74.099999999999909</v>
      </c>
      <c r="DQ253" s="228">
        <f t="shared" si="161"/>
        <v>0</v>
      </c>
      <c r="DR253" s="228">
        <f t="shared" si="162"/>
        <v>0.89999999999999991</v>
      </c>
      <c r="DS253" s="230">
        <f>SUM(X253:Y253)+(1-TRP!$AK$253)*AC253</f>
        <v>22.59</v>
      </c>
      <c r="DT253" s="228">
        <f t="shared" si="163"/>
        <v>0.3</v>
      </c>
      <c r="DU253" s="228">
        <f t="shared" si="164"/>
        <v>1.2</v>
      </c>
      <c r="DV253" s="228">
        <f t="shared" si="165"/>
        <v>0.6</v>
      </c>
      <c r="DW253" s="228">
        <f t="shared" si="166"/>
        <v>0</v>
      </c>
      <c r="DX253" s="228">
        <f t="shared" si="167"/>
        <v>0.6</v>
      </c>
      <c r="DY253" s="228">
        <f t="shared" si="168"/>
        <v>0.89999999999999991</v>
      </c>
      <c r="DZ253" s="228">
        <f t="shared" si="169"/>
        <v>0.6</v>
      </c>
      <c r="EA253" s="228">
        <f t="shared" si="170"/>
        <v>0</v>
      </c>
      <c r="EB253" s="230">
        <f>TRP!$AK$253*$AC253+SUM(M253:W253,Z253:AB253,AD253:AR253,AU253:AX253,BC253:BE253,BI253:BN253,BQ253:BR253,BV253)</f>
        <v>13.709999999999997</v>
      </c>
      <c r="EC253" s="228">
        <f t="shared" si="171"/>
        <v>1.5</v>
      </c>
      <c r="ED253" s="230">
        <f>CB253+$CI253*TRP!$AV$248</f>
        <v>0.10231402583003101</v>
      </c>
      <c r="EE253" s="228">
        <f t="shared" si="172"/>
        <v>0.3</v>
      </c>
      <c r="EF253" s="230">
        <f>CD253+$CI253*TRP!$AV$249</f>
        <v>3.4875460883899789</v>
      </c>
      <c r="EG253" s="230">
        <f>CE253+$CI253*TRP!$AV$250</f>
        <v>0.6672384511367736</v>
      </c>
      <c r="EH253" s="230">
        <f>CF253+$CI253*TRP!$AV$251</f>
        <v>0.24290143464321648</v>
      </c>
      <c r="EI253" s="228">
        <f t="shared" si="173"/>
        <v>24.900000000000006</v>
      </c>
      <c r="EJ253" s="228">
        <f t="shared" si="174"/>
        <v>0.6</v>
      </c>
      <c r="EK253" s="228">
        <f t="shared" si="175"/>
        <v>0</v>
      </c>
      <c r="EL253" s="230">
        <f>BS253+$BP253*TRP!$AN$246</f>
        <v>0.3</v>
      </c>
      <c r="EM253" s="228">
        <f t="shared" si="176"/>
        <v>0.3</v>
      </c>
      <c r="EN253" s="230">
        <f>BU253+$BP253*TRP!$AN$247</f>
        <v>0.3</v>
      </c>
    </row>
    <row r="254" spans="1:144" s="228" customFormat="1" ht="10.5" x14ac:dyDescent="0.25">
      <c r="B254" s="228">
        <f>TRP!B254</f>
        <v>0</v>
      </c>
      <c r="C254" s="233">
        <f>TRP!A254</f>
        <v>100</v>
      </c>
    </row>
    <row r="255" spans="1:144" s="228" customFormat="1" ht="10.5" x14ac:dyDescent="0.25">
      <c r="B255" s="228">
        <f>TRP!B255</f>
        <v>0</v>
      </c>
      <c r="C255" s="233">
        <f>TRP!A255</f>
        <v>100</v>
      </c>
      <c r="DP255" s="232"/>
    </row>
    <row r="256" spans="1:144" s="228" customFormat="1" ht="10.5" x14ac:dyDescent="0.25">
      <c r="B256" s="228">
        <f>TRP!B256</f>
        <v>0</v>
      </c>
      <c r="C256" s="233">
        <f>TRP!A256</f>
        <v>100</v>
      </c>
      <c r="DP256" s="232"/>
    </row>
    <row r="257" spans="2:120" s="228" customFormat="1" ht="10.5" x14ac:dyDescent="0.25">
      <c r="B257" s="228">
        <f>TRP!B257</f>
        <v>0</v>
      </c>
      <c r="C257" s="233">
        <f>TRP!A257</f>
        <v>100</v>
      </c>
      <c r="DP257" s="232"/>
    </row>
    <row r="258" spans="2:120" s="228" customFormat="1" ht="10.5" x14ac:dyDescent="0.25">
      <c r="B258" s="228">
        <f>TRP!B258</f>
        <v>0</v>
      </c>
      <c r="C258" s="233">
        <f>TRP!A258</f>
        <v>100</v>
      </c>
      <c r="DP258" s="232"/>
    </row>
    <row r="259" spans="2:120" s="228" customFormat="1" ht="10.5" x14ac:dyDescent="0.25">
      <c r="B259" s="228">
        <f>TRP!B259</f>
        <v>0</v>
      </c>
      <c r="C259" s="233">
        <f>TRP!A259</f>
        <v>100</v>
      </c>
      <c r="DP259" s="232"/>
    </row>
    <row r="260" spans="2:120" s="228" customFormat="1" ht="10.5" x14ac:dyDescent="0.25">
      <c r="B260" s="228">
        <f>TRP!B260</f>
        <v>0</v>
      </c>
      <c r="C260" s="233">
        <f>TRP!A260</f>
        <v>100</v>
      </c>
      <c r="DP260" s="232"/>
    </row>
    <row r="261" spans="2:120" s="228" customFormat="1" ht="10.5" x14ac:dyDescent="0.25">
      <c r="B261" s="228">
        <f>TRP!B261</f>
        <v>0</v>
      </c>
      <c r="C261" s="233">
        <f>TRP!A261</f>
        <v>100</v>
      </c>
      <c r="DP261" s="232"/>
    </row>
    <row r="262" spans="2:120" s="228" customFormat="1" ht="10.5" x14ac:dyDescent="0.25">
      <c r="B262" s="228">
        <f>TRP!B262</f>
        <v>0</v>
      </c>
      <c r="C262" s="233">
        <f>TRP!A262</f>
        <v>100</v>
      </c>
      <c r="DP262" s="232"/>
    </row>
    <row r="263" spans="2:120" s="228" customFormat="1" ht="10.5" x14ac:dyDescent="0.25">
      <c r="B263" s="228">
        <f>TRP!B263</f>
        <v>0</v>
      </c>
      <c r="C263" s="233">
        <f>TRP!A263</f>
        <v>100</v>
      </c>
      <c r="DP263" s="232"/>
    </row>
    <row r="264" spans="2:120" s="228" customFormat="1" ht="10.5" x14ac:dyDescent="0.25">
      <c r="B264" s="228">
        <f>TRP!B264</f>
        <v>0</v>
      </c>
      <c r="C264" s="233">
        <f>TRP!A264</f>
        <v>100</v>
      </c>
      <c r="DP264" s="232"/>
    </row>
    <row r="265" spans="2:120" s="228" customFormat="1" ht="10.5" x14ac:dyDescent="0.25">
      <c r="B265" s="228">
        <f>TRP!B265</f>
        <v>0</v>
      </c>
      <c r="C265" s="233">
        <f>TRP!A265</f>
        <v>100</v>
      </c>
      <c r="DP265" s="232"/>
    </row>
    <row r="266" spans="2:120" s="228" customFormat="1" ht="10.5" x14ac:dyDescent="0.25">
      <c r="B266" s="228">
        <f>TRP!B266</f>
        <v>0</v>
      </c>
      <c r="C266" s="233">
        <f>TRP!A266</f>
        <v>100</v>
      </c>
      <c r="DP266" s="232"/>
    </row>
    <row r="267" spans="2:120" s="228" customFormat="1" ht="10.5" x14ac:dyDescent="0.25">
      <c r="B267" s="228">
        <f>TRP!B267</f>
        <v>0</v>
      </c>
      <c r="C267" s="233">
        <f>TRP!A267</f>
        <v>100</v>
      </c>
      <c r="DP267" s="232"/>
    </row>
    <row r="268" spans="2:120" s="228" customFormat="1" ht="10.5" x14ac:dyDescent="0.25">
      <c r="B268" s="228">
        <f>TRP!B268</f>
        <v>0</v>
      </c>
      <c r="C268" s="233">
        <f>TRP!A268</f>
        <v>100</v>
      </c>
      <c r="DP268" s="232"/>
    </row>
    <row r="269" spans="2:120" s="228" customFormat="1" ht="10.5" x14ac:dyDescent="0.25">
      <c r="B269" s="228">
        <f>TRP!B269</f>
        <v>0</v>
      </c>
      <c r="C269" s="233">
        <f>TRP!A269</f>
        <v>100</v>
      </c>
      <c r="DP269" s="232"/>
    </row>
    <row r="270" spans="2:120" s="228" customFormat="1" ht="10.5" x14ac:dyDescent="0.25">
      <c r="B270" s="228">
        <f>TRP!B270</f>
        <v>0</v>
      </c>
      <c r="C270" s="233">
        <f>TRP!A270</f>
        <v>100</v>
      </c>
      <c r="DP270" s="232"/>
    </row>
    <row r="271" spans="2:120" s="228" customFormat="1" ht="10.5" x14ac:dyDescent="0.25">
      <c r="B271" s="228">
        <f>TRP!B271</f>
        <v>0</v>
      </c>
      <c r="C271" s="233">
        <f>TRP!A271</f>
        <v>100</v>
      </c>
      <c r="DP271" s="232"/>
    </row>
    <row r="272" spans="2:120" s="228" customFormat="1" ht="10.5" x14ac:dyDescent="0.25">
      <c r="B272" s="228">
        <f>TRP!B272</f>
        <v>0</v>
      </c>
      <c r="C272" s="233">
        <f>TRP!A272</f>
        <v>100</v>
      </c>
      <c r="DP272" s="232"/>
    </row>
    <row r="273" spans="2:120" s="228" customFormat="1" ht="10.5" x14ac:dyDescent="0.25">
      <c r="B273" s="228">
        <f>TRP!B273</f>
        <v>0</v>
      </c>
      <c r="C273" s="233">
        <f>TRP!A273</f>
        <v>100</v>
      </c>
      <c r="DP273" s="232"/>
    </row>
    <row r="274" spans="2:120" s="228" customFormat="1" ht="10.5" x14ac:dyDescent="0.25">
      <c r="B274" s="228">
        <f>TRP!B274</f>
        <v>0</v>
      </c>
      <c r="C274" s="233">
        <f>TRP!A274</f>
        <v>100</v>
      </c>
      <c r="DP274" s="232"/>
    </row>
    <row r="275" spans="2:120" s="228" customFormat="1" ht="10.5" x14ac:dyDescent="0.25">
      <c r="B275" s="228">
        <f>TRP!B275</f>
        <v>0</v>
      </c>
      <c r="C275" s="233">
        <f>TRP!A275</f>
        <v>100</v>
      </c>
      <c r="DP275" s="232"/>
    </row>
    <row r="276" spans="2:120" s="228" customFormat="1" ht="10.5" x14ac:dyDescent="0.25">
      <c r="B276" s="228">
        <f>TRP!B276</f>
        <v>0</v>
      </c>
      <c r="C276" s="233">
        <f>TRP!A276</f>
        <v>100</v>
      </c>
      <c r="DP276" s="232"/>
    </row>
    <row r="277" spans="2:120" s="228" customFormat="1" ht="10.5" x14ac:dyDescent="0.25">
      <c r="B277" s="228">
        <f>TRP!B277</f>
        <v>0</v>
      </c>
      <c r="C277" s="233">
        <f>TRP!A277</f>
        <v>100</v>
      </c>
      <c r="DP277" s="232"/>
    </row>
    <row r="278" spans="2:120" s="228" customFormat="1" ht="10.5" x14ac:dyDescent="0.25">
      <c r="B278" s="228">
        <f>TRP!B278</f>
        <v>0</v>
      </c>
      <c r="C278" s="233">
        <f>TRP!A278</f>
        <v>100</v>
      </c>
      <c r="DP278" s="232"/>
    </row>
    <row r="279" spans="2:120" s="228" customFormat="1" ht="10.5" x14ac:dyDescent="0.25">
      <c r="B279" s="228">
        <f>TRP!B279</f>
        <v>0</v>
      </c>
      <c r="C279" s="233">
        <f>TRP!A279</f>
        <v>100</v>
      </c>
      <c r="DP279" s="232"/>
    </row>
    <row r="280" spans="2:120" s="228" customFormat="1" ht="10.5" x14ac:dyDescent="0.25">
      <c r="B280" s="228">
        <f>TRP!B280</f>
        <v>0</v>
      </c>
      <c r="C280" s="233">
        <f>TRP!A280</f>
        <v>100</v>
      </c>
      <c r="DP280" s="232"/>
    </row>
    <row r="281" spans="2:120" s="228" customFormat="1" ht="10.5" x14ac:dyDescent="0.25">
      <c r="B281" s="228">
        <f>TRP!B281</f>
        <v>0</v>
      </c>
      <c r="C281" s="233">
        <f>TRP!A281</f>
        <v>100</v>
      </c>
      <c r="DP281" s="232"/>
    </row>
    <row r="282" spans="2:120" s="228" customFormat="1" ht="10.5" x14ac:dyDescent="0.25">
      <c r="B282" s="228">
        <f>TRP!B282</f>
        <v>0</v>
      </c>
      <c r="C282" s="233">
        <f>TRP!A282</f>
        <v>100</v>
      </c>
      <c r="DP282" s="232"/>
    </row>
    <row r="283" spans="2:120" s="228" customFormat="1" ht="10.5" x14ac:dyDescent="0.25">
      <c r="B283" s="228">
        <f>TRP!B283</f>
        <v>0</v>
      </c>
      <c r="C283" s="233">
        <f>TRP!A283</f>
        <v>100</v>
      </c>
      <c r="DP283" s="232"/>
    </row>
    <row r="284" spans="2:120" s="228" customFormat="1" ht="10.5" x14ac:dyDescent="0.25">
      <c r="B284" s="228">
        <f>TRP!B284</f>
        <v>0</v>
      </c>
      <c r="C284" s="233">
        <f>TRP!A284</f>
        <v>100</v>
      </c>
      <c r="DP284" s="232"/>
    </row>
    <row r="285" spans="2:120" s="228" customFormat="1" ht="10.5" x14ac:dyDescent="0.25">
      <c r="B285" s="228">
        <f>TRP!B285</f>
        <v>0</v>
      </c>
      <c r="C285" s="233">
        <f>TRP!A285</f>
        <v>100</v>
      </c>
      <c r="DP285" s="232"/>
    </row>
    <row r="286" spans="2:120" s="228" customFormat="1" ht="10.5" x14ac:dyDescent="0.25">
      <c r="B286" s="228">
        <f>TRP!B286</f>
        <v>0</v>
      </c>
      <c r="C286" s="233">
        <f>TRP!A286</f>
        <v>100</v>
      </c>
      <c r="DP286" s="232"/>
    </row>
    <row r="287" spans="2:120" s="228" customFormat="1" ht="10.5" x14ac:dyDescent="0.25">
      <c r="B287" s="228">
        <f>TRP!B287</f>
        <v>0</v>
      </c>
      <c r="C287" s="233">
        <f>TRP!A287</f>
        <v>100</v>
      </c>
      <c r="DP287" s="232"/>
    </row>
    <row r="288" spans="2:120" s="228" customFormat="1" ht="10.5" x14ac:dyDescent="0.25">
      <c r="B288" s="228">
        <f>TRP!B288</f>
        <v>0</v>
      </c>
      <c r="C288" s="233">
        <f>TRP!A288</f>
        <v>100</v>
      </c>
      <c r="DP288" s="232"/>
    </row>
    <row r="289" spans="2:120" s="228" customFormat="1" ht="10.5" x14ac:dyDescent="0.25">
      <c r="B289" s="228">
        <f>TRP!B289</f>
        <v>0</v>
      </c>
      <c r="C289" s="233">
        <f>TRP!A289</f>
        <v>100</v>
      </c>
      <c r="DP289" s="232"/>
    </row>
    <row r="290" spans="2:120" s="228" customFormat="1" ht="10.5" x14ac:dyDescent="0.25">
      <c r="B290" s="228">
        <f>TRP!B290</f>
        <v>0</v>
      </c>
      <c r="C290" s="233">
        <f>TRP!A290</f>
        <v>100</v>
      </c>
      <c r="DP290" s="232"/>
    </row>
    <row r="291" spans="2:120" s="228" customFormat="1" ht="10.5" x14ac:dyDescent="0.25">
      <c r="B291" s="228">
        <f>TRP!B291</f>
        <v>0</v>
      </c>
      <c r="C291" s="233">
        <f>TRP!A291</f>
        <v>100</v>
      </c>
      <c r="DP291" s="232"/>
    </row>
    <row r="292" spans="2:120" s="228" customFormat="1" ht="10.5" x14ac:dyDescent="0.25">
      <c r="B292" s="228">
        <f>TRP!B292</f>
        <v>0</v>
      </c>
      <c r="C292" s="233">
        <f>TRP!A292</f>
        <v>100</v>
      </c>
      <c r="DP292" s="232"/>
    </row>
    <row r="293" spans="2:120" s="228" customFormat="1" ht="10.5" x14ac:dyDescent="0.25">
      <c r="B293" s="228">
        <f>TRP!B293</f>
        <v>0</v>
      </c>
      <c r="C293" s="233">
        <f>TRP!A293</f>
        <v>100</v>
      </c>
      <c r="DP293" s="232"/>
    </row>
    <row r="294" spans="2:120" s="228" customFormat="1" ht="10.5" x14ac:dyDescent="0.25">
      <c r="B294" s="228">
        <f>TRP!B294</f>
        <v>0</v>
      </c>
      <c r="C294" s="233">
        <f>TRP!A294</f>
        <v>100</v>
      </c>
      <c r="DP294" s="232"/>
    </row>
    <row r="295" spans="2:120" s="228" customFormat="1" ht="10.5" x14ac:dyDescent="0.25">
      <c r="B295" s="228">
        <f>TRP!B295</f>
        <v>0</v>
      </c>
      <c r="C295" s="233">
        <f>TRP!A295</f>
        <v>100</v>
      </c>
      <c r="DP295" s="232"/>
    </row>
    <row r="296" spans="2:120" s="228" customFormat="1" ht="10.5" x14ac:dyDescent="0.25">
      <c r="B296" s="228">
        <f>TRP!B296</f>
        <v>0</v>
      </c>
      <c r="C296" s="233">
        <f>TRP!A296</f>
        <v>100</v>
      </c>
      <c r="DP296" s="232"/>
    </row>
    <row r="297" spans="2:120" s="228" customFormat="1" ht="10.5" x14ac:dyDescent="0.25">
      <c r="B297" s="228">
        <f>TRP!B297</f>
        <v>0</v>
      </c>
      <c r="C297" s="233">
        <f>TRP!A297</f>
        <v>100</v>
      </c>
      <c r="DP297" s="232"/>
    </row>
    <row r="298" spans="2:120" s="228" customFormat="1" ht="10.5" x14ac:dyDescent="0.25">
      <c r="B298" s="228">
        <f>TRP!B298</f>
        <v>0</v>
      </c>
      <c r="C298" s="233">
        <f>TRP!A298</f>
        <v>100</v>
      </c>
      <c r="DP298" s="232"/>
    </row>
    <row r="299" spans="2:120" s="228" customFormat="1" ht="10.5" x14ac:dyDescent="0.25">
      <c r="B299" s="228">
        <f>TRP!B299</f>
        <v>0</v>
      </c>
      <c r="C299" s="233">
        <f>TRP!A299</f>
        <v>100</v>
      </c>
      <c r="DP299" s="232"/>
    </row>
    <row r="300" spans="2:120" s="228" customFormat="1" ht="10.5" x14ac:dyDescent="0.25">
      <c r="B300" s="228">
        <f>TRP!B300</f>
        <v>0</v>
      </c>
      <c r="C300" s="233">
        <f>TRP!A300</f>
        <v>100</v>
      </c>
      <c r="DP300" s="232"/>
    </row>
    <row r="301" spans="2:120" s="228" customFormat="1" ht="10.5" x14ac:dyDescent="0.25">
      <c r="B301" s="228">
        <f>TRP!B301</f>
        <v>0</v>
      </c>
      <c r="C301" s="233">
        <f>TRP!A301</f>
        <v>100</v>
      </c>
      <c r="DP301" s="232"/>
    </row>
    <row r="302" spans="2:120" s="228" customFormat="1" ht="10.5" x14ac:dyDescent="0.25">
      <c r="B302" s="228">
        <f>TRP!B302</f>
        <v>0</v>
      </c>
      <c r="C302" s="233">
        <f>TRP!A302</f>
        <v>100</v>
      </c>
      <c r="DP302" s="232"/>
    </row>
    <row r="303" spans="2:120" s="228" customFormat="1" ht="10.5" x14ac:dyDescent="0.25">
      <c r="B303" s="228">
        <f>TRP!B303</f>
        <v>0</v>
      </c>
      <c r="C303" s="233">
        <f>TRP!A303</f>
        <v>100</v>
      </c>
      <c r="DP303" s="232"/>
    </row>
    <row r="304" spans="2:120" s="228" customFormat="1" ht="10.5" x14ac:dyDescent="0.25">
      <c r="B304" s="228">
        <f>TRP!B304</f>
        <v>0</v>
      </c>
      <c r="C304" s="233">
        <f>TRP!A304</f>
        <v>100</v>
      </c>
      <c r="DP304" s="232"/>
    </row>
    <row r="305" spans="2:120" s="228" customFormat="1" ht="10.5" x14ac:dyDescent="0.25">
      <c r="B305" s="228">
        <f>TRP!B305</f>
        <v>0</v>
      </c>
      <c r="C305" s="233">
        <f>TRP!A305</f>
        <v>100</v>
      </c>
      <c r="DP305" s="232"/>
    </row>
    <row r="306" spans="2:120" s="228" customFormat="1" ht="10.5" x14ac:dyDescent="0.25">
      <c r="B306" s="228">
        <f>TRP!B306</f>
        <v>0</v>
      </c>
      <c r="C306" s="233">
        <f>TRP!A306</f>
        <v>100</v>
      </c>
      <c r="DP306" s="232"/>
    </row>
    <row r="307" spans="2:120" s="228" customFormat="1" ht="10.5" x14ac:dyDescent="0.25">
      <c r="B307" s="228">
        <f>TRP!B307</f>
        <v>0</v>
      </c>
      <c r="C307" s="233">
        <f>TRP!A307</f>
        <v>100</v>
      </c>
      <c r="DP307" s="232"/>
    </row>
    <row r="308" spans="2:120" s="228" customFormat="1" ht="10.5" x14ac:dyDescent="0.25">
      <c r="B308" s="228">
        <f>TRP!B308</f>
        <v>0</v>
      </c>
      <c r="C308" s="233">
        <f>TRP!A308</f>
        <v>100</v>
      </c>
      <c r="DP308" s="232"/>
    </row>
    <row r="309" spans="2:120" s="228" customFormat="1" ht="10.5" x14ac:dyDescent="0.25">
      <c r="B309" s="228">
        <f>TRP!B309</f>
        <v>0</v>
      </c>
      <c r="C309" s="233">
        <f>TRP!A309</f>
        <v>100</v>
      </c>
      <c r="DP309" s="232"/>
    </row>
    <row r="310" spans="2:120" s="228" customFormat="1" ht="10.5" x14ac:dyDescent="0.25">
      <c r="B310" s="228">
        <f>TRP!B310</f>
        <v>0</v>
      </c>
      <c r="C310" s="233">
        <f>TRP!A310</f>
        <v>100</v>
      </c>
      <c r="DP310" s="232"/>
    </row>
    <row r="311" spans="2:120" s="228" customFormat="1" ht="10.5" x14ac:dyDescent="0.25">
      <c r="B311" s="228">
        <f>TRP!B311</f>
        <v>0</v>
      </c>
      <c r="C311" s="233">
        <f>TRP!A311</f>
        <v>100</v>
      </c>
      <c r="DP311" s="232"/>
    </row>
    <row r="312" spans="2:120" s="228" customFormat="1" ht="10.5" x14ac:dyDescent="0.25">
      <c r="B312" s="228">
        <f>TRP!B312</f>
        <v>0</v>
      </c>
      <c r="C312" s="233">
        <f>TRP!A312</f>
        <v>100</v>
      </c>
      <c r="DP312" s="232"/>
    </row>
    <row r="313" spans="2:120" s="228" customFormat="1" ht="10.5" x14ac:dyDescent="0.25">
      <c r="B313" s="228">
        <f>TRP!B313</f>
        <v>0</v>
      </c>
      <c r="C313" s="233">
        <f>TRP!A313</f>
        <v>100</v>
      </c>
      <c r="DP313" s="232"/>
    </row>
    <row r="314" spans="2:120" s="228" customFormat="1" ht="10.5" x14ac:dyDescent="0.25">
      <c r="B314" s="228">
        <f>TRP!B314</f>
        <v>0</v>
      </c>
      <c r="C314" s="233">
        <f>TRP!A314</f>
        <v>100</v>
      </c>
      <c r="DP314" s="232"/>
    </row>
    <row r="315" spans="2:120" s="228" customFormat="1" ht="10.5" x14ac:dyDescent="0.25">
      <c r="C315" s="233"/>
      <c r="DP315" s="232"/>
    </row>
    <row r="316" spans="2:120" s="228" customFormat="1" ht="10.5" x14ac:dyDescent="0.25">
      <c r="C316" s="233"/>
      <c r="DP316" s="232"/>
    </row>
    <row r="317" spans="2:120" s="228" customFormat="1" ht="10.5" x14ac:dyDescent="0.25">
      <c r="C317" s="233"/>
      <c r="DP317" s="232"/>
    </row>
    <row r="318" spans="2:120" s="228" customFormat="1" ht="10.5" x14ac:dyDescent="0.25">
      <c r="C318" s="233"/>
      <c r="DP318" s="232"/>
    </row>
    <row r="319" spans="2:120" s="228" customFormat="1" ht="10.5" x14ac:dyDescent="0.25">
      <c r="C319" s="233"/>
      <c r="DP319" s="232"/>
    </row>
    <row r="320" spans="2:120" s="228" customFormat="1" ht="10.5" x14ac:dyDescent="0.25">
      <c r="C320" s="233"/>
      <c r="DP320" s="232"/>
    </row>
    <row r="321" spans="3:120" s="228" customFormat="1" ht="10.5" x14ac:dyDescent="0.25">
      <c r="C321" s="233"/>
      <c r="DP321" s="232"/>
    </row>
    <row r="322" spans="3:120" s="228" customFormat="1" ht="10.5" x14ac:dyDescent="0.25">
      <c r="C322" s="233"/>
      <c r="DP322" s="232"/>
    </row>
    <row r="323" spans="3:120" s="228" customFormat="1" ht="10.5" x14ac:dyDescent="0.25">
      <c r="C323" s="233"/>
      <c r="DP323" s="232"/>
    </row>
    <row r="324" spans="3:120" s="228" customFormat="1" ht="10.5" x14ac:dyDescent="0.25">
      <c r="C324" s="233"/>
      <c r="DP324" s="232"/>
    </row>
    <row r="325" spans="3:120" s="228" customFormat="1" ht="10.5" x14ac:dyDescent="0.25">
      <c r="C325" s="233"/>
      <c r="DP325" s="232"/>
    </row>
    <row r="326" spans="3:120" s="228" customFormat="1" ht="10.5" x14ac:dyDescent="0.25">
      <c r="C326" s="233"/>
      <c r="DP326" s="232"/>
    </row>
    <row r="327" spans="3:120" s="228" customFormat="1" ht="10.5" x14ac:dyDescent="0.25">
      <c r="C327" s="233"/>
      <c r="DP327" s="232"/>
    </row>
    <row r="328" spans="3:120" s="228" customFormat="1" ht="10.5" x14ac:dyDescent="0.25">
      <c r="C328" s="233"/>
      <c r="DP328" s="232"/>
    </row>
    <row r="329" spans="3:120" s="228" customFormat="1" ht="10.5" x14ac:dyDescent="0.25">
      <c r="DP329" s="232"/>
    </row>
    <row r="330" spans="3:120" s="228" customFormat="1" ht="10.5" x14ac:dyDescent="0.25">
      <c r="DP330" s="232"/>
    </row>
    <row r="331" spans="3:120" s="228" customFormat="1" ht="10.5" x14ac:dyDescent="0.25">
      <c r="DP331" s="232"/>
    </row>
  </sheetData>
  <mergeCells count="3">
    <mergeCell ref="B2:DP2"/>
    <mergeCell ref="B3:C3"/>
    <mergeCell ref="B4:C4"/>
  </mergeCells>
  <phoneticPr fontId="0" type="noConversion"/>
  <pageMargins left="0" right="0" top="0" bottom="0" header="0.51181102362204722" footer="0.51181102362204722"/>
  <pageSetup paperSize="9" scale="50" orientation="landscape"/>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12</vt:i4>
      </vt:variant>
      <vt:variant>
        <vt:lpstr>Plages nommées</vt:lpstr>
      </vt:variant>
      <vt:variant>
        <vt:i4>1</vt:i4>
      </vt:variant>
    </vt:vector>
  </HeadingPairs>
  <TitlesOfParts>
    <vt:vector size="13" baseType="lpstr">
      <vt:lpstr>Imports</vt:lpstr>
      <vt:lpstr>TRP_Simple</vt:lpstr>
      <vt:lpstr>Trspt_margin</vt:lpstr>
      <vt:lpstr>TRP</vt:lpstr>
      <vt:lpstr>charges_soc</vt:lpstr>
      <vt:lpstr>CPR_CEB_Simple</vt:lpstr>
      <vt:lpstr>CPR_CEB</vt:lpstr>
      <vt:lpstr>Emploi</vt:lpstr>
      <vt:lpstr>Taxes</vt:lpstr>
      <vt:lpstr>Transferts</vt:lpstr>
      <vt:lpstr>TEI_Simple</vt:lpstr>
      <vt:lpstr>TEI</vt:lpstr>
      <vt:lpstr>CPR_CEB!COMPTE_D_EXPLOITATION_PAR_BRANCHE</vt:lpstr>
    </vt:vector>
  </TitlesOfParts>
  <Company>INSEE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CAZANAVE Marie Thérèse</dc:creator>
  <cp:lastModifiedBy>CALLONNEC Gaël</cp:lastModifiedBy>
  <cp:lastPrinted>2014-08-30T16:45:20Z</cp:lastPrinted>
  <dcterms:created xsi:type="dcterms:W3CDTF">2006-01-23T10:03:06Z</dcterms:created>
  <dcterms:modified xsi:type="dcterms:W3CDTF">2022-01-12T11:05:46Z</dcterms:modified>
</cp:coreProperties>
</file>