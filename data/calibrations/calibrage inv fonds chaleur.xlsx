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ThreeME\data\calibrations\"/>
    </mc:Choice>
  </mc:AlternateContent>
  <xr:revisionPtr revIDLastSave="0" documentId="13_ncr:1_{29C1FE6D-00D5-4649-92E9-0768D5DBB50B}" xr6:coauthVersionLast="47" xr6:coauthVersionMax="47" xr10:uidLastSave="{00000000-0000-0000-0000-000000000000}"/>
  <bookViews>
    <workbookView xWindow="-120" yWindow="-120" windowWidth="20730" windowHeight="11160" activeTab="1" xr2:uid="{A162F83A-F565-42DE-8FD8-6CE7FE0E5452}"/>
  </bookViews>
  <sheets>
    <sheet name="Feuil1" sheetId="1" r:id="rId1"/>
    <sheet name="Feuil2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2" l="1"/>
  <c r="C7" i="2"/>
  <c r="D7" i="2"/>
  <c r="E7" i="2"/>
  <c r="F7" i="2"/>
  <c r="G7" i="2"/>
  <c r="H7" i="2"/>
  <c r="I7" i="2"/>
  <c r="J7" i="2"/>
  <c r="K7" i="2"/>
  <c r="L7" i="2"/>
  <c r="M7" i="2"/>
  <c r="N7" i="2"/>
  <c r="O7" i="2"/>
  <c r="P7" i="2"/>
  <c r="Q7" i="2"/>
  <c r="R7" i="2"/>
  <c r="S7" i="2"/>
  <c r="T7" i="2"/>
  <c r="Y7" i="2"/>
  <c r="Z7" i="2"/>
  <c r="AA7" i="2"/>
  <c r="AB7" i="2"/>
  <c r="AC7" i="2"/>
  <c r="AD7" i="2"/>
  <c r="AE7" i="2"/>
  <c r="AF7" i="2"/>
  <c r="AG7" i="2"/>
  <c r="AH7" i="2"/>
  <c r="AI7" i="2"/>
  <c r="AJ7" i="2"/>
  <c r="AK7" i="2"/>
  <c r="AL7" i="2"/>
  <c r="AM7" i="2"/>
  <c r="AN7" i="2"/>
  <c r="AO7" i="2"/>
  <c r="AP7" i="2"/>
  <c r="AQ7" i="2"/>
  <c r="AR7" i="2"/>
  <c r="AS7" i="2"/>
  <c r="AT7" i="2"/>
  <c r="AU7" i="2"/>
  <c r="AV7" i="2"/>
  <c r="X7" i="2"/>
  <c r="V7" i="2"/>
  <c r="W7" i="2"/>
  <c r="U7" i="2"/>
  <c r="AH69" i="1" l="1"/>
  <c r="AG69" i="1"/>
  <c r="AF69" i="1"/>
  <c r="AE69" i="1"/>
  <c r="AD69" i="1"/>
  <c r="AC69" i="1"/>
  <c r="AB69" i="1"/>
  <c r="AA69" i="1"/>
  <c r="Z69" i="1"/>
  <c r="Y69" i="1"/>
  <c r="X69" i="1"/>
  <c r="W69" i="1"/>
  <c r="V69" i="1"/>
  <c r="U69" i="1"/>
  <c r="T69" i="1"/>
  <c r="S69" i="1"/>
  <c r="R69" i="1"/>
  <c r="Q69" i="1"/>
  <c r="P69" i="1"/>
  <c r="O69" i="1"/>
  <c r="N69" i="1"/>
  <c r="M69" i="1"/>
  <c r="L69" i="1"/>
  <c r="K69" i="1"/>
  <c r="J69" i="1"/>
  <c r="I69" i="1"/>
  <c r="H69" i="1"/>
  <c r="G69" i="1"/>
  <c r="F69" i="1"/>
  <c r="E69" i="1"/>
  <c r="D69" i="1"/>
  <c r="C69" i="1"/>
  <c r="B69" i="1"/>
  <c r="AH68" i="1"/>
  <c r="AG68" i="1"/>
  <c r="AF68" i="1"/>
  <c r="AE68" i="1"/>
  <c r="AD68" i="1"/>
  <c r="AC68" i="1"/>
  <c r="AB68" i="1"/>
  <c r="AA68" i="1"/>
  <c r="Z68" i="1"/>
  <c r="Y68" i="1"/>
  <c r="X68" i="1"/>
  <c r="W68" i="1"/>
  <c r="V68" i="1"/>
  <c r="U68" i="1"/>
  <c r="T68" i="1"/>
  <c r="S68" i="1"/>
  <c r="R68" i="1"/>
  <c r="Q68" i="1"/>
  <c r="P68" i="1"/>
  <c r="O68" i="1"/>
  <c r="N68" i="1"/>
  <c r="M68" i="1"/>
  <c r="L68" i="1"/>
  <c r="K68" i="1"/>
  <c r="J68" i="1"/>
  <c r="I68" i="1"/>
  <c r="H68" i="1"/>
  <c r="G68" i="1"/>
  <c r="F68" i="1"/>
  <c r="E68" i="1"/>
  <c r="D68" i="1"/>
  <c r="C68" i="1"/>
  <c r="B68" i="1"/>
  <c r="AH67" i="1"/>
  <c r="AG67" i="1"/>
  <c r="AF67" i="1"/>
  <c r="AE67" i="1"/>
  <c r="AD67" i="1"/>
  <c r="AC67" i="1"/>
  <c r="AB67" i="1"/>
  <c r="AA67" i="1"/>
  <c r="Z67" i="1"/>
  <c r="Y67" i="1"/>
  <c r="X67" i="1"/>
  <c r="W67" i="1"/>
  <c r="V67" i="1"/>
  <c r="U67" i="1"/>
  <c r="T67" i="1"/>
  <c r="S67" i="1"/>
  <c r="R67" i="1"/>
  <c r="Q67" i="1"/>
  <c r="P67" i="1"/>
  <c r="O67" i="1"/>
  <c r="N67" i="1"/>
  <c r="M67" i="1"/>
  <c r="L67" i="1"/>
  <c r="K67" i="1"/>
  <c r="J67" i="1"/>
  <c r="I67" i="1"/>
  <c r="H67" i="1"/>
  <c r="G67" i="1"/>
  <c r="F67" i="1"/>
  <c r="E67" i="1"/>
  <c r="D67" i="1"/>
  <c r="C67" i="1"/>
  <c r="B67" i="1"/>
  <c r="AH66" i="1"/>
  <c r="AG66" i="1"/>
  <c r="AF66" i="1"/>
  <c r="AE66" i="1"/>
  <c r="AD66" i="1"/>
  <c r="AC66" i="1"/>
  <c r="AB66" i="1"/>
  <c r="AA66" i="1"/>
  <c r="Z66" i="1"/>
  <c r="Y66" i="1"/>
  <c r="X66" i="1"/>
  <c r="W66" i="1"/>
  <c r="V66" i="1"/>
  <c r="U66" i="1"/>
  <c r="T66" i="1"/>
  <c r="S66" i="1"/>
  <c r="R66" i="1"/>
  <c r="Q66" i="1"/>
  <c r="P66" i="1"/>
  <c r="O66" i="1"/>
  <c r="N66" i="1"/>
  <c r="M66" i="1"/>
  <c r="L66" i="1"/>
  <c r="K66" i="1"/>
  <c r="J66" i="1"/>
  <c r="I66" i="1"/>
  <c r="H66" i="1"/>
  <c r="G66" i="1"/>
  <c r="F66" i="1"/>
  <c r="E66" i="1"/>
  <c r="D66" i="1"/>
  <c r="C66" i="1"/>
  <c r="B66" i="1"/>
  <c r="AH65" i="1"/>
  <c r="AG65" i="1"/>
  <c r="AF65" i="1"/>
  <c r="AE65" i="1"/>
  <c r="AD65" i="1"/>
  <c r="AC65" i="1"/>
  <c r="AB65" i="1"/>
  <c r="AA65" i="1"/>
  <c r="Z65" i="1"/>
  <c r="Y65" i="1"/>
  <c r="X65" i="1"/>
  <c r="W65" i="1"/>
  <c r="V65" i="1"/>
  <c r="U65" i="1"/>
  <c r="T65" i="1"/>
  <c r="S65" i="1"/>
  <c r="R65" i="1"/>
  <c r="Q65" i="1"/>
  <c r="P65" i="1"/>
  <c r="O65" i="1"/>
  <c r="N65" i="1"/>
  <c r="M65" i="1"/>
  <c r="L65" i="1"/>
  <c r="K65" i="1"/>
  <c r="J65" i="1"/>
  <c r="I65" i="1"/>
  <c r="H65" i="1"/>
  <c r="G65" i="1"/>
  <c r="F65" i="1"/>
  <c r="E65" i="1"/>
  <c r="D65" i="1"/>
  <c r="C65" i="1"/>
  <c r="B65" i="1"/>
  <c r="AH64" i="1"/>
  <c r="AG64" i="1"/>
  <c r="AF64" i="1"/>
  <c r="AE64" i="1"/>
  <c r="AD64" i="1"/>
  <c r="AC64" i="1"/>
  <c r="AB64" i="1"/>
  <c r="AA64" i="1"/>
  <c r="Z64" i="1"/>
  <c r="Y64" i="1"/>
  <c r="X64" i="1"/>
  <c r="W64" i="1"/>
  <c r="V64" i="1"/>
  <c r="U64" i="1"/>
  <c r="T64" i="1"/>
  <c r="S64" i="1"/>
  <c r="R64" i="1"/>
  <c r="Q64" i="1"/>
  <c r="P64" i="1"/>
  <c r="O64" i="1"/>
  <c r="N64" i="1"/>
  <c r="M64" i="1"/>
  <c r="L64" i="1"/>
  <c r="K64" i="1"/>
  <c r="J64" i="1"/>
  <c r="I64" i="1"/>
  <c r="H64" i="1"/>
  <c r="G64" i="1"/>
  <c r="F64" i="1"/>
  <c r="E64" i="1"/>
  <c r="D64" i="1"/>
  <c r="C64" i="1"/>
  <c r="B64" i="1"/>
  <c r="O63" i="1"/>
  <c r="N63" i="1"/>
  <c r="M63" i="1"/>
  <c r="L63" i="1"/>
  <c r="K63" i="1"/>
  <c r="J63" i="1"/>
  <c r="I63" i="1"/>
  <c r="H63" i="1"/>
  <c r="G63" i="1"/>
  <c r="O62" i="1"/>
  <c r="N62" i="1"/>
  <c r="M62" i="1"/>
  <c r="L62" i="1"/>
  <c r="K62" i="1"/>
  <c r="J62" i="1"/>
  <c r="I62" i="1"/>
  <c r="H62" i="1"/>
  <c r="G62" i="1"/>
  <c r="O61" i="1"/>
  <c r="N61" i="1"/>
  <c r="M61" i="1"/>
  <c r="L61" i="1"/>
  <c r="K61" i="1"/>
  <c r="J61" i="1"/>
  <c r="I61" i="1"/>
  <c r="H61" i="1"/>
  <c r="G61" i="1"/>
  <c r="O60" i="1"/>
  <c r="N60" i="1"/>
  <c r="M60" i="1"/>
  <c r="L60" i="1"/>
  <c r="K60" i="1"/>
  <c r="J60" i="1"/>
  <c r="I60" i="1"/>
  <c r="H60" i="1"/>
  <c r="G60" i="1"/>
  <c r="O59" i="1"/>
  <c r="N59" i="1"/>
  <c r="M59" i="1"/>
  <c r="L59" i="1"/>
  <c r="K59" i="1"/>
  <c r="J59" i="1"/>
  <c r="I59" i="1"/>
  <c r="H59" i="1"/>
  <c r="G59" i="1"/>
  <c r="AW15" i="1"/>
  <c r="AW9" i="1"/>
  <c r="AX26" i="1"/>
  <c r="AW3" i="1"/>
  <c r="C57" i="1"/>
  <c r="D57" i="1"/>
  <c r="E57" i="1"/>
  <c r="F57" i="1"/>
  <c r="G57" i="1"/>
  <c r="H57" i="1"/>
  <c r="I57" i="1"/>
  <c r="J57" i="1"/>
  <c r="K57" i="1"/>
  <c r="L57" i="1"/>
  <c r="M57" i="1"/>
  <c r="N57" i="1"/>
  <c r="O57" i="1"/>
  <c r="P57" i="1"/>
  <c r="Q57" i="1"/>
  <c r="R57" i="1"/>
  <c r="S57" i="1"/>
  <c r="T57" i="1"/>
  <c r="U57" i="1"/>
  <c r="V57" i="1"/>
  <c r="W57" i="1"/>
  <c r="X57" i="1"/>
  <c r="Y57" i="1"/>
  <c r="Z57" i="1"/>
  <c r="AA57" i="1"/>
  <c r="AB57" i="1"/>
  <c r="AC57" i="1"/>
  <c r="AD57" i="1"/>
  <c r="AE57" i="1"/>
  <c r="AF57" i="1"/>
  <c r="AG57" i="1"/>
  <c r="AH57" i="1"/>
  <c r="AI57" i="1"/>
  <c r="AJ57" i="1"/>
  <c r="AK57" i="1"/>
  <c r="AL57" i="1"/>
  <c r="AM57" i="1"/>
  <c r="AN57" i="1"/>
  <c r="AO57" i="1"/>
  <c r="AP57" i="1"/>
  <c r="AQ57" i="1"/>
  <c r="AR57" i="1"/>
  <c r="AS57" i="1"/>
  <c r="AT57" i="1"/>
  <c r="AU57" i="1"/>
  <c r="AV57" i="1"/>
  <c r="B57" i="1"/>
  <c r="AW21" i="1"/>
  <c r="AW39" i="1"/>
  <c r="AW33" i="1"/>
  <c r="AX15" i="1" l="1"/>
  <c r="S85" i="1" l="1"/>
  <c r="P85" i="1"/>
  <c r="I74" i="1"/>
  <c r="J74" i="1"/>
  <c r="K74" i="1"/>
  <c r="L74" i="1"/>
  <c r="M74" i="1"/>
  <c r="N74" i="1"/>
  <c r="O74" i="1"/>
  <c r="P74" i="1"/>
  <c r="Q74" i="1"/>
  <c r="R74" i="1"/>
  <c r="S74" i="1"/>
  <c r="I75" i="1"/>
  <c r="J75" i="1"/>
  <c r="K75" i="1"/>
  <c r="L75" i="1"/>
  <c r="M75" i="1"/>
  <c r="N75" i="1"/>
  <c r="O75" i="1"/>
  <c r="P75" i="1"/>
  <c r="Q75" i="1"/>
  <c r="R75" i="1"/>
  <c r="S75" i="1"/>
  <c r="I76" i="1"/>
  <c r="J76" i="1"/>
  <c r="K76" i="1"/>
  <c r="L76" i="1"/>
  <c r="M76" i="1"/>
  <c r="N76" i="1"/>
  <c r="O76" i="1"/>
  <c r="P76" i="1"/>
  <c r="Q76" i="1"/>
  <c r="R76" i="1"/>
  <c r="S76" i="1"/>
  <c r="I77" i="1"/>
  <c r="J77" i="1"/>
  <c r="K77" i="1"/>
  <c r="L77" i="1"/>
  <c r="M77" i="1"/>
  <c r="N77" i="1"/>
  <c r="O77" i="1"/>
  <c r="P77" i="1"/>
  <c r="Q77" i="1"/>
  <c r="R77" i="1"/>
  <c r="S77" i="1"/>
  <c r="I78" i="1"/>
  <c r="J78" i="1"/>
  <c r="K78" i="1"/>
  <c r="L78" i="1"/>
  <c r="M78" i="1"/>
  <c r="N78" i="1"/>
  <c r="O78" i="1"/>
  <c r="P78" i="1"/>
  <c r="Q78" i="1"/>
  <c r="R78" i="1"/>
  <c r="S78" i="1"/>
  <c r="I79" i="1"/>
  <c r="J79" i="1"/>
  <c r="K79" i="1"/>
  <c r="L79" i="1"/>
  <c r="M79" i="1"/>
  <c r="N79" i="1"/>
  <c r="O79" i="1"/>
  <c r="P79" i="1"/>
  <c r="Q79" i="1"/>
  <c r="R79" i="1"/>
  <c r="S79" i="1"/>
  <c r="H74" i="1"/>
  <c r="H75" i="1"/>
  <c r="H76" i="1"/>
  <c r="H77" i="1"/>
  <c r="H78" i="1"/>
  <c r="H79" i="1"/>
  <c r="G75" i="1"/>
  <c r="G76" i="1"/>
  <c r="G77" i="1"/>
  <c r="G78" i="1"/>
  <c r="G79" i="1"/>
  <c r="G74" i="1"/>
  <c r="G86" i="1"/>
  <c r="H86" i="1"/>
  <c r="I86" i="1"/>
  <c r="J86" i="1"/>
  <c r="K86" i="1"/>
  <c r="L86" i="1"/>
  <c r="M86" i="1"/>
  <c r="N86" i="1"/>
  <c r="O86" i="1"/>
  <c r="P86" i="1"/>
  <c r="Q86" i="1"/>
  <c r="R86" i="1"/>
  <c r="S86" i="1"/>
  <c r="P81" i="1"/>
  <c r="Q81" i="1"/>
  <c r="R87" i="1"/>
  <c r="S87" i="1"/>
  <c r="P88" i="1"/>
  <c r="Q88" i="1"/>
  <c r="R82" i="1"/>
  <c r="S88" i="1"/>
  <c r="P83" i="1"/>
  <c r="Q83" i="1"/>
  <c r="R83" i="1"/>
  <c r="S83" i="1"/>
  <c r="P84" i="1"/>
  <c r="Q84" i="1"/>
  <c r="R84" i="1"/>
  <c r="S84" i="1"/>
  <c r="Q85" i="1"/>
  <c r="R85" i="1"/>
  <c r="AV13" i="2"/>
  <c r="AU13" i="2"/>
  <c r="AT13" i="2"/>
  <c r="AS13" i="2"/>
  <c r="AR13" i="2"/>
  <c r="AQ13" i="2"/>
  <c r="AP13" i="2"/>
  <c r="AO13" i="2"/>
  <c r="AN13" i="2"/>
  <c r="AM13" i="2"/>
  <c r="AL13" i="2"/>
  <c r="AK13" i="2"/>
  <c r="AJ13" i="2"/>
  <c r="AI13" i="2"/>
  <c r="AH13" i="2"/>
  <c r="AG13" i="2"/>
  <c r="AF13" i="2"/>
  <c r="AE13" i="2"/>
  <c r="AD13" i="2"/>
  <c r="AC13" i="2"/>
  <c r="AB13" i="2"/>
  <c r="AA13" i="2"/>
  <c r="Z13" i="2"/>
  <c r="Y13" i="2"/>
  <c r="X13" i="2"/>
  <c r="W13" i="2"/>
  <c r="V13" i="2"/>
  <c r="U13" i="2"/>
  <c r="T13" i="2"/>
  <c r="S13" i="2"/>
  <c r="R13" i="2"/>
  <c r="Q13" i="2"/>
  <c r="P13" i="2"/>
  <c r="O13" i="2"/>
  <c r="N13" i="2"/>
  <c r="M13" i="2"/>
  <c r="L13" i="2"/>
  <c r="K13" i="2"/>
  <c r="J13" i="2"/>
  <c r="I13" i="2"/>
  <c r="H13" i="2"/>
  <c r="G13" i="2"/>
  <c r="F13" i="2"/>
  <c r="E13" i="2"/>
  <c r="D13" i="2"/>
  <c r="C13" i="2"/>
  <c r="B13" i="2"/>
  <c r="AV6" i="2"/>
  <c r="AV12" i="2" s="1"/>
  <c r="AU6" i="2"/>
  <c r="AU12" i="2" s="1"/>
  <c r="AT6" i="2"/>
  <c r="AT12" i="2" s="1"/>
  <c r="AS6" i="2"/>
  <c r="AS12" i="2" s="1"/>
  <c r="AR6" i="2"/>
  <c r="AR12" i="2" s="1"/>
  <c r="AQ6" i="2"/>
  <c r="AQ12" i="2" s="1"/>
  <c r="AP6" i="2"/>
  <c r="AP12" i="2" s="1"/>
  <c r="AO6" i="2"/>
  <c r="AO12" i="2" s="1"/>
  <c r="AN6" i="2"/>
  <c r="AN12" i="2" s="1"/>
  <c r="AM6" i="2"/>
  <c r="AM12" i="2" s="1"/>
  <c r="AL6" i="2"/>
  <c r="AL12" i="2" s="1"/>
  <c r="AK6" i="2"/>
  <c r="AK12" i="2" s="1"/>
  <c r="AJ6" i="2"/>
  <c r="AJ12" i="2" s="1"/>
  <c r="AI6" i="2"/>
  <c r="AI12" i="2" s="1"/>
  <c r="AH6" i="2"/>
  <c r="AH12" i="2" s="1"/>
  <c r="AG6" i="2"/>
  <c r="AG12" i="2" s="1"/>
  <c r="AF6" i="2"/>
  <c r="AF12" i="2" s="1"/>
  <c r="AE6" i="2"/>
  <c r="AE12" i="2" s="1"/>
  <c r="AD6" i="2"/>
  <c r="AD12" i="2" s="1"/>
  <c r="AC6" i="2"/>
  <c r="AC12" i="2" s="1"/>
  <c r="AB6" i="2"/>
  <c r="AB12" i="2" s="1"/>
  <c r="AA6" i="2"/>
  <c r="AA12" i="2" s="1"/>
  <c r="Z6" i="2"/>
  <c r="Z12" i="2" s="1"/>
  <c r="Y6" i="2"/>
  <c r="Y12" i="2" s="1"/>
  <c r="X6" i="2"/>
  <c r="X12" i="2" s="1"/>
  <c r="W6" i="2"/>
  <c r="W12" i="2" s="1"/>
  <c r="V6" i="2"/>
  <c r="V12" i="2" s="1"/>
  <c r="U6" i="2"/>
  <c r="U12" i="2" s="1"/>
  <c r="T6" i="2"/>
  <c r="T12" i="2" s="1"/>
  <c r="S6" i="2"/>
  <c r="S12" i="2" s="1"/>
  <c r="R6" i="2"/>
  <c r="R12" i="2" s="1"/>
  <c r="Q6" i="2"/>
  <c r="Q12" i="2" s="1"/>
  <c r="P6" i="2"/>
  <c r="P12" i="2" s="1"/>
  <c r="O6" i="2"/>
  <c r="O12" i="2" s="1"/>
  <c r="N6" i="2"/>
  <c r="N12" i="2" s="1"/>
  <c r="M6" i="2"/>
  <c r="M12" i="2" s="1"/>
  <c r="L6" i="2"/>
  <c r="L12" i="2" s="1"/>
  <c r="K6" i="2"/>
  <c r="K12" i="2" s="1"/>
  <c r="J6" i="2"/>
  <c r="J12" i="2" s="1"/>
  <c r="I6" i="2"/>
  <c r="I12" i="2" s="1"/>
  <c r="H6" i="2"/>
  <c r="H12" i="2" s="1"/>
  <c r="G6" i="2"/>
  <c r="G12" i="2" s="1"/>
  <c r="F6" i="2"/>
  <c r="F12" i="2" s="1"/>
  <c r="E6" i="2"/>
  <c r="E12" i="2" s="1"/>
  <c r="D6" i="2"/>
  <c r="D12" i="2" s="1"/>
  <c r="C6" i="2"/>
  <c r="C12" i="2" s="1"/>
  <c r="B6" i="2"/>
  <c r="B12" i="2" s="1"/>
  <c r="AV5" i="2"/>
  <c r="AV11" i="2" s="1"/>
  <c r="AU5" i="2"/>
  <c r="AU11" i="2" s="1"/>
  <c r="AT5" i="2"/>
  <c r="AT11" i="2" s="1"/>
  <c r="AS5" i="2"/>
  <c r="AS11" i="2" s="1"/>
  <c r="AR5" i="2"/>
  <c r="AR11" i="2" s="1"/>
  <c r="AQ5" i="2"/>
  <c r="AQ11" i="2" s="1"/>
  <c r="AP5" i="2"/>
  <c r="AP11" i="2" s="1"/>
  <c r="AO5" i="2"/>
  <c r="AO11" i="2" s="1"/>
  <c r="AN5" i="2"/>
  <c r="AN11" i="2" s="1"/>
  <c r="AM5" i="2"/>
  <c r="AM11" i="2" s="1"/>
  <c r="AL5" i="2"/>
  <c r="AL11" i="2" s="1"/>
  <c r="AK5" i="2"/>
  <c r="AK11" i="2" s="1"/>
  <c r="AJ5" i="2"/>
  <c r="AJ11" i="2" s="1"/>
  <c r="AI5" i="2"/>
  <c r="AI11" i="2" s="1"/>
  <c r="AH5" i="2"/>
  <c r="AH11" i="2" s="1"/>
  <c r="AG5" i="2"/>
  <c r="AG11" i="2" s="1"/>
  <c r="AF5" i="2"/>
  <c r="AF11" i="2" s="1"/>
  <c r="AE5" i="2"/>
  <c r="AE11" i="2" s="1"/>
  <c r="AD5" i="2"/>
  <c r="AD11" i="2" s="1"/>
  <c r="AC5" i="2"/>
  <c r="AC11" i="2" s="1"/>
  <c r="AB5" i="2"/>
  <c r="AB11" i="2" s="1"/>
  <c r="AA5" i="2"/>
  <c r="AA11" i="2" s="1"/>
  <c r="Z5" i="2"/>
  <c r="Z11" i="2" s="1"/>
  <c r="Y5" i="2"/>
  <c r="Y11" i="2" s="1"/>
  <c r="X5" i="2"/>
  <c r="X11" i="2" s="1"/>
  <c r="W5" i="2"/>
  <c r="W11" i="2" s="1"/>
  <c r="V5" i="2"/>
  <c r="V11" i="2" s="1"/>
  <c r="U5" i="2"/>
  <c r="U11" i="2" s="1"/>
  <c r="T5" i="2"/>
  <c r="T11" i="2" s="1"/>
  <c r="S5" i="2"/>
  <c r="S11" i="2" s="1"/>
  <c r="R5" i="2"/>
  <c r="R11" i="2" s="1"/>
  <c r="Q5" i="2"/>
  <c r="Q11" i="2" s="1"/>
  <c r="P5" i="2"/>
  <c r="P11" i="2" s="1"/>
  <c r="O5" i="2"/>
  <c r="O11" i="2" s="1"/>
  <c r="N5" i="2"/>
  <c r="N11" i="2" s="1"/>
  <c r="M5" i="2"/>
  <c r="M11" i="2" s="1"/>
  <c r="L5" i="2"/>
  <c r="L11" i="2" s="1"/>
  <c r="K5" i="2"/>
  <c r="K11" i="2" s="1"/>
  <c r="J5" i="2"/>
  <c r="J11" i="2" s="1"/>
  <c r="I5" i="2"/>
  <c r="I11" i="2" s="1"/>
  <c r="H5" i="2"/>
  <c r="H11" i="2" s="1"/>
  <c r="G5" i="2"/>
  <c r="G11" i="2" s="1"/>
  <c r="F5" i="2"/>
  <c r="F11" i="2" s="1"/>
  <c r="E5" i="2"/>
  <c r="E11" i="2" s="1"/>
  <c r="D5" i="2"/>
  <c r="D11" i="2" s="1"/>
  <c r="C5" i="2"/>
  <c r="C11" i="2" s="1"/>
  <c r="B5" i="2"/>
  <c r="B11" i="2" s="1"/>
  <c r="AV4" i="2"/>
  <c r="AV10" i="2" s="1"/>
  <c r="AU4" i="2"/>
  <c r="AU10" i="2" s="1"/>
  <c r="AT4" i="2"/>
  <c r="AT10" i="2" s="1"/>
  <c r="AS4" i="2"/>
  <c r="AS10" i="2" s="1"/>
  <c r="AR4" i="2"/>
  <c r="AR10" i="2" s="1"/>
  <c r="AQ4" i="2"/>
  <c r="AQ10" i="2" s="1"/>
  <c r="AP4" i="2"/>
  <c r="AP10" i="2" s="1"/>
  <c r="AO4" i="2"/>
  <c r="AO10" i="2" s="1"/>
  <c r="AN4" i="2"/>
  <c r="AN10" i="2" s="1"/>
  <c r="AM4" i="2"/>
  <c r="AM10" i="2" s="1"/>
  <c r="AL4" i="2"/>
  <c r="AL10" i="2" s="1"/>
  <c r="AK4" i="2"/>
  <c r="AK10" i="2" s="1"/>
  <c r="AJ4" i="2"/>
  <c r="AJ10" i="2" s="1"/>
  <c r="AI4" i="2"/>
  <c r="AI10" i="2" s="1"/>
  <c r="AH4" i="2"/>
  <c r="AH10" i="2" s="1"/>
  <c r="AG4" i="2"/>
  <c r="AG10" i="2" s="1"/>
  <c r="AF4" i="2"/>
  <c r="AF10" i="2" s="1"/>
  <c r="AE4" i="2"/>
  <c r="AE10" i="2" s="1"/>
  <c r="AD4" i="2"/>
  <c r="AD10" i="2" s="1"/>
  <c r="AC4" i="2"/>
  <c r="AC10" i="2" s="1"/>
  <c r="AB4" i="2"/>
  <c r="AB10" i="2" s="1"/>
  <c r="AA4" i="2"/>
  <c r="AA10" i="2" s="1"/>
  <c r="Z4" i="2"/>
  <c r="Z10" i="2" s="1"/>
  <c r="Y4" i="2"/>
  <c r="Y10" i="2" s="1"/>
  <c r="X4" i="2"/>
  <c r="X10" i="2" s="1"/>
  <c r="W4" i="2"/>
  <c r="W10" i="2" s="1"/>
  <c r="V4" i="2"/>
  <c r="V10" i="2" s="1"/>
  <c r="U4" i="2"/>
  <c r="U10" i="2" s="1"/>
  <c r="T4" i="2"/>
  <c r="T10" i="2" s="1"/>
  <c r="S4" i="2"/>
  <c r="S10" i="2" s="1"/>
  <c r="R4" i="2"/>
  <c r="R10" i="2" s="1"/>
  <c r="Q4" i="2"/>
  <c r="Q10" i="2" s="1"/>
  <c r="P4" i="2"/>
  <c r="P10" i="2" s="1"/>
  <c r="O4" i="2"/>
  <c r="O10" i="2" s="1"/>
  <c r="N4" i="2"/>
  <c r="N10" i="2" s="1"/>
  <c r="M4" i="2"/>
  <c r="M10" i="2" s="1"/>
  <c r="L4" i="2"/>
  <c r="L10" i="2" s="1"/>
  <c r="K4" i="2"/>
  <c r="K10" i="2" s="1"/>
  <c r="J4" i="2"/>
  <c r="J10" i="2" s="1"/>
  <c r="I4" i="2"/>
  <c r="I10" i="2" s="1"/>
  <c r="H4" i="2"/>
  <c r="H10" i="2" s="1"/>
  <c r="G4" i="2"/>
  <c r="G10" i="2" s="1"/>
  <c r="F4" i="2"/>
  <c r="F10" i="2" s="1"/>
  <c r="E4" i="2"/>
  <c r="E10" i="2" s="1"/>
  <c r="D4" i="2"/>
  <c r="D10" i="2" s="1"/>
  <c r="C4" i="2"/>
  <c r="C10" i="2" s="1"/>
  <c r="B4" i="2"/>
  <c r="B10" i="2" s="1"/>
  <c r="AV3" i="2"/>
  <c r="AV9" i="2" s="1"/>
  <c r="AU3" i="2"/>
  <c r="AU9" i="2" s="1"/>
  <c r="AT3" i="2"/>
  <c r="AT9" i="2" s="1"/>
  <c r="AS3" i="2"/>
  <c r="AS9" i="2" s="1"/>
  <c r="AR3" i="2"/>
  <c r="AR9" i="2" s="1"/>
  <c r="AQ3" i="2"/>
  <c r="AQ9" i="2" s="1"/>
  <c r="AP3" i="2"/>
  <c r="AP9" i="2" s="1"/>
  <c r="AO3" i="2"/>
  <c r="AO9" i="2" s="1"/>
  <c r="AN3" i="2"/>
  <c r="AN9" i="2" s="1"/>
  <c r="AM3" i="2"/>
  <c r="AM9" i="2" s="1"/>
  <c r="AL3" i="2"/>
  <c r="AL9" i="2" s="1"/>
  <c r="AK3" i="2"/>
  <c r="AK9" i="2" s="1"/>
  <c r="AJ3" i="2"/>
  <c r="AJ9" i="2" s="1"/>
  <c r="AI3" i="2"/>
  <c r="AI9" i="2" s="1"/>
  <c r="AH3" i="2"/>
  <c r="AH9" i="2" s="1"/>
  <c r="AG3" i="2"/>
  <c r="AG9" i="2" s="1"/>
  <c r="AF3" i="2"/>
  <c r="AF9" i="2" s="1"/>
  <c r="AE3" i="2"/>
  <c r="AE9" i="2" s="1"/>
  <c r="AD3" i="2"/>
  <c r="AD9" i="2" s="1"/>
  <c r="AC3" i="2"/>
  <c r="AC9" i="2" s="1"/>
  <c r="AB3" i="2"/>
  <c r="AB9" i="2" s="1"/>
  <c r="AA3" i="2"/>
  <c r="AA9" i="2" s="1"/>
  <c r="Z3" i="2"/>
  <c r="Z9" i="2" s="1"/>
  <c r="Y3" i="2"/>
  <c r="Y9" i="2" s="1"/>
  <c r="X3" i="2"/>
  <c r="X9" i="2" s="1"/>
  <c r="W3" i="2"/>
  <c r="W9" i="2" s="1"/>
  <c r="V3" i="2"/>
  <c r="V9" i="2" s="1"/>
  <c r="U3" i="2"/>
  <c r="U9" i="2" s="1"/>
  <c r="T3" i="2"/>
  <c r="T9" i="2" s="1"/>
  <c r="S3" i="2"/>
  <c r="S9" i="2" s="1"/>
  <c r="R3" i="2"/>
  <c r="R9" i="2" s="1"/>
  <c r="Q3" i="2"/>
  <c r="Q9" i="2" s="1"/>
  <c r="P3" i="2"/>
  <c r="P9" i="2" s="1"/>
  <c r="O3" i="2"/>
  <c r="O9" i="2" s="1"/>
  <c r="N3" i="2"/>
  <c r="N9" i="2" s="1"/>
  <c r="M3" i="2"/>
  <c r="M9" i="2" s="1"/>
  <c r="L3" i="2"/>
  <c r="L9" i="2" s="1"/>
  <c r="K3" i="2"/>
  <c r="K9" i="2" s="1"/>
  <c r="J3" i="2"/>
  <c r="J9" i="2" s="1"/>
  <c r="I3" i="2"/>
  <c r="I9" i="2" s="1"/>
  <c r="H3" i="2"/>
  <c r="H9" i="2" s="1"/>
  <c r="G3" i="2"/>
  <c r="G9" i="2" s="1"/>
  <c r="F3" i="2"/>
  <c r="F9" i="2" s="1"/>
  <c r="E3" i="2"/>
  <c r="E9" i="2" s="1"/>
  <c r="D3" i="2"/>
  <c r="D9" i="2" s="1"/>
  <c r="C3" i="2"/>
  <c r="C9" i="2" s="1"/>
  <c r="B3" i="2"/>
  <c r="B9" i="2" s="1"/>
  <c r="AV2" i="2"/>
  <c r="AV8" i="2" s="1"/>
  <c r="AV14" i="2" s="1"/>
  <c r="AU2" i="2"/>
  <c r="AU8" i="2" s="1"/>
  <c r="AU14" i="2" s="1"/>
  <c r="AT2" i="2"/>
  <c r="AT8" i="2" s="1"/>
  <c r="AT14" i="2" s="1"/>
  <c r="AS2" i="2"/>
  <c r="AS8" i="2" s="1"/>
  <c r="AS14" i="2" s="1"/>
  <c r="AR2" i="2"/>
  <c r="AR8" i="2" s="1"/>
  <c r="AR14" i="2" s="1"/>
  <c r="AQ2" i="2"/>
  <c r="AQ8" i="2" s="1"/>
  <c r="AQ14" i="2" s="1"/>
  <c r="AP2" i="2"/>
  <c r="AP8" i="2" s="1"/>
  <c r="AP14" i="2" s="1"/>
  <c r="AO2" i="2"/>
  <c r="AO8" i="2" s="1"/>
  <c r="AO14" i="2" s="1"/>
  <c r="AN2" i="2"/>
  <c r="AN8" i="2" s="1"/>
  <c r="AN14" i="2" s="1"/>
  <c r="AM2" i="2"/>
  <c r="AM8" i="2" s="1"/>
  <c r="AM14" i="2" s="1"/>
  <c r="AL2" i="2"/>
  <c r="AL8" i="2" s="1"/>
  <c r="AL14" i="2" s="1"/>
  <c r="AK2" i="2"/>
  <c r="AK8" i="2" s="1"/>
  <c r="AK14" i="2" s="1"/>
  <c r="AJ2" i="2"/>
  <c r="AJ8" i="2" s="1"/>
  <c r="AJ14" i="2" s="1"/>
  <c r="AI2" i="2"/>
  <c r="AI8" i="2" s="1"/>
  <c r="AI14" i="2" s="1"/>
  <c r="AH2" i="2"/>
  <c r="AH8" i="2" s="1"/>
  <c r="AH14" i="2" s="1"/>
  <c r="AG2" i="2"/>
  <c r="AG8" i="2" s="1"/>
  <c r="AG14" i="2" s="1"/>
  <c r="AF2" i="2"/>
  <c r="AF8" i="2" s="1"/>
  <c r="AF14" i="2" s="1"/>
  <c r="AE2" i="2"/>
  <c r="AE8" i="2" s="1"/>
  <c r="AE14" i="2" s="1"/>
  <c r="AD2" i="2"/>
  <c r="AD8" i="2" s="1"/>
  <c r="AD14" i="2" s="1"/>
  <c r="AC2" i="2"/>
  <c r="AC8" i="2" s="1"/>
  <c r="AC14" i="2" s="1"/>
  <c r="AB2" i="2"/>
  <c r="AB8" i="2" s="1"/>
  <c r="AB14" i="2" s="1"/>
  <c r="AA2" i="2"/>
  <c r="AA8" i="2" s="1"/>
  <c r="AA14" i="2" s="1"/>
  <c r="Z2" i="2"/>
  <c r="Z8" i="2" s="1"/>
  <c r="Z14" i="2" s="1"/>
  <c r="Y2" i="2"/>
  <c r="Y8" i="2" s="1"/>
  <c r="Y14" i="2" s="1"/>
  <c r="X2" i="2"/>
  <c r="X8" i="2" s="1"/>
  <c r="X14" i="2" s="1"/>
  <c r="W2" i="2"/>
  <c r="W8" i="2" s="1"/>
  <c r="W14" i="2" s="1"/>
  <c r="V2" i="2"/>
  <c r="V8" i="2" s="1"/>
  <c r="V14" i="2" s="1"/>
  <c r="U2" i="2"/>
  <c r="U8" i="2" s="1"/>
  <c r="U14" i="2" s="1"/>
  <c r="T2" i="2"/>
  <c r="T8" i="2" s="1"/>
  <c r="T14" i="2" s="1"/>
  <c r="S2" i="2"/>
  <c r="S8" i="2" s="1"/>
  <c r="S14" i="2" s="1"/>
  <c r="R2" i="2"/>
  <c r="R8" i="2" s="1"/>
  <c r="R14" i="2" s="1"/>
  <c r="Q2" i="2"/>
  <c r="Q8" i="2" s="1"/>
  <c r="Q14" i="2" s="1"/>
  <c r="P2" i="2"/>
  <c r="P8" i="2" s="1"/>
  <c r="P14" i="2" s="1"/>
  <c r="O2" i="2"/>
  <c r="O8" i="2" s="1"/>
  <c r="O14" i="2" s="1"/>
  <c r="N2" i="2"/>
  <c r="N8" i="2" s="1"/>
  <c r="N14" i="2" s="1"/>
  <c r="M2" i="2"/>
  <c r="M8" i="2" s="1"/>
  <c r="M14" i="2" s="1"/>
  <c r="L2" i="2"/>
  <c r="L8" i="2" s="1"/>
  <c r="L14" i="2" s="1"/>
  <c r="K2" i="2"/>
  <c r="K8" i="2" s="1"/>
  <c r="K14" i="2" s="1"/>
  <c r="J2" i="2"/>
  <c r="J8" i="2" s="1"/>
  <c r="J14" i="2" s="1"/>
  <c r="I2" i="2"/>
  <c r="I8" i="2" s="1"/>
  <c r="I14" i="2" s="1"/>
  <c r="H2" i="2"/>
  <c r="H8" i="2" s="1"/>
  <c r="H14" i="2" s="1"/>
  <c r="G2" i="2"/>
  <c r="G8" i="2" s="1"/>
  <c r="G14" i="2" s="1"/>
  <c r="F2" i="2"/>
  <c r="F8" i="2" s="1"/>
  <c r="E2" i="2"/>
  <c r="E8" i="2" s="1"/>
  <c r="D2" i="2"/>
  <c r="D8" i="2" s="1"/>
  <c r="C2" i="2"/>
  <c r="C8" i="2" s="1"/>
  <c r="B2" i="2"/>
  <c r="B8" i="2" s="1"/>
  <c r="AW10" i="2" l="1"/>
  <c r="AW12" i="2"/>
  <c r="AW11" i="2"/>
  <c r="AW9" i="2"/>
  <c r="AW13" i="2"/>
  <c r="J89" i="1"/>
  <c r="M84" i="1"/>
  <c r="I89" i="1"/>
  <c r="M87" i="1"/>
  <c r="L85" i="1"/>
  <c r="O89" i="1"/>
  <c r="O81" i="1"/>
  <c r="G81" i="1"/>
  <c r="I81" i="1"/>
  <c r="N89" i="1"/>
  <c r="J82" i="1"/>
  <c r="I91" i="1"/>
  <c r="I82" i="1"/>
  <c r="S81" i="1"/>
  <c r="H82" i="1"/>
  <c r="G87" i="1"/>
  <c r="G85" i="1"/>
  <c r="K89" i="1"/>
  <c r="O87" i="1"/>
  <c r="G84" i="1"/>
  <c r="N81" i="1"/>
  <c r="J85" i="1"/>
  <c r="M90" i="1"/>
  <c r="I85" i="1"/>
  <c r="M89" i="1"/>
  <c r="G88" i="1"/>
  <c r="L90" i="1"/>
  <c r="H83" i="1"/>
  <c r="L81" i="1"/>
  <c r="Q89" i="1"/>
  <c r="O82" i="1"/>
  <c r="P89" i="1"/>
  <c r="K83" i="1"/>
  <c r="N91" i="1"/>
  <c r="J84" i="1"/>
  <c r="N82" i="1"/>
  <c r="J87" i="1"/>
  <c r="M91" i="1"/>
  <c r="I90" i="1"/>
  <c r="M82" i="1"/>
  <c r="I87" i="1"/>
  <c r="K91" i="1"/>
  <c r="O83" i="1"/>
  <c r="K88" i="1"/>
  <c r="M83" i="1"/>
  <c r="M81" i="1"/>
  <c r="S91" i="1"/>
  <c r="I83" i="1"/>
  <c r="L84" i="1"/>
  <c r="R91" i="1"/>
  <c r="S82" i="1"/>
  <c r="N90" i="1"/>
  <c r="J83" i="1"/>
  <c r="O91" i="1"/>
  <c r="K90" i="1"/>
  <c r="G83" i="1"/>
  <c r="O88" i="1"/>
  <c r="K87" i="1"/>
  <c r="G90" i="1"/>
  <c r="L91" i="1"/>
  <c r="H84" i="1"/>
  <c r="L88" i="1"/>
  <c r="H81" i="1"/>
  <c r="Q91" i="1"/>
  <c r="Q82" i="1"/>
  <c r="J91" i="1"/>
  <c r="N83" i="1"/>
  <c r="J88" i="1"/>
  <c r="R90" i="1"/>
  <c r="Q87" i="1"/>
  <c r="M85" i="1"/>
  <c r="G82" i="1"/>
  <c r="I88" i="1"/>
  <c r="Q90" i="1"/>
  <c r="H85" i="1"/>
  <c r="L89" i="1"/>
  <c r="H88" i="1"/>
  <c r="P90" i="1"/>
  <c r="N87" i="1"/>
  <c r="K85" i="1"/>
  <c r="R81" i="1"/>
  <c r="G91" i="1"/>
  <c r="O84" i="1"/>
  <c r="O90" i="1"/>
  <c r="R88" i="1"/>
  <c r="K84" i="1"/>
  <c r="H87" i="1"/>
  <c r="S89" i="1"/>
  <c r="O85" i="1"/>
  <c r="N84" i="1"/>
  <c r="L82" i="1"/>
  <c r="K81" i="1"/>
  <c r="S90" i="1"/>
  <c r="R89" i="1"/>
  <c r="P87" i="1"/>
  <c r="N85" i="1"/>
  <c r="L83" i="1"/>
  <c r="K82" i="1"/>
  <c r="J81" i="1"/>
  <c r="N88" i="1"/>
  <c r="G89" i="1"/>
  <c r="H91" i="1"/>
  <c r="P82" i="1"/>
  <c r="P91" i="1"/>
  <c r="M88" i="1"/>
  <c r="I84" i="1"/>
  <c r="H90" i="1"/>
  <c r="L87" i="1"/>
  <c r="H89" i="1"/>
  <c r="J90" i="1"/>
</calcChain>
</file>

<file path=xl/sharedStrings.xml><?xml version="1.0" encoding="utf-8"?>
<sst xmlns="http://schemas.openxmlformats.org/spreadsheetml/2006/main" count="105" uniqueCount="93">
  <si>
    <t>IA_FC_2401</t>
  </si>
  <si>
    <t>IA_FC_2402</t>
  </si>
  <si>
    <t>IA_FC_2403</t>
  </si>
  <si>
    <t>IA_FC_2404</t>
  </si>
  <si>
    <t>IA_FC_2405</t>
  </si>
  <si>
    <t>IA_FC_2406</t>
  </si>
  <si>
    <t>IA_2401_2</t>
  </si>
  <si>
    <t>IA_2402_2</t>
  </si>
  <si>
    <t>IA_2403_2</t>
  </si>
  <si>
    <t>IA_2404_2</t>
  </si>
  <si>
    <t>IA_2405_2</t>
  </si>
  <si>
    <t>D_I_FC_2401</t>
  </si>
  <si>
    <t>D_I_FC_2402</t>
  </si>
  <si>
    <t>D_I_FC_2403</t>
  </si>
  <si>
    <t>D_I_FC_2404</t>
  </si>
  <si>
    <t>D_I_FC_2405</t>
  </si>
  <si>
    <t>D_I_FC_2406</t>
  </si>
  <si>
    <t>Y_2401_2</t>
  </si>
  <si>
    <t>Q_MTEP_FC_2401</t>
  </si>
  <si>
    <t>Q_MTEP_FC_2402</t>
  </si>
  <si>
    <t>Q_MTEP_FC_2403</t>
  </si>
  <si>
    <t>Q_MTEP_FC_2404</t>
  </si>
  <si>
    <t>Q_MTEP_FC_2405</t>
  </si>
  <si>
    <t>Q_MTEP_FC_2406</t>
  </si>
  <si>
    <t>prog initiale 2401</t>
  </si>
  <si>
    <t>prog initiale 2402</t>
  </si>
  <si>
    <t>prog initiale 2403</t>
  </si>
  <si>
    <t>prog initiale 2404</t>
  </si>
  <si>
    <t>prog initiale 2405</t>
  </si>
  <si>
    <t>prog initiale 2406</t>
  </si>
  <si>
    <t>Prog FC 2401</t>
  </si>
  <si>
    <t>Prog FC 2402</t>
  </si>
  <si>
    <t>Prog FC 2403</t>
  </si>
  <si>
    <t>Prog FC 2404</t>
  </si>
  <si>
    <t>Prog FC 2405</t>
  </si>
  <si>
    <t>Prog FC 2406</t>
  </si>
  <si>
    <t>moyenne pondérée 2401</t>
  </si>
  <si>
    <t>moyenne pondérée 2402</t>
  </si>
  <si>
    <t>moyenne pondérée 2403</t>
  </si>
  <si>
    <t>moyenne pondérée 2404</t>
  </si>
  <si>
    <t>moyenne pondérée 2405</t>
  </si>
  <si>
    <t>moyenne pondérée 2406</t>
  </si>
  <si>
    <t>d_IA_2401</t>
  </si>
  <si>
    <t>d_IA_2402</t>
  </si>
  <si>
    <t>d_IA_2403</t>
  </si>
  <si>
    <t>d_IA_2404</t>
  </si>
  <si>
    <t>d_IA_2405</t>
  </si>
  <si>
    <t>d_IA_2406</t>
  </si>
  <si>
    <t>K_2401_2</t>
  </si>
  <si>
    <t>K_2402_2</t>
  </si>
  <si>
    <t>K_2403_2</t>
  </si>
  <si>
    <t>K_2404_2</t>
  </si>
  <si>
    <t>K_2405_2</t>
  </si>
  <si>
    <t>K_2406_2</t>
  </si>
  <si>
    <t>Y_2402_2</t>
  </si>
  <si>
    <t>Y_2403_2</t>
  </si>
  <si>
    <t>Y_2404_2</t>
  </si>
  <si>
    <t>Y_2405_2</t>
  </si>
  <si>
    <t>Y_2406_2</t>
  </si>
  <si>
    <t>D_I</t>
  </si>
  <si>
    <t>IA_N_2401_2</t>
  </si>
  <si>
    <t>IA_N_2402_2</t>
  </si>
  <si>
    <t>IA_N_2403_2</t>
  </si>
  <si>
    <t>IA_N_2404_2</t>
  </si>
  <si>
    <t>IA_N_2405_2</t>
  </si>
  <si>
    <t>IA_N_2406_2</t>
  </si>
  <si>
    <t>TDEC_2402</t>
  </si>
  <si>
    <t>total</t>
  </si>
  <si>
    <t>IA_2401_1</t>
  </si>
  <si>
    <t>IA_2402_1</t>
  </si>
  <si>
    <t>IA_2403_1</t>
  </si>
  <si>
    <t>IA_2404_1</t>
  </si>
  <si>
    <t>IA_2405_1</t>
  </si>
  <si>
    <t>IA_2406_1</t>
  </si>
  <si>
    <t>IA_N_2401_1</t>
  </si>
  <si>
    <t>IA_N_2402_1</t>
  </si>
  <si>
    <t>IA_N_2403_1</t>
  </si>
  <si>
    <t>IA_N_2404_1</t>
  </si>
  <si>
    <t>IA_N_2405_1</t>
  </si>
  <si>
    <t>IA_N_2406_1</t>
  </si>
  <si>
    <t>K_2401_1</t>
  </si>
  <si>
    <t>K_2402_1</t>
  </si>
  <si>
    <t>K_2403_1</t>
  </si>
  <si>
    <t>K_2404_1</t>
  </si>
  <si>
    <t>K_2405_1</t>
  </si>
  <si>
    <t>K_2406_1</t>
  </si>
  <si>
    <t>Y_2401_1</t>
  </si>
  <si>
    <t>Y_2402_1</t>
  </si>
  <si>
    <t>Y_2403_1</t>
  </si>
  <si>
    <t>Y_2404_1</t>
  </si>
  <si>
    <t>Y_2405_1</t>
  </si>
  <si>
    <t>Y_2406_1</t>
  </si>
  <si>
    <t>IA_2406_2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</si>
</sst>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000"/>
    <numFmt numFmtId="165" formatCode="0.00000000"/>
    <numFmt numFmtId="166" formatCode="0.0000"/>
  </numFmts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0" fillId="3" borderId="0" xfId="0" applyFill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Github\ThreeME\data\shocks\ademe_SCEN_FC.xls" TargetMode="External"/><Relationship Id="rId1" Type="http://schemas.openxmlformats.org/officeDocument/2006/relationships/externalLinkPath" Target="/Github/ThreeME/data/shocks/ademe_SCEN_FC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eries"/>
      <sheetName val="technical_coef_var"/>
      <sheetName val="technical_coef_var_2"/>
    </sheetNames>
    <sheetDataSet>
      <sheetData sheetId="0">
        <row r="3"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</row>
        <row r="4"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</row>
        <row r="5"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</row>
        <row r="6"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</row>
        <row r="7"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</row>
        <row r="15"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5.5542096219931272E-3</v>
          </cell>
          <cell r="W15">
            <v>5.5542096219931272E-3</v>
          </cell>
          <cell r="X15">
            <v>5.5542096219931272E-3</v>
          </cell>
          <cell r="Y15">
            <v>5.5542096219931272E-3</v>
          </cell>
          <cell r="Z15">
            <v>5.5542096219931272E-3</v>
          </cell>
          <cell r="AA15">
            <v>5.5542096219931272E-3</v>
          </cell>
          <cell r="AB15">
            <v>5.5542096219931272E-3</v>
          </cell>
          <cell r="AC15">
            <v>5.5542096219931272E-3</v>
          </cell>
          <cell r="AD15">
            <v>5.5542096219931272E-3</v>
          </cell>
          <cell r="AE15">
            <v>5.5542096219931272E-3</v>
          </cell>
          <cell r="AF15">
            <v>5.5542096219931272E-3</v>
          </cell>
          <cell r="AG15">
            <v>5.5542096219931272E-3</v>
          </cell>
          <cell r="AH15">
            <v>5.5542096219931272E-3</v>
          </cell>
          <cell r="AI15">
            <v>5.5542096219931272E-3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-0.43787608176535953</v>
          </cell>
          <cell r="W16">
            <v>-0.43787608176535953</v>
          </cell>
          <cell r="X16">
            <v>-0.43787608176535953</v>
          </cell>
          <cell r="Y16">
            <v>-0.43787608176535953</v>
          </cell>
          <cell r="Z16">
            <v>-0.43787608176535953</v>
          </cell>
          <cell r="AA16">
            <v>-0.43787608176535953</v>
          </cell>
          <cell r="AB16">
            <v>-0.43787608176535953</v>
          </cell>
          <cell r="AC16">
            <v>-0.43787608176535953</v>
          </cell>
          <cell r="AD16">
            <v>-0.43787608176535953</v>
          </cell>
          <cell r="AE16">
            <v>-0.43787608176535953</v>
          </cell>
          <cell r="AF16">
            <v>-0.43787608176535953</v>
          </cell>
          <cell r="AG16">
            <v>-0.43787608176535953</v>
          </cell>
          <cell r="AH16">
            <v>-0.43787608176535953</v>
          </cell>
          <cell r="AI16">
            <v>-0.43787608176535953</v>
          </cell>
        </row>
        <row r="17"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0.21316849167092117</v>
          </cell>
          <cell r="W17">
            <v>0.21316849167092117</v>
          </cell>
          <cell r="X17">
            <v>0.21316849167092117</v>
          </cell>
          <cell r="Y17">
            <v>0.21316849167092117</v>
          </cell>
          <cell r="Z17">
            <v>0.21316849167092117</v>
          </cell>
          <cell r="AA17">
            <v>0.21316849167092117</v>
          </cell>
          <cell r="AB17">
            <v>0.21316849167092117</v>
          </cell>
          <cell r="AC17">
            <v>0.21316849167092117</v>
          </cell>
          <cell r="AD17">
            <v>0.21316849167092117</v>
          </cell>
          <cell r="AE17">
            <v>0.21316849167092117</v>
          </cell>
          <cell r="AF17">
            <v>0.21316849167092117</v>
          </cell>
          <cell r="AG17">
            <v>0.21316849167092117</v>
          </cell>
          <cell r="AH17">
            <v>0.21316849167092117</v>
          </cell>
          <cell r="AI17">
            <v>0.21316849167092117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2.5541924398625428E-2</v>
          </cell>
          <cell r="W18">
            <v>2.5541924398625428E-2</v>
          </cell>
          <cell r="X18">
            <v>2.5541924398625428E-2</v>
          </cell>
          <cell r="Y18">
            <v>2.5541924398625428E-2</v>
          </cell>
          <cell r="Z18">
            <v>2.5541924398625428E-2</v>
          </cell>
          <cell r="AA18">
            <v>2.5541924398625428E-2</v>
          </cell>
          <cell r="AB18">
            <v>2.5541924398625428E-2</v>
          </cell>
          <cell r="AC18">
            <v>2.5541924398625428E-2</v>
          </cell>
          <cell r="AD18">
            <v>2.5541924398625428E-2</v>
          </cell>
          <cell r="AE18">
            <v>2.5541924398625428E-2</v>
          </cell>
          <cell r="AF18">
            <v>2.5541924398625428E-2</v>
          </cell>
          <cell r="AG18">
            <v>2.5541924398625428E-2</v>
          </cell>
          <cell r="AH18">
            <v>2.5541924398625428E-2</v>
          </cell>
          <cell r="AI18">
            <v>2.5541924398625428E-2</v>
          </cell>
        </row>
        <row r="19"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2.4322336769759451E-2</v>
          </cell>
          <cell r="W19">
            <v>2.4322336769759451E-2</v>
          </cell>
          <cell r="X19">
            <v>2.4322336769759451E-2</v>
          </cell>
          <cell r="Y19">
            <v>2.4322336769759451E-2</v>
          </cell>
          <cell r="Z19">
            <v>2.4322336769759451E-2</v>
          </cell>
          <cell r="AA19">
            <v>2.4322336769759451E-2</v>
          </cell>
          <cell r="AB19">
            <v>2.4322336769759451E-2</v>
          </cell>
          <cell r="AC19">
            <v>2.4322336769759451E-2</v>
          </cell>
          <cell r="AD19">
            <v>2.4322336769759451E-2</v>
          </cell>
          <cell r="AE19">
            <v>2.4322336769759451E-2</v>
          </cell>
          <cell r="AF19">
            <v>2.4322336769759451E-2</v>
          </cell>
          <cell r="AG19">
            <v>2.4322336769759451E-2</v>
          </cell>
          <cell r="AH19">
            <v>2.4322336769759451E-2</v>
          </cell>
          <cell r="AI19">
            <v>2.4322336769759451E-2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45DB0-51A7-4792-B10B-BBD622F6D81F}">
  <dimension ref="A1:AX91"/>
  <sheetViews>
    <sheetView workbookViewId="0">
      <pane xSplit="1" ySplit="1" topLeftCell="N51" activePane="bottomRight" state="frozen"/>
      <selection pane="topRight" activeCell="B1" sqref="B1"/>
      <selection pane="bottomLeft" activeCell="A2" sqref="A2"/>
      <selection pane="bottomRight" sqref="A1:AV56"/>
    </sheetView>
  </sheetViews>
  <sheetFormatPr baseColWidth="10" defaultRowHeight="15" x14ac:dyDescent="0.25"/>
  <cols>
    <col min="1" max="1" width="18.5703125" customWidth="1"/>
    <col min="2" max="6" width="11.42578125" customWidth="1"/>
  </cols>
  <sheetData>
    <row r="1" spans="1:50" x14ac:dyDescent="0.25">
      <c r="B1">
        <v>2004</v>
      </c>
      <c r="C1">
        <v>2005</v>
      </c>
      <c r="D1">
        <v>2006</v>
      </c>
      <c r="E1">
        <v>2007</v>
      </c>
      <c r="F1">
        <v>2008</v>
      </c>
      <c r="G1">
        <v>2009</v>
      </c>
      <c r="H1">
        <v>2010</v>
      </c>
      <c r="I1">
        <v>2011</v>
      </c>
      <c r="J1">
        <v>2012</v>
      </c>
      <c r="K1">
        <v>2013</v>
      </c>
      <c r="L1">
        <v>2014</v>
      </c>
      <c r="M1">
        <v>2015</v>
      </c>
      <c r="N1">
        <v>2016</v>
      </c>
      <c r="O1">
        <v>2017</v>
      </c>
      <c r="P1">
        <v>2018</v>
      </c>
      <c r="Q1">
        <v>2019</v>
      </c>
      <c r="R1">
        <v>2020</v>
      </c>
      <c r="S1">
        <v>2021</v>
      </c>
      <c r="T1">
        <v>2022</v>
      </c>
      <c r="U1">
        <v>2023</v>
      </c>
      <c r="V1">
        <v>2024</v>
      </c>
      <c r="W1">
        <v>2025</v>
      </c>
      <c r="X1">
        <v>2026</v>
      </c>
      <c r="Y1">
        <v>2027</v>
      </c>
      <c r="Z1">
        <v>2028</v>
      </c>
      <c r="AA1">
        <v>2029</v>
      </c>
      <c r="AB1">
        <v>2030</v>
      </c>
      <c r="AC1">
        <v>2031</v>
      </c>
      <c r="AD1">
        <v>2032</v>
      </c>
      <c r="AE1">
        <v>2033</v>
      </c>
      <c r="AF1">
        <v>2034</v>
      </c>
      <c r="AG1">
        <v>2035</v>
      </c>
      <c r="AH1">
        <v>2036</v>
      </c>
      <c r="AI1">
        <v>2037</v>
      </c>
      <c r="AJ1">
        <v>2038</v>
      </c>
      <c r="AK1">
        <v>2039</v>
      </c>
      <c r="AL1">
        <v>2040</v>
      </c>
      <c r="AM1">
        <v>2041</v>
      </c>
      <c r="AN1">
        <v>2042</v>
      </c>
      <c r="AO1">
        <v>2043</v>
      </c>
      <c r="AP1">
        <v>2044</v>
      </c>
      <c r="AQ1">
        <v>2045</v>
      </c>
      <c r="AR1">
        <v>2046</v>
      </c>
      <c r="AS1">
        <v>2047</v>
      </c>
      <c r="AT1">
        <v>2048</v>
      </c>
      <c r="AU1">
        <v>2049</v>
      </c>
      <c r="AV1">
        <v>2050</v>
      </c>
    </row>
    <row r="2" spans="1:50" x14ac:dyDescent="0.25">
      <c r="A2" s="1" t="s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</row>
    <row r="3" spans="1:50" x14ac:dyDescent="0.25">
      <c r="A3" s="1" t="s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1132.0881560573</v>
      </c>
      <c r="V3">
        <v>1132.0881560573</v>
      </c>
      <c r="W3">
        <v>1132.0881560573</v>
      </c>
      <c r="X3">
        <v>1132.0881560573</v>
      </c>
      <c r="Y3">
        <v>1132.0881560573</v>
      </c>
      <c r="Z3">
        <v>1132.0881560573</v>
      </c>
      <c r="AA3">
        <v>1132.0881560573</v>
      </c>
      <c r="AB3">
        <v>1132.0881560573</v>
      </c>
      <c r="AC3">
        <v>1132.0881560573</v>
      </c>
      <c r="AD3">
        <v>1132.0881560573</v>
      </c>
      <c r="AE3">
        <v>1132.0881560573</v>
      </c>
      <c r="AF3">
        <v>1132.0881560573</v>
      </c>
      <c r="AG3">
        <v>1132.0881560573</v>
      </c>
      <c r="AH3">
        <v>1132.0881560573</v>
      </c>
      <c r="AI3">
        <v>1132.0881560573</v>
      </c>
      <c r="AJ3">
        <v>1132.0881560573</v>
      </c>
      <c r="AK3">
        <v>1132.0881560573</v>
      </c>
      <c r="AL3">
        <v>1132.0881560573</v>
      </c>
      <c r="AM3">
        <v>1132.0881560573</v>
      </c>
      <c r="AN3">
        <v>1132.0881560573</v>
      </c>
      <c r="AO3">
        <v>1132.0881560573</v>
      </c>
      <c r="AP3">
        <v>1132.0881560573</v>
      </c>
      <c r="AQ3">
        <v>1132.0881560573</v>
      </c>
      <c r="AR3">
        <v>1132.0881560573</v>
      </c>
      <c r="AS3">
        <v>1132.0881560573</v>
      </c>
      <c r="AT3">
        <v>1132.0881560573</v>
      </c>
      <c r="AU3">
        <v>1132.0881560573</v>
      </c>
      <c r="AV3">
        <v>1132.0881560573</v>
      </c>
      <c r="AW3">
        <f>SUM(G3:AV3)</f>
        <v>31698.468369604398</v>
      </c>
    </row>
    <row r="4" spans="1:50" x14ac:dyDescent="0.25">
      <c r="A4" s="1" t="s">
        <v>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161.580862915398</v>
      </c>
      <c r="V4">
        <v>161.580862915398</v>
      </c>
      <c r="W4">
        <v>161.580862915398</v>
      </c>
      <c r="X4">
        <v>161.580862915398</v>
      </c>
      <c r="Y4">
        <v>161.580862915398</v>
      </c>
      <c r="Z4">
        <v>161.580862915398</v>
      </c>
      <c r="AA4">
        <v>161.580862915398</v>
      </c>
      <c r="AB4">
        <v>161.580862915398</v>
      </c>
      <c r="AC4">
        <v>161.580862915398</v>
      </c>
      <c r="AD4">
        <v>161.580862915398</v>
      </c>
      <c r="AE4">
        <v>161.580862915398</v>
      </c>
      <c r="AF4">
        <v>161.580862915398</v>
      </c>
      <c r="AG4">
        <v>161.580862915398</v>
      </c>
      <c r="AH4">
        <v>161.580862915398</v>
      </c>
      <c r="AI4">
        <v>161.580862915398</v>
      </c>
      <c r="AJ4">
        <v>161.580862915398</v>
      </c>
      <c r="AK4">
        <v>161.580862915398</v>
      </c>
      <c r="AL4">
        <v>161.580862915398</v>
      </c>
      <c r="AM4">
        <v>161.580862915398</v>
      </c>
      <c r="AN4">
        <v>161.580862915398</v>
      </c>
      <c r="AO4">
        <v>161.580862915398</v>
      </c>
      <c r="AP4">
        <v>161.580862915398</v>
      </c>
      <c r="AQ4">
        <v>161.580862915398</v>
      </c>
      <c r="AR4">
        <v>161.580862915398</v>
      </c>
      <c r="AS4">
        <v>161.580862915398</v>
      </c>
      <c r="AT4">
        <v>161.580862915398</v>
      </c>
      <c r="AU4">
        <v>161.580862915398</v>
      </c>
      <c r="AV4">
        <v>161.580862915398</v>
      </c>
    </row>
    <row r="5" spans="1:50" x14ac:dyDescent="0.25">
      <c r="A5" s="1" t="s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35.189531180515402</v>
      </c>
      <c r="V5">
        <v>35.189531180515402</v>
      </c>
      <c r="W5">
        <v>35.189531180515402</v>
      </c>
      <c r="X5">
        <v>35.189531180515402</v>
      </c>
      <c r="Y5">
        <v>35.189531180515402</v>
      </c>
      <c r="Z5">
        <v>35.189531180515402</v>
      </c>
      <c r="AA5">
        <v>35.189531180515402</v>
      </c>
      <c r="AB5">
        <v>35.189531180515402</v>
      </c>
      <c r="AC5">
        <v>35.189531180515402</v>
      </c>
      <c r="AD5">
        <v>35.189531180515402</v>
      </c>
      <c r="AE5">
        <v>35.189531180515402</v>
      </c>
      <c r="AF5">
        <v>35.189531180515402</v>
      </c>
      <c r="AG5">
        <v>35.189531180515402</v>
      </c>
      <c r="AH5">
        <v>35.189531180515402</v>
      </c>
      <c r="AI5">
        <v>35.189531180515402</v>
      </c>
      <c r="AJ5">
        <v>35.189531180515402</v>
      </c>
      <c r="AK5">
        <v>35.189531180515402</v>
      </c>
      <c r="AL5">
        <v>35.189531180515402</v>
      </c>
      <c r="AM5">
        <v>35.189531180515402</v>
      </c>
      <c r="AN5">
        <v>35.189531180515402</v>
      </c>
      <c r="AO5">
        <v>35.189531180515402</v>
      </c>
      <c r="AP5">
        <v>35.189531180515402</v>
      </c>
      <c r="AQ5">
        <v>35.189531180515402</v>
      </c>
      <c r="AR5">
        <v>35.189531180515402</v>
      </c>
      <c r="AS5">
        <v>35.189531180515402</v>
      </c>
      <c r="AT5">
        <v>35.189531180515402</v>
      </c>
      <c r="AU5">
        <v>35.189531180515402</v>
      </c>
      <c r="AV5">
        <v>35.189531180515402</v>
      </c>
    </row>
    <row r="6" spans="1:50" x14ac:dyDescent="0.25">
      <c r="A6" s="1" t="s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250.471762887549</v>
      </c>
      <c r="V6">
        <v>250.471762887549</v>
      </c>
      <c r="W6">
        <v>250.471762887549</v>
      </c>
      <c r="X6">
        <v>250.471762887549</v>
      </c>
      <c r="Y6">
        <v>250.471762887549</v>
      </c>
      <c r="Z6">
        <v>250.471762887549</v>
      </c>
      <c r="AA6">
        <v>250.471762887549</v>
      </c>
      <c r="AB6">
        <v>250.471762887549</v>
      </c>
      <c r="AC6">
        <v>250.471762887549</v>
      </c>
      <c r="AD6">
        <v>250.471762887549</v>
      </c>
      <c r="AE6">
        <v>250.471762887549</v>
      </c>
      <c r="AF6">
        <v>250.471762887549</v>
      </c>
      <c r="AG6">
        <v>250.471762887549</v>
      </c>
      <c r="AH6">
        <v>250.471762887549</v>
      </c>
      <c r="AI6">
        <v>250.471762887549</v>
      </c>
      <c r="AJ6">
        <v>250.471762887549</v>
      </c>
      <c r="AK6">
        <v>250.471762887549</v>
      </c>
      <c r="AL6">
        <v>250.471762887549</v>
      </c>
      <c r="AM6">
        <v>250.471762887549</v>
      </c>
      <c r="AN6">
        <v>250.471762887549</v>
      </c>
      <c r="AO6">
        <v>250.471762887549</v>
      </c>
      <c r="AP6">
        <v>250.471762887549</v>
      </c>
      <c r="AQ6">
        <v>250.471762887549</v>
      </c>
      <c r="AR6">
        <v>250.471762887549</v>
      </c>
      <c r="AS6">
        <v>250.471762887549</v>
      </c>
      <c r="AT6">
        <v>250.471762887549</v>
      </c>
      <c r="AU6">
        <v>250.471762887549</v>
      </c>
      <c r="AV6">
        <v>250.471762887549</v>
      </c>
    </row>
    <row r="7" spans="1:50" x14ac:dyDescent="0.25">
      <c r="A7" s="1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123.80597320145201</v>
      </c>
      <c r="V7">
        <v>123.80597320145201</v>
      </c>
      <c r="W7">
        <v>123.80597320145201</v>
      </c>
      <c r="X7">
        <v>123.80597320145201</v>
      </c>
      <c r="Y7">
        <v>123.80597320145201</v>
      </c>
      <c r="Z7">
        <v>123.80597320145201</v>
      </c>
      <c r="AA7">
        <v>123.80597320145201</v>
      </c>
      <c r="AB7">
        <v>123.80597320145201</v>
      </c>
      <c r="AC7">
        <v>123.80597320145201</v>
      </c>
      <c r="AD7">
        <v>123.80597320145201</v>
      </c>
      <c r="AE7">
        <v>123.80597320145201</v>
      </c>
      <c r="AF7">
        <v>123.80597320145201</v>
      </c>
      <c r="AG7">
        <v>123.80597320145201</v>
      </c>
      <c r="AH7">
        <v>123.80597320145201</v>
      </c>
      <c r="AI7">
        <v>123.80597320145201</v>
      </c>
      <c r="AJ7">
        <v>123.80597320145201</v>
      </c>
      <c r="AK7">
        <v>123.80597320145201</v>
      </c>
      <c r="AL7">
        <v>123.80597320145201</v>
      </c>
      <c r="AM7">
        <v>123.80597320145201</v>
      </c>
      <c r="AN7">
        <v>123.80597320145201</v>
      </c>
      <c r="AO7">
        <v>123.80597320145201</v>
      </c>
      <c r="AP7">
        <v>123.80597320145201</v>
      </c>
      <c r="AQ7">
        <v>123.80597320145201</v>
      </c>
      <c r="AR7">
        <v>123.80597320145201</v>
      </c>
      <c r="AS7">
        <v>123.80597320145201</v>
      </c>
      <c r="AT7">
        <v>123.80597320145201</v>
      </c>
      <c r="AU7">
        <v>123.80597320145201</v>
      </c>
      <c r="AV7">
        <v>123.80597320145201</v>
      </c>
    </row>
    <row r="8" spans="1:50" x14ac:dyDescent="0.25">
      <c r="A8" s="1" t="s">
        <v>68</v>
      </c>
      <c r="B8">
        <v>1593.0326531102801</v>
      </c>
      <c r="C8">
        <v>1618.60930763698</v>
      </c>
      <c r="D8">
        <v>1727.14301</v>
      </c>
      <c r="E8">
        <v>844.37483599999996</v>
      </c>
      <c r="F8">
        <v>0.1000014402</v>
      </c>
      <c r="G8">
        <v>0.10000277320000001</v>
      </c>
      <c r="H8">
        <v>1351.8851979999999</v>
      </c>
      <c r="I8">
        <v>473.99782340000002</v>
      </c>
      <c r="J8">
        <v>0.1000173251</v>
      </c>
      <c r="K8">
        <v>0.1000275637</v>
      </c>
      <c r="L8">
        <v>674.58534780000002</v>
      </c>
      <c r="M8">
        <v>1342.6111350000001</v>
      </c>
      <c r="N8">
        <v>1492.150208</v>
      </c>
      <c r="O8">
        <v>699.82046290000005</v>
      </c>
      <c r="P8">
        <v>0.10008548489999999</v>
      </c>
      <c r="Q8">
        <v>0.1000939771</v>
      </c>
      <c r="R8">
        <v>0.10010003419999999</v>
      </c>
      <c r="S8">
        <v>0.1001043668</v>
      </c>
      <c r="T8">
        <v>0.1001074527</v>
      </c>
      <c r="U8">
        <v>0.10010965550000001</v>
      </c>
      <c r="V8">
        <v>2158.3641859999998</v>
      </c>
      <c r="W8">
        <v>2270.1134109999998</v>
      </c>
      <c r="X8">
        <v>710.05805039999996</v>
      </c>
      <c r="Y8">
        <v>913.462715</v>
      </c>
      <c r="Z8">
        <v>1000.004945</v>
      </c>
      <c r="AA8">
        <v>1055.9449509999999</v>
      </c>
      <c r="AB8">
        <v>1119.1140370000001</v>
      </c>
      <c r="AC8">
        <v>979.40624549999995</v>
      </c>
      <c r="AD8">
        <v>996.68049589999998</v>
      </c>
      <c r="AE8">
        <v>995.60424169999999</v>
      </c>
      <c r="AF8">
        <v>1006.4030310000001</v>
      </c>
      <c r="AG8">
        <v>1030.144918</v>
      </c>
      <c r="AH8">
        <v>1113.810023</v>
      </c>
      <c r="AI8">
        <v>1112.984649</v>
      </c>
      <c r="AJ8">
        <v>1137.7095260000001</v>
      </c>
      <c r="AK8">
        <v>1153.4177070000001</v>
      </c>
      <c r="AL8">
        <v>1168.4644539999999</v>
      </c>
      <c r="AM8">
        <v>832.03807570000004</v>
      </c>
      <c r="AN8">
        <v>833.63202980000005</v>
      </c>
      <c r="AO8">
        <v>833.53713370000003</v>
      </c>
      <c r="AP8">
        <v>839.1139263</v>
      </c>
      <c r="AQ8">
        <v>834.01380380000001</v>
      </c>
      <c r="AR8">
        <v>794.97712090000005</v>
      </c>
      <c r="AS8">
        <v>791.92485209999995</v>
      </c>
      <c r="AT8">
        <v>790.75912519999997</v>
      </c>
      <c r="AU8">
        <v>789.04568740000002</v>
      </c>
      <c r="AV8">
        <v>796.23992929999997</v>
      </c>
    </row>
    <row r="9" spans="1:50" x14ac:dyDescent="0.25">
      <c r="A9" s="1" t="s">
        <v>69</v>
      </c>
      <c r="B9">
        <v>43.535458439753199</v>
      </c>
      <c r="C9">
        <v>44.234434306946497</v>
      </c>
      <c r="D9">
        <v>47.032947620000002</v>
      </c>
      <c r="E9">
        <v>505.35763429999997</v>
      </c>
      <c r="F9">
        <v>475.60751909999999</v>
      </c>
      <c r="G9">
        <v>442.87597720000002</v>
      </c>
      <c r="H9">
        <v>533.11449270000003</v>
      </c>
      <c r="I9">
        <v>469.98909989999999</v>
      </c>
      <c r="J9">
        <v>352.80714069999999</v>
      </c>
      <c r="K9">
        <v>352.38613839999999</v>
      </c>
      <c r="L9">
        <v>350.68159530000003</v>
      </c>
      <c r="M9">
        <v>338.4388032</v>
      </c>
      <c r="N9">
        <v>297.99302619999997</v>
      </c>
      <c r="O9">
        <v>205.69373179999999</v>
      </c>
      <c r="P9">
        <v>34.725833139999999</v>
      </c>
      <c r="Q9">
        <v>126.8572673</v>
      </c>
      <c r="R9">
        <v>122.7961294</v>
      </c>
      <c r="S9">
        <v>248.23197540000001</v>
      </c>
      <c r="T9">
        <v>194.00723210000001</v>
      </c>
      <c r="U9">
        <v>181.50349610000001</v>
      </c>
      <c r="V9">
        <v>213.22442599999999</v>
      </c>
      <c r="W9">
        <v>246.69623100000001</v>
      </c>
      <c r="X9">
        <v>223.1126534</v>
      </c>
      <c r="Y9">
        <v>255.79826869999999</v>
      </c>
      <c r="Z9">
        <v>274.27119140000002</v>
      </c>
      <c r="AA9">
        <v>293.4945275</v>
      </c>
      <c r="AB9">
        <v>310.30084249999999</v>
      </c>
      <c r="AC9">
        <v>293.5023645</v>
      </c>
      <c r="AD9">
        <v>301.54905239999999</v>
      </c>
      <c r="AE9">
        <v>306.36329810000001</v>
      </c>
      <c r="AF9">
        <v>314.14746020000001</v>
      </c>
      <c r="AG9">
        <v>323.16004629999998</v>
      </c>
      <c r="AH9">
        <v>260.93537220000002</v>
      </c>
      <c r="AI9">
        <v>261.95531649999998</v>
      </c>
      <c r="AJ9">
        <v>271.33523129999998</v>
      </c>
      <c r="AK9">
        <v>276.72307649999999</v>
      </c>
      <c r="AL9">
        <v>282.44144549999999</v>
      </c>
      <c r="AM9">
        <v>237.2434671</v>
      </c>
      <c r="AN9">
        <v>238.7931596</v>
      </c>
      <c r="AO9">
        <v>242.14280410000001</v>
      </c>
      <c r="AP9">
        <v>245.11308009999999</v>
      </c>
      <c r="AQ9">
        <v>245.865892</v>
      </c>
      <c r="AR9">
        <v>213.4105682</v>
      </c>
      <c r="AS9">
        <v>213.57570749999999</v>
      </c>
      <c r="AT9">
        <v>213.54605749999999</v>
      </c>
      <c r="AU9">
        <v>214.0142285</v>
      </c>
      <c r="AV9">
        <v>216.3959208</v>
      </c>
      <c r="AW9">
        <f>SUM(G9:AV9)</f>
        <v>11241.213628239999</v>
      </c>
    </row>
    <row r="10" spans="1:50" x14ac:dyDescent="0.25">
      <c r="A10" s="1" t="s">
        <v>70</v>
      </c>
      <c r="B10">
        <v>23.2717116207895</v>
      </c>
      <c r="C10">
        <v>23.645346478309701</v>
      </c>
      <c r="D10">
        <v>24.888875169999999</v>
      </c>
      <c r="E10">
        <v>17.41317574</v>
      </c>
      <c r="F10">
        <v>2.1752840400000002</v>
      </c>
      <c r="G10">
        <v>0.10000277320000001</v>
      </c>
      <c r="H10">
        <v>19.036282360000001</v>
      </c>
      <c r="I10">
        <v>6.4264607659999999</v>
      </c>
      <c r="J10">
        <v>0.1000173251</v>
      </c>
      <c r="K10">
        <v>1.862879368</v>
      </c>
      <c r="L10">
        <v>10.02244964</v>
      </c>
      <c r="M10">
        <v>18.770680810000002</v>
      </c>
      <c r="N10">
        <v>208.10266999999999</v>
      </c>
      <c r="O10">
        <v>212.6571806</v>
      </c>
      <c r="P10">
        <v>195.39995870000001</v>
      </c>
      <c r="Q10">
        <v>217.88016039999999</v>
      </c>
      <c r="R10">
        <v>228.67336900000001</v>
      </c>
      <c r="S10">
        <v>677.1372556</v>
      </c>
      <c r="T10">
        <v>649.31500679999999</v>
      </c>
      <c r="U10">
        <v>655.43858999999998</v>
      </c>
      <c r="V10">
        <v>0.1001111301</v>
      </c>
      <c r="W10">
        <v>0.1001120863</v>
      </c>
      <c r="X10">
        <v>6.5124673729999998</v>
      </c>
      <c r="Y10">
        <v>35.451450029999997</v>
      </c>
      <c r="Z10">
        <v>43.597673929999999</v>
      </c>
      <c r="AA10">
        <v>47.520155889999998</v>
      </c>
      <c r="AB10">
        <v>50.824042970000001</v>
      </c>
      <c r="AC10">
        <v>83.094774099999995</v>
      </c>
      <c r="AD10">
        <v>87.255048950000003</v>
      </c>
      <c r="AE10">
        <v>90.463117920000002</v>
      </c>
      <c r="AF10">
        <v>94.385071080000003</v>
      </c>
      <c r="AG10">
        <v>98.270158890000005</v>
      </c>
      <c r="AH10">
        <v>108.0227021</v>
      </c>
      <c r="AI10">
        <v>111.0876844</v>
      </c>
      <c r="AJ10">
        <v>115.70491560000001</v>
      </c>
      <c r="AK10">
        <v>120.7351498</v>
      </c>
      <c r="AL10">
        <v>124.9723097</v>
      </c>
      <c r="AM10">
        <v>107.53157109999999</v>
      </c>
      <c r="AN10">
        <v>109.27263360000001</v>
      </c>
      <c r="AO10">
        <v>111.623959</v>
      </c>
      <c r="AP10">
        <v>114.03258270000001</v>
      </c>
      <c r="AQ10">
        <v>115.8382513</v>
      </c>
      <c r="AR10">
        <v>106.82834990000001</v>
      </c>
      <c r="AS10">
        <v>108.3441783</v>
      </c>
      <c r="AT10">
        <v>109.8929208</v>
      </c>
      <c r="AU10">
        <v>111.6005012</v>
      </c>
      <c r="AV10">
        <v>113.9644083</v>
      </c>
    </row>
    <row r="11" spans="1:50" x14ac:dyDescent="0.25">
      <c r="A11" s="1" t="s">
        <v>71</v>
      </c>
      <c r="B11">
        <v>32.111684022952602</v>
      </c>
      <c r="C11">
        <v>32.627247496759601</v>
      </c>
      <c r="D11">
        <v>34.690536080000001</v>
      </c>
      <c r="E11">
        <v>39.576202279999997</v>
      </c>
      <c r="F11">
        <v>16.268756759999999</v>
      </c>
      <c r="G11">
        <v>5.3331602299999998</v>
      </c>
      <c r="H11">
        <v>43.650771059999997</v>
      </c>
      <c r="I11">
        <v>25.585775720000001</v>
      </c>
      <c r="J11">
        <v>3.866319399</v>
      </c>
      <c r="K11">
        <v>16.041094260000001</v>
      </c>
      <c r="L11">
        <v>31.88936099</v>
      </c>
      <c r="M11">
        <v>47.388328190000003</v>
      </c>
      <c r="N11">
        <v>336.78436549999998</v>
      </c>
      <c r="O11">
        <v>342.99329189999997</v>
      </c>
      <c r="P11">
        <v>309.5404949</v>
      </c>
      <c r="Q11">
        <v>344.49325490000001</v>
      </c>
      <c r="R11">
        <v>360.12081490000003</v>
      </c>
      <c r="S11">
        <v>217.96152430000001</v>
      </c>
      <c r="T11">
        <v>139.70181120000001</v>
      </c>
      <c r="U11">
        <v>138.09915839999999</v>
      </c>
      <c r="V11">
        <v>0.1001111301</v>
      </c>
      <c r="W11">
        <v>0.1001120863</v>
      </c>
      <c r="X11">
        <v>37.597671200000001</v>
      </c>
      <c r="Y11">
        <v>57.161605090000002</v>
      </c>
      <c r="Z11">
        <v>63.879983469999999</v>
      </c>
      <c r="AA11">
        <v>67.657884800000005</v>
      </c>
      <c r="AB11">
        <v>71.618371969999998</v>
      </c>
      <c r="AC11">
        <v>56.170816309999999</v>
      </c>
      <c r="AD11">
        <v>56.921330619999999</v>
      </c>
      <c r="AE11">
        <v>56.967391820000003</v>
      </c>
      <c r="AF11">
        <v>57.552185790000003</v>
      </c>
      <c r="AG11">
        <v>58.616299689999998</v>
      </c>
      <c r="AH11">
        <v>59.786288079999999</v>
      </c>
      <c r="AI11">
        <v>59.598709650000004</v>
      </c>
      <c r="AJ11">
        <v>61.20466468</v>
      </c>
      <c r="AK11">
        <v>62.122659280000001</v>
      </c>
      <c r="AL11">
        <v>63.038718529999997</v>
      </c>
      <c r="AM11">
        <v>51.494556279999998</v>
      </c>
      <c r="AN11">
        <v>51.513165710000003</v>
      </c>
      <c r="AO11">
        <v>51.876107920000003</v>
      </c>
      <c r="AP11">
        <v>52.267140830000002</v>
      </c>
      <c r="AQ11">
        <v>52.132583220000001</v>
      </c>
      <c r="AR11">
        <v>54.805077910000001</v>
      </c>
      <c r="AS11">
        <v>54.878798250000003</v>
      </c>
      <c r="AT11">
        <v>54.974031269999998</v>
      </c>
      <c r="AU11">
        <v>55.165779069999999</v>
      </c>
      <c r="AV11">
        <v>55.83383534</v>
      </c>
    </row>
    <row r="12" spans="1:50" x14ac:dyDescent="0.25">
      <c r="A12" s="1" t="s">
        <v>72</v>
      </c>
      <c r="B12">
        <v>24.7002727259982</v>
      </c>
      <c r="C12">
        <v>25.096843594143699</v>
      </c>
      <c r="D12">
        <v>26.683935680000001</v>
      </c>
      <c r="E12">
        <v>54.922148790000001</v>
      </c>
      <c r="F12">
        <v>39.82010657</v>
      </c>
      <c r="G12">
        <v>32.9498599</v>
      </c>
      <c r="H12">
        <v>65.777056099999996</v>
      </c>
      <c r="I12">
        <v>52.569866300000001</v>
      </c>
      <c r="J12">
        <v>35.93444624</v>
      </c>
      <c r="K12">
        <v>49.169068709999998</v>
      </c>
      <c r="L12">
        <v>66.368835379999894</v>
      </c>
      <c r="M12">
        <v>86.793276239999997</v>
      </c>
      <c r="N12">
        <v>201.3361337</v>
      </c>
      <c r="O12">
        <v>198.12003480000001</v>
      </c>
      <c r="P12">
        <v>165.51645730000001</v>
      </c>
      <c r="Q12">
        <v>196.5436038</v>
      </c>
      <c r="R12">
        <v>208.8533894</v>
      </c>
      <c r="S12">
        <v>387.34385950000001</v>
      </c>
      <c r="T12">
        <v>326.32140729999998</v>
      </c>
      <c r="U12">
        <v>330.49336069999998</v>
      </c>
      <c r="V12">
        <v>0.1001111301</v>
      </c>
      <c r="W12">
        <v>0.1001120863</v>
      </c>
      <c r="X12">
        <v>52.598318159999998</v>
      </c>
      <c r="Y12">
        <v>72.803010400000005</v>
      </c>
      <c r="Z12">
        <v>80.511178529999995</v>
      </c>
      <c r="AA12">
        <v>85.82083308</v>
      </c>
      <c r="AB12">
        <v>91.053832679999999</v>
      </c>
      <c r="AC12">
        <v>61.580653820000002</v>
      </c>
      <c r="AD12">
        <v>62.394196039999997</v>
      </c>
      <c r="AE12">
        <v>62.490308640000002</v>
      </c>
      <c r="AF12">
        <v>63.267090920000001</v>
      </c>
      <c r="AG12">
        <v>64.484131480000002</v>
      </c>
      <c r="AH12">
        <v>65.474456509999996</v>
      </c>
      <c r="AI12">
        <v>65.313484700000004</v>
      </c>
      <c r="AJ12">
        <v>67.080187960000003</v>
      </c>
      <c r="AK12">
        <v>68.255876869999994</v>
      </c>
      <c r="AL12">
        <v>69.298366790000003</v>
      </c>
      <c r="AM12">
        <v>57.192360690000001</v>
      </c>
      <c r="AN12">
        <v>57.259193250000003</v>
      </c>
      <c r="AO12">
        <v>57.69858266</v>
      </c>
      <c r="AP12">
        <v>58.177784819999999</v>
      </c>
      <c r="AQ12">
        <v>58.089334399999998</v>
      </c>
      <c r="AR12">
        <v>60.083470609999999</v>
      </c>
      <c r="AS12">
        <v>60.19328041</v>
      </c>
      <c r="AT12">
        <v>60.323025350000002</v>
      </c>
      <c r="AU12">
        <v>60.552987739999999</v>
      </c>
      <c r="AV12">
        <v>61.303777510000003</v>
      </c>
    </row>
    <row r="13" spans="1:50" x14ac:dyDescent="0.25">
      <c r="A13" s="1" t="s">
        <v>73</v>
      </c>
      <c r="B13">
        <v>60.912338637623698</v>
      </c>
      <c r="C13">
        <v>61.890305937104898</v>
      </c>
      <c r="D13">
        <v>65.804837550000002</v>
      </c>
      <c r="E13">
        <v>453.68012449999998</v>
      </c>
      <c r="F13">
        <v>538.55401400000005</v>
      </c>
      <c r="G13">
        <v>663.01006010000003</v>
      </c>
      <c r="H13">
        <v>989.2806253</v>
      </c>
      <c r="I13">
        <v>1206.069943</v>
      </c>
      <c r="J13">
        <v>1422.129304</v>
      </c>
      <c r="K13">
        <v>1912.276098</v>
      </c>
      <c r="L13">
        <v>2616.438283</v>
      </c>
      <c r="M13">
        <v>3627.6439070000001</v>
      </c>
      <c r="N13">
        <v>271.6619278</v>
      </c>
      <c r="O13">
        <v>0.1000756389</v>
      </c>
      <c r="P13">
        <v>0.10008548489999999</v>
      </c>
      <c r="Q13">
        <v>0.1000939771</v>
      </c>
      <c r="R13">
        <v>0.10010003419999999</v>
      </c>
      <c r="S13">
        <v>2394.617025</v>
      </c>
      <c r="T13">
        <v>2103.9045689999998</v>
      </c>
      <c r="U13">
        <v>2143.5915639999998</v>
      </c>
      <c r="V13">
        <v>0.1001111301</v>
      </c>
      <c r="W13">
        <v>0.1001120863</v>
      </c>
      <c r="X13">
        <v>950.35753469999997</v>
      </c>
      <c r="Y13">
        <v>1091.9558730000001</v>
      </c>
      <c r="Z13">
        <v>1174.9506200000001</v>
      </c>
      <c r="AA13">
        <v>1278.7472929999999</v>
      </c>
      <c r="AB13">
        <v>1359.015279</v>
      </c>
      <c r="AC13">
        <v>1137.731931</v>
      </c>
      <c r="AD13">
        <v>1173.6278150000001</v>
      </c>
      <c r="AE13">
        <v>1201.984862</v>
      </c>
      <c r="AF13">
        <v>1261.000955</v>
      </c>
      <c r="AG13">
        <v>1303.9192129999999</v>
      </c>
      <c r="AH13">
        <v>1090.8380480000001</v>
      </c>
      <c r="AI13">
        <v>1104.9454740000001</v>
      </c>
      <c r="AJ13">
        <v>1143.705508</v>
      </c>
      <c r="AK13">
        <v>1185.3302180000001</v>
      </c>
      <c r="AL13">
        <v>1216.519403</v>
      </c>
      <c r="AM13">
        <v>1053.0992759999999</v>
      </c>
      <c r="AN13">
        <v>1065.3044620000001</v>
      </c>
      <c r="AO13">
        <v>1083.2058689999999</v>
      </c>
      <c r="AP13">
        <v>1101.3549869999999</v>
      </c>
      <c r="AQ13">
        <v>1112.0932869999999</v>
      </c>
      <c r="AR13">
        <v>1288.5775659999999</v>
      </c>
      <c r="AS13">
        <v>1307.5524350000001</v>
      </c>
      <c r="AT13">
        <v>1327.0371689999999</v>
      </c>
      <c r="AU13">
        <v>1348.2207800000001</v>
      </c>
      <c r="AV13">
        <v>1377.270217</v>
      </c>
    </row>
    <row r="14" spans="1:50" x14ac:dyDescent="0.25">
      <c r="A14" s="1" t="s">
        <v>6</v>
      </c>
      <c r="B14">
        <v>1593.0326531102801</v>
      </c>
      <c r="C14">
        <v>1618.60930763698</v>
      </c>
      <c r="D14">
        <v>1727.14301</v>
      </c>
      <c r="E14">
        <v>844.37483599999996</v>
      </c>
      <c r="F14">
        <v>0.1000014402</v>
      </c>
      <c r="G14">
        <v>0.10000277320000001</v>
      </c>
      <c r="H14">
        <v>1351.8851979999999</v>
      </c>
      <c r="I14">
        <v>473.99782340000002</v>
      </c>
      <c r="J14">
        <v>0.1000173251</v>
      </c>
      <c r="K14">
        <v>0.1000275637</v>
      </c>
      <c r="L14">
        <v>674.58534780000002</v>
      </c>
      <c r="M14">
        <v>1342.6111350000001</v>
      </c>
      <c r="N14">
        <v>1492.150208</v>
      </c>
      <c r="O14">
        <v>699.82046290000005</v>
      </c>
      <c r="P14">
        <v>0.10008548489999999</v>
      </c>
      <c r="Q14">
        <v>0.1000939771</v>
      </c>
      <c r="R14">
        <v>0.10010003419999999</v>
      </c>
      <c r="S14">
        <v>0.1001043668</v>
      </c>
      <c r="T14">
        <v>0.1001074527</v>
      </c>
      <c r="U14">
        <v>0.100109674</v>
      </c>
      <c r="V14">
        <v>2046.431272</v>
      </c>
      <c r="W14">
        <v>2080.4002780000001</v>
      </c>
      <c r="X14">
        <v>517.05339059999994</v>
      </c>
      <c r="Y14">
        <v>696.66733810000005</v>
      </c>
      <c r="Z14">
        <v>770.06865389999996</v>
      </c>
      <c r="AA14">
        <v>811.87406680000004</v>
      </c>
      <c r="AB14">
        <v>875.54188169999998</v>
      </c>
      <c r="AC14">
        <v>714.91044260000001</v>
      </c>
      <c r="AD14">
        <v>726.14792160000002</v>
      </c>
      <c r="AE14">
        <v>721.31664709999995</v>
      </c>
      <c r="AF14">
        <v>729.15651879999996</v>
      </c>
      <c r="AG14">
        <v>747.87026100000003</v>
      </c>
      <c r="AH14">
        <v>815.32851770000002</v>
      </c>
      <c r="AI14">
        <v>812.97911209999995</v>
      </c>
      <c r="AJ14">
        <v>834.69866679999996</v>
      </c>
      <c r="AK14">
        <v>846.66294000000005</v>
      </c>
      <c r="AL14">
        <v>857.78488049999999</v>
      </c>
      <c r="AM14">
        <v>551.63776229999996</v>
      </c>
      <c r="AN14">
        <v>560.27321710000001</v>
      </c>
      <c r="AO14">
        <v>561.09373870000002</v>
      </c>
      <c r="AP14">
        <v>566.78432950000001</v>
      </c>
      <c r="AQ14">
        <v>562.19154000000003</v>
      </c>
      <c r="AR14">
        <v>528.58396330000005</v>
      </c>
      <c r="AS14">
        <v>526.70980870000005</v>
      </c>
      <c r="AT14">
        <v>527.40958060000003</v>
      </c>
      <c r="AU14">
        <v>523.27472780000005</v>
      </c>
      <c r="AV14">
        <v>533.53193199999998</v>
      </c>
    </row>
    <row r="15" spans="1:50" x14ac:dyDescent="0.25">
      <c r="A15" s="1" t="s">
        <v>7</v>
      </c>
      <c r="B15">
        <v>43.535458439753199</v>
      </c>
      <c r="C15">
        <v>44.234434306946497</v>
      </c>
      <c r="D15">
        <v>47.032947620000002</v>
      </c>
      <c r="E15">
        <v>505.35763429999997</v>
      </c>
      <c r="F15">
        <v>475.60751909999999</v>
      </c>
      <c r="G15">
        <v>442.87597720000002</v>
      </c>
      <c r="H15">
        <v>533.11449270000003</v>
      </c>
      <c r="I15">
        <v>469.98909989999999</v>
      </c>
      <c r="J15">
        <v>352.80714069999999</v>
      </c>
      <c r="K15">
        <v>352.38613839999999</v>
      </c>
      <c r="L15">
        <v>350.68159530000003</v>
      </c>
      <c r="M15">
        <v>338.4388032</v>
      </c>
      <c r="N15">
        <v>297.99302619999997</v>
      </c>
      <c r="O15">
        <v>205.69373179999999</v>
      </c>
      <c r="P15">
        <v>34.725833139999999</v>
      </c>
      <c r="Q15">
        <v>126.8572673</v>
      </c>
      <c r="R15">
        <v>122.7961294</v>
      </c>
      <c r="S15">
        <v>248.23197540000001</v>
      </c>
      <c r="T15">
        <v>194.00723210000001</v>
      </c>
      <c r="U15">
        <v>1281.352365</v>
      </c>
      <c r="V15">
        <v>1287.4938179999999</v>
      </c>
      <c r="W15">
        <v>1309.216594</v>
      </c>
      <c r="X15">
        <v>1287.2693870000001</v>
      </c>
      <c r="Y15">
        <v>1314.142893</v>
      </c>
      <c r="Z15">
        <v>1327.2240859999999</v>
      </c>
      <c r="AA15">
        <v>1339.49827</v>
      </c>
      <c r="AB15">
        <v>1352.4376769999999</v>
      </c>
      <c r="AC15">
        <v>1326.250937</v>
      </c>
      <c r="AD15">
        <v>1327.2887390000001</v>
      </c>
      <c r="AE15">
        <v>1325.6242279999999</v>
      </c>
      <c r="AF15">
        <v>1327.1684250000001</v>
      </c>
      <c r="AG15">
        <v>1329.5038460000001</v>
      </c>
      <c r="AH15">
        <v>1263.2989480000001</v>
      </c>
      <c r="AI15">
        <v>1259.06934</v>
      </c>
      <c r="AJ15">
        <v>1261.817135</v>
      </c>
      <c r="AK15">
        <v>1261.1501659999999</v>
      </c>
      <c r="AL15">
        <v>1260.517529</v>
      </c>
      <c r="AM15">
        <v>1213.339704</v>
      </c>
      <c r="AN15">
        <v>1210.830269</v>
      </c>
      <c r="AO15">
        <v>1207.706324</v>
      </c>
      <c r="AP15">
        <v>1204.655074</v>
      </c>
      <c r="AQ15">
        <v>1199.3034809999999</v>
      </c>
      <c r="AR15">
        <v>1165.6626140000001</v>
      </c>
      <c r="AS15">
        <v>1160.615955</v>
      </c>
      <c r="AT15">
        <v>1155.669204</v>
      </c>
      <c r="AU15">
        <v>1149.4595890000001</v>
      </c>
      <c r="AV15">
        <v>1147.5050470000001</v>
      </c>
      <c r="AW15">
        <f t="shared" ref="AW15" si="0">SUM(G15:AV15)</f>
        <v>39325.670086739992</v>
      </c>
      <c r="AX15">
        <f>AW15-AW9</f>
        <v>28084.456458499993</v>
      </c>
    </row>
    <row r="16" spans="1:50" x14ac:dyDescent="0.25">
      <c r="A16" s="1" t="s">
        <v>8</v>
      </c>
      <c r="B16">
        <v>23.2717116207895</v>
      </c>
      <c r="C16">
        <v>23.645346478309701</v>
      </c>
      <c r="D16">
        <v>24.888875169999999</v>
      </c>
      <c r="E16">
        <v>17.41317574</v>
      </c>
      <c r="F16">
        <v>2.1752840400000002</v>
      </c>
      <c r="G16">
        <v>0.10000277320000001</v>
      </c>
      <c r="H16">
        <v>19.036282360000001</v>
      </c>
      <c r="I16">
        <v>6.4264607659999999</v>
      </c>
      <c r="J16">
        <v>0.1000173251</v>
      </c>
      <c r="K16">
        <v>1.862879368</v>
      </c>
      <c r="L16">
        <v>10.02244964</v>
      </c>
      <c r="M16">
        <v>18.770680810000002</v>
      </c>
      <c r="N16">
        <v>208.10266999999999</v>
      </c>
      <c r="O16">
        <v>212.6571806</v>
      </c>
      <c r="P16">
        <v>195.39995870000001</v>
      </c>
      <c r="Q16">
        <v>217.88016039999999</v>
      </c>
      <c r="R16">
        <v>228.67336900000001</v>
      </c>
      <c r="S16">
        <v>677.1372556</v>
      </c>
      <c r="T16">
        <v>649.31500679999999</v>
      </c>
      <c r="U16">
        <v>813.51185539999994</v>
      </c>
      <c r="V16">
        <v>0.10011124709999999</v>
      </c>
      <c r="W16">
        <v>0.1001123364</v>
      </c>
      <c r="X16">
        <v>176.3940503</v>
      </c>
      <c r="Y16">
        <v>195.158355</v>
      </c>
      <c r="Z16">
        <v>198.60689170000001</v>
      </c>
      <c r="AA16">
        <v>199.398246</v>
      </c>
      <c r="AB16">
        <v>200.5944279</v>
      </c>
      <c r="AC16">
        <v>231.7094553</v>
      </c>
      <c r="AD16">
        <v>232.36224100000001</v>
      </c>
      <c r="AE16">
        <v>232.39657500000001</v>
      </c>
      <c r="AF16">
        <v>233.4072429</v>
      </c>
      <c r="AG16">
        <v>234.40543629999999</v>
      </c>
      <c r="AH16">
        <v>241.11842859999999</v>
      </c>
      <c r="AI16">
        <v>241.29793520000001</v>
      </c>
      <c r="AJ16">
        <v>243.34563030000001</v>
      </c>
      <c r="AK16">
        <v>245.60084900000001</v>
      </c>
      <c r="AL16">
        <v>247.0542777</v>
      </c>
      <c r="AM16">
        <v>227.03166340000001</v>
      </c>
      <c r="AN16">
        <v>226.9645036</v>
      </c>
      <c r="AO16">
        <v>226.8625596</v>
      </c>
      <c r="AP16">
        <v>226.7593286</v>
      </c>
      <c r="AQ16">
        <v>225.9585653</v>
      </c>
      <c r="AR16">
        <v>215.18648289999999</v>
      </c>
      <c r="AS16">
        <v>214.45374430000001</v>
      </c>
      <c r="AT16">
        <v>213.7604575</v>
      </c>
      <c r="AU16">
        <v>212.7137319</v>
      </c>
      <c r="AV16">
        <v>213.0878682</v>
      </c>
    </row>
    <row r="17" spans="1:50" x14ac:dyDescent="0.25">
      <c r="A17" s="1" t="s">
        <v>9</v>
      </c>
      <c r="B17">
        <v>32.111684022952602</v>
      </c>
      <c r="C17">
        <v>32.627247496759601</v>
      </c>
      <c r="D17">
        <v>34.690536080000001</v>
      </c>
      <c r="E17">
        <v>39.576202279999997</v>
      </c>
      <c r="F17">
        <v>16.268756759999999</v>
      </c>
      <c r="G17">
        <v>5.3331602299999998</v>
      </c>
      <c r="H17">
        <v>43.650771059999997</v>
      </c>
      <c r="I17">
        <v>25.585775720000001</v>
      </c>
      <c r="J17">
        <v>3.866319399</v>
      </c>
      <c r="K17">
        <v>16.041094260000001</v>
      </c>
      <c r="L17">
        <v>31.88936099</v>
      </c>
      <c r="M17">
        <v>47.388328190000003</v>
      </c>
      <c r="N17">
        <v>336.78436549999998</v>
      </c>
      <c r="O17">
        <v>342.99329189999997</v>
      </c>
      <c r="P17">
        <v>309.5404949</v>
      </c>
      <c r="Q17">
        <v>344.49325490000001</v>
      </c>
      <c r="R17">
        <v>360.12081490000003</v>
      </c>
      <c r="S17">
        <v>217.96152430000001</v>
      </c>
      <c r="T17">
        <v>139.70181120000001</v>
      </c>
      <c r="U17">
        <v>171.9019753</v>
      </c>
      <c r="V17">
        <v>0.10011124709999999</v>
      </c>
      <c r="W17">
        <v>0.1001123364</v>
      </c>
      <c r="X17">
        <v>60.533821949999997</v>
      </c>
      <c r="Y17">
        <v>76.982951740000004</v>
      </c>
      <c r="Z17">
        <v>81.667316979999995</v>
      </c>
      <c r="AA17">
        <v>83.53370726</v>
      </c>
      <c r="AB17">
        <v>86.366388540000003</v>
      </c>
      <c r="AC17">
        <v>68.984689919999994</v>
      </c>
      <c r="AD17">
        <v>68.340661060000002</v>
      </c>
      <c r="AE17">
        <v>67.097685850000005</v>
      </c>
      <c r="AF17">
        <v>66.458942030000003</v>
      </c>
      <c r="AG17">
        <v>66.21815024</v>
      </c>
      <c r="AH17">
        <v>65.742703109999894</v>
      </c>
      <c r="AI17">
        <v>64.481994200000003</v>
      </c>
      <c r="AJ17">
        <v>64.881917799999997</v>
      </c>
      <c r="AK17">
        <v>64.548236959999997</v>
      </c>
      <c r="AL17">
        <v>64.195428250000006</v>
      </c>
      <c r="AM17">
        <v>52.595882590000002</v>
      </c>
      <c r="AN17">
        <v>51.904049720000003</v>
      </c>
      <c r="AO17">
        <v>51.08598422</v>
      </c>
      <c r="AP17">
        <v>50.284939260000002</v>
      </c>
      <c r="AQ17">
        <v>48.945777589999999</v>
      </c>
      <c r="AR17">
        <v>50.218475050000002</v>
      </c>
      <c r="AS17">
        <v>49.133315709999998</v>
      </c>
      <c r="AT17">
        <v>48.091366010000002</v>
      </c>
      <c r="AU17">
        <v>46.789454419999998</v>
      </c>
      <c r="AV17">
        <v>46.451585229999999</v>
      </c>
    </row>
    <row r="18" spans="1:50" x14ac:dyDescent="0.25">
      <c r="A18" s="1" t="s">
        <v>10</v>
      </c>
      <c r="B18">
        <v>24.7002727259982</v>
      </c>
      <c r="C18">
        <v>25.096843594143699</v>
      </c>
      <c r="D18">
        <v>26.683935680000001</v>
      </c>
      <c r="E18">
        <v>54.922148790000001</v>
      </c>
      <c r="F18">
        <v>39.82010657</v>
      </c>
      <c r="G18">
        <v>32.9498599</v>
      </c>
      <c r="H18">
        <v>65.777056099999996</v>
      </c>
      <c r="I18">
        <v>52.569866300000001</v>
      </c>
      <c r="J18">
        <v>35.93444624</v>
      </c>
      <c r="K18">
        <v>49.169068709999998</v>
      </c>
      <c r="L18">
        <v>66.368835379999894</v>
      </c>
      <c r="M18">
        <v>86.793276239999997</v>
      </c>
      <c r="N18">
        <v>201.3361337</v>
      </c>
      <c r="O18">
        <v>198.12003480000001</v>
      </c>
      <c r="P18">
        <v>165.51645730000001</v>
      </c>
      <c r="Q18">
        <v>196.5436038</v>
      </c>
      <c r="R18">
        <v>208.8533894</v>
      </c>
      <c r="S18">
        <v>387.34385950000001</v>
      </c>
      <c r="T18">
        <v>326.32140729999998</v>
      </c>
      <c r="U18">
        <v>571.29273939999996</v>
      </c>
      <c r="V18">
        <v>0.10011124709999999</v>
      </c>
      <c r="W18">
        <v>0.1001123364</v>
      </c>
      <c r="X18">
        <v>287.06110410000002</v>
      </c>
      <c r="Y18">
        <v>296.71379309999998</v>
      </c>
      <c r="Z18">
        <v>299.21371640000001</v>
      </c>
      <c r="AA18">
        <v>300.43273570000002</v>
      </c>
      <c r="AB18">
        <v>302.66148270000002</v>
      </c>
      <c r="AC18">
        <v>267.68682389999998</v>
      </c>
      <c r="AD18">
        <v>265.24607589999999</v>
      </c>
      <c r="AE18">
        <v>262.03239239999999</v>
      </c>
      <c r="AF18">
        <v>259.6678058</v>
      </c>
      <c r="AG18">
        <v>257.6952106</v>
      </c>
      <c r="AH18">
        <v>254.92263159999999</v>
      </c>
      <c r="AI18">
        <v>251.76451789999999</v>
      </c>
      <c r="AJ18">
        <v>250.35482880000001</v>
      </c>
      <c r="AK18">
        <v>248.21693579999999</v>
      </c>
      <c r="AL18">
        <v>245.87949470000001</v>
      </c>
      <c r="AM18">
        <v>231.40561</v>
      </c>
      <c r="AN18">
        <v>228.87442540000001</v>
      </c>
      <c r="AO18">
        <v>225.7920871</v>
      </c>
      <c r="AP18">
        <v>222.79180909999999</v>
      </c>
      <c r="AQ18">
        <v>219.07285759999999</v>
      </c>
      <c r="AR18">
        <v>217.9925982</v>
      </c>
      <c r="AS18">
        <v>214.73297880000001</v>
      </c>
      <c r="AT18">
        <v>211.448511</v>
      </c>
      <c r="AU18">
        <v>207.6111683</v>
      </c>
      <c r="AV18">
        <v>205.29302029999999</v>
      </c>
    </row>
    <row r="19" spans="1:50" x14ac:dyDescent="0.25">
      <c r="A19" s="1" t="s">
        <v>92</v>
      </c>
      <c r="B19">
        <v>60.912338637623698</v>
      </c>
      <c r="C19">
        <v>61.890305937104898</v>
      </c>
      <c r="D19">
        <v>65.804837550000002</v>
      </c>
      <c r="E19">
        <v>453.68012449999998</v>
      </c>
      <c r="F19">
        <v>538.55401400000005</v>
      </c>
      <c r="G19">
        <v>663.01006010000003</v>
      </c>
      <c r="H19">
        <v>989.2806253</v>
      </c>
      <c r="I19">
        <v>1206.069943</v>
      </c>
      <c r="J19">
        <v>1422.129304</v>
      </c>
      <c r="K19">
        <v>1912.276098</v>
      </c>
      <c r="L19">
        <v>2616.438283</v>
      </c>
      <c r="M19">
        <v>3627.6439070000001</v>
      </c>
      <c r="N19">
        <v>271.6619278</v>
      </c>
      <c r="O19">
        <v>0.1000756389</v>
      </c>
      <c r="P19">
        <v>0.10008548489999999</v>
      </c>
      <c r="Q19">
        <v>0.1000939771</v>
      </c>
      <c r="R19">
        <v>0.10010003419999999</v>
      </c>
      <c r="S19">
        <v>2394.617025</v>
      </c>
      <c r="T19">
        <v>2103.9045689999998</v>
      </c>
      <c r="U19">
        <v>2269.4795800000002</v>
      </c>
      <c r="V19">
        <v>0.10011124709999999</v>
      </c>
      <c r="W19">
        <v>0.1001123364</v>
      </c>
      <c r="X19">
        <v>964.28629860000001</v>
      </c>
      <c r="Y19">
        <v>1080.499043</v>
      </c>
      <c r="Z19">
        <v>1141.7011030000001</v>
      </c>
      <c r="AA19">
        <v>1221.192376</v>
      </c>
      <c r="AB19">
        <v>1284.5376759999999</v>
      </c>
      <c r="AC19">
        <v>1043.505535</v>
      </c>
      <c r="AD19">
        <v>1060.438036</v>
      </c>
      <c r="AE19">
        <v>1070.836787</v>
      </c>
      <c r="AF19">
        <v>1110.4202499999999</v>
      </c>
      <c r="AG19">
        <v>1133.7361960000001</v>
      </c>
      <c r="AH19">
        <v>918.58232239999995</v>
      </c>
      <c r="AI19">
        <v>920.08791770000005</v>
      </c>
      <c r="AJ19">
        <v>944.39241140000001</v>
      </c>
      <c r="AK19">
        <v>969.87697070000002</v>
      </c>
      <c r="AL19">
        <v>985.58693789999995</v>
      </c>
      <c r="AM19">
        <v>824.76841920000004</v>
      </c>
      <c r="AN19">
        <v>829.4138676</v>
      </c>
      <c r="AO19">
        <v>834.3708613</v>
      </c>
      <c r="AP19">
        <v>839.31699370000001</v>
      </c>
      <c r="AQ19">
        <v>836.96344590000001</v>
      </c>
      <c r="AR19">
        <v>976.00824309999996</v>
      </c>
      <c r="AS19">
        <v>979.22621430000004</v>
      </c>
      <c r="AT19">
        <v>983.52992640000002</v>
      </c>
      <c r="AU19">
        <v>984.68886099999997</v>
      </c>
      <c r="AV19">
        <v>999.49503110000001</v>
      </c>
    </row>
    <row r="20" spans="1:50" x14ac:dyDescent="0.25">
      <c r="A20" s="1" t="s">
        <v>74</v>
      </c>
      <c r="B20">
        <v>1593.0326531102801</v>
      </c>
      <c r="C20">
        <v>1618.60930763698</v>
      </c>
      <c r="D20">
        <v>1727.1426590000001</v>
      </c>
      <c r="E20">
        <v>844.37104580000005</v>
      </c>
      <c r="F20">
        <v>0.1</v>
      </c>
      <c r="G20">
        <v>0.1</v>
      </c>
      <c r="H20">
        <v>1351.819614</v>
      </c>
      <c r="I20">
        <v>473.95339269999999</v>
      </c>
      <c r="J20">
        <v>0.1</v>
      </c>
      <c r="K20">
        <v>0.1</v>
      </c>
      <c r="L20">
        <v>674.31726660000004</v>
      </c>
      <c r="M20">
        <v>1341.9160380000001</v>
      </c>
      <c r="N20">
        <v>1491.189179</v>
      </c>
      <c r="O20">
        <v>699.29152639999995</v>
      </c>
      <c r="P20">
        <v>0.1</v>
      </c>
      <c r="Q20">
        <v>0.1</v>
      </c>
      <c r="R20">
        <v>0.1</v>
      </c>
      <c r="S20">
        <v>0.1</v>
      </c>
      <c r="T20">
        <v>0.1</v>
      </c>
      <c r="U20">
        <v>0.1</v>
      </c>
      <c r="V20">
        <v>2155.968257</v>
      </c>
      <c r="W20">
        <v>2267.5717730000001</v>
      </c>
      <c r="X20">
        <v>709.2576914</v>
      </c>
      <c r="Y20">
        <v>912.42669899999999</v>
      </c>
      <c r="Z20">
        <v>998.86315230000002</v>
      </c>
      <c r="AA20">
        <v>1054.7300620000001</v>
      </c>
      <c r="AB20">
        <v>1117.815445</v>
      </c>
      <c r="AC20">
        <v>978.25951980000002</v>
      </c>
      <c r="AD20">
        <v>995.50337860000002</v>
      </c>
      <c r="AE20">
        <v>994.41913939999995</v>
      </c>
      <c r="AF20">
        <v>1005.1968910000001</v>
      </c>
      <c r="AG20">
        <v>1028.9032990000001</v>
      </c>
      <c r="AH20">
        <v>1112.4612930000001</v>
      </c>
      <c r="AI20">
        <v>1111.631848</v>
      </c>
      <c r="AJ20">
        <v>1136.3222009999999</v>
      </c>
      <c r="AK20">
        <v>1152.0070330000001</v>
      </c>
      <c r="AL20">
        <v>1167.031254</v>
      </c>
      <c r="AM20">
        <v>831.01394679999999</v>
      </c>
      <c r="AN20">
        <v>832.60170579999999</v>
      </c>
      <c r="AO20">
        <v>832.50206660000003</v>
      </c>
      <c r="AP20">
        <v>838.06642450000004</v>
      </c>
      <c r="AQ20">
        <v>832.96668380000006</v>
      </c>
      <c r="AR20">
        <v>793.9729638</v>
      </c>
      <c r="AS20">
        <v>790.91826390000006</v>
      </c>
      <c r="AT20">
        <v>789.74754640000003</v>
      </c>
      <c r="AU20">
        <v>788.02970579999999</v>
      </c>
      <c r="AV20">
        <v>795.20846500000005</v>
      </c>
    </row>
    <row r="21" spans="1:50" x14ac:dyDescent="0.25">
      <c r="A21" s="1" t="s">
        <v>75</v>
      </c>
      <c r="B21">
        <v>43.535458439753199</v>
      </c>
      <c r="C21">
        <v>44.234434306946497</v>
      </c>
      <c r="D21">
        <v>47.032938059999999</v>
      </c>
      <c r="E21">
        <v>505.35536589999998</v>
      </c>
      <c r="F21">
        <v>475.60066970000003</v>
      </c>
      <c r="G21">
        <v>442.86369560000003</v>
      </c>
      <c r="H21">
        <v>533.08862980000004</v>
      </c>
      <c r="I21">
        <v>469.94504490000003</v>
      </c>
      <c r="J21">
        <v>352.74602720000001</v>
      </c>
      <c r="K21">
        <v>352.28903439999999</v>
      </c>
      <c r="L21">
        <v>350.54223389999999</v>
      </c>
      <c r="M21">
        <v>338.26358649999997</v>
      </c>
      <c r="N21">
        <v>297.8011017</v>
      </c>
      <c r="O21">
        <v>205.5382649</v>
      </c>
      <c r="P21">
        <v>34.696173139999999</v>
      </c>
      <c r="Q21">
        <v>126.7381625</v>
      </c>
      <c r="R21">
        <v>122.67341399999999</v>
      </c>
      <c r="S21">
        <v>247.9731736</v>
      </c>
      <c r="T21">
        <v>193.79898990000001</v>
      </c>
      <c r="U21">
        <v>181.30468550000001</v>
      </c>
      <c r="V21">
        <v>212.98773259999999</v>
      </c>
      <c r="W21">
        <v>246.42002780000001</v>
      </c>
      <c r="X21">
        <v>222.86116659999999</v>
      </c>
      <c r="Y21">
        <v>255.50815159999999</v>
      </c>
      <c r="Z21">
        <v>273.95803219999999</v>
      </c>
      <c r="AA21">
        <v>293.1568552</v>
      </c>
      <c r="AB21">
        <v>309.94077700000003</v>
      </c>
      <c r="AC21">
        <v>293.15872089999999</v>
      </c>
      <c r="AD21">
        <v>301.1929116</v>
      </c>
      <c r="AE21">
        <v>305.9986232</v>
      </c>
      <c r="AF21">
        <v>313.77096519999998</v>
      </c>
      <c r="AG21">
        <v>322.77054600000002</v>
      </c>
      <c r="AH21">
        <v>260.61940140000002</v>
      </c>
      <c r="AI21">
        <v>261.63691720000003</v>
      </c>
      <c r="AJ21">
        <v>271.00436459999997</v>
      </c>
      <c r="AK21">
        <v>276.38463369999999</v>
      </c>
      <c r="AL21">
        <v>282.09501210000002</v>
      </c>
      <c r="AM21">
        <v>236.95145170000001</v>
      </c>
      <c r="AN21">
        <v>238.4980242</v>
      </c>
      <c r="AO21">
        <v>241.84211669999999</v>
      </c>
      <c r="AP21">
        <v>244.80709490000001</v>
      </c>
      <c r="AQ21">
        <v>245.5572028</v>
      </c>
      <c r="AR21">
        <v>213.14100350000001</v>
      </c>
      <c r="AS21">
        <v>213.30423880000001</v>
      </c>
      <c r="AT21">
        <v>213.27287870000001</v>
      </c>
      <c r="AU21">
        <v>213.73866200000001</v>
      </c>
      <c r="AV21">
        <v>216.11559740000001</v>
      </c>
      <c r="AW21">
        <f>AV33-AU33*(1-AV56)</f>
        <v>216.11559677000059</v>
      </c>
    </row>
    <row r="22" spans="1:50" x14ac:dyDescent="0.25">
      <c r="A22" s="1" t="s">
        <v>76</v>
      </c>
      <c r="B22">
        <v>23.2717116207895</v>
      </c>
      <c r="C22">
        <v>23.645346478309701</v>
      </c>
      <c r="D22">
        <v>24.888870109999999</v>
      </c>
      <c r="E22">
        <v>17.413097579999999</v>
      </c>
      <c r="F22">
        <v>2.1752527129999999</v>
      </c>
      <c r="G22">
        <v>0.1</v>
      </c>
      <c r="H22">
        <v>19.035358859999999</v>
      </c>
      <c r="I22">
        <v>6.4258583739999997</v>
      </c>
      <c r="J22">
        <v>0.1</v>
      </c>
      <c r="K22">
        <v>1.86236603</v>
      </c>
      <c r="L22">
        <v>10.01846671</v>
      </c>
      <c r="M22">
        <v>18.760962849999999</v>
      </c>
      <c r="N22">
        <v>207.96863999999999</v>
      </c>
      <c r="O22">
        <v>212.4964506</v>
      </c>
      <c r="P22">
        <v>195.23306389999999</v>
      </c>
      <c r="Q22">
        <v>217.6755953</v>
      </c>
      <c r="R22">
        <v>228.44484600000001</v>
      </c>
      <c r="S22">
        <v>676.43128560000002</v>
      </c>
      <c r="T22">
        <v>648.61804949999998</v>
      </c>
      <c r="U22">
        <v>654.72065269999996</v>
      </c>
      <c r="V22">
        <v>0.1</v>
      </c>
      <c r="W22">
        <v>0.1</v>
      </c>
      <c r="X22">
        <v>6.50512669</v>
      </c>
      <c r="Y22">
        <v>35.411242289999997</v>
      </c>
      <c r="Z22">
        <v>43.547894679999999</v>
      </c>
      <c r="AA22">
        <v>47.465482850000001</v>
      </c>
      <c r="AB22">
        <v>50.765067989999999</v>
      </c>
      <c r="AC22">
        <v>82.997483619999997</v>
      </c>
      <c r="AD22">
        <v>87.151997449999996</v>
      </c>
      <c r="AE22">
        <v>90.355436530000006</v>
      </c>
      <c r="AF22">
        <v>94.271953789999998</v>
      </c>
      <c r="AG22">
        <v>98.151715240000001</v>
      </c>
      <c r="AH22">
        <v>107.89189570000001</v>
      </c>
      <c r="AI22">
        <v>110.9526604</v>
      </c>
      <c r="AJ22">
        <v>115.56382480000001</v>
      </c>
      <c r="AK22">
        <v>120.5874862</v>
      </c>
      <c r="AL22">
        <v>124.8190227</v>
      </c>
      <c r="AM22">
        <v>107.39921390000001</v>
      </c>
      <c r="AN22">
        <v>109.1375786</v>
      </c>
      <c r="AO22">
        <v>111.4853469</v>
      </c>
      <c r="AP22">
        <v>113.890231</v>
      </c>
      <c r="AQ22">
        <v>115.6928142</v>
      </c>
      <c r="AR22">
        <v>106.6934122</v>
      </c>
      <c r="AS22">
        <v>108.2064658</v>
      </c>
      <c r="AT22">
        <v>109.75234020000001</v>
      </c>
      <c r="AU22">
        <v>111.45680350000001</v>
      </c>
      <c r="AV22">
        <v>113.81677670000001</v>
      </c>
    </row>
    <row r="23" spans="1:50" x14ac:dyDescent="0.25">
      <c r="A23" s="1" t="s">
        <v>77</v>
      </c>
      <c r="B23">
        <v>32.111684022952602</v>
      </c>
      <c r="C23">
        <v>32.627247496759601</v>
      </c>
      <c r="D23">
        <v>34.69052903</v>
      </c>
      <c r="E23">
        <v>39.57602464</v>
      </c>
      <c r="F23">
        <v>16.26852246</v>
      </c>
      <c r="G23">
        <v>5.3330123340000002</v>
      </c>
      <c r="H23">
        <v>43.648653430000003</v>
      </c>
      <c r="I23">
        <v>25.5833774</v>
      </c>
      <c r="J23">
        <v>3.8656496730000001</v>
      </c>
      <c r="K23">
        <v>16.036673950000001</v>
      </c>
      <c r="L23">
        <v>31.87668811</v>
      </c>
      <c r="M23">
        <v>47.363794300000002</v>
      </c>
      <c r="N23">
        <v>336.56745719999998</v>
      </c>
      <c r="O23">
        <v>342.73405159999999</v>
      </c>
      <c r="P23">
        <v>309.27611050000002</v>
      </c>
      <c r="Q23">
        <v>344.16981429999998</v>
      </c>
      <c r="R23">
        <v>359.76093079999998</v>
      </c>
      <c r="S23">
        <v>217.73428190000001</v>
      </c>
      <c r="T23">
        <v>139.55185900000001</v>
      </c>
      <c r="U23">
        <v>137.9478909</v>
      </c>
      <c r="V23">
        <v>0.1</v>
      </c>
      <c r="W23">
        <v>0.1</v>
      </c>
      <c r="X23">
        <v>37.555292080000001</v>
      </c>
      <c r="Y23">
        <v>57.096774480000001</v>
      </c>
      <c r="Z23">
        <v>63.807046139999997</v>
      </c>
      <c r="AA23">
        <v>67.580042840000004</v>
      </c>
      <c r="AB23">
        <v>71.535267770000004</v>
      </c>
      <c r="AC23">
        <v>56.105049399999999</v>
      </c>
      <c r="AD23">
        <v>56.854104380000003</v>
      </c>
      <c r="AE23">
        <v>56.899581550000001</v>
      </c>
      <c r="AF23">
        <v>57.483211449999999</v>
      </c>
      <c r="AG23">
        <v>58.545650279999997</v>
      </c>
      <c r="AH23">
        <v>59.713891910000001</v>
      </c>
      <c r="AI23">
        <v>59.52626909</v>
      </c>
      <c r="AJ23">
        <v>61.130031590000002</v>
      </c>
      <c r="AK23">
        <v>62.04668092</v>
      </c>
      <c r="AL23">
        <v>62.961397300000002</v>
      </c>
      <c r="AM23">
        <v>51.431173280000003</v>
      </c>
      <c r="AN23">
        <v>51.449498230000003</v>
      </c>
      <c r="AO23">
        <v>51.811689370000003</v>
      </c>
      <c r="AP23">
        <v>52.201893519999999</v>
      </c>
      <c r="AQ23">
        <v>52.067129790000003</v>
      </c>
      <c r="AR23">
        <v>54.735852139999999</v>
      </c>
      <c r="AS23">
        <v>54.809043719999998</v>
      </c>
      <c r="AT23">
        <v>54.903705719999998</v>
      </c>
      <c r="AU23">
        <v>55.094747159999997</v>
      </c>
      <c r="AV23">
        <v>55.761507129999998</v>
      </c>
    </row>
    <row r="24" spans="1:50" x14ac:dyDescent="0.25">
      <c r="A24" s="1" t="s">
        <v>78</v>
      </c>
      <c r="B24">
        <v>24.7002727259982</v>
      </c>
      <c r="C24">
        <v>25.096843594143699</v>
      </c>
      <c r="D24">
        <v>26.68393026</v>
      </c>
      <c r="E24">
        <v>54.921902260000003</v>
      </c>
      <c r="F24">
        <v>39.819533100000001</v>
      </c>
      <c r="G24">
        <v>32.948946149999998</v>
      </c>
      <c r="H24">
        <v>65.773865060000006</v>
      </c>
      <c r="I24">
        <v>52.564938599999998</v>
      </c>
      <c r="J24">
        <v>35.928221649999998</v>
      </c>
      <c r="K24">
        <v>49.15551962</v>
      </c>
      <c r="L24">
        <v>66.342460310000007</v>
      </c>
      <c r="M24">
        <v>86.748341609999997</v>
      </c>
      <c r="N24">
        <v>201.2064618</v>
      </c>
      <c r="O24">
        <v>197.97029219999999</v>
      </c>
      <c r="P24">
        <v>165.3750866</v>
      </c>
      <c r="Q24">
        <v>196.35907130000001</v>
      </c>
      <c r="R24">
        <v>208.64467329999999</v>
      </c>
      <c r="S24">
        <v>386.94002239999998</v>
      </c>
      <c r="T24">
        <v>325.97114260000001</v>
      </c>
      <c r="U24">
        <v>330.13135340000002</v>
      </c>
      <c r="V24">
        <v>0.1</v>
      </c>
      <c r="W24">
        <v>0.1</v>
      </c>
      <c r="X24">
        <v>52.539030699999998</v>
      </c>
      <c r="Y24">
        <v>72.720439880000001</v>
      </c>
      <c r="Z24">
        <v>80.419251919999894</v>
      </c>
      <c r="AA24">
        <v>85.722094229999996</v>
      </c>
      <c r="AB24">
        <v>90.948176050000001</v>
      </c>
      <c r="AC24">
        <v>61.508552880000003</v>
      </c>
      <c r="AD24">
        <v>62.320506139999999</v>
      </c>
      <c r="AE24">
        <v>62.415924259999997</v>
      </c>
      <c r="AF24">
        <v>63.19126747</v>
      </c>
      <c r="AG24">
        <v>64.406409659999994</v>
      </c>
      <c r="AH24">
        <v>65.395172450000004</v>
      </c>
      <c r="AI24">
        <v>65.234097989999995</v>
      </c>
      <c r="AJ24">
        <v>66.99839025</v>
      </c>
      <c r="AK24">
        <v>68.172397360000005</v>
      </c>
      <c r="AL24">
        <v>69.213367680000005</v>
      </c>
      <c r="AM24">
        <v>57.12196445</v>
      </c>
      <c r="AN24">
        <v>57.188423989999997</v>
      </c>
      <c r="AO24">
        <v>57.626933899999997</v>
      </c>
      <c r="AP24">
        <v>58.105159</v>
      </c>
      <c r="AQ24">
        <v>58.016402149999998</v>
      </c>
      <c r="AR24">
        <v>60.007577560000001</v>
      </c>
      <c r="AS24">
        <v>60.116770819999999</v>
      </c>
      <c r="AT24">
        <v>60.245857100000002</v>
      </c>
      <c r="AU24">
        <v>60.475019230000001</v>
      </c>
      <c r="AV24">
        <v>61.224363429999997</v>
      </c>
    </row>
    <row r="25" spans="1:50" x14ac:dyDescent="0.25">
      <c r="A25" s="1" t="s">
        <v>79</v>
      </c>
      <c r="B25">
        <v>60.912338637623698</v>
      </c>
      <c r="C25">
        <v>61.890305937104898</v>
      </c>
      <c r="D25">
        <v>65.804824170000003</v>
      </c>
      <c r="E25">
        <v>453.67808810000002</v>
      </c>
      <c r="F25">
        <v>538.54625799999997</v>
      </c>
      <c r="G25">
        <v>662.99167390000002</v>
      </c>
      <c r="H25">
        <v>989.23263250000002</v>
      </c>
      <c r="I25">
        <v>1205.956891</v>
      </c>
      <c r="J25">
        <v>1421.882961</v>
      </c>
      <c r="K25">
        <v>1911.7491480000001</v>
      </c>
      <c r="L25">
        <v>2615.3985069999999</v>
      </c>
      <c r="M25">
        <v>3625.7658019999999</v>
      </c>
      <c r="N25">
        <v>271.48696200000001</v>
      </c>
      <c r="O25">
        <v>0.1</v>
      </c>
      <c r="P25">
        <v>0.1</v>
      </c>
      <c r="Q25">
        <v>0.1</v>
      </c>
      <c r="R25">
        <v>0.1</v>
      </c>
      <c r="S25">
        <v>2392.1204440000001</v>
      </c>
      <c r="T25">
        <v>2101.6462940000001</v>
      </c>
      <c r="U25">
        <v>2141.2435719999999</v>
      </c>
      <c r="V25">
        <v>0.1</v>
      </c>
      <c r="W25">
        <v>0.1</v>
      </c>
      <c r="X25">
        <v>949.28631640000003</v>
      </c>
      <c r="Y25">
        <v>1090.717416</v>
      </c>
      <c r="Z25">
        <v>1173.6090770000001</v>
      </c>
      <c r="AA25">
        <v>1277.2760639999999</v>
      </c>
      <c r="AB25">
        <v>1357.4383110000001</v>
      </c>
      <c r="AC25">
        <v>1136.3998320000001</v>
      </c>
      <c r="AD25">
        <v>1172.241716</v>
      </c>
      <c r="AE25">
        <v>1200.554097</v>
      </c>
      <c r="AF25">
        <v>1259.489689</v>
      </c>
      <c r="AG25">
        <v>1302.347618</v>
      </c>
      <c r="AH25">
        <v>1089.5171350000001</v>
      </c>
      <c r="AI25">
        <v>1103.6024440000001</v>
      </c>
      <c r="AJ25">
        <v>1142.3108709999999</v>
      </c>
      <c r="AK25">
        <v>1183.8805139999999</v>
      </c>
      <c r="AL25">
        <v>1215.0272600000001</v>
      </c>
      <c r="AM25">
        <v>1051.80305</v>
      </c>
      <c r="AN25">
        <v>1063.987803</v>
      </c>
      <c r="AO25">
        <v>1081.8607689999999</v>
      </c>
      <c r="AP25">
        <v>1099.9801179999999</v>
      </c>
      <c r="AQ25">
        <v>1110.6970329999999</v>
      </c>
      <c r="AR25">
        <v>1286.9499290000001</v>
      </c>
      <c r="AS25">
        <v>1305.890451</v>
      </c>
      <c r="AT25">
        <v>1325.3395559999999</v>
      </c>
      <c r="AU25">
        <v>1346.4848</v>
      </c>
      <c r="AV25">
        <v>1375.486075</v>
      </c>
    </row>
    <row r="26" spans="1:50" x14ac:dyDescent="0.25">
      <c r="A26" s="1" t="s">
        <v>60</v>
      </c>
      <c r="B26">
        <v>1593.0326531102801</v>
      </c>
      <c r="C26">
        <v>1618.60930763698</v>
      </c>
      <c r="D26">
        <v>1727.1426590000001</v>
      </c>
      <c r="E26">
        <v>844.37104580000005</v>
      </c>
      <c r="F26">
        <v>0.1</v>
      </c>
      <c r="G26">
        <v>0.1</v>
      </c>
      <c r="H26">
        <v>1351.819614</v>
      </c>
      <c r="I26">
        <v>473.95339269999999</v>
      </c>
      <c r="J26">
        <v>0.1</v>
      </c>
      <c r="K26">
        <v>0.1</v>
      </c>
      <c r="L26">
        <v>674.31726660000004</v>
      </c>
      <c r="M26">
        <v>1341.9160380000001</v>
      </c>
      <c r="N26">
        <v>1491.189179</v>
      </c>
      <c r="O26">
        <v>699.29152639999995</v>
      </c>
      <c r="P26">
        <v>0.1</v>
      </c>
      <c r="Q26">
        <v>0.1</v>
      </c>
      <c r="R26">
        <v>0.1</v>
      </c>
      <c r="S26">
        <v>0.1</v>
      </c>
      <c r="T26">
        <v>0.1</v>
      </c>
      <c r="U26">
        <v>0.1</v>
      </c>
      <c r="V26">
        <v>2044.1572060000001</v>
      </c>
      <c r="W26">
        <v>2078.0658539999999</v>
      </c>
      <c r="X26">
        <v>516.46887400000003</v>
      </c>
      <c r="Y26">
        <v>695.87442299999998</v>
      </c>
      <c r="Z26">
        <v>769.18576759999996</v>
      </c>
      <c r="AA26">
        <v>810.93549169999994</v>
      </c>
      <c r="AB26">
        <v>874.5203927</v>
      </c>
      <c r="AC26">
        <v>714.06835960000001</v>
      </c>
      <c r="AD26">
        <v>725.28467060000003</v>
      </c>
      <c r="AE26">
        <v>720.45192080000004</v>
      </c>
      <c r="AF26">
        <v>728.27598909999995</v>
      </c>
      <c r="AG26">
        <v>746.96153890000005</v>
      </c>
      <c r="AH26">
        <v>814.33269399999995</v>
      </c>
      <c r="AI26">
        <v>811.9819076</v>
      </c>
      <c r="AJ26">
        <v>833.67095359999996</v>
      </c>
      <c r="AK26">
        <v>845.61678619999998</v>
      </c>
      <c r="AL26">
        <v>856.72127569999998</v>
      </c>
      <c r="AM26">
        <v>550.95091709999997</v>
      </c>
      <c r="AN26">
        <v>559.57225840000001</v>
      </c>
      <c r="AO26">
        <v>560.38792539999997</v>
      </c>
      <c r="AP26">
        <v>566.06703149999998</v>
      </c>
      <c r="AQ26">
        <v>561.47537290000002</v>
      </c>
      <c r="AR26">
        <v>527.90596259999995</v>
      </c>
      <c r="AS26">
        <v>526.02939070000002</v>
      </c>
      <c r="AT26">
        <v>526.72328979999998</v>
      </c>
      <c r="AU26">
        <v>522.58875690000002</v>
      </c>
      <c r="AV26">
        <v>532.82762809999997</v>
      </c>
      <c r="AX26">
        <f>SUM(B27:AV27)-SUM(B21:AV21)</f>
        <v>28050.344602900008</v>
      </c>
    </row>
    <row r="27" spans="1:50" x14ac:dyDescent="0.25">
      <c r="A27" s="1" t="s">
        <v>61</v>
      </c>
      <c r="B27">
        <v>43.535458439753199</v>
      </c>
      <c r="C27">
        <v>44.234434306946497</v>
      </c>
      <c r="D27">
        <v>47.032938059999999</v>
      </c>
      <c r="E27">
        <v>505.35536589999998</v>
      </c>
      <c r="F27">
        <v>475.60066970000003</v>
      </c>
      <c r="G27">
        <v>442.86369560000003</v>
      </c>
      <c r="H27">
        <v>533.08862980000004</v>
      </c>
      <c r="I27">
        <v>469.94504490000003</v>
      </c>
      <c r="J27">
        <v>352.74602720000001</v>
      </c>
      <c r="K27">
        <v>352.28903439999999</v>
      </c>
      <c r="L27">
        <v>350.54223389999999</v>
      </c>
      <c r="M27">
        <v>338.26358649999997</v>
      </c>
      <c r="N27">
        <v>297.8011017</v>
      </c>
      <c r="O27">
        <v>205.5382649</v>
      </c>
      <c r="P27">
        <v>34.696173139999999</v>
      </c>
      <c r="Q27">
        <v>126.7381625</v>
      </c>
      <c r="R27">
        <v>122.67341399999999</v>
      </c>
      <c r="S27">
        <v>247.9731736</v>
      </c>
      <c r="T27">
        <v>193.79898990000001</v>
      </c>
      <c r="U27">
        <v>1279.948594</v>
      </c>
      <c r="V27">
        <v>1286.0631100000001</v>
      </c>
      <c r="W27">
        <v>1307.7475179999999</v>
      </c>
      <c r="X27">
        <v>1285.814159</v>
      </c>
      <c r="Y27">
        <v>1312.6471959999999</v>
      </c>
      <c r="Z27">
        <v>1325.7024200000001</v>
      </c>
      <c r="AA27">
        <v>1337.94973</v>
      </c>
      <c r="AB27">
        <v>1350.8597970000001</v>
      </c>
      <c r="AC27">
        <v>1324.6887650000001</v>
      </c>
      <c r="AD27">
        <v>1325.7108459999999</v>
      </c>
      <c r="AE27">
        <v>1324.035048</v>
      </c>
      <c r="AF27">
        <v>1325.565736</v>
      </c>
      <c r="AG27">
        <v>1327.888393</v>
      </c>
      <c r="AH27">
        <v>1261.755983</v>
      </c>
      <c r="AI27">
        <v>1257.5249590000001</v>
      </c>
      <c r="AJ27">
        <v>1260.263537</v>
      </c>
      <c r="AK27">
        <v>1259.591864</v>
      </c>
      <c r="AL27">
        <v>1258.954559</v>
      </c>
      <c r="AM27">
        <v>1211.828972</v>
      </c>
      <c r="AN27">
        <v>1209.315398</v>
      </c>
      <c r="AO27">
        <v>1206.1871209999999</v>
      </c>
      <c r="AP27">
        <v>1203.1305139999999</v>
      </c>
      <c r="AQ27">
        <v>1197.775707</v>
      </c>
      <c r="AR27">
        <v>1164.167449</v>
      </c>
      <c r="AS27">
        <v>1159.11664</v>
      </c>
      <c r="AT27">
        <v>1154.1653920000001</v>
      </c>
      <c r="AU27">
        <v>1147.9527399999999</v>
      </c>
      <c r="AV27">
        <v>1145.9902509999999</v>
      </c>
    </row>
    <row r="28" spans="1:50" x14ac:dyDescent="0.25">
      <c r="A28" s="1" t="s">
        <v>62</v>
      </c>
      <c r="B28">
        <v>23.2717116207895</v>
      </c>
      <c r="C28">
        <v>23.645346478309701</v>
      </c>
      <c r="D28">
        <v>24.888870109999999</v>
      </c>
      <c r="E28">
        <v>17.413097579999999</v>
      </c>
      <c r="F28">
        <v>2.1752527129999999</v>
      </c>
      <c r="G28">
        <v>0.1</v>
      </c>
      <c r="H28">
        <v>19.035358859999999</v>
      </c>
      <c r="I28">
        <v>6.4258583739999997</v>
      </c>
      <c r="J28">
        <v>0.1</v>
      </c>
      <c r="K28">
        <v>1.86236603</v>
      </c>
      <c r="L28">
        <v>10.01846671</v>
      </c>
      <c r="M28">
        <v>18.760962849999999</v>
      </c>
      <c r="N28">
        <v>207.96863999999999</v>
      </c>
      <c r="O28">
        <v>212.4964506</v>
      </c>
      <c r="P28">
        <v>195.23306389999999</v>
      </c>
      <c r="Q28">
        <v>217.6755953</v>
      </c>
      <c r="R28">
        <v>228.44484600000001</v>
      </c>
      <c r="S28">
        <v>676.43128560000002</v>
      </c>
      <c r="T28">
        <v>648.61804949999998</v>
      </c>
      <c r="U28">
        <v>812.62062189999995</v>
      </c>
      <c r="V28">
        <v>0.1</v>
      </c>
      <c r="W28">
        <v>0.1</v>
      </c>
      <c r="X28">
        <v>176.19464099999999</v>
      </c>
      <c r="Y28">
        <v>194.93623460000001</v>
      </c>
      <c r="Z28">
        <v>198.37918830000001</v>
      </c>
      <c r="AA28">
        <v>199.1677296</v>
      </c>
      <c r="AB28">
        <v>200.3603957</v>
      </c>
      <c r="AC28">
        <v>231.43652789999999</v>
      </c>
      <c r="AD28">
        <v>232.08600680000001</v>
      </c>
      <c r="AE28">
        <v>232.1179741</v>
      </c>
      <c r="AF28">
        <v>233.12538029999999</v>
      </c>
      <c r="AG28">
        <v>234.12061499999999</v>
      </c>
      <c r="AH28">
        <v>240.82393200000001</v>
      </c>
      <c r="AI28">
        <v>241.00195790000001</v>
      </c>
      <c r="AJ28">
        <v>243.0460138</v>
      </c>
      <c r="AK28">
        <v>245.2973796</v>
      </c>
      <c r="AL28">
        <v>246.74794439999999</v>
      </c>
      <c r="AM28">
        <v>226.74898590000001</v>
      </c>
      <c r="AN28">
        <v>226.68054799999999</v>
      </c>
      <c r="AO28">
        <v>226.5771838</v>
      </c>
      <c r="AP28">
        <v>226.47235169999999</v>
      </c>
      <c r="AQ28">
        <v>225.67072020000001</v>
      </c>
      <c r="AR28">
        <v>214.91046890000001</v>
      </c>
      <c r="AS28">
        <v>214.17670720000001</v>
      </c>
      <c r="AT28">
        <v>213.4823021</v>
      </c>
      <c r="AU28">
        <v>212.43488139999999</v>
      </c>
      <c r="AV28">
        <v>212.80657550000001</v>
      </c>
    </row>
    <row r="29" spans="1:50" x14ac:dyDescent="0.25">
      <c r="A29" s="1" t="s">
        <v>63</v>
      </c>
      <c r="B29">
        <v>32.111684022952602</v>
      </c>
      <c r="C29">
        <v>32.627247496759601</v>
      </c>
      <c r="D29">
        <v>34.69052903</v>
      </c>
      <c r="E29">
        <v>39.57602464</v>
      </c>
      <c r="F29">
        <v>16.26852246</v>
      </c>
      <c r="G29">
        <v>5.3330123340000002</v>
      </c>
      <c r="H29">
        <v>43.648653430000003</v>
      </c>
      <c r="I29">
        <v>25.5833774</v>
      </c>
      <c r="J29">
        <v>3.8656496730000001</v>
      </c>
      <c r="K29">
        <v>16.036673950000001</v>
      </c>
      <c r="L29">
        <v>31.87668811</v>
      </c>
      <c r="M29">
        <v>47.363794300000002</v>
      </c>
      <c r="N29">
        <v>336.56745719999998</v>
      </c>
      <c r="O29">
        <v>342.73405159999999</v>
      </c>
      <c r="P29">
        <v>309.27611050000002</v>
      </c>
      <c r="Q29">
        <v>344.16981429999998</v>
      </c>
      <c r="R29">
        <v>359.76093079999998</v>
      </c>
      <c r="S29">
        <v>217.73428190000001</v>
      </c>
      <c r="T29">
        <v>139.55185900000001</v>
      </c>
      <c r="U29">
        <v>171.7136501</v>
      </c>
      <c r="V29">
        <v>0.1</v>
      </c>
      <c r="W29">
        <v>0.1</v>
      </c>
      <c r="X29">
        <v>60.465389889999997</v>
      </c>
      <c r="Y29">
        <v>76.895333239999999</v>
      </c>
      <c r="Z29">
        <v>81.573685130000001</v>
      </c>
      <c r="AA29">
        <v>83.437137289999995</v>
      </c>
      <c r="AB29">
        <v>86.26562543</v>
      </c>
      <c r="AC29">
        <v>68.903433820000004</v>
      </c>
      <c r="AD29">
        <v>68.259417089999999</v>
      </c>
      <c r="AE29">
        <v>67.017248039999998</v>
      </c>
      <c r="AF29">
        <v>66.378686180000003</v>
      </c>
      <c r="AG29">
        <v>66.137689899999998</v>
      </c>
      <c r="AH29">
        <v>65.66240646</v>
      </c>
      <c r="AI29">
        <v>64.402900250000002</v>
      </c>
      <c r="AJ29">
        <v>64.802032690000004</v>
      </c>
      <c r="AK29">
        <v>64.468479849999994</v>
      </c>
      <c r="AL29">
        <v>64.115829550000001</v>
      </c>
      <c r="AM29">
        <v>52.53039536</v>
      </c>
      <c r="AN29">
        <v>51.839112470000003</v>
      </c>
      <c r="AO29">
        <v>51.021721929999998</v>
      </c>
      <c r="AP29">
        <v>50.221300790000001</v>
      </c>
      <c r="AQ29">
        <v>48.883426319999998</v>
      </c>
      <c r="AR29">
        <v>50.154061140000003</v>
      </c>
      <c r="AS29">
        <v>49.069843970000001</v>
      </c>
      <c r="AT29">
        <v>48.028787199999996</v>
      </c>
      <c r="AU29">
        <v>46.728117220000001</v>
      </c>
      <c r="AV29">
        <v>46.390265499999998</v>
      </c>
    </row>
    <row r="30" spans="1:50" x14ac:dyDescent="0.25">
      <c r="A30" s="1" t="s">
        <v>64</v>
      </c>
      <c r="B30">
        <v>24.7002727259982</v>
      </c>
      <c r="C30">
        <v>25.096843594143699</v>
      </c>
      <c r="D30">
        <v>26.68393026</v>
      </c>
      <c r="E30">
        <v>54.921902260000003</v>
      </c>
      <c r="F30">
        <v>39.819533100000001</v>
      </c>
      <c r="G30">
        <v>32.948946149999998</v>
      </c>
      <c r="H30">
        <v>65.773865060000006</v>
      </c>
      <c r="I30">
        <v>52.564938599999998</v>
      </c>
      <c r="J30">
        <v>35.928221649999998</v>
      </c>
      <c r="K30">
        <v>49.15551962</v>
      </c>
      <c r="L30">
        <v>66.342460310000007</v>
      </c>
      <c r="M30">
        <v>86.748341609999997</v>
      </c>
      <c r="N30">
        <v>201.2064618</v>
      </c>
      <c r="O30">
        <v>197.97029219999999</v>
      </c>
      <c r="P30">
        <v>165.3750866</v>
      </c>
      <c r="Q30">
        <v>196.35907130000001</v>
      </c>
      <c r="R30">
        <v>208.64467329999999</v>
      </c>
      <c r="S30">
        <v>386.94002239999998</v>
      </c>
      <c r="T30">
        <v>325.97114260000001</v>
      </c>
      <c r="U30">
        <v>570.66686619999996</v>
      </c>
      <c r="V30">
        <v>0.1</v>
      </c>
      <c r="W30">
        <v>0.1</v>
      </c>
      <c r="X30">
        <v>286.73658829999999</v>
      </c>
      <c r="Y30">
        <v>296.37608699999998</v>
      </c>
      <c r="Z30">
        <v>298.87066679999998</v>
      </c>
      <c r="AA30">
        <v>300.08541750000001</v>
      </c>
      <c r="AB30">
        <v>302.30836950000003</v>
      </c>
      <c r="AC30">
        <v>267.37151929999999</v>
      </c>
      <c r="AD30">
        <v>264.93074899999999</v>
      </c>
      <c r="AE30">
        <v>261.7182636</v>
      </c>
      <c r="AF30">
        <v>259.3542309</v>
      </c>
      <c r="AG30">
        <v>257.38209039999998</v>
      </c>
      <c r="AH30">
        <v>254.61127490000001</v>
      </c>
      <c r="AI30">
        <v>251.45570219999999</v>
      </c>
      <c r="AJ30">
        <v>250.04658230000001</v>
      </c>
      <c r="AK30">
        <v>247.91023390000001</v>
      </c>
      <c r="AL30">
        <v>245.57461799999999</v>
      </c>
      <c r="AM30">
        <v>231.11748650000001</v>
      </c>
      <c r="AN30">
        <v>228.58808020000001</v>
      </c>
      <c r="AO30">
        <v>225.50805779999999</v>
      </c>
      <c r="AP30">
        <v>222.5098533</v>
      </c>
      <c r="AQ30">
        <v>218.79378410000001</v>
      </c>
      <c r="AR30">
        <v>217.71298490000001</v>
      </c>
      <c r="AS30">
        <v>214.4555809</v>
      </c>
      <c r="AT30">
        <v>211.1733639</v>
      </c>
      <c r="AU30">
        <v>207.33900679999999</v>
      </c>
      <c r="AV30">
        <v>205.0220175</v>
      </c>
    </row>
    <row r="31" spans="1:50" x14ac:dyDescent="0.25">
      <c r="A31" s="1" t="s">
        <v>65</v>
      </c>
      <c r="B31">
        <v>60.912338637623698</v>
      </c>
      <c r="C31">
        <v>61.890305937104898</v>
      </c>
      <c r="D31">
        <v>65.804824170000003</v>
      </c>
      <c r="E31">
        <v>453.67808810000002</v>
      </c>
      <c r="F31">
        <v>538.54625799999997</v>
      </c>
      <c r="G31">
        <v>662.99167390000002</v>
      </c>
      <c r="H31">
        <v>989.23263250000002</v>
      </c>
      <c r="I31">
        <v>1205.956891</v>
      </c>
      <c r="J31">
        <v>1421.882961</v>
      </c>
      <c r="K31">
        <v>1911.7491480000001</v>
      </c>
      <c r="L31">
        <v>2615.3985069999999</v>
      </c>
      <c r="M31">
        <v>3625.7658019999999</v>
      </c>
      <c r="N31">
        <v>271.48696200000001</v>
      </c>
      <c r="O31">
        <v>0.1</v>
      </c>
      <c r="P31">
        <v>0.1</v>
      </c>
      <c r="Q31">
        <v>0.1</v>
      </c>
      <c r="R31">
        <v>0.1</v>
      </c>
      <c r="S31">
        <v>2392.1204440000001</v>
      </c>
      <c r="T31">
        <v>2101.6462940000001</v>
      </c>
      <c r="U31">
        <v>2266.993277</v>
      </c>
      <c r="V31">
        <v>0.1</v>
      </c>
      <c r="W31">
        <v>0.1</v>
      </c>
      <c r="X31">
        <v>963.19619580000005</v>
      </c>
      <c r="Y31">
        <v>1079.269268</v>
      </c>
      <c r="Z31">
        <v>1140.392139</v>
      </c>
      <c r="AA31">
        <v>1219.7806049999999</v>
      </c>
      <c r="AB31">
        <v>1283.039014</v>
      </c>
      <c r="AC31">
        <v>1042.276404</v>
      </c>
      <c r="AD31">
        <v>1059.1773780000001</v>
      </c>
      <c r="AE31">
        <v>1069.55305</v>
      </c>
      <c r="AF31">
        <v>1109.0793060000001</v>
      </c>
      <c r="AG31">
        <v>1132.358616</v>
      </c>
      <c r="AH31">
        <v>917.46038680000004</v>
      </c>
      <c r="AI31">
        <v>918.95933300000002</v>
      </c>
      <c r="AJ31">
        <v>943.22963909999999</v>
      </c>
      <c r="AK31">
        <v>968.6785711</v>
      </c>
      <c r="AL31">
        <v>984.36486590000004</v>
      </c>
      <c r="AM31">
        <v>823.74149839999995</v>
      </c>
      <c r="AN31">
        <v>828.37618650000002</v>
      </c>
      <c r="AO31">
        <v>833.32128620000003</v>
      </c>
      <c r="AP31">
        <v>838.25479010000004</v>
      </c>
      <c r="AQ31">
        <v>835.89725120000003</v>
      </c>
      <c r="AR31">
        <v>974.75634319999995</v>
      </c>
      <c r="AS31">
        <v>977.96122339999999</v>
      </c>
      <c r="AT31">
        <v>982.25010970000005</v>
      </c>
      <c r="AU31">
        <v>983.39801339999997</v>
      </c>
      <c r="AV31">
        <v>998.17561939999996</v>
      </c>
    </row>
    <row r="32" spans="1:50" x14ac:dyDescent="0.25">
      <c r="A32" s="1" t="s">
        <v>80</v>
      </c>
      <c r="B32">
        <v>39425.077462777903</v>
      </c>
      <c r="C32">
        <v>40058.059833845502</v>
      </c>
      <c r="D32">
        <v>40783.750999999997</v>
      </c>
      <c r="E32">
        <v>40608.528270000003</v>
      </c>
      <c r="F32">
        <v>39254.703950000003</v>
      </c>
      <c r="G32">
        <v>37320.425949999997</v>
      </c>
      <c r="H32">
        <v>37739.234920000003</v>
      </c>
      <c r="I32">
        <v>37269.707439999998</v>
      </c>
      <c r="J32">
        <v>35596.528140000002</v>
      </c>
      <c r="K32">
        <v>34656.089079999998</v>
      </c>
      <c r="L32">
        <v>34464.004119999998</v>
      </c>
      <c r="M32">
        <v>34944.320050000002</v>
      </c>
      <c r="N32">
        <v>35561.901230000003</v>
      </c>
      <c r="O32">
        <v>35372.145219999999</v>
      </c>
      <c r="P32">
        <v>33582.362000000001</v>
      </c>
      <c r="Q32">
        <v>32601.767179999999</v>
      </c>
      <c r="R32">
        <v>31538.661189999999</v>
      </c>
      <c r="S32">
        <v>30075.687750000001</v>
      </c>
      <c r="T32">
        <v>28709.645629999999</v>
      </c>
      <c r="U32">
        <v>27373.34765</v>
      </c>
      <c r="V32">
        <v>28844.982220000002</v>
      </c>
      <c r="W32">
        <v>30391.42943</v>
      </c>
      <c r="X32">
        <v>30340.901389999999</v>
      </c>
      <c r="Y32">
        <v>30494.805550000001</v>
      </c>
      <c r="Z32">
        <v>30731.298569999999</v>
      </c>
      <c r="AA32">
        <v>31017.746159999999</v>
      </c>
      <c r="AB32">
        <v>31360.11795</v>
      </c>
      <c r="AC32">
        <v>31554.374530000001</v>
      </c>
      <c r="AD32">
        <v>31761.018540000001</v>
      </c>
      <c r="AE32">
        <v>31961.412219999998</v>
      </c>
      <c r="AF32">
        <v>32167.573799999998</v>
      </c>
      <c r="AG32">
        <v>32392.287759999999</v>
      </c>
      <c r="AH32">
        <v>32694.941859999999</v>
      </c>
      <c r="AI32">
        <v>32989.20016</v>
      </c>
      <c r="AJ32">
        <v>33300.792350000003</v>
      </c>
      <c r="AK32">
        <v>33620.279580000002</v>
      </c>
      <c r="AL32">
        <v>33946.80384</v>
      </c>
      <c r="AM32">
        <v>33929.147689999998</v>
      </c>
      <c r="AN32">
        <v>33913.520709999997</v>
      </c>
      <c r="AO32">
        <v>33898.184759999996</v>
      </c>
      <c r="AP32">
        <v>33888.796560000003</v>
      </c>
      <c r="AQ32">
        <v>33874.54333</v>
      </c>
      <c r="AR32">
        <v>33821.652710000002</v>
      </c>
      <c r="AS32">
        <v>33767.02966</v>
      </c>
      <c r="AT32">
        <v>33712.601459999998</v>
      </c>
      <c r="AU32">
        <v>33657.816129999999</v>
      </c>
      <c r="AV32">
        <v>33611.579189999997</v>
      </c>
    </row>
    <row r="33" spans="1:49" x14ac:dyDescent="0.25">
      <c r="A33" s="1" t="s">
        <v>81</v>
      </c>
      <c r="B33">
        <v>960.46300372131896</v>
      </c>
      <c r="C33">
        <v>975.88354791662596</v>
      </c>
      <c r="D33">
        <v>993.63997949999998</v>
      </c>
      <c r="E33">
        <v>1469.186146</v>
      </c>
      <c r="F33">
        <v>1900.711231</v>
      </c>
      <c r="G33">
        <v>2286.55359</v>
      </c>
      <c r="H33">
        <v>2751.0456119999999</v>
      </c>
      <c r="I33">
        <v>3138.4592889999999</v>
      </c>
      <c r="J33">
        <v>3397.0515369999998</v>
      </c>
      <c r="K33">
        <v>3647.4290249999999</v>
      </c>
      <c r="L33">
        <v>3888.548389</v>
      </c>
      <c r="M33">
        <v>4110.1555230000004</v>
      </c>
      <c r="N33">
        <v>4284.6519589999998</v>
      </c>
      <c r="O33">
        <v>4361.6506659999995</v>
      </c>
      <c r="P33">
        <v>4265.4973190000001</v>
      </c>
      <c r="Q33">
        <v>4264.2705619999997</v>
      </c>
      <c r="R33">
        <v>4259.0158590000001</v>
      </c>
      <c r="S33">
        <v>4379.2185570000001</v>
      </c>
      <c r="T33">
        <v>4441.6409899999999</v>
      </c>
      <c r="U33">
        <v>4489.6964459999999</v>
      </c>
      <c r="V33">
        <v>4567.9932849999996</v>
      </c>
      <c r="W33">
        <v>4677.3735139999999</v>
      </c>
      <c r="X33">
        <v>4759.9134750000003</v>
      </c>
      <c r="Y33">
        <v>4872.6242229999998</v>
      </c>
      <c r="Z33">
        <v>5000.4035279999998</v>
      </c>
      <c r="AA33">
        <v>5143.5482780000002</v>
      </c>
      <c r="AB33">
        <v>5299.1826060000003</v>
      </c>
      <c r="AC33">
        <v>5433.3658489999998</v>
      </c>
      <c r="AD33">
        <v>5571.557785</v>
      </c>
      <c r="AE33">
        <v>5710.4096749999999</v>
      </c>
      <c r="AF33">
        <v>5852.8683499999997</v>
      </c>
      <c r="AG33">
        <v>6000.0528450000002</v>
      </c>
      <c r="AH33">
        <v>6080.6706610000001</v>
      </c>
      <c r="AI33">
        <v>6159.8874589999996</v>
      </c>
      <c r="AJ33">
        <v>6246.0951999999997</v>
      </c>
      <c r="AK33">
        <v>6335.0969770000002</v>
      </c>
      <c r="AL33">
        <v>6427.1390799999999</v>
      </c>
      <c r="AM33">
        <v>6471.2763590000004</v>
      </c>
      <c r="AN33">
        <v>6515.6360930000001</v>
      </c>
      <c r="AO33">
        <v>6562.0091270000003</v>
      </c>
      <c r="AP33">
        <v>6609.9559479999998</v>
      </c>
      <c r="AQ33">
        <v>6657.2144719999997</v>
      </c>
      <c r="AR33">
        <v>6670.6390419999998</v>
      </c>
      <c r="AS33">
        <v>6683.8241090000001</v>
      </c>
      <c r="AT33">
        <v>6696.582265</v>
      </c>
      <c r="AU33">
        <v>6709.4234589999996</v>
      </c>
      <c r="AV33">
        <v>6724.2563520000003</v>
      </c>
      <c r="AW33">
        <f>AV33-AU33*(1-AV56)</f>
        <v>216.11559677000059</v>
      </c>
    </row>
    <row r="34" spans="1:49" x14ac:dyDescent="0.25">
      <c r="A34" s="1" t="s">
        <v>82</v>
      </c>
      <c r="B34">
        <v>513.41179916529904</v>
      </c>
      <c r="C34">
        <v>521.65479166864998</v>
      </c>
      <c r="D34">
        <v>530.89401799999996</v>
      </c>
      <c r="E34">
        <v>532.38029510000001</v>
      </c>
      <c r="F34">
        <v>518.58413889999997</v>
      </c>
      <c r="G34">
        <v>497.16966050000002</v>
      </c>
      <c r="H34">
        <v>501.28992959999999</v>
      </c>
      <c r="I34">
        <v>492.67709000000002</v>
      </c>
      <c r="J34">
        <v>470.66307280000001</v>
      </c>
      <c r="K34">
        <v>458.40554659999998</v>
      </c>
      <c r="L34">
        <v>454.67184689999999</v>
      </c>
      <c r="M34">
        <v>459.7926544</v>
      </c>
      <c r="N34">
        <v>653.9675148</v>
      </c>
      <c r="O34">
        <v>846.84493989999999</v>
      </c>
      <c r="P34">
        <v>1016.672656</v>
      </c>
      <c r="Q34">
        <v>1203.8480709999999</v>
      </c>
      <c r="R34">
        <v>1396.177475</v>
      </c>
      <c r="S34">
        <v>2030.723436</v>
      </c>
      <c r="T34">
        <v>2618.4197829999998</v>
      </c>
      <c r="U34">
        <v>3194.5878419999999</v>
      </c>
      <c r="V34">
        <v>1963.472974</v>
      </c>
      <c r="W34">
        <v>837.90829559999997</v>
      </c>
      <c r="X34">
        <v>819.27617339999995</v>
      </c>
      <c r="Y34">
        <v>830.10913049999999</v>
      </c>
      <c r="Z34">
        <v>848.75375129999998</v>
      </c>
      <c r="AA34">
        <v>870.75662160000002</v>
      </c>
      <c r="AB34">
        <v>895.39899089999994</v>
      </c>
      <c r="AC34">
        <v>951.53450480000004</v>
      </c>
      <c r="AD34">
        <v>1010.1404669999999</v>
      </c>
      <c r="AE34">
        <v>1070.1916900000001</v>
      </c>
      <c r="AF34">
        <v>1132.3578930000001</v>
      </c>
      <c r="AG34">
        <v>1196.538871</v>
      </c>
      <c r="AH34">
        <v>1268.5346010000001</v>
      </c>
      <c r="AI34">
        <v>1341.431223</v>
      </c>
      <c r="AJ34">
        <v>1416.752111</v>
      </c>
      <c r="AK34">
        <v>1494.8370339999999</v>
      </c>
      <c r="AL34">
        <v>1574.8109460000001</v>
      </c>
      <c r="AM34">
        <v>1634.965831</v>
      </c>
      <c r="AN34">
        <v>1695.054435</v>
      </c>
      <c r="AO34">
        <v>1755.6881490000001</v>
      </c>
      <c r="AP34">
        <v>1816.907735</v>
      </c>
      <c r="AQ34">
        <v>1878.093318</v>
      </c>
      <c r="AR34">
        <v>1928.4439299999999</v>
      </c>
      <c r="AS34">
        <v>1978.7970780000001</v>
      </c>
      <c r="AT34">
        <v>2029.185506</v>
      </c>
      <c r="AU34">
        <v>2079.766744</v>
      </c>
      <c r="AV34">
        <v>2131.1905190000002</v>
      </c>
    </row>
    <row r="35" spans="1:49" x14ac:dyDescent="0.25">
      <c r="A35" s="1" t="s">
        <v>83</v>
      </c>
      <c r="B35">
        <v>708.43596453488499</v>
      </c>
      <c r="C35">
        <v>719.81013309559796</v>
      </c>
      <c r="D35">
        <v>732.90635810000003</v>
      </c>
      <c r="E35">
        <v>750.49519199999997</v>
      </c>
      <c r="F35">
        <v>744.24885870000003</v>
      </c>
      <c r="G35">
        <v>727.25440530000003</v>
      </c>
      <c r="H35">
        <v>749.08542660000001</v>
      </c>
      <c r="I35">
        <v>752.19624120000003</v>
      </c>
      <c r="J35">
        <v>733.49600359999999</v>
      </c>
      <c r="K35">
        <v>727.52779750000002</v>
      </c>
      <c r="L35">
        <v>737.57865170000002</v>
      </c>
      <c r="M35">
        <v>762.81508640000004</v>
      </c>
      <c r="N35">
        <v>1076.4980909999999</v>
      </c>
      <c r="O35">
        <v>1386.9372000000001</v>
      </c>
      <c r="P35">
        <v>1654.605194</v>
      </c>
      <c r="Q35">
        <v>1949.136853</v>
      </c>
      <c r="R35">
        <v>2250.4236780000001</v>
      </c>
      <c r="S35">
        <v>2400.64525</v>
      </c>
      <c r="T35">
        <v>2468.1777510000002</v>
      </c>
      <c r="U35">
        <v>2532.0803089999999</v>
      </c>
      <c r="V35">
        <v>1864.4970940000001</v>
      </c>
      <c r="W35">
        <v>1241.328287</v>
      </c>
      <c r="X35">
        <v>1241.6437309999999</v>
      </c>
      <c r="Y35">
        <v>1261.4911930000001</v>
      </c>
      <c r="Z35">
        <v>1287.453503</v>
      </c>
      <c r="AA35">
        <v>1316.4099409999999</v>
      </c>
      <c r="AB35">
        <v>1348.4529110000001</v>
      </c>
      <c r="AC35">
        <v>1364.1043729999999</v>
      </c>
      <c r="AD35">
        <v>1380.0353459999999</v>
      </c>
      <c r="AE35">
        <v>1395.5338670000001</v>
      </c>
      <c r="AF35">
        <v>1411.151063</v>
      </c>
      <c r="AG35">
        <v>1427.362181</v>
      </c>
      <c r="AH35">
        <v>1444.255208</v>
      </c>
      <c r="AI35">
        <v>1460.45382</v>
      </c>
      <c r="AJ35">
        <v>1477.770237</v>
      </c>
      <c r="AK35">
        <v>1495.4838110000001</v>
      </c>
      <c r="AL35">
        <v>1513.580694</v>
      </c>
      <c r="AM35">
        <v>1519.6044469999999</v>
      </c>
      <c r="AN35">
        <v>1525.465811</v>
      </c>
      <c r="AO35">
        <v>1531.513526</v>
      </c>
      <c r="AP35">
        <v>1537.7700139999999</v>
      </c>
      <c r="AQ35">
        <v>1543.7040440000001</v>
      </c>
      <c r="AR35">
        <v>1552.128774</v>
      </c>
      <c r="AS35">
        <v>1560.373955</v>
      </c>
      <c r="AT35">
        <v>1568.4664419999999</v>
      </c>
      <c r="AU35">
        <v>1576.507196</v>
      </c>
      <c r="AV35">
        <v>1584.973487</v>
      </c>
    </row>
    <row r="36" spans="1:49" x14ac:dyDescent="0.25">
      <c r="A36" s="1" t="s">
        <v>84</v>
      </c>
      <c r="B36">
        <v>544.92818004841297</v>
      </c>
      <c r="C36">
        <v>553.67717824110503</v>
      </c>
      <c r="D36">
        <v>563.75079319999998</v>
      </c>
      <c r="E36">
        <v>601.76017160000004</v>
      </c>
      <c r="F36">
        <v>623.52689959999998</v>
      </c>
      <c r="G36">
        <v>637.77003869999999</v>
      </c>
      <c r="H36">
        <v>684.41080260000001</v>
      </c>
      <c r="I36">
        <v>716.4434172</v>
      </c>
      <c r="J36">
        <v>730.8783363</v>
      </c>
      <c r="K36">
        <v>758.10750580000001</v>
      </c>
      <c r="L36">
        <v>801.70674099999997</v>
      </c>
      <c r="M36">
        <v>864.40388029999997</v>
      </c>
      <c r="N36">
        <v>1039.678226</v>
      </c>
      <c r="O36">
        <v>1206.458171</v>
      </c>
      <c r="P36">
        <v>1335.6395130000001</v>
      </c>
      <c r="Q36">
        <v>1491.9293990000001</v>
      </c>
      <c r="R36">
        <v>1655.81619</v>
      </c>
      <c r="S36">
        <v>1993.081727</v>
      </c>
      <c r="T36">
        <v>2259.260417</v>
      </c>
      <c r="U36">
        <v>2521.6139579999999</v>
      </c>
      <c r="V36">
        <v>1880.5579090000001</v>
      </c>
      <c r="W36">
        <v>1285.686723</v>
      </c>
      <c r="X36">
        <v>1299.655152</v>
      </c>
      <c r="Y36">
        <v>1333.385937</v>
      </c>
      <c r="Z36">
        <v>1373.803611</v>
      </c>
      <c r="AA36">
        <v>1418.3115969999999</v>
      </c>
      <c r="AB36">
        <v>1466.710425</v>
      </c>
      <c r="AC36">
        <v>1484.2176649999999</v>
      </c>
      <c r="AD36">
        <v>1502.0116410000001</v>
      </c>
      <c r="AE36">
        <v>1519.3672160000001</v>
      </c>
      <c r="AF36">
        <v>1536.9774669999999</v>
      </c>
      <c r="AG36">
        <v>1555.274553</v>
      </c>
      <c r="AH36">
        <v>1574.011489</v>
      </c>
      <c r="AI36">
        <v>1592.0252419999999</v>
      </c>
      <c r="AJ36">
        <v>1611.2628749999999</v>
      </c>
      <c r="AK36">
        <v>1631.0973859999999</v>
      </c>
      <c r="AL36">
        <v>1651.3778319999999</v>
      </c>
      <c r="AM36">
        <v>1658.9584620000001</v>
      </c>
      <c r="AN36">
        <v>1666.3781320000001</v>
      </c>
      <c r="AO36">
        <v>1674.0137219999999</v>
      </c>
      <c r="AP36">
        <v>1681.898469</v>
      </c>
      <c r="AQ36">
        <v>1689.457917</v>
      </c>
      <c r="AR36">
        <v>1698.781757</v>
      </c>
      <c r="AS36">
        <v>1707.9350750000001</v>
      </c>
      <c r="AT36">
        <v>1716.9428800000001</v>
      </c>
      <c r="AU36">
        <v>1725.909613</v>
      </c>
      <c r="AV36">
        <v>1735.3566880000001</v>
      </c>
    </row>
    <row r="37" spans="1:49" x14ac:dyDescent="0.25">
      <c r="A37" s="1" t="s">
        <v>85</v>
      </c>
      <c r="B37">
        <v>1343.8252364458999</v>
      </c>
      <c r="C37">
        <v>1365.40078528963</v>
      </c>
      <c r="D37">
        <v>1390.2435860000001</v>
      </c>
      <c r="E37">
        <v>1802.2143659999999</v>
      </c>
      <c r="F37">
        <v>2286.6941929999998</v>
      </c>
      <c r="G37">
        <v>2881.0850409999998</v>
      </c>
      <c r="H37">
        <v>3783.885123</v>
      </c>
      <c r="I37">
        <v>4876.3254589999997</v>
      </c>
      <c r="J37">
        <v>6151.9186570000002</v>
      </c>
      <c r="K37">
        <v>7879.1102460000002</v>
      </c>
      <c r="L37">
        <v>10258.13544</v>
      </c>
      <c r="M37">
        <v>13576.15718</v>
      </c>
      <c r="N37">
        <v>13440.35943</v>
      </c>
      <c r="O37">
        <v>12873.681500000001</v>
      </c>
      <c r="P37">
        <v>11625.06385</v>
      </c>
      <c r="Q37">
        <v>10674.977000000001</v>
      </c>
      <c r="R37">
        <v>9720.0917730000001</v>
      </c>
      <c r="S37">
        <v>11820.60946</v>
      </c>
      <c r="T37">
        <v>13567.63747</v>
      </c>
      <c r="U37">
        <v>15301.851919999999</v>
      </c>
      <c r="V37">
        <v>13091.033509999999</v>
      </c>
      <c r="W37">
        <v>11040.77519</v>
      </c>
      <c r="X37">
        <v>11658.838250000001</v>
      </c>
      <c r="Y37">
        <v>12399.79052</v>
      </c>
      <c r="Z37">
        <v>13201.40588</v>
      </c>
      <c r="AA37">
        <v>14082.63977</v>
      </c>
      <c r="AB37">
        <v>15017.598889999999</v>
      </c>
      <c r="AC37">
        <v>15703.47075</v>
      </c>
      <c r="AD37">
        <v>16404.608349999999</v>
      </c>
      <c r="AE37">
        <v>17113.02419</v>
      </c>
      <c r="AF37">
        <v>17859.123159999999</v>
      </c>
      <c r="AG37">
        <v>18625.697080000002</v>
      </c>
      <c r="AH37">
        <v>19156.443299999999</v>
      </c>
      <c r="AI37">
        <v>19685.352449999998</v>
      </c>
      <c r="AJ37">
        <v>20237.102739999998</v>
      </c>
      <c r="AK37">
        <v>20813.870180000002</v>
      </c>
      <c r="AL37">
        <v>21404.481329999999</v>
      </c>
      <c r="AM37">
        <v>21814.149939999999</v>
      </c>
      <c r="AN37">
        <v>22223.713250000001</v>
      </c>
      <c r="AO37">
        <v>22638.86262</v>
      </c>
      <c r="AP37">
        <v>23059.67686</v>
      </c>
      <c r="AQ37">
        <v>23478.583589999998</v>
      </c>
      <c r="AR37">
        <v>24061.176009999999</v>
      </c>
      <c r="AS37">
        <v>24645.231179999999</v>
      </c>
      <c r="AT37">
        <v>25231.213800000001</v>
      </c>
      <c r="AU37">
        <v>25820.762180000002</v>
      </c>
      <c r="AV37">
        <v>26421.625390000001</v>
      </c>
    </row>
    <row r="38" spans="1:49" x14ac:dyDescent="0.25">
      <c r="A38" s="1" t="s">
        <v>48</v>
      </c>
      <c r="B38">
        <v>39425.077462777903</v>
      </c>
      <c r="C38">
        <v>40058.059833845502</v>
      </c>
      <c r="D38">
        <v>40783.750999999997</v>
      </c>
      <c r="E38">
        <v>40608.528270000003</v>
      </c>
      <c r="F38">
        <v>39254.703950000003</v>
      </c>
      <c r="G38">
        <v>37320.425949999997</v>
      </c>
      <c r="H38">
        <v>37739.234920000003</v>
      </c>
      <c r="I38">
        <v>37269.707439999998</v>
      </c>
      <c r="J38">
        <v>35596.528140000002</v>
      </c>
      <c r="K38">
        <v>34656.089079999998</v>
      </c>
      <c r="L38">
        <v>34464.004119999998</v>
      </c>
      <c r="M38">
        <v>34944.320050000002</v>
      </c>
      <c r="N38">
        <v>35561.901230000003</v>
      </c>
      <c r="O38">
        <v>35372.145219999999</v>
      </c>
      <c r="P38">
        <v>33582.362000000001</v>
      </c>
      <c r="Q38">
        <v>32601.767179999999</v>
      </c>
      <c r="R38">
        <v>31538.661189999999</v>
      </c>
      <c r="S38">
        <v>30075.687750000001</v>
      </c>
      <c r="T38">
        <v>28709.645629999999</v>
      </c>
      <c r="U38">
        <v>27402.334050000001</v>
      </c>
      <c r="V38">
        <v>28761.43291</v>
      </c>
      <c r="W38">
        <v>30120.462940000001</v>
      </c>
      <c r="X38">
        <v>29883.920239999999</v>
      </c>
      <c r="Y38">
        <v>29832.696660000001</v>
      </c>
      <c r="Z38">
        <v>29856.065009999998</v>
      </c>
      <c r="AA38">
        <v>29920.598880000001</v>
      </c>
      <c r="AB38">
        <v>30047.104299999999</v>
      </c>
      <c r="AC38">
        <v>30009.995050000001</v>
      </c>
      <c r="AD38">
        <v>29985.029839999999</v>
      </c>
      <c r="AE38">
        <v>29955.856019999999</v>
      </c>
      <c r="AF38">
        <v>29935.23561</v>
      </c>
      <c r="AG38">
        <v>29933.81626</v>
      </c>
      <c r="AH38">
        <v>29999.803540000001</v>
      </c>
      <c r="AI38">
        <v>30061.790359999999</v>
      </c>
      <c r="AJ38">
        <v>30143.916560000001</v>
      </c>
      <c r="AK38">
        <v>30235.935430000001</v>
      </c>
      <c r="AL38">
        <v>30336.758320000001</v>
      </c>
      <c r="AM38">
        <v>30129.290280000001</v>
      </c>
      <c r="AN38">
        <v>29935.630280000001</v>
      </c>
      <c r="AO38">
        <v>29747.62745</v>
      </c>
      <c r="AP38">
        <v>29570.003789999999</v>
      </c>
      <c r="AQ38">
        <v>29392.229070000001</v>
      </c>
      <c r="AR38">
        <v>29185.329310000001</v>
      </c>
      <c r="AS38">
        <v>28981.725470000001</v>
      </c>
      <c r="AT38">
        <v>28783.905620000001</v>
      </c>
      <c r="AU38">
        <v>28586.89673</v>
      </c>
      <c r="AV38">
        <v>28405.051940000001</v>
      </c>
    </row>
    <row r="39" spans="1:49" x14ac:dyDescent="0.25">
      <c r="A39" s="1" t="s">
        <v>49</v>
      </c>
      <c r="B39">
        <v>960.46300372131896</v>
      </c>
      <c r="C39">
        <v>975.88354791662596</v>
      </c>
      <c r="D39">
        <v>993.63997949999998</v>
      </c>
      <c r="E39">
        <v>1469.186146</v>
      </c>
      <c r="F39">
        <v>1900.711231</v>
      </c>
      <c r="G39">
        <v>2286.55359</v>
      </c>
      <c r="H39">
        <v>2751.0456119999999</v>
      </c>
      <c r="I39">
        <v>3138.4592889999999</v>
      </c>
      <c r="J39">
        <v>3397.0515369999998</v>
      </c>
      <c r="K39">
        <v>3647.4290249999999</v>
      </c>
      <c r="L39">
        <v>3888.548389</v>
      </c>
      <c r="M39">
        <v>4110.1555230000004</v>
      </c>
      <c r="N39">
        <v>4284.6519589999998</v>
      </c>
      <c r="O39">
        <v>4361.6506659999995</v>
      </c>
      <c r="P39">
        <v>4265.4973190000001</v>
      </c>
      <c r="Q39">
        <v>4264.2705619999997</v>
      </c>
      <c r="R39">
        <v>4259.0158590000001</v>
      </c>
      <c r="S39">
        <v>4379.2185570000001</v>
      </c>
      <c r="T39">
        <v>4441.6409899999999</v>
      </c>
      <c r="U39">
        <v>5588.3403539999999</v>
      </c>
      <c r="V39">
        <v>6706.7532529999999</v>
      </c>
      <c r="W39">
        <v>7813.2981739999996</v>
      </c>
      <c r="X39">
        <v>8864.7133880000001</v>
      </c>
      <c r="Y39">
        <v>9911.4191819999996</v>
      </c>
      <c r="Z39">
        <v>10939.77903</v>
      </c>
      <c r="AA39">
        <v>11949.535389999999</v>
      </c>
      <c r="AB39">
        <v>12941.90912</v>
      </c>
      <c r="AC39">
        <v>13878.340609999999</v>
      </c>
      <c r="AD39">
        <v>14787.70124</v>
      </c>
      <c r="AE39">
        <v>15668.105250000001</v>
      </c>
      <c r="AF39">
        <v>16523.627830000001</v>
      </c>
      <c r="AG39">
        <v>17355.807390000002</v>
      </c>
      <c r="AH39">
        <v>18096.889149999999</v>
      </c>
      <c r="AI39">
        <v>18811.507430000001</v>
      </c>
      <c r="AJ39">
        <v>19507.425749999999</v>
      </c>
      <c r="AK39">
        <v>20181.794839999999</v>
      </c>
      <c r="AL39">
        <v>20835.295549999999</v>
      </c>
      <c r="AM39">
        <v>21422.06566</v>
      </c>
      <c r="AN39">
        <v>21988.719089999999</v>
      </c>
      <c r="AO39">
        <v>22535.244630000001</v>
      </c>
      <c r="AP39">
        <v>23062.31781</v>
      </c>
      <c r="AQ39">
        <v>23568.223979999999</v>
      </c>
      <c r="AR39">
        <v>24025.344710000001</v>
      </c>
      <c r="AS39">
        <v>24463.701010000001</v>
      </c>
      <c r="AT39">
        <v>24883.95537</v>
      </c>
      <c r="AU39">
        <v>25285.389449999999</v>
      </c>
      <c r="AV39">
        <v>25672.818019999999</v>
      </c>
      <c r="AW39">
        <f>AV39-AU39*(1-AV56)</f>
        <v>1145.9902535000001</v>
      </c>
    </row>
    <row r="40" spans="1:49" x14ac:dyDescent="0.25">
      <c r="A40" s="1" t="s">
        <v>50</v>
      </c>
      <c r="B40">
        <v>513.41179916529904</v>
      </c>
      <c r="C40">
        <v>521.65479166864998</v>
      </c>
      <c r="D40">
        <v>530.89401799999996</v>
      </c>
      <c r="E40">
        <v>532.38029510000001</v>
      </c>
      <c r="F40">
        <v>518.58413889999997</v>
      </c>
      <c r="G40">
        <v>497.16966050000002</v>
      </c>
      <c r="H40">
        <v>501.28992959999999</v>
      </c>
      <c r="I40">
        <v>492.67709000000002</v>
      </c>
      <c r="J40">
        <v>470.66307280000001</v>
      </c>
      <c r="K40">
        <v>458.40554659999998</v>
      </c>
      <c r="L40">
        <v>454.67184689999999</v>
      </c>
      <c r="M40">
        <v>459.7926544</v>
      </c>
      <c r="N40">
        <v>653.9675148</v>
      </c>
      <c r="O40">
        <v>846.84493989999999</v>
      </c>
      <c r="P40">
        <v>1016.672656</v>
      </c>
      <c r="Q40">
        <v>1203.8480709999999</v>
      </c>
      <c r="R40">
        <v>1396.177475</v>
      </c>
      <c r="S40">
        <v>2030.723436</v>
      </c>
      <c r="T40">
        <v>2618.4197829999998</v>
      </c>
      <c r="U40">
        <v>3352.487811</v>
      </c>
      <c r="V40">
        <v>2318.6487229999998</v>
      </c>
      <c r="W40">
        <v>1425.4822770000001</v>
      </c>
      <c r="X40">
        <v>1558.91245</v>
      </c>
      <c r="Y40">
        <v>1707.0813109999999</v>
      </c>
      <c r="Z40">
        <v>1854.2480599999999</v>
      </c>
      <c r="AA40">
        <v>1997.788348</v>
      </c>
      <c r="AB40">
        <v>2138.2150929999998</v>
      </c>
      <c r="AC40">
        <v>2305.5051680000001</v>
      </c>
      <c r="AD40">
        <v>2468.4260199999999</v>
      </c>
      <c r="AE40">
        <v>2626.4912140000001</v>
      </c>
      <c r="AF40">
        <v>2780.8218569999999</v>
      </c>
      <c r="AG40">
        <v>2931.5178169999999</v>
      </c>
      <c r="AH40">
        <v>3084.3962139999999</v>
      </c>
      <c r="AI40">
        <v>3232.8662859999999</v>
      </c>
      <c r="AJ40">
        <v>3378.9263110000002</v>
      </c>
      <c r="AK40">
        <v>3522.8559009999999</v>
      </c>
      <c r="AL40">
        <v>3663.918169</v>
      </c>
      <c r="AM40">
        <v>3780.749609</v>
      </c>
      <c r="AN40">
        <v>3894.0076690000001</v>
      </c>
      <c r="AO40">
        <v>4003.764623</v>
      </c>
      <c r="AP40">
        <v>4110.1240360000002</v>
      </c>
      <c r="AQ40">
        <v>4212.491035</v>
      </c>
      <c r="AR40">
        <v>4301.0267729999996</v>
      </c>
      <c r="AS40">
        <v>4386.1726769999996</v>
      </c>
      <c r="AT40">
        <v>4468.0697989999999</v>
      </c>
      <c r="AU40">
        <v>4546.4625859999996</v>
      </c>
      <c r="AV40">
        <v>4622.8752839999997</v>
      </c>
    </row>
    <row r="41" spans="1:49" x14ac:dyDescent="0.25">
      <c r="A41" s="1" t="s">
        <v>51</v>
      </c>
      <c r="B41">
        <v>708.43596453488499</v>
      </c>
      <c r="C41">
        <v>719.81013309559796</v>
      </c>
      <c r="D41">
        <v>732.90635810000003</v>
      </c>
      <c r="E41">
        <v>750.49519199999997</v>
      </c>
      <c r="F41">
        <v>744.24885870000003</v>
      </c>
      <c r="G41">
        <v>727.25440530000003</v>
      </c>
      <c r="H41">
        <v>749.08542660000001</v>
      </c>
      <c r="I41">
        <v>752.19624120000003</v>
      </c>
      <c r="J41">
        <v>733.49600359999999</v>
      </c>
      <c r="K41">
        <v>727.52779750000002</v>
      </c>
      <c r="L41">
        <v>737.57865170000002</v>
      </c>
      <c r="M41">
        <v>762.81508640000004</v>
      </c>
      <c r="N41">
        <v>1076.4980909999999</v>
      </c>
      <c r="O41">
        <v>1386.9372000000001</v>
      </c>
      <c r="P41">
        <v>1654.605194</v>
      </c>
      <c r="Q41">
        <v>1949.136853</v>
      </c>
      <c r="R41">
        <v>2250.4236780000001</v>
      </c>
      <c r="S41">
        <v>2400.64525</v>
      </c>
      <c r="T41">
        <v>2468.1777510000002</v>
      </c>
      <c r="U41">
        <v>2565.8460690000002</v>
      </c>
      <c r="V41">
        <v>1919.418647</v>
      </c>
      <c r="W41">
        <v>1319.7655580000001</v>
      </c>
      <c r="X41">
        <v>1340.6379810000001</v>
      </c>
      <c r="Y41">
        <v>1377.314175</v>
      </c>
      <c r="Z41">
        <v>1417.5684349999999</v>
      </c>
      <c r="AA41">
        <v>1458.478519</v>
      </c>
      <c r="AB41">
        <v>1500.989789</v>
      </c>
      <c r="AC41">
        <v>1524.863529</v>
      </c>
      <c r="AD41">
        <v>1547.3770400000001</v>
      </c>
      <c r="AE41">
        <v>1567.9729769999999</v>
      </c>
      <c r="AF41">
        <v>1587.3124740000001</v>
      </c>
      <c r="AG41">
        <v>1605.83079</v>
      </c>
      <c r="AH41">
        <v>1623.3182730000001</v>
      </c>
      <c r="AI41">
        <v>1639.0216250000001</v>
      </c>
      <c r="AJ41">
        <v>1654.6530090000001</v>
      </c>
      <c r="AK41">
        <v>1669.481898</v>
      </c>
      <c r="AL41">
        <v>1683.513271</v>
      </c>
      <c r="AM41">
        <v>1685.538268</v>
      </c>
      <c r="AN41">
        <v>1686.811232</v>
      </c>
      <c r="AO41">
        <v>1687.228617</v>
      </c>
      <c r="AP41">
        <v>1686.8330599999999</v>
      </c>
      <c r="AQ41">
        <v>1685.111494</v>
      </c>
      <c r="AR41">
        <v>1684.7122099999999</v>
      </c>
      <c r="AS41">
        <v>1683.2406880000001</v>
      </c>
      <c r="AT41">
        <v>1680.7722550000001</v>
      </c>
      <c r="AU41">
        <v>1677.0772039999999</v>
      </c>
      <c r="AV41">
        <v>1673.155154</v>
      </c>
    </row>
    <row r="42" spans="1:49" x14ac:dyDescent="0.25">
      <c r="A42" s="1" t="s">
        <v>52</v>
      </c>
      <c r="B42">
        <v>544.92818004841297</v>
      </c>
      <c r="C42">
        <v>553.67717824110503</v>
      </c>
      <c r="D42">
        <v>563.75079319999998</v>
      </c>
      <c r="E42">
        <v>601.76017160000004</v>
      </c>
      <c r="F42">
        <v>623.52689959999998</v>
      </c>
      <c r="G42">
        <v>637.77003869999999</v>
      </c>
      <c r="H42">
        <v>684.41080260000001</v>
      </c>
      <c r="I42">
        <v>716.4434172</v>
      </c>
      <c r="J42">
        <v>730.8783363</v>
      </c>
      <c r="K42">
        <v>758.10750580000001</v>
      </c>
      <c r="L42">
        <v>801.70674099999997</v>
      </c>
      <c r="M42">
        <v>864.40388029999997</v>
      </c>
      <c r="N42">
        <v>1039.678226</v>
      </c>
      <c r="O42">
        <v>1206.458171</v>
      </c>
      <c r="P42">
        <v>1335.6395130000001</v>
      </c>
      <c r="Q42">
        <v>1491.9293990000001</v>
      </c>
      <c r="R42">
        <v>1655.81619</v>
      </c>
      <c r="S42">
        <v>1993.081727</v>
      </c>
      <c r="T42">
        <v>2259.260417</v>
      </c>
      <c r="U42">
        <v>2762.1494710000002</v>
      </c>
      <c r="V42">
        <v>2379.921726</v>
      </c>
      <c r="W42">
        <v>2036.2229030000001</v>
      </c>
      <c r="X42">
        <v>2261.8728040000001</v>
      </c>
      <c r="Y42">
        <v>2490.392707</v>
      </c>
      <c r="Z42">
        <v>2714.5515919999998</v>
      </c>
      <c r="AA42">
        <v>2933.2004619999998</v>
      </c>
      <c r="AB42">
        <v>3147.5128180000002</v>
      </c>
      <c r="AC42">
        <v>3320.458952</v>
      </c>
      <c r="AD42">
        <v>3485.7759329999999</v>
      </c>
      <c r="AE42">
        <v>3642.9209179999998</v>
      </c>
      <c r="AF42">
        <v>3792.9875219999999</v>
      </c>
      <c r="AG42">
        <v>3936.5799870000001</v>
      </c>
      <c r="AH42">
        <v>4073.0938620000002</v>
      </c>
      <c r="AI42">
        <v>4202.3567480000002</v>
      </c>
      <c r="AJ42">
        <v>4326.3326280000001</v>
      </c>
      <c r="AK42">
        <v>4444.4528829999999</v>
      </c>
      <c r="AL42">
        <v>4556.6939149999998</v>
      </c>
      <c r="AM42">
        <v>4651.110584</v>
      </c>
      <c r="AN42">
        <v>4740.1653459999998</v>
      </c>
      <c r="AO42">
        <v>4823.4684440000001</v>
      </c>
      <c r="AP42">
        <v>4901.2742440000002</v>
      </c>
      <c r="AQ42">
        <v>4973.0298000000003</v>
      </c>
      <c r="AR42">
        <v>5041.5518910000001</v>
      </c>
      <c r="AS42">
        <v>5104.7609160000002</v>
      </c>
      <c r="AT42">
        <v>5162.7914520000004</v>
      </c>
      <c r="AU42">
        <v>5215.2467150000002</v>
      </c>
      <c r="AV42">
        <v>5263.8113309999999</v>
      </c>
    </row>
    <row r="43" spans="1:49" x14ac:dyDescent="0.25">
      <c r="A43" s="1" t="s">
        <v>53</v>
      </c>
      <c r="B43">
        <v>1343.8252364458999</v>
      </c>
      <c r="C43">
        <v>1365.40078528963</v>
      </c>
      <c r="D43">
        <v>1390.2435860000001</v>
      </c>
      <c r="E43">
        <v>1802.2143659999999</v>
      </c>
      <c r="F43">
        <v>2286.6941929999998</v>
      </c>
      <c r="G43">
        <v>2881.0850409999998</v>
      </c>
      <c r="H43">
        <v>3783.885123</v>
      </c>
      <c r="I43">
        <v>4876.3254589999997</v>
      </c>
      <c r="J43">
        <v>6151.9186570000002</v>
      </c>
      <c r="K43">
        <v>7879.1102460000002</v>
      </c>
      <c r="L43">
        <v>10258.13544</v>
      </c>
      <c r="M43">
        <v>13576.15718</v>
      </c>
      <c r="N43">
        <v>13440.35943</v>
      </c>
      <c r="O43">
        <v>12873.681500000001</v>
      </c>
      <c r="P43">
        <v>11625.06385</v>
      </c>
      <c r="Q43">
        <v>10674.977000000001</v>
      </c>
      <c r="R43">
        <v>9720.0917730000001</v>
      </c>
      <c r="S43">
        <v>11820.60946</v>
      </c>
      <c r="T43">
        <v>13567.63747</v>
      </c>
      <c r="U43">
        <v>15427.601629999999</v>
      </c>
      <c r="V43">
        <v>13250.196029999999</v>
      </c>
      <c r="W43">
        <v>11216.320100000001</v>
      </c>
      <c r="X43">
        <v>11843.026690000001</v>
      </c>
      <c r="Y43">
        <v>12567.005160000001</v>
      </c>
      <c r="Z43">
        <v>13330.38715</v>
      </c>
      <c r="AA43">
        <v>14150.25614</v>
      </c>
      <c r="AB43">
        <v>15008.787469999999</v>
      </c>
      <c r="AC43">
        <v>15600.80025</v>
      </c>
      <c r="AD43">
        <v>16191.95362</v>
      </c>
      <c r="AE43">
        <v>16775.748060000002</v>
      </c>
      <c r="AF43">
        <v>17381.554919999999</v>
      </c>
      <c r="AG43">
        <v>17992.46689</v>
      </c>
      <c r="AH43">
        <v>18370.153269999999</v>
      </c>
      <c r="AI43">
        <v>18738.008000000002</v>
      </c>
      <c r="AJ43">
        <v>19119.097399999999</v>
      </c>
      <c r="AK43">
        <v>19514.20305</v>
      </c>
      <c r="AL43">
        <v>19913.14183</v>
      </c>
      <c r="AM43">
        <v>20139.48907</v>
      </c>
      <c r="AN43">
        <v>20363.68059</v>
      </c>
      <c r="AO43">
        <v>20586.09145</v>
      </c>
      <c r="AP43">
        <v>20806.763500000001</v>
      </c>
      <c r="AQ43">
        <v>21018.457849999999</v>
      </c>
      <c r="AR43">
        <v>21362.660449999999</v>
      </c>
      <c r="AS43">
        <v>21699.741859999998</v>
      </c>
      <c r="AT43">
        <v>22030.99972</v>
      </c>
      <c r="AU43">
        <v>22353.46774</v>
      </c>
      <c r="AV43">
        <v>22681.03933</v>
      </c>
    </row>
    <row r="44" spans="1:49" x14ac:dyDescent="0.25">
      <c r="A44" s="1" t="s">
        <v>86</v>
      </c>
      <c r="B44">
        <v>21019.140656882199</v>
      </c>
      <c r="C44">
        <v>21356.6097589622</v>
      </c>
      <c r="D44">
        <v>21747.040710000001</v>
      </c>
      <c r="E44">
        <v>21653.762040000001</v>
      </c>
      <c r="F44">
        <v>20944.12081</v>
      </c>
      <c r="G44">
        <v>19946.401720000002</v>
      </c>
      <c r="H44">
        <v>20180.563300000002</v>
      </c>
      <c r="I44">
        <v>19942.037329999999</v>
      </c>
      <c r="J44">
        <v>19084.436089999999</v>
      </c>
      <c r="K44">
        <v>18594.22639</v>
      </c>
      <c r="L44">
        <v>18496.44354</v>
      </c>
      <c r="M44">
        <v>18760.049930000001</v>
      </c>
      <c r="N44">
        <v>19094.476460000002</v>
      </c>
      <c r="O44">
        <v>19001.218150000001</v>
      </c>
      <c r="P44">
        <v>18063.596239999999</v>
      </c>
      <c r="Q44">
        <v>17540.148440000001</v>
      </c>
      <c r="R44">
        <v>16977.266299999999</v>
      </c>
      <c r="S44">
        <v>16207.835999999999</v>
      </c>
      <c r="T44">
        <v>15490.77853</v>
      </c>
      <c r="U44">
        <v>14800.51894</v>
      </c>
      <c r="V44">
        <v>15618.07127</v>
      </c>
      <c r="W44">
        <v>16472.549139999999</v>
      </c>
      <c r="X44">
        <v>16445.29839</v>
      </c>
      <c r="Y44">
        <v>16530.4202</v>
      </c>
      <c r="Z44">
        <v>16661.255710000001</v>
      </c>
      <c r="AA44">
        <v>16818.231589999999</v>
      </c>
      <c r="AB44">
        <v>17006.301329999998</v>
      </c>
      <c r="AC44">
        <v>17114.80719</v>
      </c>
      <c r="AD44">
        <v>17229.79566</v>
      </c>
      <c r="AE44">
        <v>17341.691999999999</v>
      </c>
      <c r="AF44">
        <v>17457.388340000001</v>
      </c>
      <c r="AG44">
        <v>17583.796770000001</v>
      </c>
      <c r="AH44">
        <v>17753.280589999998</v>
      </c>
      <c r="AI44">
        <v>17918.52075</v>
      </c>
      <c r="AJ44">
        <v>18091.22351</v>
      </c>
      <c r="AK44">
        <v>18267.88552</v>
      </c>
      <c r="AL44">
        <v>18447.76973</v>
      </c>
      <c r="AM44">
        <v>18438.622200000002</v>
      </c>
      <c r="AN44">
        <v>18430.08237</v>
      </c>
      <c r="AO44">
        <v>18420.436989999998</v>
      </c>
      <c r="AP44">
        <v>18413.769039999999</v>
      </c>
      <c r="AQ44">
        <v>18404.379939999999</v>
      </c>
      <c r="AR44">
        <v>18374.011770000001</v>
      </c>
      <c r="AS44">
        <v>18342.97394</v>
      </c>
      <c r="AT44">
        <v>18312.355060000002</v>
      </c>
      <c r="AU44">
        <v>18281.443429999999</v>
      </c>
      <c r="AV44">
        <v>18255.185850000002</v>
      </c>
    </row>
    <row r="45" spans="1:49" x14ac:dyDescent="0.25">
      <c r="A45" s="1" t="s">
        <v>87</v>
      </c>
      <c r="B45">
        <v>939.40293438579897</v>
      </c>
      <c r="C45">
        <v>954.485352355852</v>
      </c>
      <c r="D45">
        <v>972.0132423</v>
      </c>
      <c r="E45">
        <v>1565.758051</v>
      </c>
      <c r="F45">
        <v>2084.3907479999998</v>
      </c>
      <c r="G45">
        <v>2527.8964150000002</v>
      </c>
      <c r="H45">
        <v>3077.238053</v>
      </c>
      <c r="I45">
        <v>3520.413348</v>
      </c>
      <c r="J45">
        <v>3782.5177039999999</v>
      </c>
      <c r="K45">
        <v>4030.3289049999998</v>
      </c>
      <c r="L45">
        <v>4272.0009110000001</v>
      </c>
      <c r="M45">
        <v>4484.5822770000004</v>
      </c>
      <c r="N45">
        <v>4633.1433999999999</v>
      </c>
      <c r="O45">
        <v>4662.3324350000003</v>
      </c>
      <c r="P45">
        <v>4467.5705120000002</v>
      </c>
      <c r="Q45">
        <v>4373.692446</v>
      </c>
      <c r="R45">
        <v>4277.7911809999996</v>
      </c>
      <c r="S45">
        <v>4334.2243289999997</v>
      </c>
      <c r="T45">
        <v>4409.0035449999996</v>
      </c>
      <c r="U45">
        <v>4491.3156250000002</v>
      </c>
      <c r="V45">
        <v>4570.6105969999999</v>
      </c>
      <c r="W45">
        <v>4669.1358440000004</v>
      </c>
      <c r="X45">
        <v>4760.1834429999999</v>
      </c>
      <c r="Y45">
        <v>4885.743238</v>
      </c>
      <c r="Z45">
        <v>5027.872198</v>
      </c>
      <c r="AA45">
        <v>5183.5850479999999</v>
      </c>
      <c r="AB45">
        <v>5352.9830080000002</v>
      </c>
      <c r="AC45">
        <v>5502.2480580000001</v>
      </c>
      <c r="AD45">
        <v>5654.9978609999998</v>
      </c>
      <c r="AE45">
        <v>5808.9698710000002</v>
      </c>
      <c r="AF45">
        <v>5967.9968129999997</v>
      </c>
      <c r="AG45">
        <v>6133.1484739999996</v>
      </c>
      <c r="AH45">
        <v>6226.6733750000003</v>
      </c>
      <c r="AI45">
        <v>6318.8459979999998</v>
      </c>
      <c r="AJ45">
        <v>6414.2439919999997</v>
      </c>
      <c r="AK45">
        <v>6511.8057410000001</v>
      </c>
      <c r="AL45">
        <v>6611.3144469999997</v>
      </c>
      <c r="AM45">
        <v>6659.9758419999998</v>
      </c>
      <c r="AN45">
        <v>6708.1242089999996</v>
      </c>
      <c r="AO45">
        <v>6755.9810809999999</v>
      </c>
      <c r="AP45">
        <v>6804.9445889999997</v>
      </c>
      <c r="AQ45">
        <v>6853.0010240000001</v>
      </c>
      <c r="AR45">
        <v>6864.9719610000002</v>
      </c>
      <c r="AS45">
        <v>6877.0008639999996</v>
      </c>
      <c r="AT45">
        <v>6889.1296620000003</v>
      </c>
      <c r="AU45">
        <v>6901.1424999999999</v>
      </c>
      <c r="AV45">
        <v>6915.2062100000003</v>
      </c>
    </row>
    <row r="46" spans="1:49" x14ac:dyDescent="0.25">
      <c r="A46" s="1" t="s">
        <v>88</v>
      </c>
      <c r="B46">
        <v>117.48407948162399</v>
      </c>
      <c r="C46">
        <v>119.37032437900299</v>
      </c>
      <c r="D46">
        <v>121.5037904</v>
      </c>
      <c r="E46">
        <v>117.34391309999999</v>
      </c>
      <c r="F46">
        <v>109.9239419</v>
      </c>
      <c r="G46">
        <v>101.704241</v>
      </c>
      <c r="H46">
        <v>99.697664799999998</v>
      </c>
      <c r="I46">
        <v>95.459338840000001</v>
      </c>
      <c r="J46">
        <v>88.523836610000004</v>
      </c>
      <c r="K46">
        <v>83.607086879999997</v>
      </c>
      <c r="L46">
        <v>80.710506080000002</v>
      </c>
      <c r="M46">
        <v>79.437624839999998</v>
      </c>
      <c r="N46">
        <v>119.6740732</v>
      </c>
      <c r="O46">
        <v>157.48102249999999</v>
      </c>
      <c r="P46">
        <v>185.65320159999999</v>
      </c>
      <c r="Q46">
        <v>214.89783639999999</v>
      </c>
      <c r="R46">
        <v>241.78555410000001</v>
      </c>
      <c r="S46">
        <v>369.27517879999999</v>
      </c>
      <c r="T46">
        <v>498.43833510000002</v>
      </c>
      <c r="U46">
        <v>629.33437819999995</v>
      </c>
      <c r="V46">
        <v>463.14214920000001</v>
      </c>
      <c r="W46">
        <v>304.4687965</v>
      </c>
      <c r="X46">
        <v>306.40892459999998</v>
      </c>
      <c r="Y46">
        <v>310.48548399999999</v>
      </c>
      <c r="Z46">
        <v>315.48231550000003</v>
      </c>
      <c r="AA46">
        <v>321.07541329999998</v>
      </c>
      <c r="AB46">
        <v>327.34756549999997</v>
      </c>
      <c r="AC46">
        <v>344.46990110000002</v>
      </c>
      <c r="AD46">
        <v>362.00587130000002</v>
      </c>
      <c r="AE46">
        <v>379.80778099999998</v>
      </c>
      <c r="AF46">
        <v>398.20913180000002</v>
      </c>
      <c r="AG46">
        <v>417.2128538</v>
      </c>
      <c r="AH46">
        <v>438.79165010000003</v>
      </c>
      <c r="AI46">
        <v>460.59691459999999</v>
      </c>
      <c r="AJ46">
        <v>482.95860160000001</v>
      </c>
      <c r="AK46">
        <v>506.1419401</v>
      </c>
      <c r="AL46">
        <v>529.82224389999999</v>
      </c>
      <c r="AM46">
        <v>546.84452320000003</v>
      </c>
      <c r="AN46">
        <v>563.8888283</v>
      </c>
      <c r="AO46">
        <v>580.9663607</v>
      </c>
      <c r="AP46">
        <v>598.19783640000003</v>
      </c>
      <c r="AQ46">
        <v>615.40743259999999</v>
      </c>
      <c r="AR46">
        <v>629.07925850000004</v>
      </c>
      <c r="AS46">
        <v>642.83988199999999</v>
      </c>
      <c r="AT46">
        <v>656.69512039999995</v>
      </c>
      <c r="AU46">
        <v>670.62494249999997</v>
      </c>
      <c r="AV46">
        <v>684.84368089999998</v>
      </c>
    </row>
    <row r="47" spans="1:49" x14ac:dyDescent="0.25">
      <c r="A47" s="1" t="s">
        <v>89</v>
      </c>
      <c r="B47">
        <v>347.57908572274499</v>
      </c>
      <c r="C47">
        <v>353.15958037166502</v>
      </c>
      <c r="D47">
        <v>359.64489959999997</v>
      </c>
      <c r="E47">
        <v>354.1438455</v>
      </c>
      <c r="F47">
        <v>338.23264030000001</v>
      </c>
      <c r="G47">
        <v>319.08759350000003</v>
      </c>
      <c r="H47">
        <v>318.88238680000001</v>
      </c>
      <c r="I47">
        <v>311.2271897</v>
      </c>
      <c r="J47">
        <v>294.16151359999998</v>
      </c>
      <c r="K47">
        <v>283.16552430000002</v>
      </c>
      <c r="L47">
        <v>278.58931960000001</v>
      </c>
      <c r="M47">
        <v>279.46138930000001</v>
      </c>
      <c r="N47">
        <v>412.41304070000001</v>
      </c>
      <c r="O47">
        <v>536.8277008</v>
      </c>
      <c r="P47">
        <v>628.58892979999996</v>
      </c>
      <c r="Q47">
        <v>724.31342080000002</v>
      </c>
      <c r="R47">
        <v>812.30632560000004</v>
      </c>
      <c r="S47">
        <v>835.24105799999995</v>
      </c>
      <c r="T47">
        <v>861.5343858</v>
      </c>
      <c r="U47">
        <v>889.42267930000003</v>
      </c>
      <c r="V47">
        <v>705.19340360000001</v>
      </c>
      <c r="W47">
        <v>530.14880819999996</v>
      </c>
      <c r="X47">
        <v>534.31096849999994</v>
      </c>
      <c r="Y47">
        <v>542.23015529999998</v>
      </c>
      <c r="Z47">
        <v>551.77291769999999</v>
      </c>
      <c r="AA47">
        <v>562.17336809999995</v>
      </c>
      <c r="AB47">
        <v>573.78330110000002</v>
      </c>
      <c r="AC47">
        <v>578.65404369999999</v>
      </c>
      <c r="AD47">
        <v>583.66604480000001</v>
      </c>
      <c r="AE47">
        <v>588.55880090000005</v>
      </c>
      <c r="AF47">
        <v>593.61072830000001</v>
      </c>
      <c r="AG47">
        <v>599.01739929999997</v>
      </c>
      <c r="AH47">
        <v>604.75099509999995</v>
      </c>
      <c r="AI47">
        <v>610.28897419999998</v>
      </c>
      <c r="AJ47">
        <v>616.07083390000003</v>
      </c>
      <c r="AK47">
        <v>622.00214459999995</v>
      </c>
      <c r="AL47">
        <v>628.04278020000004</v>
      </c>
      <c r="AM47">
        <v>629.15240770000003</v>
      </c>
      <c r="AN47">
        <v>630.21987349999995</v>
      </c>
      <c r="AO47">
        <v>631.24230790000001</v>
      </c>
      <c r="AP47">
        <v>632.35250610000003</v>
      </c>
      <c r="AQ47">
        <v>633.35932590000004</v>
      </c>
      <c r="AR47">
        <v>635.45797400000004</v>
      </c>
      <c r="AS47">
        <v>637.56062039999995</v>
      </c>
      <c r="AT47">
        <v>639.67993379999996</v>
      </c>
      <c r="AU47">
        <v>641.79585629999997</v>
      </c>
      <c r="AV47">
        <v>644.11006239999995</v>
      </c>
    </row>
    <row r="48" spans="1:49" x14ac:dyDescent="0.25">
      <c r="A48" s="1" t="s">
        <v>90</v>
      </c>
      <c r="B48">
        <v>117.425366798224</v>
      </c>
      <c r="C48">
        <v>119.310669044481</v>
      </c>
      <c r="D48">
        <v>121.5016553</v>
      </c>
      <c r="E48">
        <v>124.2007019</v>
      </c>
      <c r="F48">
        <v>123.1327184</v>
      </c>
      <c r="G48">
        <v>120.6127066</v>
      </c>
      <c r="H48">
        <v>125.1249588</v>
      </c>
      <c r="I48">
        <v>126.75177239999999</v>
      </c>
      <c r="J48">
        <v>124.3333198</v>
      </c>
      <c r="K48">
        <v>124.2271212</v>
      </c>
      <c r="L48">
        <v>126.8528673</v>
      </c>
      <c r="M48">
        <v>132.09721709999999</v>
      </c>
      <c r="N48">
        <v>155.89314329999999</v>
      </c>
      <c r="O48">
        <v>176.06498930000001</v>
      </c>
      <c r="P48">
        <v>186.7613513</v>
      </c>
      <c r="Q48">
        <v>200.0365271</v>
      </c>
      <c r="R48">
        <v>212.02765260000001</v>
      </c>
      <c r="S48">
        <v>248.3343376</v>
      </c>
      <c r="T48">
        <v>285.66029259999999</v>
      </c>
      <c r="U48">
        <v>323.72384290000002</v>
      </c>
      <c r="V48">
        <v>259.1053488</v>
      </c>
      <c r="W48">
        <v>197.76685979999999</v>
      </c>
      <c r="X48">
        <v>201.3573136</v>
      </c>
      <c r="Y48">
        <v>206.40900769999999</v>
      </c>
      <c r="Z48">
        <v>212.14693539999999</v>
      </c>
      <c r="AA48">
        <v>218.3627056</v>
      </c>
      <c r="AB48">
        <v>225.1383696</v>
      </c>
      <c r="AC48">
        <v>227.23262579999999</v>
      </c>
      <c r="AD48">
        <v>229.38401640000001</v>
      </c>
      <c r="AE48">
        <v>231.49201830000001</v>
      </c>
      <c r="AF48">
        <v>233.67936209999999</v>
      </c>
      <c r="AG48">
        <v>236.01045769999999</v>
      </c>
      <c r="AH48">
        <v>238.42403820000001</v>
      </c>
      <c r="AI48">
        <v>240.76320960000001</v>
      </c>
      <c r="AJ48">
        <v>243.20157879999999</v>
      </c>
      <c r="AK48">
        <v>245.72339199999999</v>
      </c>
      <c r="AL48">
        <v>248.29247319999999</v>
      </c>
      <c r="AM48">
        <v>248.97604799999999</v>
      </c>
      <c r="AN48">
        <v>249.64232390000001</v>
      </c>
      <c r="AO48">
        <v>250.29202179999999</v>
      </c>
      <c r="AP48">
        <v>250.97762599999999</v>
      </c>
      <c r="AQ48">
        <v>251.62358660000001</v>
      </c>
      <c r="AR48">
        <v>252.55674819999999</v>
      </c>
      <c r="AS48">
        <v>253.4928017</v>
      </c>
      <c r="AT48">
        <v>254.4360968</v>
      </c>
      <c r="AU48">
        <v>255.3786643</v>
      </c>
      <c r="AV48">
        <v>256.40079370000001</v>
      </c>
    </row>
    <row r="49" spans="1:48" x14ac:dyDescent="0.25">
      <c r="A49" s="1" t="s">
        <v>91</v>
      </c>
      <c r="B49">
        <v>234.850733596449</v>
      </c>
      <c r="C49">
        <v>238.621338088963</v>
      </c>
      <c r="D49">
        <v>243.00331059999999</v>
      </c>
      <c r="E49">
        <v>315.76437090000002</v>
      </c>
      <c r="F49">
        <v>398.61378180000003</v>
      </c>
      <c r="G49">
        <v>498.51118869999999</v>
      </c>
      <c r="H49">
        <v>660.35453819999998</v>
      </c>
      <c r="I49">
        <v>854.48925650000001</v>
      </c>
      <c r="J49">
        <v>1071.2696269999999</v>
      </c>
      <c r="K49">
        <v>1369.365515</v>
      </c>
      <c r="L49">
        <v>1789.6263280000001</v>
      </c>
      <c r="M49">
        <v>2386.9745200000002</v>
      </c>
      <c r="N49">
        <v>2272.4800580000001</v>
      </c>
      <c r="O49">
        <v>2096.4391049999999</v>
      </c>
      <c r="P49">
        <v>1830.696625</v>
      </c>
      <c r="Q49">
        <v>1622.1685170000001</v>
      </c>
      <c r="R49">
        <v>1424.3371790000001</v>
      </c>
      <c r="S49">
        <v>1689.2619030000001</v>
      </c>
      <c r="T49">
        <v>1961.792465</v>
      </c>
      <c r="U49">
        <v>2239.374002</v>
      </c>
      <c r="V49">
        <v>1964.221266</v>
      </c>
      <c r="W49">
        <v>1707.2937979999999</v>
      </c>
      <c r="X49">
        <v>1807.8835349999999</v>
      </c>
      <c r="Y49">
        <v>1923.0930900000001</v>
      </c>
      <c r="Z49">
        <v>2047.002549</v>
      </c>
      <c r="AA49">
        <v>2182.8825999999999</v>
      </c>
      <c r="AB49">
        <v>2327.4239729999999</v>
      </c>
      <c r="AC49">
        <v>2432.3248359999998</v>
      </c>
      <c r="AD49">
        <v>2539.676993</v>
      </c>
      <c r="AE49">
        <v>2648.494436</v>
      </c>
      <c r="AF49">
        <v>2763.942403</v>
      </c>
      <c r="AG49">
        <v>2883.2463640000001</v>
      </c>
      <c r="AH49">
        <v>2964.8377500000001</v>
      </c>
      <c r="AI49">
        <v>3046.5711630000001</v>
      </c>
      <c r="AJ49">
        <v>3130.648846</v>
      </c>
      <c r="AK49">
        <v>3218.5683600000002</v>
      </c>
      <c r="AL49">
        <v>3308.3317670000001</v>
      </c>
      <c r="AM49">
        <v>3369.5641300000002</v>
      </c>
      <c r="AN49">
        <v>3430.6864209999999</v>
      </c>
      <c r="AO49">
        <v>3491.8247660000002</v>
      </c>
      <c r="AP49">
        <v>3553.7001479999999</v>
      </c>
      <c r="AQ49">
        <v>3615.2691730000001</v>
      </c>
      <c r="AR49">
        <v>3703.2147020000002</v>
      </c>
      <c r="AS49">
        <v>3791.747136</v>
      </c>
      <c r="AT49">
        <v>3880.885996</v>
      </c>
      <c r="AU49">
        <v>3970.5133219999998</v>
      </c>
      <c r="AV49">
        <v>4061.9004490000002</v>
      </c>
    </row>
    <row r="50" spans="1:48" x14ac:dyDescent="0.25">
      <c r="A50" s="1" t="s">
        <v>17</v>
      </c>
      <c r="B50">
        <v>21019.140656882199</v>
      </c>
      <c r="C50">
        <v>21356.6097589622</v>
      </c>
      <c r="D50">
        <v>21747.040710000001</v>
      </c>
      <c r="E50">
        <v>21653.762040000001</v>
      </c>
      <c r="F50">
        <v>20944.12081</v>
      </c>
      <c r="G50">
        <v>19946.401720000002</v>
      </c>
      <c r="H50">
        <v>20180.563300000002</v>
      </c>
      <c r="I50">
        <v>19942.037329999999</v>
      </c>
      <c r="J50">
        <v>19084.436089999999</v>
      </c>
      <c r="K50">
        <v>18594.22639</v>
      </c>
      <c r="L50">
        <v>18496.44354</v>
      </c>
      <c r="M50">
        <v>18760.049930000001</v>
      </c>
      <c r="N50">
        <v>19094.476460000002</v>
      </c>
      <c r="O50">
        <v>19001.218150000001</v>
      </c>
      <c r="P50">
        <v>18063.596239999999</v>
      </c>
      <c r="Q50">
        <v>17540.148440000001</v>
      </c>
      <c r="R50">
        <v>16977.266299999999</v>
      </c>
      <c r="S50">
        <v>16207.835999999999</v>
      </c>
      <c r="T50">
        <v>15490.77853</v>
      </c>
      <c r="U50">
        <v>14815.237929999999</v>
      </c>
      <c r="V50">
        <v>15568.16828</v>
      </c>
      <c r="W50">
        <v>16315.09096</v>
      </c>
      <c r="X50">
        <v>16186.847669999999</v>
      </c>
      <c r="Y50">
        <v>16159.783219999999</v>
      </c>
      <c r="Z50">
        <v>16173.73071</v>
      </c>
      <c r="AA50">
        <v>16208.8336</v>
      </c>
      <c r="AB50">
        <v>16278.12102</v>
      </c>
      <c r="AC50">
        <v>16259.96811</v>
      </c>
      <c r="AD50">
        <v>16248.095719999999</v>
      </c>
      <c r="AE50">
        <v>16234.25596</v>
      </c>
      <c r="AF50">
        <v>16225.688319999999</v>
      </c>
      <c r="AG50">
        <v>16228.07749</v>
      </c>
      <c r="AH50">
        <v>16267.43837</v>
      </c>
      <c r="AI50">
        <v>16304.959779999999</v>
      </c>
      <c r="AJ50">
        <v>16351.510130000001</v>
      </c>
      <c r="AK50">
        <v>16403.114519999999</v>
      </c>
      <c r="AL50">
        <v>16458.935010000001</v>
      </c>
      <c r="AM50">
        <v>16346.6217</v>
      </c>
      <c r="AN50">
        <v>16241.33231</v>
      </c>
      <c r="AO50">
        <v>16137.96803</v>
      </c>
      <c r="AP50">
        <v>16040.019770000001</v>
      </c>
      <c r="AQ50">
        <v>15941.96069</v>
      </c>
      <c r="AR50">
        <v>15828.22645</v>
      </c>
      <c r="AS50">
        <v>15716.55479</v>
      </c>
      <c r="AT50">
        <v>15608.32654</v>
      </c>
      <c r="AU50">
        <v>15500.47098</v>
      </c>
      <c r="AV50">
        <v>15400.85867</v>
      </c>
    </row>
    <row r="51" spans="1:48" x14ac:dyDescent="0.25">
      <c r="A51" s="1" t="s">
        <v>54</v>
      </c>
      <c r="B51">
        <v>939.40293438579897</v>
      </c>
      <c r="C51">
        <v>954.485352355852</v>
      </c>
      <c r="D51">
        <v>972.0132423</v>
      </c>
      <c r="E51">
        <v>1565.758051</v>
      </c>
      <c r="F51">
        <v>2084.3907479999998</v>
      </c>
      <c r="G51">
        <v>2527.8964150000002</v>
      </c>
      <c r="H51">
        <v>3077.238053</v>
      </c>
      <c r="I51">
        <v>3520.413348</v>
      </c>
      <c r="J51">
        <v>3782.5177039999999</v>
      </c>
      <c r="K51">
        <v>4030.3289049999998</v>
      </c>
      <c r="L51">
        <v>4272.0009110000001</v>
      </c>
      <c r="M51">
        <v>4484.5822770000004</v>
      </c>
      <c r="N51">
        <v>4633.1433999999999</v>
      </c>
      <c r="O51">
        <v>4662.3324350000003</v>
      </c>
      <c r="P51">
        <v>4467.5705120000002</v>
      </c>
      <c r="Q51">
        <v>4373.692446</v>
      </c>
      <c r="R51">
        <v>4277.7911809999996</v>
      </c>
      <c r="S51">
        <v>4334.2243289999997</v>
      </c>
      <c r="T51">
        <v>4409.0035449999996</v>
      </c>
      <c r="U51">
        <v>4657.0248039999997</v>
      </c>
      <c r="V51">
        <v>4876.0571419999997</v>
      </c>
      <c r="W51">
        <v>5104.362427</v>
      </c>
      <c r="X51">
        <v>5318.8197710000004</v>
      </c>
      <c r="Y51">
        <v>5562.5064640000001</v>
      </c>
      <c r="Z51">
        <v>5818.7124450000001</v>
      </c>
      <c r="AA51">
        <v>6083.8483290000004</v>
      </c>
      <c r="AB51">
        <v>6360.827929</v>
      </c>
      <c r="AC51">
        <v>6616.9651459999995</v>
      </c>
      <c r="AD51">
        <v>6874.1827890000004</v>
      </c>
      <c r="AE51">
        <v>7131.085701</v>
      </c>
      <c r="AF51">
        <v>7391.4268389999997</v>
      </c>
      <c r="AG51">
        <v>7655.9059770000003</v>
      </c>
      <c r="AH51">
        <v>7850.3494479999999</v>
      </c>
      <c r="AI51">
        <v>8042.4953949999999</v>
      </c>
      <c r="AJ51">
        <v>8237.67915299999</v>
      </c>
      <c r="AK51">
        <v>8434.9251820000009</v>
      </c>
      <c r="AL51">
        <v>8634.0396209999999</v>
      </c>
      <c r="AM51">
        <v>8769.0467119999994</v>
      </c>
      <c r="AN51">
        <v>8902.8425540000007</v>
      </c>
      <c r="AO51">
        <v>9035.7375250000005</v>
      </c>
      <c r="AP51">
        <v>9168.9982760000003</v>
      </c>
      <c r="AQ51">
        <v>9300.56973499999</v>
      </c>
      <c r="AR51">
        <v>9396.4416149999997</v>
      </c>
      <c r="AS51">
        <v>9491.4648309999902</v>
      </c>
      <c r="AT51">
        <v>9586.1120310000006</v>
      </c>
      <c r="AU51">
        <v>9679.0414500000006</v>
      </c>
      <c r="AV51">
        <v>9773.9285560000008</v>
      </c>
    </row>
    <row r="52" spans="1:48" x14ac:dyDescent="0.25">
      <c r="A52" s="1" t="s">
        <v>55</v>
      </c>
      <c r="B52">
        <v>117.48407948162399</v>
      </c>
      <c r="C52">
        <v>119.37032437900299</v>
      </c>
      <c r="D52">
        <v>121.5037904</v>
      </c>
      <c r="E52">
        <v>117.34391309999999</v>
      </c>
      <c r="F52">
        <v>109.9239419</v>
      </c>
      <c r="G52">
        <v>101.704241</v>
      </c>
      <c r="H52">
        <v>99.697664799999998</v>
      </c>
      <c r="I52">
        <v>95.459338840000001</v>
      </c>
      <c r="J52">
        <v>88.523836610000004</v>
      </c>
      <c r="K52">
        <v>83.607086879999997</v>
      </c>
      <c r="L52">
        <v>80.710506080000002</v>
      </c>
      <c r="M52">
        <v>79.437624839999998</v>
      </c>
      <c r="N52">
        <v>119.6740732</v>
      </c>
      <c r="O52">
        <v>157.48102249999999</v>
      </c>
      <c r="P52">
        <v>185.65320159999999</v>
      </c>
      <c r="Q52">
        <v>214.89783639999999</v>
      </c>
      <c r="R52">
        <v>241.78555410000001</v>
      </c>
      <c r="S52">
        <v>369.27517879999999</v>
      </c>
      <c r="T52">
        <v>498.43833510000002</v>
      </c>
      <c r="U52">
        <v>643.01921330000005</v>
      </c>
      <c r="V52">
        <v>487.57551169999999</v>
      </c>
      <c r="W52">
        <v>340.65908039999999</v>
      </c>
      <c r="X52">
        <v>353.25699029999998</v>
      </c>
      <c r="Y52">
        <v>367.7109375</v>
      </c>
      <c r="Z52">
        <v>382.88138049999998</v>
      </c>
      <c r="AA52">
        <v>398.41281420000001</v>
      </c>
      <c r="AB52">
        <v>414.56130819999998</v>
      </c>
      <c r="AC52">
        <v>440.96435600000001</v>
      </c>
      <c r="AD52">
        <v>467.488044</v>
      </c>
      <c r="AE52">
        <v>494.04401660000002</v>
      </c>
      <c r="AF52">
        <v>520.95218390000002</v>
      </c>
      <c r="AG52">
        <v>548.19524639999997</v>
      </c>
      <c r="AH52">
        <v>577.2468384</v>
      </c>
      <c r="AI52">
        <v>606.18539150000004</v>
      </c>
      <c r="AJ52">
        <v>635.40913269999999</v>
      </c>
      <c r="AK52">
        <v>665.15463810000006</v>
      </c>
      <c r="AL52">
        <v>695.13333090000003</v>
      </c>
      <c r="AM52">
        <v>717.49988380000002</v>
      </c>
      <c r="AN52">
        <v>739.64968869999996</v>
      </c>
      <c r="AO52">
        <v>761.60771439999996</v>
      </c>
      <c r="AP52">
        <v>783.48709180000003</v>
      </c>
      <c r="AQ52">
        <v>805.11256060000005</v>
      </c>
      <c r="AR52">
        <v>823.17302199999995</v>
      </c>
      <c r="AS52">
        <v>841.08852360000003</v>
      </c>
      <c r="AT52">
        <v>858.90507290000005</v>
      </c>
      <c r="AU52">
        <v>876.49695850000001</v>
      </c>
      <c r="AV52">
        <v>894.22283359999994</v>
      </c>
    </row>
    <row r="53" spans="1:48" x14ac:dyDescent="0.25">
      <c r="A53" s="1" t="s">
        <v>56</v>
      </c>
      <c r="B53">
        <v>347.57908572274499</v>
      </c>
      <c r="C53">
        <v>353.15958037166502</v>
      </c>
      <c r="D53">
        <v>359.64489959999997</v>
      </c>
      <c r="E53">
        <v>354.1438455</v>
      </c>
      <c r="F53">
        <v>338.23264030000001</v>
      </c>
      <c r="G53">
        <v>319.08759350000003</v>
      </c>
      <c r="H53">
        <v>318.88238680000001</v>
      </c>
      <c r="I53">
        <v>311.2271897</v>
      </c>
      <c r="J53">
        <v>294.16151359999998</v>
      </c>
      <c r="K53">
        <v>283.16552430000002</v>
      </c>
      <c r="L53">
        <v>278.58931960000001</v>
      </c>
      <c r="M53">
        <v>279.46138930000001</v>
      </c>
      <c r="N53">
        <v>412.41304070000001</v>
      </c>
      <c r="O53">
        <v>536.8277008</v>
      </c>
      <c r="P53">
        <v>628.58892979999996</v>
      </c>
      <c r="Q53">
        <v>724.31342080000002</v>
      </c>
      <c r="R53">
        <v>812.30632560000004</v>
      </c>
      <c r="S53">
        <v>835.24105799999995</v>
      </c>
      <c r="T53">
        <v>861.5343858</v>
      </c>
      <c r="U53">
        <v>902.71447780000005</v>
      </c>
      <c r="V53">
        <v>727.4504915</v>
      </c>
      <c r="W53">
        <v>562.03184569999996</v>
      </c>
      <c r="X53">
        <v>574.67404109999995</v>
      </c>
      <c r="Y53">
        <v>590.58334309999998</v>
      </c>
      <c r="Z53">
        <v>607.79559459999996</v>
      </c>
      <c r="AA53">
        <v>625.51213140000004</v>
      </c>
      <c r="AB53">
        <v>644.38198050000005</v>
      </c>
      <c r="AC53">
        <v>656.68990929999995</v>
      </c>
      <c r="AD53">
        <v>669.08547680000004</v>
      </c>
      <c r="AE53">
        <v>681.38994630000002</v>
      </c>
      <c r="AF53">
        <v>693.88441030000001</v>
      </c>
      <c r="AG53">
        <v>706.7228801</v>
      </c>
      <c r="AH53">
        <v>719.55514770000002</v>
      </c>
      <c r="AI53">
        <v>732.18011149999995</v>
      </c>
      <c r="AJ53">
        <v>745.0895534</v>
      </c>
      <c r="AK53">
        <v>758.19025650000003</v>
      </c>
      <c r="AL53">
        <v>771.44476440000005</v>
      </c>
      <c r="AM53">
        <v>778.89125550000006</v>
      </c>
      <c r="AN53">
        <v>786.31711110000003</v>
      </c>
      <c r="AO53">
        <v>793.70419919999995</v>
      </c>
      <c r="AP53">
        <v>801.17067610000004</v>
      </c>
      <c r="AQ53">
        <v>808.52254889999995</v>
      </c>
      <c r="AR53">
        <v>816.40444909999997</v>
      </c>
      <c r="AS53">
        <v>824.2170304</v>
      </c>
      <c r="AT53">
        <v>832.00909439999998</v>
      </c>
      <c r="AU53">
        <v>839.6585824</v>
      </c>
      <c r="AV53">
        <v>847.50266980000004</v>
      </c>
    </row>
    <row r="54" spans="1:48" x14ac:dyDescent="0.25">
      <c r="A54" s="1" t="s">
        <v>57</v>
      </c>
      <c r="B54">
        <v>117.425366798224</v>
      </c>
      <c r="C54">
        <v>119.310669044481</v>
      </c>
      <c r="D54">
        <v>121.5016553</v>
      </c>
      <c r="E54">
        <v>124.2007019</v>
      </c>
      <c r="F54">
        <v>123.1327184</v>
      </c>
      <c r="G54">
        <v>120.6127066</v>
      </c>
      <c r="H54">
        <v>125.1249588</v>
      </c>
      <c r="I54">
        <v>126.75177239999999</v>
      </c>
      <c r="J54">
        <v>124.3333198</v>
      </c>
      <c r="K54">
        <v>124.2271212</v>
      </c>
      <c r="L54">
        <v>126.8528673</v>
      </c>
      <c r="M54">
        <v>132.09721709999999</v>
      </c>
      <c r="N54">
        <v>155.89314329999999</v>
      </c>
      <c r="O54">
        <v>176.06498930000001</v>
      </c>
      <c r="P54">
        <v>186.7613513</v>
      </c>
      <c r="Q54">
        <v>200.0365271</v>
      </c>
      <c r="R54">
        <v>212.02765260000001</v>
      </c>
      <c r="S54">
        <v>248.3343376</v>
      </c>
      <c r="T54">
        <v>285.66029259999999</v>
      </c>
      <c r="U54">
        <v>339.07080999999999</v>
      </c>
      <c r="V54">
        <v>288.22118139999998</v>
      </c>
      <c r="W54">
        <v>240.97412840000001</v>
      </c>
      <c r="X54">
        <v>257.83057289999999</v>
      </c>
      <c r="Y54">
        <v>275.92471210000002</v>
      </c>
      <c r="Z54">
        <v>294.50339839999998</v>
      </c>
      <c r="AA54">
        <v>313.32507199999998</v>
      </c>
      <c r="AB54">
        <v>332.58387470000002</v>
      </c>
      <c r="AC54">
        <v>347.56285050000002</v>
      </c>
      <c r="AD54">
        <v>362.56351719999998</v>
      </c>
      <c r="AE54">
        <v>377.54094129999999</v>
      </c>
      <c r="AF54">
        <v>392.61470609999998</v>
      </c>
      <c r="AG54">
        <v>407.83475770000001</v>
      </c>
      <c r="AH54">
        <v>422.8440981</v>
      </c>
      <c r="AI54">
        <v>437.69973540000001</v>
      </c>
      <c r="AJ54">
        <v>452.66248159999998</v>
      </c>
      <c r="AK54">
        <v>467.7328751</v>
      </c>
      <c r="AL54">
        <v>482.88048880000002</v>
      </c>
      <c r="AM54">
        <v>494.653009</v>
      </c>
      <c r="AN54">
        <v>506.26429739999998</v>
      </c>
      <c r="AO54">
        <v>517.79755650000004</v>
      </c>
      <c r="AP54">
        <v>529.30656239999996</v>
      </c>
      <c r="AQ54">
        <v>540.70648749999998</v>
      </c>
      <c r="AR54">
        <v>551.84954249999998</v>
      </c>
      <c r="AS54">
        <v>562.8728509</v>
      </c>
      <c r="AT54">
        <v>573.80900129999998</v>
      </c>
      <c r="AU54">
        <v>584.60940749999997</v>
      </c>
      <c r="AV54">
        <v>595.41551470000002</v>
      </c>
    </row>
    <row r="55" spans="1:48" x14ac:dyDescent="0.25">
      <c r="A55" s="1" t="s">
        <v>58</v>
      </c>
      <c r="B55">
        <v>234.850733596449</v>
      </c>
      <c r="C55">
        <v>238.621338088963</v>
      </c>
      <c r="D55">
        <v>243.00331059999999</v>
      </c>
      <c r="E55">
        <v>315.76437090000002</v>
      </c>
      <c r="F55">
        <v>398.61378180000003</v>
      </c>
      <c r="G55">
        <v>498.51118869999999</v>
      </c>
      <c r="H55">
        <v>660.35453819999998</v>
      </c>
      <c r="I55">
        <v>854.48925650000001</v>
      </c>
      <c r="J55">
        <v>1071.2696269999999</v>
      </c>
      <c r="K55">
        <v>1369.365515</v>
      </c>
      <c r="L55">
        <v>1789.6263280000001</v>
      </c>
      <c r="M55">
        <v>2386.9745200000002</v>
      </c>
      <c r="N55">
        <v>2272.4800580000001</v>
      </c>
      <c r="O55">
        <v>2096.4391049999999</v>
      </c>
      <c r="P55">
        <v>1830.696625</v>
      </c>
      <c r="Q55">
        <v>1622.1685170000001</v>
      </c>
      <c r="R55">
        <v>1424.3371790000001</v>
      </c>
      <c r="S55">
        <v>1689.2619030000001</v>
      </c>
      <c r="T55">
        <v>1961.792465</v>
      </c>
      <c r="U55">
        <v>2263.9944700000001</v>
      </c>
      <c r="V55">
        <v>2001.692912</v>
      </c>
      <c r="W55">
        <v>1756.4342509999999</v>
      </c>
      <c r="X55">
        <v>1865.27396</v>
      </c>
      <c r="Y55">
        <v>1985.7378200000001</v>
      </c>
      <c r="Z55">
        <v>2112.388676</v>
      </c>
      <c r="AA55">
        <v>2248.043322</v>
      </c>
      <c r="AB55">
        <v>2390.6207039999999</v>
      </c>
      <c r="AC55">
        <v>2492.7360589999998</v>
      </c>
      <c r="AD55">
        <v>2595.5960690000002</v>
      </c>
      <c r="AE55">
        <v>2698.478392</v>
      </c>
      <c r="AF55">
        <v>2806.2453879999998</v>
      </c>
      <c r="AG55">
        <v>2916.1573159999998</v>
      </c>
      <c r="AH55">
        <v>2989.712939</v>
      </c>
      <c r="AI55">
        <v>3062.7042970000002</v>
      </c>
      <c r="AJ55">
        <v>3137.3449559999999</v>
      </c>
      <c r="AK55">
        <v>3214.8431869999999</v>
      </c>
      <c r="AL55">
        <v>3293.401241</v>
      </c>
      <c r="AM55">
        <v>3343.1726010000002</v>
      </c>
      <c r="AN55">
        <v>3392.841179</v>
      </c>
      <c r="AO55">
        <v>3442.0778610000002</v>
      </c>
      <c r="AP55">
        <v>3491.504246</v>
      </c>
      <c r="AQ55">
        <v>3540.1152259999999</v>
      </c>
      <c r="AR55">
        <v>3609.5436199999999</v>
      </c>
      <c r="AS55">
        <v>3678.5808240000001</v>
      </c>
      <c r="AT55">
        <v>3747.4110930000002</v>
      </c>
      <c r="AU55">
        <v>3815.2876120000001</v>
      </c>
      <c r="AV55">
        <v>3884.3032149999999</v>
      </c>
    </row>
    <row r="56" spans="1:48" x14ac:dyDescent="0.25">
      <c r="A56" s="1" t="s">
        <v>66</v>
      </c>
      <c r="B56" s="6">
        <v>0.03</v>
      </c>
      <c r="C56" s="6">
        <v>0.03</v>
      </c>
      <c r="D56" s="6">
        <v>0.03</v>
      </c>
      <c r="E56" s="6">
        <v>0.03</v>
      </c>
      <c r="F56" s="6">
        <v>0.03</v>
      </c>
      <c r="G56" s="6">
        <v>0.03</v>
      </c>
      <c r="H56" s="6">
        <v>0.03</v>
      </c>
      <c r="I56" s="6">
        <v>0.03</v>
      </c>
      <c r="J56" s="6">
        <v>0.03</v>
      </c>
      <c r="K56" s="6">
        <v>0.03</v>
      </c>
      <c r="L56" s="6">
        <v>0.03</v>
      </c>
      <c r="M56" s="6">
        <v>0.03</v>
      </c>
      <c r="N56" s="6">
        <v>0.03</v>
      </c>
      <c r="O56" s="6">
        <v>0.03</v>
      </c>
      <c r="P56" s="6">
        <v>0.03</v>
      </c>
      <c r="Q56" s="6">
        <v>0.03</v>
      </c>
      <c r="R56" s="6">
        <v>0.03</v>
      </c>
      <c r="S56" s="6">
        <v>0.03</v>
      </c>
      <c r="T56" s="6">
        <v>0.03</v>
      </c>
      <c r="U56" s="6">
        <v>0.03</v>
      </c>
      <c r="V56" s="6">
        <v>0.03</v>
      </c>
      <c r="W56" s="6">
        <v>0.03</v>
      </c>
      <c r="X56" s="6">
        <v>0.03</v>
      </c>
      <c r="Y56" s="6">
        <v>0.03</v>
      </c>
      <c r="Z56" s="6">
        <v>0.03</v>
      </c>
      <c r="AA56" s="6">
        <v>0.03</v>
      </c>
      <c r="AB56" s="6">
        <v>0.03</v>
      </c>
      <c r="AC56" s="6">
        <v>0.03</v>
      </c>
      <c r="AD56" s="6">
        <v>0.03</v>
      </c>
      <c r="AE56" s="6">
        <v>0.03</v>
      </c>
      <c r="AF56" s="6">
        <v>0.03</v>
      </c>
      <c r="AG56" s="6">
        <v>0.03</v>
      </c>
      <c r="AH56" s="6">
        <v>0.03</v>
      </c>
      <c r="AI56" s="6">
        <v>0.03</v>
      </c>
      <c r="AJ56" s="6">
        <v>0.03</v>
      </c>
      <c r="AK56" s="6">
        <v>0.03</v>
      </c>
      <c r="AL56" s="6">
        <v>0.03</v>
      </c>
      <c r="AM56" s="6">
        <v>0.03</v>
      </c>
      <c r="AN56" s="6">
        <v>0.03</v>
      </c>
      <c r="AO56" s="6">
        <v>0.03</v>
      </c>
      <c r="AP56" s="6">
        <v>0.03</v>
      </c>
      <c r="AQ56" s="6">
        <v>0.03</v>
      </c>
      <c r="AR56" s="6">
        <v>0.03</v>
      </c>
      <c r="AS56" s="6">
        <v>0.03</v>
      </c>
      <c r="AT56" s="6">
        <v>0.03</v>
      </c>
      <c r="AU56" s="6">
        <v>0.03</v>
      </c>
      <c r="AV56" s="6">
        <v>0.03</v>
      </c>
    </row>
    <row r="57" spans="1:48" x14ac:dyDescent="0.25">
      <c r="B57">
        <f>B39-B33</f>
        <v>0</v>
      </c>
      <c r="C57">
        <f t="shared" ref="C57:AV57" si="1">C39-C33</f>
        <v>0</v>
      </c>
      <c r="D57">
        <f t="shared" si="1"/>
        <v>0</v>
      </c>
      <c r="E57">
        <f t="shared" si="1"/>
        <v>0</v>
      </c>
      <c r="F57">
        <f t="shared" si="1"/>
        <v>0</v>
      </c>
      <c r="G57">
        <f t="shared" si="1"/>
        <v>0</v>
      </c>
      <c r="H57">
        <f t="shared" si="1"/>
        <v>0</v>
      </c>
      <c r="I57">
        <f t="shared" si="1"/>
        <v>0</v>
      </c>
      <c r="J57">
        <f t="shared" si="1"/>
        <v>0</v>
      </c>
      <c r="K57">
        <f t="shared" si="1"/>
        <v>0</v>
      </c>
      <c r="L57">
        <f t="shared" si="1"/>
        <v>0</v>
      </c>
      <c r="M57">
        <f t="shared" si="1"/>
        <v>0</v>
      </c>
      <c r="N57">
        <f t="shared" si="1"/>
        <v>0</v>
      </c>
      <c r="O57">
        <f t="shared" si="1"/>
        <v>0</v>
      </c>
      <c r="P57">
        <f t="shared" si="1"/>
        <v>0</v>
      </c>
      <c r="Q57">
        <f t="shared" si="1"/>
        <v>0</v>
      </c>
      <c r="R57">
        <f t="shared" si="1"/>
        <v>0</v>
      </c>
      <c r="S57">
        <f t="shared" si="1"/>
        <v>0</v>
      </c>
      <c r="T57">
        <f t="shared" si="1"/>
        <v>0</v>
      </c>
      <c r="U57">
        <f t="shared" si="1"/>
        <v>1098.643908</v>
      </c>
      <c r="V57">
        <f t="shared" si="1"/>
        <v>2138.7599680000003</v>
      </c>
      <c r="W57">
        <f t="shared" si="1"/>
        <v>3135.9246599999997</v>
      </c>
      <c r="X57">
        <f t="shared" si="1"/>
        <v>4104.7999129999998</v>
      </c>
      <c r="Y57">
        <f t="shared" si="1"/>
        <v>5038.7949589999998</v>
      </c>
      <c r="Z57">
        <f t="shared" si="1"/>
        <v>5939.3755019999999</v>
      </c>
      <c r="AA57">
        <f t="shared" si="1"/>
        <v>6805.9871119999989</v>
      </c>
      <c r="AB57">
        <f t="shared" si="1"/>
        <v>7642.726514</v>
      </c>
      <c r="AC57">
        <f t="shared" si="1"/>
        <v>8444.9747609999995</v>
      </c>
      <c r="AD57">
        <f t="shared" si="1"/>
        <v>9216.1434550000013</v>
      </c>
      <c r="AE57">
        <f t="shared" si="1"/>
        <v>9957.6955750000016</v>
      </c>
      <c r="AF57">
        <f t="shared" si="1"/>
        <v>10670.759480000001</v>
      </c>
      <c r="AG57">
        <f t="shared" si="1"/>
        <v>11355.754545000002</v>
      </c>
      <c r="AH57">
        <f t="shared" si="1"/>
        <v>12016.218488999999</v>
      </c>
      <c r="AI57">
        <f t="shared" si="1"/>
        <v>12651.619971000002</v>
      </c>
      <c r="AJ57">
        <f t="shared" si="1"/>
        <v>13261.330549999999</v>
      </c>
      <c r="AK57">
        <f t="shared" si="1"/>
        <v>13846.697862999998</v>
      </c>
      <c r="AL57">
        <f t="shared" si="1"/>
        <v>14408.156469999998</v>
      </c>
      <c r="AM57">
        <f t="shared" si="1"/>
        <v>14950.789301000001</v>
      </c>
      <c r="AN57">
        <f t="shared" si="1"/>
        <v>15473.082996999998</v>
      </c>
      <c r="AO57">
        <f t="shared" si="1"/>
        <v>15973.235503</v>
      </c>
      <c r="AP57">
        <f t="shared" si="1"/>
        <v>16452.361862000002</v>
      </c>
      <c r="AQ57">
        <f t="shared" si="1"/>
        <v>16911.009507999999</v>
      </c>
      <c r="AR57">
        <f t="shared" si="1"/>
        <v>17354.705668000002</v>
      </c>
      <c r="AS57">
        <f t="shared" si="1"/>
        <v>17779.876901</v>
      </c>
      <c r="AT57">
        <f t="shared" si="1"/>
        <v>18187.373104999999</v>
      </c>
      <c r="AU57">
        <f t="shared" si="1"/>
        <v>18575.965990999997</v>
      </c>
      <c r="AV57">
        <f t="shared" si="1"/>
        <v>18948.561667999998</v>
      </c>
    </row>
    <row r="58" spans="1:48" x14ac:dyDescent="0.25">
      <c r="A58" t="s">
        <v>18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</row>
    <row r="59" spans="1:48" x14ac:dyDescent="0.25">
      <c r="A59" t="s">
        <v>19</v>
      </c>
      <c r="B59">
        <v>0</v>
      </c>
      <c r="C59">
        <v>0</v>
      </c>
      <c r="D59">
        <v>0</v>
      </c>
      <c r="E59">
        <v>0</v>
      </c>
      <c r="F59">
        <v>0</v>
      </c>
      <c r="G59" s="4">
        <f>[1]series!H3</f>
        <v>0</v>
      </c>
      <c r="H59" s="4">
        <f>[1]series!I3</f>
        <v>0</v>
      </c>
      <c r="I59" s="4">
        <f>[1]series!J3</f>
        <v>0</v>
      </c>
      <c r="J59" s="4">
        <f>[1]series!K3</f>
        <v>0</v>
      </c>
      <c r="K59" s="4">
        <f>[1]series!L3</f>
        <v>0</v>
      </c>
      <c r="L59" s="4">
        <f>[1]series!M3</f>
        <v>0</v>
      </c>
      <c r="M59" s="4">
        <f>[1]series!N3</f>
        <v>0</v>
      </c>
      <c r="N59" s="4">
        <f>[1]series!O3</f>
        <v>0</v>
      </c>
      <c r="O59" s="4">
        <f>[1]series!P3</f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</row>
    <row r="60" spans="1:48" x14ac:dyDescent="0.25">
      <c r="A60" t="s">
        <v>20</v>
      </c>
      <c r="B60">
        <v>0</v>
      </c>
      <c r="C60">
        <v>0</v>
      </c>
      <c r="D60">
        <v>0</v>
      </c>
      <c r="E60">
        <v>0</v>
      </c>
      <c r="F60">
        <v>0</v>
      </c>
      <c r="G60" s="4">
        <f>[1]series!H4</f>
        <v>0</v>
      </c>
      <c r="H60" s="4">
        <f>[1]series!I4</f>
        <v>0</v>
      </c>
      <c r="I60" s="4">
        <f>[1]series!J4</f>
        <v>0</v>
      </c>
      <c r="J60" s="4">
        <f>[1]series!K4</f>
        <v>0</v>
      </c>
      <c r="K60" s="4">
        <f>[1]series!L4</f>
        <v>0</v>
      </c>
      <c r="L60" s="4">
        <f>[1]series!M4</f>
        <v>0</v>
      </c>
      <c r="M60" s="4">
        <f>[1]series!N4</f>
        <v>0</v>
      </c>
      <c r="N60" s="4">
        <f>[1]series!O4</f>
        <v>0</v>
      </c>
      <c r="O60" s="4">
        <f>[1]series!P4</f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</row>
    <row r="61" spans="1:48" x14ac:dyDescent="0.25">
      <c r="A61" t="s">
        <v>21</v>
      </c>
      <c r="B61">
        <v>0</v>
      </c>
      <c r="C61">
        <v>0</v>
      </c>
      <c r="D61">
        <v>0</v>
      </c>
      <c r="E61">
        <v>0</v>
      </c>
      <c r="F61">
        <v>0</v>
      </c>
      <c r="G61" s="4">
        <f>[1]series!H5</f>
        <v>0</v>
      </c>
      <c r="H61" s="4">
        <f>[1]series!I5</f>
        <v>0</v>
      </c>
      <c r="I61" s="4">
        <f>[1]series!J5</f>
        <v>0</v>
      </c>
      <c r="J61" s="4">
        <f>[1]series!K5</f>
        <v>0</v>
      </c>
      <c r="K61" s="4">
        <f>[1]series!L5</f>
        <v>0</v>
      </c>
      <c r="L61" s="4">
        <f>[1]series!M5</f>
        <v>0</v>
      </c>
      <c r="M61" s="4">
        <f>[1]series!N5</f>
        <v>0</v>
      </c>
      <c r="N61" s="4">
        <f>[1]series!O5</f>
        <v>0</v>
      </c>
      <c r="O61" s="4">
        <f>[1]series!P5</f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</row>
    <row r="62" spans="1:48" x14ac:dyDescent="0.25">
      <c r="A62" t="s">
        <v>22</v>
      </c>
      <c r="B62">
        <v>0</v>
      </c>
      <c r="C62">
        <v>0</v>
      </c>
      <c r="D62">
        <v>0</v>
      </c>
      <c r="E62">
        <v>0</v>
      </c>
      <c r="F62">
        <v>0</v>
      </c>
      <c r="G62" s="4">
        <f>[1]series!H6</f>
        <v>0</v>
      </c>
      <c r="H62" s="4">
        <f>[1]series!I6</f>
        <v>0</v>
      </c>
      <c r="I62" s="4">
        <f>[1]series!J6</f>
        <v>0</v>
      </c>
      <c r="J62" s="4">
        <f>[1]series!K6</f>
        <v>0</v>
      </c>
      <c r="K62" s="4">
        <f>[1]series!L6</f>
        <v>0</v>
      </c>
      <c r="L62" s="4">
        <f>[1]series!M6</f>
        <v>0</v>
      </c>
      <c r="M62" s="4">
        <f>[1]series!N6</f>
        <v>0</v>
      </c>
      <c r="N62" s="4">
        <f>[1]series!O6</f>
        <v>0</v>
      </c>
      <c r="O62" s="4">
        <f>[1]series!P6</f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</row>
    <row r="63" spans="1:48" x14ac:dyDescent="0.25">
      <c r="A63" t="s">
        <v>23</v>
      </c>
      <c r="B63">
        <v>0</v>
      </c>
      <c r="C63">
        <v>0</v>
      </c>
      <c r="D63">
        <v>0</v>
      </c>
      <c r="E63">
        <v>0</v>
      </c>
      <c r="F63">
        <v>0</v>
      </c>
      <c r="G63" s="4">
        <f>[1]series!H7</f>
        <v>0</v>
      </c>
      <c r="H63" s="4">
        <f>[1]series!I7</f>
        <v>0</v>
      </c>
      <c r="I63" s="4">
        <f>[1]series!J7</f>
        <v>0</v>
      </c>
      <c r="J63" s="4">
        <f>[1]series!K7</f>
        <v>0</v>
      </c>
      <c r="K63" s="4">
        <f>[1]series!L7</f>
        <v>0</v>
      </c>
      <c r="L63" s="4">
        <f>[1]series!M7</f>
        <v>0</v>
      </c>
      <c r="M63" s="4">
        <f>[1]series!N7</f>
        <v>0</v>
      </c>
      <c r="N63" s="4">
        <f>[1]series!O7</f>
        <v>0</v>
      </c>
      <c r="O63" s="4">
        <f>[1]series!P7</f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</row>
    <row r="64" spans="1:48" x14ac:dyDescent="0.25">
      <c r="A64" t="s">
        <v>0</v>
      </c>
      <c r="B64" s="2">
        <f>[1]series!C14</f>
        <v>0</v>
      </c>
      <c r="C64" s="2">
        <f>[1]series!D14</f>
        <v>0</v>
      </c>
      <c r="D64" s="2">
        <f>[1]series!E14</f>
        <v>0</v>
      </c>
      <c r="E64" s="2">
        <f>[1]series!F14</f>
        <v>0</v>
      </c>
      <c r="F64" s="2">
        <f>[1]series!G14</f>
        <v>0</v>
      </c>
      <c r="G64" s="2">
        <f>[1]series!H14</f>
        <v>0</v>
      </c>
      <c r="H64" s="2">
        <f>[1]series!I14</f>
        <v>0</v>
      </c>
      <c r="I64" s="2">
        <f>[1]series!J14</f>
        <v>0</v>
      </c>
      <c r="J64" s="2">
        <f>[1]series!K14</f>
        <v>0</v>
      </c>
      <c r="K64" s="2">
        <f>[1]series!L14</f>
        <v>0</v>
      </c>
      <c r="L64" s="2">
        <f>[1]series!M14</f>
        <v>0</v>
      </c>
      <c r="M64" s="2">
        <f>[1]series!N14</f>
        <v>0</v>
      </c>
      <c r="N64" s="2">
        <f>[1]series!O14</f>
        <v>0</v>
      </c>
      <c r="O64" s="2">
        <f>[1]series!P14</f>
        <v>0</v>
      </c>
      <c r="P64" s="2">
        <f>[1]series!Q14</f>
        <v>0</v>
      </c>
      <c r="Q64" s="2">
        <f>[1]series!R14</f>
        <v>0</v>
      </c>
      <c r="R64" s="2">
        <f>[1]series!S14</f>
        <v>0</v>
      </c>
      <c r="S64" s="2">
        <f>[1]series!T14</f>
        <v>0</v>
      </c>
      <c r="T64" s="2">
        <f>[1]series!U14</f>
        <v>0</v>
      </c>
      <c r="U64" s="2">
        <f>[1]series!V14</f>
        <v>0</v>
      </c>
      <c r="V64" s="2">
        <f>[1]series!W14</f>
        <v>0</v>
      </c>
      <c r="W64" s="2">
        <f>[1]series!X14</f>
        <v>0</v>
      </c>
      <c r="X64" s="2">
        <f>[1]series!Y14</f>
        <v>0</v>
      </c>
      <c r="Y64" s="2">
        <f>[1]series!Z14</f>
        <v>0</v>
      </c>
      <c r="Z64" s="2">
        <f>[1]series!AA14</f>
        <v>0</v>
      </c>
      <c r="AA64" s="2">
        <f>[1]series!AB14</f>
        <v>0</v>
      </c>
      <c r="AB64" s="2">
        <f>[1]series!AC14</f>
        <v>0</v>
      </c>
      <c r="AC64" s="2">
        <f>[1]series!AD14</f>
        <v>0</v>
      </c>
      <c r="AD64" s="2">
        <f>[1]series!AE14</f>
        <v>0</v>
      </c>
      <c r="AE64" s="2">
        <f>[1]series!AF14</f>
        <v>0</v>
      </c>
      <c r="AF64" s="2">
        <f>[1]series!AG14</f>
        <v>0</v>
      </c>
      <c r="AG64" s="2">
        <f>[1]series!AH14</f>
        <v>0</v>
      </c>
      <c r="AH64" s="2">
        <f>[1]series!AI14</f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</row>
    <row r="65" spans="1:48" x14ac:dyDescent="0.25">
      <c r="A65" t="s">
        <v>1</v>
      </c>
      <c r="B65" s="2">
        <f>[1]series!C15</f>
        <v>0</v>
      </c>
      <c r="C65" s="2">
        <f>[1]series!D15</f>
        <v>0</v>
      </c>
      <c r="D65" s="2">
        <f>[1]series!E15</f>
        <v>0</v>
      </c>
      <c r="E65" s="2">
        <f>[1]series!F15</f>
        <v>0</v>
      </c>
      <c r="F65" s="2">
        <f>[1]series!G15</f>
        <v>0</v>
      </c>
      <c r="G65" s="2">
        <f>[1]series!H15</f>
        <v>0</v>
      </c>
      <c r="H65" s="2">
        <f>[1]series!I15</f>
        <v>0</v>
      </c>
      <c r="I65" s="2">
        <f>[1]series!J15</f>
        <v>0</v>
      </c>
      <c r="J65" s="2">
        <f>[1]series!K15</f>
        <v>0</v>
      </c>
      <c r="K65" s="2">
        <f>[1]series!L15</f>
        <v>0</v>
      </c>
      <c r="L65" s="2">
        <f>[1]series!M15</f>
        <v>0</v>
      </c>
      <c r="M65" s="2">
        <f>[1]series!N15</f>
        <v>0</v>
      </c>
      <c r="N65" s="2">
        <f>[1]series!O15</f>
        <v>0</v>
      </c>
      <c r="O65" s="2">
        <f>[1]series!P15</f>
        <v>0</v>
      </c>
      <c r="P65" s="2">
        <f>[1]series!Q15</f>
        <v>0</v>
      </c>
      <c r="Q65" s="2">
        <f>[1]series!R15</f>
        <v>0</v>
      </c>
      <c r="R65" s="2">
        <f>[1]series!S15</f>
        <v>0</v>
      </c>
      <c r="S65" s="2">
        <f>[1]series!T15</f>
        <v>0</v>
      </c>
      <c r="T65" s="2">
        <f>[1]series!U15</f>
        <v>0</v>
      </c>
      <c r="U65" s="2">
        <f>[1]series!V15</f>
        <v>5.5542096219931272E-3</v>
      </c>
      <c r="V65" s="2">
        <f>[1]series!W15</f>
        <v>5.5542096219931272E-3</v>
      </c>
      <c r="W65" s="2">
        <f>[1]series!X15</f>
        <v>5.5542096219931272E-3</v>
      </c>
      <c r="X65" s="2">
        <f>[1]series!Y15</f>
        <v>5.5542096219931272E-3</v>
      </c>
      <c r="Y65" s="2">
        <f>[1]series!Z15</f>
        <v>5.5542096219931272E-3</v>
      </c>
      <c r="Z65" s="2">
        <f>[1]series!AA15</f>
        <v>5.5542096219931272E-3</v>
      </c>
      <c r="AA65" s="2">
        <f>[1]series!AB15</f>
        <v>5.5542096219931272E-3</v>
      </c>
      <c r="AB65" s="2">
        <f>[1]series!AC15</f>
        <v>5.5542096219931272E-3</v>
      </c>
      <c r="AC65" s="2">
        <f>[1]series!AD15</f>
        <v>5.5542096219931272E-3</v>
      </c>
      <c r="AD65" s="2">
        <f>[1]series!AE15</f>
        <v>5.5542096219931272E-3</v>
      </c>
      <c r="AE65" s="2">
        <f>[1]series!AF15</f>
        <v>5.5542096219931272E-3</v>
      </c>
      <c r="AF65" s="2">
        <f>[1]series!AG15</f>
        <v>5.5542096219931272E-3</v>
      </c>
      <c r="AG65" s="2">
        <f>[1]series!AH15</f>
        <v>5.5542096219931272E-3</v>
      </c>
      <c r="AH65" s="2">
        <f>[1]series!AI15</f>
        <v>5.5542096219931272E-3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</row>
    <row r="66" spans="1:48" x14ac:dyDescent="0.25">
      <c r="A66" t="s">
        <v>2</v>
      </c>
      <c r="B66" s="2">
        <f>[1]series!C16</f>
        <v>0</v>
      </c>
      <c r="C66" s="2">
        <f>[1]series!D16</f>
        <v>0</v>
      </c>
      <c r="D66" s="2">
        <f>[1]series!E16</f>
        <v>0</v>
      </c>
      <c r="E66" s="2">
        <f>[1]series!F16</f>
        <v>0</v>
      </c>
      <c r="F66" s="2">
        <f>[1]series!G16</f>
        <v>0</v>
      </c>
      <c r="G66" s="2">
        <f>[1]series!H16</f>
        <v>0</v>
      </c>
      <c r="H66" s="2">
        <f>[1]series!I16</f>
        <v>0</v>
      </c>
      <c r="I66" s="2">
        <f>[1]series!J16</f>
        <v>0</v>
      </c>
      <c r="J66" s="2">
        <f>[1]series!K16</f>
        <v>0</v>
      </c>
      <c r="K66" s="2">
        <f>[1]series!L16</f>
        <v>0</v>
      </c>
      <c r="L66" s="2">
        <f>[1]series!M16</f>
        <v>0</v>
      </c>
      <c r="M66" s="2">
        <f>[1]series!N16</f>
        <v>0</v>
      </c>
      <c r="N66" s="2">
        <f>[1]series!O16</f>
        <v>0</v>
      </c>
      <c r="O66" s="2">
        <f>[1]series!P16</f>
        <v>0</v>
      </c>
      <c r="P66" s="2">
        <f>[1]series!Q16</f>
        <v>0</v>
      </c>
      <c r="Q66" s="2">
        <f>[1]series!R16</f>
        <v>0</v>
      </c>
      <c r="R66" s="2">
        <f>[1]series!S16</f>
        <v>0</v>
      </c>
      <c r="S66" s="2">
        <f>[1]series!T16</f>
        <v>0</v>
      </c>
      <c r="T66" s="2">
        <f>[1]series!U16</f>
        <v>0</v>
      </c>
      <c r="U66" s="2">
        <f>[1]series!V16</f>
        <v>-0.43787608176535953</v>
      </c>
      <c r="V66" s="2">
        <f>[1]series!W16</f>
        <v>-0.43787608176535953</v>
      </c>
      <c r="W66" s="2">
        <f>[1]series!X16</f>
        <v>-0.43787608176535953</v>
      </c>
      <c r="X66" s="2">
        <f>[1]series!Y16</f>
        <v>-0.43787608176535953</v>
      </c>
      <c r="Y66" s="2">
        <f>[1]series!Z16</f>
        <v>-0.43787608176535953</v>
      </c>
      <c r="Z66" s="2">
        <f>[1]series!AA16</f>
        <v>-0.43787608176535953</v>
      </c>
      <c r="AA66" s="2">
        <f>[1]series!AB16</f>
        <v>-0.43787608176535953</v>
      </c>
      <c r="AB66" s="2">
        <f>[1]series!AC16</f>
        <v>-0.43787608176535953</v>
      </c>
      <c r="AC66" s="2">
        <f>[1]series!AD16</f>
        <v>-0.43787608176535953</v>
      </c>
      <c r="AD66" s="2">
        <f>[1]series!AE16</f>
        <v>-0.43787608176535953</v>
      </c>
      <c r="AE66" s="2">
        <f>[1]series!AF16</f>
        <v>-0.43787608176535953</v>
      </c>
      <c r="AF66" s="2">
        <f>[1]series!AG16</f>
        <v>-0.43787608176535953</v>
      </c>
      <c r="AG66" s="2">
        <f>[1]series!AH16</f>
        <v>-0.43787608176535953</v>
      </c>
      <c r="AH66" s="2">
        <f>[1]series!AI16</f>
        <v>-0.43787608176535953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</row>
    <row r="67" spans="1:48" x14ac:dyDescent="0.25">
      <c r="A67" t="s">
        <v>3</v>
      </c>
      <c r="B67" s="2">
        <f>[1]series!C17</f>
        <v>0</v>
      </c>
      <c r="C67" s="2">
        <f>[1]series!D17</f>
        <v>0</v>
      </c>
      <c r="D67" s="2">
        <f>[1]series!E17</f>
        <v>0</v>
      </c>
      <c r="E67" s="2">
        <f>[1]series!F17</f>
        <v>0</v>
      </c>
      <c r="F67" s="2">
        <f>[1]series!G17</f>
        <v>0</v>
      </c>
      <c r="G67" s="2">
        <f>[1]series!H17</f>
        <v>0</v>
      </c>
      <c r="H67" s="2">
        <f>[1]series!I17</f>
        <v>0</v>
      </c>
      <c r="I67" s="2">
        <f>[1]series!J17</f>
        <v>0</v>
      </c>
      <c r="J67" s="2">
        <f>[1]series!K17</f>
        <v>0</v>
      </c>
      <c r="K67" s="2">
        <f>[1]series!L17</f>
        <v>0</v>
      </c>
      <c r="L67" s="2">
        <f>[1]series!M17</f>
        <v>0</v>
      </c>
      <c r="M67" s="2">
        <f>[1]series!N17</f>
        <v>0</v>
      </c>
      <c r="N67" s="2">
        <f>[1]series!O17</f>
        <v>0</v>
      </c>
      <c r="O67" s="2">
        <f>[1]series!P17</f>
        <v>0</v>
      </c>
      <c r="P67" s="2">
        <f>[1]series!Q17</f>
        <v>0</v>
      </c>
      <c r="Q67" s="2">
        <f>[1]series!R17</f>
        <v>0</v>
      </c>
      <c r="R67" s="2">
        <f>[1]series!S17</f>
        <v>0</v>
      </c>
      <c r="S67" s="2">
        <f>[1]series!T17</f>
        <v>0</v>
      </c>
      <c r="T67" s="2">
        <f>[1]series!U17</f>
        <v>0</v>
      </c>
      <c r="U67" s="2">
        <f>[1]series!V17</f>
        <v>0.21316849167092117</v>
      </c>
      <c r="V67" s="2">
        <f>[1]series!W17</f>
        <v>0.21316849167092117</v>
      </c>
      <c r="W67" s="2">
        <f>[1]series!X17</f>
        <v>0.21316849167092117</v>
      </c>
      <c r="X67" s="2">
        <f>[1]series!Y17</f>
        <v>0.21316849167092117</v>
      </c>
      <c r="Y67" s="2">
        <f>[1]series!Z17</f>
        <v>0.21316849167092117</v>
      </c>
      <c r="Z67" s="2">
        <f>[1]series!AA17</f>
        <v>0.21316849167092117</v>
      </c>
      <c r="AA67" s="2">
        <f>[1]series!AB17</f>
        <v>0.21316849167092117</v>
      </c>
      <c r="AB67" s="2">
        <f>[1]series!AC17</f>
        <v>0.21316849167092117</v>
      </c>
      <c r="AC67" s="2">
        <f>[1]series!AD17</f>
        <v>0.21316849167092117</v>
      </c>
      <c r="AD67" s="2">
        <f>[1]series!AE17</f>
        <v>0.21316849167092117</v>
      </c>
      <c r="AE67" s="2">
        <f>[1]series!AF17</f>
        <v>0.21316849167092117</v>
      </c>
      <c r="AF67" s="2">
        <f>[1]series!AG17</f>
        <v>0.21316849167092117</v>
      </c>
      <c r="AG67" s="2">
        <f>[1]series!AH17</f>
        <v>0.21316849167092117</v>
      </c>
      <c r="AH67" s="2">
        <f>[1]series!AI17</f>
        <v>0.21316849167092117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</row>
    <row r="68" spans="1:48" x14ac:dyDescent="0.25">
      <c r="A68" t="s">
        <v>4</v>
      </c>
      <c r="B68" s="2">
        <f>[1]series!C18</f>
        <v>0</v>
      </c>
      <c r="C68" s="2">
        <f>[1]series!D18</f>
        <v>0</v>
      </c>
      <c r="D68" s="2">
        <f>[1]series!E18</f>
        <v>0</v>
      </c>
      <c r="E68" s="2">
        <f>[1]series!F18</f>
        <v>0</v>
      </c>
      <c r="F68" s="2">
        <f>[1]series!G18</f>
        <v>0</v>
      </c>
      <c r="G68" s="2">
        <f>[1]series!H18</f>
        <v>0</v>
      </c>
      <c r="H68" s="2">
        <f>[1]series!I18</f>
        <v>0</v>
      </c>
      <c r="I68" s="2">
        <f>[1]series!J18</f>
        <v>0</v>
      </c>
      <c r="J68" s="2">
        <f>[1]series!K18</f>
        <v>0</v>
      </c>
      <c r="K68" s="2">
        <f>[1]series!L18</f>
        <v>0</v>
      </c>
      <c r="L68" s="2">
        <f>[1]series!M18</f>
        <v>0</v>
      </c>
      <c r="M68" s="2">
        <f>[1]series!N18</f>
        <v>0</v>
      </c>
      <c r="N68" s="2">
        <f>[1]series!O18</f>
        <v>0</v>
      </c>
      <c r="O68" s="2">
        <f>[1]series!P18</f>
        <v>0</v>
      </c>
      <c r="P68" s="2">
        <f>[1]series!Q18</f>
        <v>0</v>
      </c>
      <c r="Q68" s="2">
        <f>[1]series!R18</f>
        <v>0</v>
      </c>
      <c r="R68" s="2">
        <f>[1]series!S18</f>
        <v>0</v>
      </c>
      <c r="S68" s="2">
        <f>[1]series!T18</f>
        <v>0</v>
      </c>
      <c r="T68" s="2">
        <f>[1]series!U18</f>
        <v>0</v>
      </c>
      <c r="U68" s="2">
        <f>[1]series!V18</f>
        <v>2.5541924398625428E-2</v>
      </c>
      <c r="V68" s="2">
        <f>[1]series!W18</f>
        <v>2.5541924398625428E-2</v>
      </c>
      <c r="W68" s="2">
        <f>[1]series!X18</f>
        <v>2.5541924398625428E-2</v>
      </c>
      <c r="X68" s="2">
        <f>[1]series!Y18</f>
        <v>2.5541924398625428E-2</v>
      </c>
      <c r="Y68" s="2">
        <f>[1]series!Z18</f>
        <v>2.5541924398625428E-2</v>
      </c>
      <c r="Z68" s="2">
        <f>[1]series!AA18</f>
        <v>2.5541924398625428E-2</v>
      </c>
      <c r="AA68" s="2">
        <f>[1]series!AB18</f>
        <v>2.5541924398625428E-2</v>
      </c>
      <c r="AB68" s="2">
        <f>[1]series!AC18</f>
        <v>2.5541924398625428E-2</v>
      </c>
      <c r="AC68" s="2">
        <f>[1]series!AD18</f>
        <v>2.5541924398625428E-2</v>
      </c>
      <c r="AD68" s="2">
        <f>[1]series!AE18</f>
        <v>2.5541924398625428E-2</v>
      </c>
      <c r="AE68" s="2">
        <f>[1]series!AF18</f>
        <v>2.5541924398625428E-2</v>
      </c>
      <c r="AF68" s="2">
        <f>[1]series!AG18</f>
        <v>2.5541924398625428E-2</v>
      </c>
      <c r="AG68" s="2">
        <f>[1]series!AH18</f>
        <v>2.5541924398625428E-2</v>
      </c>
      <c r="AH68" s="2">
        <f>[1]series!AI18</f>
        <v>2.5541924398625428E-2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</row>
    <row r="69" spans="1:48" x14ac:dyDescent="0.25">
      <c r="A69" t="s">
        <v>5</v>
      </c>
      <c r="B69" s="2">
        <f>[1]series!C19</f>
        <v>0</v>
      </c>
      <c r="C69" s="2">
        <f>[1]series!D19</f>
        <v>0</v>
      </c>
      <c r="D69" s="2">
        <f>[1]series!E19</f>
        <v>0</v>
      </c>
      <c r="E69" s="2">
        <f>[1]series!F19</f>
        <v>0</v>
      </c>
      <c r="F69" s="2">
        <f>[1]series!G19</f>
        <v>0</v>
      </c>
      <c r="G69" s="2">
        <f>[1]series!H19</f>
        <v>0</v>
      </c>
      <c r="H69" s="2">
        <f>[1]series!I19</f>
        <v>0</v>
      </c>
      <c r="I69" s="2">
        <f>[1]series!J19</f>
        <v>0</v>
      </c>
      <c r="J69" s="2">
        <f>[1]series!K19</f>
        <v>0</v>
      </c>
      <c r="K69" s="2">
        <f>[1]series!L19</f>
        <v>0</v>
      </c>
      <c r="L69" s="2">
        <f>[1]series!M19</f>
        <v>0</v>
      </c>
      <c r="M69" s="2">
        <f>[1]series!N19</f>
        <v>0</v>
      </c>
      <c r="N69" s="2">
        <f>[1]series!O19</f>
        <v>0</v>
      </c>
      <c r="O69" s="2">
        <f>[1]series!P19</f>
        <v>0</v>
      </c>
      <c r="P69" s="2">
        <f>[1]series!Q19</f>
        <v>0</v>
      </c>
      <c r="Q69" s="2">
        <f>[1]series!R19</f>
        <v>0</v>
      </c>
      <c r="R69" s="2">
        <f>[1]series!S19</f>
        <v>0</v>
      </c>
      <c r="S69" s="2">
        <f>[1]series!T19</f>
        <v>0</v>
      </c>
      <c r="T69" s="2">
        <f>[1]series!U19</f>
        <v>0</v>
      </c>
      <c r="U69" s="2">
        <f>[1]series!V19</f>
        <v>2.4322336769759451E-2</v>
      </c>
      <c r="V69" s="2">
        <f>[1]series!W19</f>
        <v>2.4322336769759451E-2</v>
      </c>
      <c r="W69" s="2">
        <f>[1]series!X19</f>
        <v>2.4322336769759451E-2</v>
      </c>
      <c r="X69" s="2">
        <f>[1]series!Y19</f>
        <v>2.4322336769759451E-2</v>
      </c>
      <c r="Y69" s="2">
        <f>[1]series!Z19</f>
        <v>2.4322336769759451E-2</v>
      </c>
      <c r="Z69" s="2">
        <f>[1]series!AA19</f>
        <v>2.4322336769759451E-2</v>
      </c>
      <c r="AA69" s="2">
        <f>[1]series!AB19</f>
        <v>2.4322336769759451E-2</v>
      </c>
      <c r="AB69" s="2">
        <f>[1]series!AC19</f>
        <v>2.4322336769759451E-2</v>
      </c>
      <c r="AC69" s="2">
        <f>[1]series!AD19</f>
        <v>2.4322336769759451E-2</v>
      </c>
      <c r="AD69" s="2">
        <f>[1]series!AE19</f>
        <v>2.4322336769759451E-2</v>
      </c>
      <c r="AE69" s="2">
        <f>[1]series!AF19</f>
        <v>2.4322336769759451E-2</v>
      </c>
      <c r="AF69" s="2">
        <f>[1]series!AG19</f>
        <v>2.4322336769759451E-2</v>
      </c>
      <c r="AG69" s="2">
        <f>[1]series!AH19</f>
        <v>2.4322336769759451E-2</v>
      </c>
      <c r="AH69" s="2">
        <f>[1]series!AI19</f>
        <v>2.4322336769759451E-2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</row>
    <row r="70" spans="1:48" x14ac:dyDescent="0.25"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</row>
    <row r="71" spans="1:48" x14ac:dyDescent="0.25"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</row>
    <row r="72" spans="1:48" x14ac:dyDescent="0.25"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</row>
    <row r="73" spans="1:48" x14ac:dyDescent="0.25"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</row>
    <row r="74" spans="1:48" x14ac:dyDescent="0.25">
      <c r="A74" t="s">
        <v>24</v>
      </c>
      <c r="G74">
        <f t="shared" ref="G74:S74" si="2">G44/G32</f>
        <v>0.53446339939214982</v>
      </c>
      <c r="H74">
        <f t="shared" si="2"/>
        <v>0.53473694797414295</v>
      </c>
      <c r="I74">
        <f t="shared" si="2"/>
        <v>0.5350736214418752</v>
      </c>
      <c r="J74">
        <f t="shared" si="2"/>
        <v>0.53613195126618884</v>
      </c>
      <c r="K74">
        <f t="shared" si="2"/>
        <v>0.53653562429035628</v>
      </c>
      <c r="L74">
        <f t="shared" si="2"/>
        <v>0.53668875722035525</v>
      </c>
      <c r="M74">
        <f t="shared" si="2"/>
        <v>0.53685548618937862</v>
      </c>
      <c r="N74">
        <f t="shared" si="2"/>
        <v>0.53693632228785082</v>
      </c>
      <c r="O74">
        <f t="shared" si="2"/>
        <v>0.53718025954661064</v>
      </c>
      <c r="P74">
        <f t="shared" si="2"/>
        <v>0.53788939086535958</v>
      </c>
      <c r="Q74">
        <f t="shared" si="2"/>
        <v>0.53801219863812311</v>
      </c>
      <c r="R74">
        <f t="shared" si="2"/>
        <v>0.53830015794655872</v>
      </c>
      <c r="S74">
        <f t="shared" si="2"/>
        <v>0.53890159170175578</v>
      </c>
    </row>
    <row r="75" spans="1:48" x14ac:dyDescent="0.25">
      <c r="A75" t="s">
        <v>25</v>
      </c>
      <c r="G75">
        <f t="shared" ref="G75:S75" si="3">G45/G33</f>
        <v>1.1055487289060215</v>
      </c>
      <c r="H75">
        <f t="shared" si="3"/>
        <v>1.1185703499706279</v>
      </c>
      <c r="I75">
        <f t="shared" si="3"/>
        <v>1.1217011354388799</v>
      </c>
      <c r="J75">
        <f t="shared" si="3"/>
        <v>1.1134708033721539</v>
      </c>
      <c r="K75">
        <f t="shared" si="3"/>
        <v>1.1049780207854765</v>
      </c>
      <c r="L75">
        <f t="shared" si="3"/>
        <v>1.0986107111550207</v>
      </c>
      <c r="M75">
        <f t="shared" si="3"/>
        <v>1.0910979528401656</v>
      </c>
      <c r="N75">
        <f t="shared" si="3"/>
        <v>1.0813348305380992</v>
      </c>
      <c r="O75">
        <f t="shared" si="3"/>
        <v>1.0689376091817437</v>
      </c>
      <c r="P75">
        <f t="shared" si="3"/>
        <v>1.0473738881747496</v>
      </c>
      <c r="Q75">
        <f t="shared" si="3"/>
        <v>1.0256601644780907</v>
      </c>
      <c r="R75">
        <f t="shared" si="3"/>
        <v>1.0044083709996816</v>
      </c>
      <c r="S75">
        <f t="shared" si="3"/>
        <v>0.98972551211720661</v>
      </c>
    </row>
    <row r="76" spans="1:48" x14ac:dyDescent="0.25">
      <c r="A76" t="s">
        <v>26</v>
      </c>
      <c r="G76">
        <f t="shared" ref="G76:S76" si="4">G46/G34</f>
        <v>0.20456646710444229</v>
      </c>
      <c r="H76">
        <f t="shared" si="4"/>
        <v>0.19888224141975661</v>
      </c>
      <c r="I76">
        <f t="shared" si="4"/>
        <v>0.19375639902395297</v>
      </c>
      <c r="J76">
        <f t="shared" si="4"/>
        <v>0.18808324197470375</v>
      </c>
      <c r="K76">
        <f t="shared" si="4"/>
        <v>0.18238672612082221</v>
      </c>
      <c r="L76">
        <f t="shared" si="4"/>
        <v>0.1775137533372533</v>
      </c>
      <c r="M76">
        <f t="shared" si="4"/>
        <v>0.17276836434818868</v>
      </c>
      <c r="N76">
        <f t="shared" si="4"/>
        <v>0.1829969692555744</v>
      </c>
      <c r="O76">
        <f t="shared" si="4"/>
        <v>0.1859620517052345</v>
      </c>
      <c r="P76">
        <f t="shared" si="4"/>
        <v>0.18260863071741745</v>
      </c>
      <c r="Q76">
        <f t="shared" si="4"/>
        <v>0.17850910058898953</v>
      </c>
      <c r="R76">
        <f t="shared" si="4"/>
        <v>0.17317680483278103</v>
      </c>
      <c r="S76">
        <f t="shared" si="4"/>
        <v>0.18184415083492442</v>
      </c>
    </row>
    <row r="77" spans="1:48" x14ac:dyDescent="0.25">
      <c r="A77" t="s">
        <v>27</v>
      </c>
      <c r="G77">
        <f t="shared" ref="G77:S77" si="5">G47/G35</f>
        <v>0.43875649452872417</v>
      </c>
      <c r="H77">
        <f t="shared" si="5"/>
        <v>0.42569562225681673</v>
      </c>
      <c r="I77">
        <f t="shared" si="5"/>
        <v>0.4137579698663349</v>
      </c>
      <c r="J77">
        <f t="shared" si="5"/>
        <v>0.40104037671133125</v>
      </c>
      <c r="K77">
        <f t="shared" si="5"/>
        <v>0.38921608943746239</v>
      </c>
      <c r="L77">
        <f t="shared" si="5"/>
        <v>0.37770794878335551</v>
      </c>
      <c r="M77">
        <f t="shared" si="5"/>
        <v>0.36635535175225659</v>
      </c>
      <c r="N77">
        <f t="shared" si="5"/>
        <v>0.38310615146274329</v>
      </c>
      <c r="O77">
        <f t="shared" si="5"/>
        <v>0.38705984726633619</v>
      </c>
      <c r="P77">
        <f t="shared" si="5"/>
        <v>0.3799026692768861</v>
      </c>
      <c r="Q77">
        <f t="shared" si="5"/>
        <v>0.37160726794795257</v>
      </c>
      <c r="R77">
        <f t="shared" si="5"/>
        <v>0.36095706490340262</v>
      </c>
      <c r="S77">
        <f t="shared" si="5"/>
        <v>0.34792356679938441</v>
      </c>
    </row>
    <row r="78" spans="1:48" x14ac:dyDescent="0.25">
      <c r="A78" t="s">
        <v>28</v>
      </c>
      <c r="G78">
        <f t="shared" ref="G78:S78" si="6">G48/G36</f>
        <v>0.18911629471627608</v>
      </c>
      <c r="H78">
        <f t="shared" si="6"/>
        <v>0.18282142585222835</v>
      </c>
      <c r="I78">
        <f t="shared" si="6"/>
        <v>0.17691805013070053</v>
      </c>
      <c r="J78">
        <f t="shared" si="6"/>
        <v>0.17011493380611778</v>
      </c>
      <c r="K78">
        <f t="shared" si="6"/>
        <v>0.16386478203893809</v>
      </c>
      <c r="L78">
        <f t="shared" si="6"/>
        <v>0.15822851525705209</v>
      </c>
      <c r="M78">
        <f t="shared" si="6"/>
        <v>0.15281886177345055</v>
      </c>
      <c r="N78">
        <f t="shared" si="6"/>
        <v>0.14994364544862557</v>
      </c>
      <c r="O78">
        <f t="shared" si="6"/>
        <v>0.14593542779362551</v>
      </c>
      <c r="P78">
        <f t="shared" si="6"/>
        <v>0.13982916010062663</v>
      </c>
      <c r="Q78">
        <f t="shared" si="6"/>
        <v>0.13407908392587414</v>
      </c>
      <c r="R78">
        <f t="shared" si="6"/>
        <v>0.12805023521360787</v>
      </c>
      <c r="S78">
        <f t="shared" si="6"/>
        <v>0.12459817088072676</v>
      </c>
    </row>
    <row r="79" spans="1:48" x14ac:dyDescent="0.25">
      <c r="A79" t="s">
        <v>29</v>
      </c>
      <c r="G79">
        <f t="shared" ref="G79:S79" si="7">G49/G37</f>
        <v>0.17302897401701514</v>
      </c>
      <c r="H79">
        <f t="shared" si="7"/>
        <v>0.17451759679121737</v>
      </c>
      <c r="I79">
        <f t="shared" si="7"/>
        <v>0.17523220377403445</v>
      </c>
      <c r="J79">
        <f t="shared" si="7"/>
        <v>0.17413585691368805</v>
      </c>
      <c r="K79">
        <f t="shared" si="7"/>
        <v>0.17379697354725906</v>
      </c>
      <c r="L79">
        <f t="shared" si="7"/>
        <v>0.17445922199678035</v>
      </c>
      <c r="M79">
        <f t="shared" si="7"/>
        <v>0.17582107280817444</v>
      </c>
      <c r="N79">
        <f t="shared" si="7"/>
        <v>0.16907881592270782</v>
      </c>
      <c r="O79">
        <f t="shared" si="7"/>
        <v>0.16284689853481304</v>
      </c>
      <c r="P79">
        <f t="shared" si="7"/>
        <v>0.15747841462393344</v>
      </c>
      <c r="Q79">
        <f t="shared" si="7"/>
        <v>0.15195990745460153</v>
      </c>
      <c r="R79">
        <f t="shared" si="7"/>
        <v>0.14653536327264469</v>
      </c>
      <c r="S79">
        <f t="shared" si="7"/>
        <v>0.14290819003168387</v>
      </c>
    </row>
    <row r="80" spans="1:48" x14ac:dyDescent="0.25">
      <c r="A80" t="s">
        <v>30</v>
      </c>
    </row>
    <row r="81" spans="1:19" x14ac:dyDescent="0.25">
      <c r="A81" t="s">
        <v>31</v>
      </c>
      <c r="G81" s="3" t="e">
        <f>G59*#REF!/G65</f>
        <v>#REF!</v>
      </c>
      <c r="H81" s="3" t="e">
        <f>H59*#REF!/H65</f>
        <v>#REF!</v>
      </c>
      <c r="I81" s="3" t="e">
        <f>I59*#REF!/I65</f>
        <v>#REF!</v>
      </c>
      <c r="J81" s="3" t="e">
        <f>J59*#REF!/J65</f>
        <v>#REF!</v>
      </c>
      <c r="K81" s="3" t="e">
        <f>K59*#REF!/K65</f>
        <v>#REF!</v>
      </c>
      <c r="L81" s="3" t="e">
        <f>L59*#REF!/L65</f>
        <v>#REF!</v>
      </c>
      <c r="M81" s="3" t="e">
        <f>M59*#REF!/M65</f>
        <v>#REF!</v>
      </c>
      <c r="N81" s="3" t="e">
        <f>N59*#REF!/N65</f>
        <v>#REF!</v>
      </c>
      <c r="O81" s="3" t="e">
        <f>O59*#REF!/O65</f>
        <v>#REF!</v>
      </c>
      <c r="P81" s="3" t="e">
        <f>P59*#REF!/P65</f>
        <v>#REF!</v>
      </c>
      <c r="Q81" s="3" t="e">
        <f>Q59*#REF!/Q65</f>
        <v>#REF!</v>
      </c>
      <c r="R81" s="3" t="e">
        <f>R59*#REF!/R65</f>
        <v>#REF!</v>
      </c>
      <c r="S81" s="3" t="e">
        <f>S59*#REF!/S65</f>
        <v>#REF!</v>
      </c>
    </row>
    <row r="82" spans="1:19" x14ac:dyDescent="0.25">
      <c r="A82" t="s">
        <v>32</v>
      </c>
      <c r="G82" s="3" t="e">
        <f>G60*#REF!/G66</f>
        <v>#REF!</v>
      </c>
      <c r="H82" s="3" t="e">
        <f>H60*#REF!/H66</f>
        <v>#REF!</v>
      </c>
      <c r="I82" s="3" t="e">
        <f>I60*#REF!/I66</f>
        <v>#REF!</v>
      </c>
      <c r="J82" s="3" t="e">
        <f>J60*#REF!/J66</f>
        <v>#REF!</v>
      </c>
      <c r="K82" s="3" t="e">
        <f>K60*#REF!/K66</f>
        <v>#REF!</v>
      </c>
      <c r="L82" s="3" t="e">
        <f>L60*#REF!/L66</f>
        <v>#REF!</v>
      </c>
      <c r="M82" s="3" t="e">
        <f>M60*#REF!/M66</f>
        <v>#REF!</v>
      </c>
      <c r="N82" s="3" t="e">
        <f>N60*#REF!/N66</f>
        <v>#REF!</v>
      </c>
      <c r="O82" s="3" t="e">
        <f>O60*#REF!/O66</f>
        <v>#REF!</v>
      </c>
      <c r="P82" s="3" t="e">
        <f>P60*#REF!/P66</f>
        <v>#REF!</v>
      </c>
      <c r="Q82" s="3" t="e">
        <f>Q60*#REF!/Q66</f>
        <v>#REF!</v>
      </c>
      <c r="R82" s="3" t="e">
        <f>R60*#REF!/R66</f>
        <v>#REF!</v>
      </c>
      <c r="S82" s="3" t="e">
        <f>S60*#REF!/S66</f>
        <v>#REF!</v>
      </c>
    </row>
    <row r="83" spans="1:19" x14ac:dyDescent="0.25">
      <c r="A83" t="s">
        <v>33</v>
      </c>
      <c r="G83" s="3" t="e">
        <f>G61*#REF!/G67</f>
        <v>#REF!</v>
      </c>
      <c r="H83" s="3" t="e">
        <f>H61*#REF!/H67</f>
        <v>#REF!</v>
      </c>
      <c r="I83" s="3" t="e">
        <f>I61*#REF!/I67</f>
        <v>#REF!</v>
      </c>
      <c r="J83" s="3" t="e">
        <f>J61*#REF!/J67</f>
        <v>#REF!</v>
      </c>
      <c r="K83" s="3" t="e">
        <f>K61*#REF!/K67</f>
        <v>#REF!</v>
      </c>
      <c r="L83" s="3" t="e">
        <f>L61*#REF!/L67</f>
        <v>#REF!</v>
      </c>
      <c r="M83" s="3" t="e">
        <f>M61*#REF!/M67</f>
        <v>#REF!</v>
      </c>
      <c r="N83" s="3" t="e">
        <f>N61*#REF!/N67</f>
        <v>#REF!</v>
      </c>
      <c r="O83" s="3" t="e">
        <f>O61*#REF!/O67</f>
        <v>#REF!</v>
      </c>
      <c r="P83" s="3" t="e">
        <f>P61*#REF!/P67</f>
        <v>#REF!</v>
      </c>
      <c r="Q83" s="3" t="e">
        <f>Q61*#REF!/Q67</f>
        <v>#REF!</v>
      </c>
      <c r="R83" s="3" t="e">
        <f>R61*#REF!/R67</f>
        <v>#REF!</v>
      </c>
      <c r="S83" s="3" t="e">
        <f>S61*#REF!/S67</f>
        <v>#REF!</v>
      </c>
    </row>
    <row r="84" spans="1:19" x14ac:dyDescent="0.25">
      <c r="A84" t="s">
        <v>34</v>
      </c>
      <c r="G84" s="3" t="e">
        <f>G62*#REF!/G68</f>
        <v>#REF!</v>
      </c>
      <c r="H84" s="3" t="e">
        <f>H62*#REF!/H68</f>
        <v>#REF!</v>
      </c>
      <c r="I84" s="3" t="e">
        <f>I62*#REF!/I68</f>
        <v>#REF!</v>
      </c>
      <c r="J84" s="3" t="e">
        <f>J62*#REF!/J68</f>
        <v>#REF!</v>
      </c>
      <c r="K84" s="3" t="e">
        <f>K62*#REF!/K68</f>
        <v>#REF!</v>
      </c>
      <c r="L84" s="3" t="e">
        <f>L62*#REF!/L68</f>
        <v>#REF!</v>
      </c>
      <c r="M84" s="3" t="e">
        <f>M62*#REF!/M68</f>
        <v>#REF!</v>
      </c>
      <c r="N84" s="3" t="e">
        <f>N62*#REF!/N68</f>
        <v>#REF!</v>
      </c>
      <c r="O84" s="3" t="e">
        <f>O62*#REF!/O68</f>
        <v>#REF!</v>
      </c>
      <c r="P84" s="3" t="e">
        <f>P62*#REF!/P68</f>
        <v>#REF!</v>
      </c>
      <c r="Q84" s="3" t="e">
        <f>Q62*#REF!/Q68</f>
        <v>#REF!</v>
      </c>
      <c r="R84" s="3" t="e">
        <f>R62*#REF!/R68</f>
        <v>#REF!</v>
      </c>
      <c r="S84" s="3" t="e">
        <f>S62*#REF!/S68</f>
        <v>#REF!</v>
      </c>
    </row>
    <row r="85" spans="1:19" x14ac:dyDescent="0.25">
      <c r="A85" t="s">
        <v>35</v>
      </c>
      <c r="G85" s="3" t="e">
        <f>G63*#REF!/G69</f>
        <v>#REF!</v>
      </c>
      <c r="H85" s="3" t="e">
        <f>H63*#REF!/H69</f>
        <v>#REF!</v>
      </c>
      <c r="I85" s="3" t="e">
        <f>I63*#REF!/I69</f>
        <v>#REF!</v>
      </c>
      <c r="J85" s="3" t="e">
        <f>J63*#REF!/J69</f>
        <v>#REF!</v>
      </c>
      <c r="K85" s="3" t="e">
        <f>K63*#REF!/K69</f>
        <v>#REF!</v>
      </c>
      <c r="L85" s="3" t="e">
        <f>L63*#REF!/L69</f>
        <v>#REF!</v>
      </c>
      <c r="M85" s="3" t="e">
        <f>M63*#REF!/M69</f>
        <v>#REF!</v>
      </c>
      <c r="N85" s="3" t="e">
        <f>N63*#REF!/N69</f>
        <v>#REF!</v>
      </c>
      <c r="O85" s="3" t="e">
        <f>O63*#REF!/O69</f>
        <v>#REF!</v>
      </c>
      <c r="P85" s="3" t="e">
        <f>P63*#REF!/P69</f>
        <v>#REF!</v>
      </c>
      <c r="Q85" s="3" t="e">
        <f>Q63*#REF!/Q69</f>
        <v>#REF!</v>
      </c>
      <c r="R85" s="3" t="e">
        <f>R63*#REF!/R69</f>
        <v>#REF!</v>
      </c>
      <c r="S85" s="3" t="e">
        <f>S63*#REF!/S69</f>
        <v>#REF!</v>
      </c>
    </row>
    <row r="86" spans="1:19" x14ac:dyDescent="0.25">
      <c r="A86" t="s">
        <v>36</v>
      </c>
      <c r="G86" t="e">
        <f>(G44+G58*#REF!)/(G32+G64)</f>
        <v>#REF!</v>
      </c>
      <c r="H86" t="e">
        <f>(H44+H58*#REF!)/(H32+H64)</f>
        <v>#REF!</v>
      </c>
      <c r="I86" t="e">
        <f>(I44+I58*#REF!)/(I32+I64)</f>
        <v>#REF!</v>
      </c>
      <c r="J86" t="e">
        <f>(J44+J58*#REF!)/(J32+J64)</f>
        <v>#REF!</v>
      </c>
      <c r="K86" t="e">
        <f>(K44+K58*#REF!)/(K32+K64)</f>
        <v>#REF!</v>
      </c>
      <c r="L86" t="e">
        <f>(L44+L58*#REF!)/(L32+L64)</f>
        <v>#REF!</v>
      </c>
      <c r="M86" t="e">
        <f>(M44+M58*#REF!)/(M32+M64)</f>
        <v>#REF!</v>
      </c>
      <c r="N86" t="e">
        <f>(N44+N58*#REF!)/(N32+N64)</f>
        <v>#REF!</v>
      </c>
      <c r="O86" t="e">
        <f>(O44+O58*#REF!)/(O32+O64)</f>
        <v>#REF!</v>
      </c>
      <c r="P86" t="e">
        <f>(P44+P58*#REF!)/(P32+P64)</f>
        <v>#REF!</v>
      </c>
      <c r="Q86" t="e">
        <f>(Q44+Q58*#REF!)/(Q32+Q64)</f>
        <v>#REF!</v>
      </c>
      <c r="R86" t="e">
        <f>(R44+R58*#REF!)/(R32+R64)</f>
        <v>#REF!</v>
      </c>
      <c r="S86" t="e">
        <f>(S44+S58*#REF!)/(S32+S64)</f>
        <v>#REF!</v>
      </c>
    </row>
    <row r="87" spans="1:19" x14ac:dyDescent="0.25">
      <c r="A87" t="s">
        <v>37</v>
      </c>
      <c r="G87" t="e">
        <f>(G45+G59*#REF!)/(G33+G65)</f>
        <v>#REF!</v>
      </c>
      <c r="H87" t="e">
        <f>(H45+H59*#REF!)/(H33+H65)</f>
        <v>#REF!</v>
      </c>
      <c r="I87" t="e">
        <f>(I45+I59*#REF!)/(I33+I65)</f>
        <v>#REF!</v>
      </c>
      <c r="J87" t="e">
        <f>(J45+J59*#REF!)/(J33+J65)</f>
        <v>#REF!</v>
      </c>
      <c r="K87" t="e">
        <f>(K45+K59*#REF!)/(K33+K65)</f>
        <v>#REF!</v>
      </c>
      <c r="L87" t="e">
        <f>(L45+L59*#REF!)/(L33+L65)</f>
        <v>#REF!</v>
      </c>
      <c r="M87" t="e">
        <f>(M45+M59*#REF!)/(M33+M65)</f>
        <v>#REF!</v>
      </c>
      <c r="N87" t="e">
        <f>(N45+N59*#REF!)/(N33+N65)</f>
        <v>#REF!</v>
      </c>
      <c r="O87" t="e">
        <f>(O45+O59*#REF!)/(O33+O65)</f>
        <v>#REF!</v>
      </c>
      <c r="P87" t="e">
        <f>(P45+P59*#REF!)/(P33+P65)</f>
        <v>#REF!</v>
      </c>
      <c r="Q87" t="e">
        <f>(Q45+Q59*#REF!)/(Q33+Q65)</f>
        <v>#REF!</v>
      </c>
      <c r="R87" t="e">
        <f>(R45+R59*#REF!)/(R33+R65)</f>
        <v>#REF!</v>
      </c>
      <c r="S87" t="e">
        <f>(S45+S59*#REF!)/(S33+S65)</f>
        <v>#REF!</v>
      </c>
    </row>
    <row r="88" spans="1:19" x14ac:dyDescent="0.25">
      <c r="A88" t="s">
        <v>38</v>
      </c>
      <c r="G88" t="e">
        <f>(G46+G60*#REF!)/(G34+G66)</f>
        <v>#REF!</v>
      </c>
      <c r="H88" t="e">
        <f>(H46+H60*#REF!)/(H34+H66)</f>
        <v>#REF!</v>
      </c>
      <c r="I88" t="e">
        <f>(I46+I60*#REF!)/(I34+I66)</f>
        <v>#REF!</v>
      </c>
      <c r="J88" t="e">
        <f>(J46+J60*#REF!)/(J34+J66)</f>
        <v>#REF!</v>
      </c>
      <c r="K88" t="e">
        <f>(K46+K60*#REF!)/(K34+K66)</f>
        <v>#REF!</v>
      </c>
      <c r="L88" t="e">
        <f>(L46+L60*#REF!)/(L34+L66)</f>
        <v>#REF!</v>
      </c>
      <c r="M88" t="e">
        <f>(M46+M60*#REF!)/(M34+M66)</f>
        <v>#REF!</v>
      </c>
      <c r="N88" t="e">
        <f>(N46+N60*#REF!)/(N34+N66)</f>
        <v>#REF!</v>
      </c>
      <c r="O88" t="e">
        <f>(O46+O60*#REF!)/(O34+O66)</f>
        <v>#REF!</v>
      </c>
      <c r="P88" t="e">
        <f>(P46+P60*#REF!)/(P34+P66)</f>
        <v>#REF!</v>
      </c>
      <c r="Q88" t="e">
        <f>(Q46+Q60*#REF!)/(Q34+Q66)</f>
        <v>#REF!</v>
      </c>
      <c r="R88" t="e">
        <f>(R46+R60*#REF!)/(R34+R66)</f>
        <v>#REF!</v>
      </c>
      <c r="S88" t="e">
        <f>(S46+S60*#REF!)/(S34+S66)</f>
        <v>#REF!</v>
      </c>
    </row>
    <row r="89" spans="1:19" x14ac:dyDescent="0.25">
      <c r="A89" t="s">
        <v>39</v>
      </c>
      <c r="G89" t="e">
        <f>(G47+G61*#REF!)/(G35+G67)</f>
        <v>#REF!</v>
      </c>
      <c r="H89" t="e">
        <f>(H47+H61*#REF!)/(H35+H67)</f>
        <v>#REF!</v>
      </c>
      <c r="I89" t="e">
        <f>(I47+I61*#REF!)/(I35+I67)</f>
        <v>#REF!</v>
      </c>
      <c r="J89" t="e">
        <f>(J47+J61*#REF!)/(J35+J67)</f>
        <v>#REF!</v>
      </c>
      <c r="K89" t="e">
        <f>(K47+K61*#REF!)/(K35+K67)</f>
        <v>#REF!</v>
      </c>
      <c r="L89" t="e">
        <f>(L47+L61*#REF!)/(L35+L67)</f>
        <v>#REF!</v>
      </c>
      <c r="M89" t="e">
        <f>(M47+M61*#REF!)/(M35+M67)</f>
        <v>#REF!</v>
      </c>
      <c r="N89" t="e">
        <f>(N47+N61*#REF!)/(N35+N67)</f>
        <v>#REF!</v>
      </c>
      <c r="O89" t="e">
        <f>(O47+O61*#REF!)/(O35+O67)</f>
        <v>#REF!</v>
      </c>
      <c r="P89" t="e">
        <f>(P47+P61*#REF!)/(P35+P67)</f>
        <v>#REF!</v>
      </c>
      <c r="Q89" t="e">
        <f>(Q47+Q61*#REF!)/(Q35+Q67)</f>
        <v>#REF!</v>
      </c>
      <c r="R89" t="e">
        <f>(R47+R61*#REF!)/(R35+R67)</f>
        <v>#REF!</v>
      </c>
      <c r="S89" t="e">
        <f>(S47+S61*#REF!)/(S35+S67)</f>
        <v>#REF!</v>
      </c>
    </row>
    <row r="90" spans="1:19" x14ac:dyDescent="0.25">
      <c r="A90" t="s">
        <v>40</v>
      </c>
      <c r="G90" t="e">
        <f>(G48+G62*#REF!)/(G36+G68)</f>
        <v>#REF!</v>
      </c>
      <c r="H90" t="e">
        <f>(H48+H62*#REF!)/(H36+H68)</f>
        <v>#REF!</v>
      </c>
      <c r="I90" t="e">
        <f>(I48+I62*#REF!)/(I36+I68)</f>
        <v>#REF!</v>
      </c>
      <c r="J90" t="e">
        <f>(J48+J62*#REF!)/(J36+J68)</f>
        <v>#REF!</v>
      </c>
      <c r="K90" t="e">
        <f>(K48+K62*#REF!)/(K36+K68)</f>
        <v>#REF!</v>
      </c>
      <c r="L90" t="e">
        <f>(L48+L62*#REF!)/(L36+L68)</f>
        <v>#REF!</v>
      </c>
      <c r="M90" t="e">
        <f>(M48+M62*#REF!)/(M36+M68)</f>
        <v>#REF!</v>
      </c>
      <c r="N90" t="e">
        <f>(N48+N62*#REF!)/(N36+N68)</f>
        <v>#REF!</v>
      </c>
      <c r="O90" t="e">
        <f>(O48+O62*#REF!)/(O36+O68)</f>
        <v>#REF!</v>
      </c>
      <c r="P90" t="e">
        <f>(P48+P62*#REF!)/(P36+P68)</f>
        <v>#REF!</v>
      </c>
      <c r="Q90" t="e">
        <f>(Q48+Q62*#REF!)/(Q36+Q68)</f>
        <v>#REF!</v>
      </c>
      <c r="R90" t="e">
        <f>(R48+R62*#REF!)/(R36+R68)</f>
        <v>#REF!</v>
      </c>
      <c r="S90" t="e">
        <f>(S48+S62*#REF!)/(S36+S68)</f>
        <v>#REF!</v>
      </c>
    </row>
    <row r="91" spans="1:19" x14ac:dyDescent="0.25">
      <c r="A91" t="s">
        <v>41</v>
      </c>
      <c r="G91" t="e">
        <f>(G49+G63*#REF!)/(G37+G69)</f>
        <v>#REF!</v>
      </c>
      <c r="H91" t="e">
        <f>(H49+H63*#REF!)/(H37+H69)</f>
        <v>#REF!</v>
      </c>
      <c r="I91" t="e">
        <f>(I49+I63*#REF!)/(I37+I69)</f>
        <v>#REF!</v>
      </c>
      <c r="J91" t="e">
        <f>(J49+J63*#REF!)/(J37+J69)</f>
        <v>#REF!</v>
      </c>
      <c r="K91" t="e">
        <f>(K49+K63*#REF!)/(K37+K69)</f>
        <v>#REF!</v>
      </c>
      <c r="L91" t="e">
        <f>(L49+L63*#REF!)/(L37+L69)</f>
        <v>#REF!</v>
      </c>
      <c r="M91" t="e">
        <f>(M49+M63*#REF!)/(M37+M69)</f>
        <v>#REF!</v>
      </c>
      <c r="N91" t="e">
        <f>(N49+N63*#REF!)/(N37+N69)</f>
        <v>#REF!</v>
      </c>
      <c r="O91" t="e">
        <f>(O49+O63*#REF!)/(O37+O69)</f>
        <v>#REF!</v>
      </c>
      <c r="P91" t="e">
        <f>(P49+P63*#REF!)/(P37+P69)</f>
        <v>#REF!</v>
      </c>
      <c r="Q91" t="e">
        <f>(Q49+Q63*#REF!)/(Q37+Q69)</f>
        <v>#REF!</v>
      </c>
      <c r="R91" t="e">
        <f>(R49+R63*#REF!)/(R37+R69)</f>
        <v>#REF!</v>
      </c>
      <c r="S91" t="e">
        <f>(S49+S63*#REF!)/(S37+S69)</f>
        <v>#REF!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3E9BC-48E1-491D-8C99-B254D9113E5C}">
  <dimension ref="A1:AW21"/>
  <sheetViews>
    <sheetView tabSelected="1" workbookViewId="0">
      <pane xSplit="1" ySplit="1" topLeftCell="J2" activePane="bottomRight" state="frozen"/>
      <selection pane="topRight" activeCell="B1" sqref="B1"/>
      <selection pane="bottomLeft" activeCell="A2" sqref="A2"/>
      <selection pane="bottomRight" activeCell="AW9" sqref="AW9:AW13"/>
    </sheetView>
  </sheetViews>
  <sheetFormatPr baseColWidth="10" defaultRowHeight="15" x14ac:dyDescent="0.25"/>
  <cols>
    <col min="1" max="1" width="17" customWidth="1"/>
  </cols>
  <sheetData>
    <row r="1" spans="1:49" x14ac:dyDescent="0.25">
      <c r="B1">
        <v>2004</v>
      </c>
      <c r="C1">
        <v>2005</v>
      </c>
      <c r="D1">
        <v>2006</v>
      </c>
      <c r="E1">
        <v>2007</v>
      </c>
      <c r="F1">
        <v>2008</v>
      </c>
      <c r="G1">
        <v>2009</v>
      </c>
      <c r="H1">
        <v>2010</v>
      </c>
      <c r="I1">
        <v>2011</v>
      </c>
      <c r="J1">
        <v>2012</v>
      </c>
      <c r="K1">
        <v>2013</v>
      </c>
      <c r="L1">
        <v>2014</v>
      </c>
      <c r="M1">
        <v>2015</v>
      </c>
      <c r="N1">
        <v>2016</v>
      </c>
      <c r="O1">
        <v>2017</v>
      </c>
      <c r="P1">
        <v>2018</v>
      </c>
      <c r="Q1">
        <v>2019</v>
      </c>
      <c r="R1">
        <v>2020</v>
      </c>
      <c r="S1">
        <v>2021</v>
      </c>
      <c r="T1">
        <v>2022</v>
      </c>
      <c r="U1">
        <v>2023</v>
      </c>
      <c r="V1">
        <v>2024</v>
      </c>
      <c r="W1">
        <v>2025</v>
      </c>
      <c r="X1">
        <v>2026</v>
      </c>
      <c r="Y1">
        <v>2027</v>
      </c>
      <c r="Z1">
        <v>2028</v>
      </c>
      <c r="AA1">
        <v>2029</v>
      </c>
      <c r="AB1">
        <v>2030</v>
      </c>
      <c r="AC1">
        <v>2031</v>
      </c>
      <c r="AD1">
        <v>2032</v>
      </c>
      <c r="AE1">
        <v>2033</v>
      </c>
      <c r="AF1">
        <v>2034</v>
      </c>
      <c r="AG1">
        <v>2035</v>
      </c>
      <c r="AH1">
        <v>2036</v>
      </c>
      <c r="AI1">
        <v>2037</v>
      </c>
      <c r="AJ1">
        <v>2038</v>
      </c>
      <c r="AK1">
        <v>2039</v>
      </c>
      <c r="AL1">
        <v>2040</v>
      </c>
      <c r="AM1">
        <v>2041</v>
      </c>
      <c r="AN1">
        <v>2042</v>
      </c>
      <c r="AO1">
        <v>2043</v>
      </c>
      <c r="AP1">
        <v>2044</v>
      </c>
      <c r="AQ1">
        <v>2045</v>
      </c>
      <c r="AR1">
        <v>2046</v>
      </c>
      <c r="AS1">
        <v>2047</v>
      </c>
      <c r="AT1">
        <v>2048</v>
      </c>
      <c r="AU1">
        <v>2049</v>
      </c>
      <c r="AV1">
        <v>2050</v>
      </c>
      <c r="AW1" t="s">
        <v>67</v>
      </c>
    </row>
    <row r="2" spans="1:49" x14ac:dyDescent="0.25">
      <c r="A2" t="s">
        <v>42</v>
      </c>
      <c r="B2">
        <f>Feuil1!B14-Feuil1!B8</f>
        <v>0</v>
      </c>
      <c r="C2">
        <f>Feuil1!C14-Feuil1!C8</f>
        <v>0</v>
      </c>
      <c r="D2">
        <f>Feuil1!D14-Feuil1!D8</f>
        <v>0</v>
      </c>
      <c r="E2">
        <f>Feuil1!E14-Feuil1!E8</f>
        <v>0</v>
      </c>
      <c r="F2">
        <f>Feuil1!F14-Feuil1!F8</f>
        <v>0</v>
      </c>
      <c r="G2">
        <f>Feuil1!G14-Feuil1!G8</f>
        <v>0</v>
      </c>
      <c r="H2">
        <f>Feuil1!H14-Feuil1!H8</f>
        <v>0</v>
      </c>
      <c r="I2">
        <f>Feuil1!I14-Feuil1!I8</f>
        <v>0</v>
      </c>
      <c r="J2">
        <f>Feuil1!J14-Feuil1!J8</f>
        <v>0</v>
      </c>
      <c r="K2">
        <f>Feuil1!K14-Feuil1!K8</f>
        <v>0</v>
      </c>
      <c r="L2">
        <f>Feuil1!L14-Feuil1!L8</f>
        <v>0</v>
      </c>
      <c r="M2">
        <f>Feuil1!M14-Feuil1!M8</f>
        <v>0</v>
      </c>
      <c r="N2">
        <f>Feuil1!N14-Feuil1!N8</f>
        <v>0</v>
      </c>
      <c r="O2">
        <f>Feuil1!O14-Feuil1!O8</f>
        <v>0</v>
      </c>
      <c r="P2">
        <f>Feuil1!P14-Feuil1!P8</f>
        <v>0</v>
      </c>
      <c r="Q2">
        <f>Feuil1!Q14-Feuil1!Q8</f>
        <v>0</v>
      </c>
      <c r="R2">
        <f>Feuil1!R14-Feuil1!R8</f>
        <v>0</v>
      </c>
      <c r="S2">
        <f>Feuil1!S14-Feuil1!S8</f>
        <v>0</v>
      </c>
      <c r="T2">
        <f>Feuil1!T14-Feuil1!T8</f>
        <v>0</v>
      </c>
      <c r="U2">
        <f>Feuil1!U14-Feuil1!U8</f>
        <v>1.8499999990262417E-8</v>
      </c>
      <c r="V2">
        <f>Feuil1!V14-Feuil1!V8</f>
        <v>-111.93291399999976</v>
      </c>
      <c r="W2">
        <f>Feuil1!W14-Feuil1!W8</f>
        <v>-189.71313299999974</v>
      </c>
      <c r="X2">
        <f>Feuil1!X14-Feuil1!X8</f>
        <v>-193.00465980000001</v>
      </c>
      <c r="Y2">
        <f>Feuil1!Y14-Feuil1!Y8</f>
        <v>-216.79537689999995</v>
      </c>
      <c r="Z2">
        <f>Feuil1!Z14-Feuil1!Z8</f>
        <v>-229.93629110000006</v>
      </c>
      <c r="AA2">
        <f>Feuil1!AA14-Feuil1!AA8</f>
        <v>-244.07088419999991</v>
      </c>
      <c r="AB2">
        <f>Feuil1!AB14-Feuil1!AB8</f>
        <v>-243.57215530000008</v>
      </c>
      <c r="AC2">
        <f>Feuil1!AC14-Feuil1!AC8</f>
        <v>-264.49580289999994</v>
      </c>
      <c r="AD2">
        <f>Feuil1!AD14-Feuil1!AD8</f>
        <v>-270.53257429999996</v>
      </c>
      <c r="AE2">
        <f>Feuil1!AE14-Feuil1!AE8</f>
        <v>-274.28759460000003</v>
      </c>
      <c r="AF2">
        <f>Feuil1!AF14-Feuil1!AF8</f>
        <v>-277.2465122000001</v>
      </c>
      <c r="AG2">
        <f>Feuil1!AG14-Feuil1!AG8</f>
        <v>-282.27465699999993</v>
      </c>
      <c r="AH2">
        <f>Feuil1!AH14-Feuil1!AH8</f>
        <v>-298.48150529999998</v>
      </c>
      <c r="AI2">
        <f>Feuil1!AI14-Feuil1!AI8</f>
        <v>-300.00553690000004</v>
      </c>
      <c r="AJ2">
        <f>Feuil1!AJ14-Feuil1!AJ8</f>
        <v>-303.01085920000014</v>
      </c>
      <c r="AK2">
        <f>Feuil1!AK14-Feuil1!AK8</f>
        <v>-306.75476700000002</v>
      </c>
      <c r="AL2">
        <f>Feuil1!AL14-Feuil1!AL8</f>
        <v>-310.67957349999995</v>
      </c>
      <c r="AM2">
        <f>Feuil1!AM14-Feuil1!AM8</f>
        <v>-280.40031340000007</v>
      </c>
      <c r="AN2">
        <f>Feuil1!AN14-Feuil1!AN8</f>
        <v>-273.35881270000004</v>
      </c>
      <c r="AO2">
        <f>Feuil1!AO14-Feuil1!AO8</f>
        <v>-272.44339500000001</v>
      </c>
      <c r="AP2">
        <f>Feuil1!AP14-Feuil1!AP8</f>
        <v>-272.32959679999999</v>
      </c>
      <c r="AQ2">
        <f>Feuil1!AQ14-Feuil1!AQ8</f>
        <v>-271.82226379999997</v>
      </c>
      <c r="AR2">
        <f>Feuil1!AR14-Feuil1!AR8</f>
        <v>-266.39315759999999</v>
      </c>
      <c r="AS2">
        <f>Feuil1!AS14-Feuil1!AS8</f>
        <v>-265.2150433999999</v>
      </c>
      <c r="AT2">
        <f>Feuil1!AT14-Feuil1!AT8</f>
        <v>-263.34954459999994</v>
      </c>
      <c r="AU2">
        <f>Feuil1!AU14-Feuil1!AU8</f>
        <v>-265.77095959999997</v>
      </c>
      <c r="AV2">
        <f>Feuil1!AV14-Feuil1!AV8</f>
        <v>-262.70799729999999</v>
      </c>
    </row>
    <row r="3" spans="1:49" x14ac:dyDescent="0.25">
      <c r="A3" t="s">
        <v>43</v>
      </c>
      <c r="B3">
        <f>Feuil1!B15-Feuil1!B9</f>
        <v>0</v>
      </c>
      <c r="C3">
        <f>Feuil1!C15-Feuil1!C9</f>
        <v>0</v>
      </c>
      <c r="D3">
        <f>Feuil1!D15-Feuil1!D9</f>
        <v>0</v>
      </c>
      <c r="E3">
        <f>Feuil1!E15-Feuil1!E9</f>
        <v>0</v>
      </c>
      <c r="F3">
        <f>Feuil1!F15-Feuil1!F9</f>
        <v>0</v>
      </c>
      <c r="G3">
        <f>Feuil1!G15-Feuil1!G9</f>
        <v>0</v>
      </c>
      <c r="H3">
        <f>Feuil1!H15-Feuil1!H9</f>
        <v>0</v>
      </c>
      <c r="I3">
        <f>Feuil1!I15-Feuil1!I9</f>
        <v>0</v>
      </c>
      <c r="J3">
        <f>Feuil1!J15-Feuil1!J9</f>
        <v>0</v>
      </c>
      <c r="K3">
        <f>Feuil1!K15-Feuil1!K9</f>
        <v>0</v>
      </c>
      <c r="L3">
        <f>Feuil1!L15-Feuil1!L9</f>
        <v>0</v>
      </c>
      <c r="M3">
        <f>Feuil1!M15-Feuil1!M9</f>
        <v>0</v>
      </c>
      <c r="N3">
        <f>Feuil1!N15-Feuil1!N9</f>
        <v>0</v>
      </c>
      <c r="O3">
        <f>Feuil1!O15-Feuil1!O9</f>
        <v>0</v>
      </c>
      <c r="P3">
        <f>Feuil1!P15-Feuil1!P9</f>
        <v>0</v>
      </c>
      <c r="Q3">
        <f>Feuil1!Q15-Feuil1!Q9</f>
        <v>0</v>
      </c>
      <c r="R3">
        <f>Feuil1!R15-Feuil1!R9</f>
        <v>0</v>
      </c>
      <c r="S3">
        <f>Feuil1!S15-Feuil1!S9</f>
        <v>0</v>
      </c>
      <c r="T3">
        <f>Feuil1!T15-Feuil1!T9</f>
        <v>0</v>
      </c>
      <c r="U3">
        <f>Feuil1!U15-Feuil1!U9</f>
        <v>1099.8488689000001</v>
      </c>
      <c r="V3">
        <f>Feuil1!V15-Feuil1!V9</f>
        <v>1074.2693919999999</v>
      </c>
      <c r="W3">
        <f>Feuil1!W15-Feuil1!W9</f>
        <v>1062.5203630000001</v>
      </c>
      <c r="X3">
        <f>Feuil1!X15-Feuil1!X9</f>
        <v>1064.1567336000001</v>
      </c>
      <c r="Y3">
        <f>Feuil1!Y15-Feuil1!Y9</f>
        <v>1058.3446242999999</v>
      </c>
      <c r="Z3">
        <f>Feuil1!Z15-Feuil1!Z9</f>
        <v>1052.9528946</v>
      </c>
      <c r="AA3">
        <f>Feuil1!AA15-Feuil1!AA9</f>
        <v>1046.0037425</v>
      </c>
      <c r="AB3">
        <f>Feuil1!AB15-Feuil1!AB9</f>
        <v>1042.1368344999998</v>
      </c>
      <c r="AC3">
        <f>Feuil1!AC15-Feuil1!AC9</f>
        <v>1032.7485725000001</v>
      </c>
      <c r="AD3">
        <f>Feuil1!AD15-Feuil1!AD9</f>
        <v>1025.7396866000001</v>
      </c>
      <c r="AE3">
        <f>Feuil1!AE15-Feuil1!AE9</f>
        <v>1019.2609298999998</v>
      </c>
      <c r="AF3">
        <f>Feuil1!AF15-Feuil1!AF9</f>
        <v>1013.0209648</v>
      </c>
      <c r="AG3">
        <f>Feuil1!AG15-Feuil1!AG9</f>
        <v>1006.3437997000001</v>
      </c>
      <c r="AH3">
        <f>Feuil1!AH15-Feuil1!AH9</f>
        <v>1002.3635758</v>
      </c>
      <c r="AI3">
        <f>Feuil1!AI15-Feuil1!AI9</f>
        <v>997.11402350000003</v>
      </c>
      <c r="AJ3">
        <f>Feuil1!AJ15-Feuil1!AJ9</f>
        <v>990.48190369999998</v>
      </c>
      <c r="AK3">
        <f>Feuil1!AK15-Feuil1!AK9</f>
        <v>984.42708949999997</v>
      </c>
      <c r="AL3">
        <f>Feuil1!AL15-Feuil1!AL9</f>
        <v>978.07608349999998</v>
      </c>
      <c r="AM3">
        <f>Feuil1!AM15-Feuil1!AM9</f>
        <v>976.09623690000001</v>
      </c>
      <c r="AN3">
        <f>Feuil1!AN15-Feuil1!AN9</f>
        <v>972.03710940000008</v>
      </c>
      <c r="AO3">
        <f>Feuil1!AO15-Feuil1!AO9</f>
        <v>965.56351989999996</v>
      </c>
      <c r="AP3">
        <f>Feuil1!AP15-Feuil1!AP9</f>
        <v>959.54199390000008</v>
      </c>
      <c r="AQ3">
        <f>Feuil1!AQ15-Feuil1!AQ9</f>
        <v>953.43758899999989</v>
      </c>
      <c r="AR3">
        <f>Feuil1!AR15-Feuil1!AR9</f>
        <v>952.25204580000013</v>
      </c>
      <c r="AS3">
        <f>Feuil1!AS15-Feuil1!AS9</f>
        <v>947.04024749999996</v>
      </c>
      <c r="AT3">
        <f>Feuil1!AT15-Feuil1!AT9</f>
        <v>942.12314650000008</v>
      </c>
      <c r="AU3">
        <f>Feuil1!AU15-Feuil1!AU9</f>
        <v>935.44536050000011</v>
      </c>
      <c r="AV3">
        <f>Feuil1!AV15-Feuil1!AV9</f>
        <v>931.10912620000011</v>
      </c>
    </row>
    <row r="4" spans="1:49" x14ac:dyDescent="0.25">
      <c r="A4" t="s">
        <v>44</v>
      </c>
      <c r="B4">
        <f>Feuil1!B16-Feuil1!B10</f>
        <v>0</v>
      </c>
      <c r="C4">
        <f>Feuil1!C16-Feuil1!C10</f>
        <v>0</v>
      </c>
      <c r="D4">
        <f>Feuil1!D16-Feuil1!D10</f>
        <v>0</v>
      </c>
      <c r="E4">
        <f>Feuil1!E16-Feuil1!E10</f>
        <v>0</v>
      </c>
      <c r="F4">
        <f>Feuil1!F16-Feuil1!F10</f>
        <v>0</v>
      </c>
      <c r="G4">
        <f>Feuil1!G16-Feuil1!G10</f>
        <v>0</v>
      </c>
      <c r="H4">
        <f>Feuil1!H16-Feuil1!H10</f>
        <v>0</v>
      </c>
      <c r="I4">
        <f>Feuil1!I16-Feuil1!I10</f>
        <v>0</v>
      </c>
      <c r="J4">
        <f>Feuil1!J16-Feuil1!J10</f>
        <v>0</v>
      </c>
      <c r="K4">
        <f>Feuil1!K16-Feuil1!K10</f>
        <v>0</v>
      </c>
      <c r="L4">
        <f>Feuil1!L16-Feuil1!L10</f>
        <v>0</v>
      </c>
      <c r="M4">
        <f>Feuil1!M16-Feuil1!M10</f>
        <v>0</v>
      </c>
      <c r="N4">
        <f>Feuil1!N16-Feuil1!N10</f>
        <v>0</v>
      </c>
      <c r="O4">
        <f>Feuil1!O16-Feuil1!O10</f>
        <v>0</v>
      </c>
      <c r="P4">
        <f>Feuil1!P16-Feuil1!P10</f>
        <v>0</v>
      </c>
      <c r="Q4">
        <f>Feuil1!Q16-Feuil1!Q10</f>
        <v>0</v>
      </c>
      <c r="R4">
        <f>Feuil1!R16-Feuil1!R10</f>
        <v>0</v>
      </c>
      <c r="S4">
        <f>Feuil1!S16-Feuil1!S10</f>
        <v>0</v>
      </c>
      <c r="T4">
        <f>Feuil1!T16-Feuil1!T10</f>
        <v>0</v>
      </c>
      <c r="U4">
        <f>Feuil1!U16-Feuil1!U10</f>
        <v>158.07326539999997</v>
      </c>
      <c r="V4">
        <f>Feuil1!V16-Feuil1!V10</f>
        <v>1.1699999999392752E-7</v>
      </c>
      <c r="W4">
        <f>Feuil1!W16-Feuil1!W10</f>
        <v>2.5010000000158517E-7</v>
      </c>
      <c r="X4">
        <f>Feuil1!X16-Feuil1!X10</f>
        <v>169.88158292700001</v>
      </c>
      <c r="Y4">
        <f>Feuil1!Y16-Feuil1!Y10</f>
        <v>159.70690497000001</v>
      </c>
      <c r="Z4">
        <f>Feuil1!Z16-Feuil1!Z10</f>
        <v>155.00921777000002</v>
      </c>
      <c r="AA4">
        <f>Feuil1!AA16-Feuil1!AA10</f>
        <v>151.87809011000002</v>
      </c>
      <c r="AB4">
        <f>Feuil1!AB16-Feuil1!AB10</f>
        <v>149.77038493000001</v>
      </c>
      <c r="AC4">
        <f>Feuil1!AC16-Feuil1!AC10</f>
        <v>148.61468120000001</v>
      </c>
      <c r="AD4">
        <f>Feuil1!AD16-Feuil1!AD10</f>
        <v>145.10719205000001</v>
      </c>
      <c r="AE4">
        <f>Feuil1!AE16-Feuil1!AE10</f>
        <v>141.93345708000001</v>
      </c>
      <c r="AF4">
        <f>Feuil1!AF16-Feuil1!AF10</f>
        <v>139.02217181999998</v>
      </c>
      <c r="AG4">
        <f>Feuil1!AG16-Feuil1!AG10</f>
        <v>136.13527740999999</v>
      </c>
      <c r="AH4">
        <f>Feuil1!AH16-Feuil1!AH10</f>
        <v>133.09572649999998</v>
      </c>
      <c r="AI4">
        <f>Feuil1!AI16-Feuil1!AI10</f>
        <v>130.21025080000001</v>
      </c>
      <c r="AJ4">
        <f>Feuil1!AJ16-Feuil1!AJ10</f>
        <v>127.6407147</v>
      </c>
      <c r="AK4">
        <f>Feuil1!AK16-Feuil1!AK10</f>
        <v>124.86569920000001</v>
      </c>
      <c r="AL4">
        <f>Feuil1!AL16-Feuil1!AL10</f>
        <v>122.081968</v>
      </c>
      <c r="AM4">
        <f>Feuil1!AM16-Feuil1!AM10</f>
        <v>119.50009230000002</v>
      </c>
      <c r="AN4">
        <f>Feuil1!AN16-Feuil1!AN10</f>
        <v>117.69186999999999</v>
      </c>
      <c r="AO4">
        <f>Feuil1!AO16-Feuil1!AO10</f>
        <v>115.2386006</v>
      </c>
      <c r="AP4">
        <f>Feuil1!AP16-Feuil1!AP10</f>
        <v>112.7267459</v>
      </c>
      <c r="AQ4">
        <f>Feuil1!AQ16-Feuil1!AQ10</f>
        <v>110.12031400000001</v>
      </c>
      <c r="AR4">
        <f>Feuil1!AR16-Feuil1!AR10</f>
        <v>108.35813299999998</v>
      </c>
      <c r="AS4">
        <f>Feuil1!AS16-Feuil1!AS10</f>
        <v>106.10956600000002</v>
      </c>
      <c r="AT4">
        <f>Feuil1!AT16-Feuil1!AT10</f>
        <v>103.8675367</v>
      </c>
      <c r="AU4">
        <f>Feuil1!AU16-Feuil1!AU10</f>
        <v>101.1132307</v>
      </c>
      <c r="AV4">
        <f>Feuil1!AV16-Feuil1!AV10</f>
        <v>99.1234599</v>
      </c>
    </row>
    <row r="5" spans="1:49" x14ac:dyDescent="0.25">
      <c r="A5" t="s">
        <v>45</v>
      </c>
      <c r="B5">
        <f>Feuil1!B17-Feuil1!B11</f>
        <v>0</v>
      </c>
      <c r="C5">
        <f>Feuil1!C17-Feuil1!C11</f>
        <v>0</v>
      </c>
      <c r="D5">
        <f>Feuil1!D17-Feuil1!D11</f>
        <v>0</v>
      </c>
      <c r="E5">
        <f>Feuil1!E17-Feuil1!E11</f>
        <v>0</v>
      </c>
      <c r="F5">
        <f>Feuil1!F17-Feuil1!F11</f>
        <v>0</v>
      </c>
      <c r="G5">
        <f>Feuil1!G17-Feuil1!G11</f>
        <v>0</v>
      </c>
      <c r="H5">
        <f>Feuil1!H17-Feuil1!H11</f>
        <v>0</v>
      </c>
      <c r="I5">
        <f>Feuil1!I17-Feuil1!I11</f>
        <v>0</v>
      </c>
      <c r="J5">
        <f>Feuil1!J17-Feuil1!J11</f>
        <v>0</v>
      </c>
      <c r="K5">
        <f>Feuil1!K17-Feuil1!K11</f>
        <v>0</v>
      </c>
      <c r="L5">
        <f>Feuil1!L17-Feuil1!L11</f>
        <v>0</v>
      </c>
      <c r="M5">
        <f>Feuil1!M17-Feuil1!M11</f>
        <v>0</v>
      </c>
      <c r="N5">
        <f>Feuil1!N17-Feuil1!N11</f>
        <v>0</v>
      </c>
      <c r="O5">
        <f>Feuil1!O17-Feuil1!O11</f>
        <v>0</v>
      </c>
      <c r="P5">
        <f>Feuil1!P17-Feuil1!P11</f>
        <v>0</v>
      </c>
      <c r="Q5">
        <f>Feuil1!Q17-Feuil1!Q11</f>
        <v>0</v>
      </c>
      <c r="R5">
        <f>Feuil1!R17-Feuil1!R11</f>
        <v>0</v>
      </c>
      <c r="S5">
        <f>Feuil1!S17-Feuil1!S11</f>
        <v>0</v>
      </c>
      <c r="T5">
        <f>Feuil1!T17-Feuil1!T11</f>
        <v>0</v>
      </c>
      <c r="U5">
        <f>Feuil1!U17-Feuil1!U11</f>
        <v>33.80281690000001</v>
      </c>
      <c r="V5">
        <f>Feuil1!V17-Feuil1!V11</f>
        <v>1.1699999999392752E-7</v>
      </c>
      <c r="W5">
        <f>Feuil1!W17-Feuil1!W11</f>
        <v>2.5010000000158517E-7</v>
      </c>
      <c r="X5">
        <f>Feuil1!X17-Feuil1!X11</f>
        <v>22.936150749999996</v>
      </c>
      <c r="Y5">
        <f>Feuil1!Y17-Feuil1!Y11</f>
        <v>19.821346650000002</v>
      </c>
      <c r="Z5">
        <f>Feuil1!Z17-Feuil1!Z11</f>
        <v>17.787333509999996</v>
      </c>
      <c r="AA5">
        <f>Feuil1!AA17-Feuil1!AA11</f>
        <v>15.875822459999995</v>
      </c>
      <c r="AB5">
        <f>Feuil1!AB17-Feuil1!AB11</f>
        <v>14.748016570000004</v>
      </c>
      <c r="AC5">
        <f>Feuil1!AC17-Feuil1!AC11</f>
        <v>12.813873609999995</v>
      </c>
      <c r="AD5">
        <f>Feuil1!AD17-Feuil1!AD11</f>
        <v>11.419330440000003</v>
      </c>
      <c r="AE5">
        <f>Feuil1!AE17-Feuil1!AE11</f>
        <v>10.130294030000002</v>
      </c>
      <c r="AF5">
        <f>Feuil1!AF17-Feuil1!AF11</f>
        <v>8.90675624</v>
      </c>
      <c r="AG5">
        <f>Feuil1!AG17-Feuil1!AG11</f>
        <v>7.6018505500000018</v>
      </c>
      <c r="AH5">
        <f>Feuil1!AH17-Feuil1!AH11</f>
        <v>5.9564150299998957</v>
      </c>
      <c r="AI5">
        <f>Feuil1!AI17-Feuil1!AI11</f>
        <v>4.8832845499999991</v>
      </c>
      <c r="AJ5">
        <f>Feuil1!AJ17-Feuil1!AJ11</f>
        <v>3.677253119999996</v>
      </c>
      <c r="AK5">
        <f>Feuil1!AK17-Feuil1!AK11</f>
        <v>2.4255776799999964</v>
      </c>
      <c r="AL5">
        <f>Feuil1!AL17-Feuil1!AL11</f>
        <v>1.1567097200000092</v>
      </c>
      <c r="AM5">
        <f>Feuil1!AM17-Feuil1!AM11</f>
        <v>1.1013263100000046</v>
      </c>
      <c r="AN5">
        <f>Feuil1!AN17-Feuil1!AN11</f>
        <v>0.39088401000000061</v>
      </c>
      <c r="AO5">
        <f>Feuil1!AO17-Feuil1!AO11</f>
        <v>-0.79012370000000232</v>
      </c>
      <c r="AP5">
        <f>Feuil1!AP17-Feuil1!AP11</f>
        <v>-1.9822015700000009</v>
      </c>
      <c r="AQ5">
        <f>Feuil1!AQ17-Feuil1!AQ11</f>
        <v>-3.1868056300000021</v>
      </c>
      <c r="AR5">
        <f>Feuil1!AR17-Feuil1!AR11</f>
        <v>-4.5866028599999993</v>
      </c>
      <c r="AS5">
        <f>Feuil1!AS17-Feuil1!AS11</f>
        <v>-5.7454825400000047</v>
      </c>
      <c r="AT5">
        <f>Feuil1!AT17-Feuil1!AT11</f>
        <v>-6.882665259999996</v>
      </c>
      <c r="AU5">
        <f>Feuil1!AU17-Feuil1!AU11</f>
        <v>-8.3763246500000008</v>
      </c>
      <c r="AV5">
        <f>Feuil1!AV17-Feuil1!AV11</f>
        <v>-9.3822501100000011</v>
      </c>
    </row>
    <row r="6" spans="1:49" x14ac:dyDescent="0.25">
      <c r="A6" t="s">
        <v>46</v>
      </c>
      <c r="B6">
        <f>Feuil1!B18-Feuil1!B12</f>
        <v>0</v>
      </c>
      <c r="C6">
        <f>Feuil1!C18-Feuil1!C12</f>
        <v>0</v>
      </c>
      <c r="D6">
        <f>Feuil1!D18-Feuil1!D12</f>
        <v>0</v>
      </c>
      <c r="E6">
        <f>Feuil1!E18-Feuil1!E12</f>
        <v>0</v>
      </c>
      <c r="F6">
        <f>Feuil1!F18-Feuil1!F12</f>
        <v>0</v>
      </c>
      <c r="G6">
        <f>Feuil1!G18-Feuil1!G12</f>
        <v>0</v>
      </c>
      <c r="H6">
        <f>Feuil1!H18-Feuil1!H12</f>
        <v>0</v>
      </c>
      <c r="I6">
        <f>Feuil1!I18-Feuil1!I12</f>
        <v>0</v>
      </c>
      <c r="J6">
        <f>Feuil1!J18-Feuil1!J12</f>
        <v>0</v>
      </c>
      <c r="K6">
        <f>Feuil1!K18-Feuil1!K12</f>
        <v>0</v>
      </c>
      <c r="L6">
        <f>Feuil1!L18-Feuil1!L12</f>
        <v>0</v>
      </c>
      <c r="M6">
        <f>Feuil1!M18-Feuil1!M12</f>
        <v>0</v>
      </c>
      <c r="N6">
        <f>Feuil1!N18-Feuil1!N12</f>
        <v>0</v>
      </c>
      <c r="O6">
        <f>Feuil1!O18-Feuil1!O12</f>
        <v>0</v>
      </c>
      <c r="P6">
        <f>Feuil1!P18-Feuil1!P12</f>
        <v>0</v>
      </c>
      <c r="Q6">
        <f>Feuil1!Q18-Feuil1!Q12</f>
        <v>0</v>
      </c>
      <c r="R6">
        <f>Feuil1!R18-Feuil1!R12</f>
        <v>0</v>
      </c>
      <c r="S6">
        <f>Feuil1!S18-Feuil1!S12</f>
        <v>0</v>
      </c>
      <c r="T6">
        <f>Feuil1!T18-Feuil1!T12</f>
        <v>0</v>
      </c>
      <c r="U6">
        <f>Feuil1!U18-Feuil1!U12</f>
        <v>240.79937869999998</v>
      </c>
      <c r="V6">
        <f>Feuil1!V18-Feuil1!V12</f>
        <v>1.1699999999392752E-7</v>
      </c>
      <c r="W6">
        <f>Feuil1!W18-Feuil1!W12</f>
        <v>2.5010000000158517E-7</v>
      </c>
      <c r="X6">
        <f>Feuil1!X18-Feuil1!X12</f>
        <v>234.46278594000003</v>
      </c>
      <c r="Y6">
        <f>Feuil1!Y18-Feuil1!Y12</f>
        <v>223.91078269999997</v>
      </c>
      <c r="Z6">
        <f>Feuil1!Z18-Feuil1!Z12</f>
        <v>218.70253787000001</v>
      </c>
      <c r="AA6">
        <f>Feuil1!AA18-Feuil1!AA12</f>
        <v>214.61190262000002</v>
      </c>
      <c r="AB6">
        <f>Feuil1!AB18-Feuil1!AB12</f>
        <v>211.60765002000002</v>
      </c>
      <c r="AC6">
        <f>Feuil1!AC18-Feuil1!AC12</f>
        <v>206.10617007999997</v>
      </c>
      <c r="AD6">
        <f>Feuil1!AD18-Feuil1!AD12</f>
        <v>202.85187986</v>
      </c>
      <c r="AE6">
        <f>Feuil1!AE18-Feuil1!AE12</f>
        <v>199.54208376</v>
      </c>
      <c r="AF6">
        <f>Feuil1!AF18-Feuil1!AF12</f>
        <v>196.40071488000001</v>
      </c>
      <c r="AG6">
        <f>Feuil1!AG18-Feuil1!AG12</f>
        <v>193.21107911999999</v>
      </c>
      <c r="AH6">
        <f>Feuil1!AH18-Feuil1!AH12</f>
        <v>189.44817509000001</v>
      </c>
      <c r="AI6">
        <f>Feuil1!AI18-Feuil1!AI12</f>
        <v>186.45103319999998</v>
      </c>
      <c r="AJ6">
        <f>Feuil1!AJ18-Feuil1!AJ12</f>
        <v>183.27464084000002</v>
      </c>
      <c r="AK6">
        <f>Feuil1!AK18-Feuil1!AK12</f>
        <v>179.96105892999998</v>
      </c>
      <c r="AL6">
        <f>Feuil1!AL18-Feuil1!AL12</f>
        <v>176.58112791000002</v>
      </c>
      <c r="AM6">
        <f>Feuil1!AM18-Feuil1!AM12</f>
        <v>174.21324930999998</v>
      </c>
      <c r="AN6">
        <f>Feuil1!AN18-Feuil1!AN12</f>
        <v>171.61523215</v>
      </c>
      <c r="AO6">
        <f>Feuil1!AO18-Feuil1!AO12</f>
        <v>168.09350444</v>
      </c>
      <c r="AP6">
        <f>Feuil1!AP18-Feuil1!AP12</f>
        <v>164.61402428</v>
      </c>
      <c r="AQ6">
        <f>Feuil1!AQ18-Feuil1!AQ12</f>
        <v>160.98352319999998</v>
      </c>
      <c r="AR6">
        <f>Feuil1!AR18-Feuil1!AR12</f>
        <v>157.90912759</v>
      </c>
      <c r="AS6">
        <f>Feuil1!AS18-Feuil1!AS12</f>
        <v>154.53969839000001</v>
      </c>
      <c r="AT6">
        <f>Feuil1!AT18-Feuil1!AT12</f>
        <v>151.12548565</v>
      </c>
      <c r="AU6">
        <f>Feuil1!AU18-Feuil1!AU12</f>
        <v>147.05818056000001</v>
      </c>
      <c r="AV6">
        <f>Feuil1!AV18-Feuil1!AV12</f>
        <v>143.98924278999999</v>
      </c>
    </row>
    <row r="7" spans="1:49" x14ac:dyDescent="0.25">
      <c r="A7" t="s">
        <v>47</v>
      </c>
      <c r="B7">
        <f>Feuil1!B19-Feuil1!B13</f>
        <v>0</v>
      </c>
      <c r="C7">
        <f>Feuil1!C19-Feuil1!C13</f>
        <v>0</v>
      </c>
      <c r="D7">
        <f>Feuil1!D19-Feuil1!D13</f>
        <v>0</v>
      </c>
      <c r="E7">
        <f>Feuil1!E19-Feuil1!E13</f>
        <v>0</v>
      </c>
      <c r="F7">
        <f>Feuil1!F19-Feuil1!F13</f>
        <v>0</v>
      </c>
      <c r="G7">
        <f>Feuil1!G19-Feuil1!G13</f>
        <v>0</v>
      </c>
      <c r="H7">
        <f>Feuil1!H19-Feuil1!H13</f>
        <v>0</v>
      </c>
      <c r="I7">
        <f>Feuil1!I19-Feuil1!I13</f>
        <v>0</v>
      </c>
      <c r="J7">
        <f>Feuil1!J19-Feuil1!J13</f>
        <v>0</v>
      </c>
      <c r="K7">
        <f>Feuil1!K19-Feuil1!K13</f>
        <v>0</v>
      </c>
      <c r="L7">
        <f>Feuil1!L19-Feuil1!L13</f>
        <v>0</v>
      </c>
      <c r="M7">
        <f>Feuil1!M19-Feuil1!M13</f>
        <v>0</v>
      </c>
      <c r="N7">
        <f>Feuil1!N19-Feuil1!N13</f>
        <v>0</v>
      </c>
      <c r="O7">
        <f>Feuil1!O19-Feuil1!O13</f>
        <v>0</v>
      </c>
      <c r="P7">
        <f>Feuil1!P19-Feuil1!P13</f>
        <v>0</v>
      </c>
      <c r="Q7">
        <f>Feuil1!Q19-Feuil1!Q13</f>
        <v>0</v>
      </c>
      <c r="R7">
        <f>Feuil1!R19-Feuil1!R13</f>
        <v>0</v>
      </c>
      <c r="S7">
        <f>Feuil1!S19-Feuil1!S13</f>
        <v>0</v>
      </c>
      <c r="T7">
        <f>Feuil1!T19-Feuil1!T13</f>
        <v>0</v>
      </c>
      <c r="U7">
        <f>Feuil1!U19-Feuil1!U13</f>
        <v>125.88801600000033</v>
      </c>
      <c r="V7">
        <f>Feuil1!V19-Feuil1!V13</f>
        <v>1.1699999999392752E-7</v>
      </c>
      <c r="W7">
        <f>Feuil1!W19-Feuil1!W13</f>
        <v>2.5010000000158517E-7</v>
      </c>
      <c r="X7">
        <f>Feuil1!X19-Feuil1!X13</f>
        <v>13.928763900000035</v>
      </c>
      <c r="Y7">
        <f>Feuil1!Y19-Feuil1!Y13</f>
        <v>-11.456830000000082</v>
      </c>
      <c r="Z7">
        <f>Feuil1!Z19-Feuil1!Z13</f>
        <v>-33.249516999999969</v>
      </c>
      <c r="AA7">
        <f>Feuil1!AA19-Feuil1!AA13</f>
        <v>-57.554916999999932</v>
      </c>
      <c r="AB7">
        <f>Feuil1!AB19-Feuil1!AB13</f>
        <v>-74.477603000000045</v>
      </c>
      <c r="AC7">
        <f>Feuil1!AC19-Feuil1!AC13</f>
        <v>-94.226396000000022</v>
      </c>
      <c r="AD7">
        <f>Feuil1!AD19-Feuil1!AD13</f>
        <v>-113.18977900000004</v>
      </c>
      <c r="AE7">
        <f>Feuil1!AE19-Feuil1!AE13</f>
        <v>-131.14807500000006</v>
      </c>
      <c r="AF7">
        <f>Feuil1!AF19-Feuil1!AF13</f>
        <v>-150.58070500000008</v>
      </c>
      <c r="AG7">
        <f>Feuil1!AG19-Feuil1!AG13</f>
        <v>-170.18301699999984</v>
      </c>
      <c r="AH7">
        <f>Feuil1!AH19-Feuil1!AH13</f>
        <v>-172.25572560000012</v>
      </c>
      <c r="AI7">
        <f>Feuil1!AI19-Feuil1!AI13</f>
        <v>-184.85755630000006</v>
      </c>
      <c r="AJ7">
        <f>Feuil1!AJ19-Feuil1!AJ13</f>
        <v>-199.31309659999999</v>
      </c>
      <c r="AK7">
        <f>Feuil1!AK19-Feuil1!AK13</f>
        <v>-215.45324730000004</v>
      </c>
      <c r="AL7">
        <f>Feuil1!AL19-Feuil1!AL13</f>
        <v>-230.93246510000006</v>
      </c>
      <c r="AM7">
        <f>Feuil1!AM19-Feuil1!AM13</f>
        <v>-228.33085679999988</v>
      </c>
      <c r="AN7">
        <f>Feuil1!AN19-Feuil1!AN13</f>
        <v>-235.89059440000005</v>
      </c>
      <c r="AO7">
        <f>Feuil1!AO19-Feuil1!AO13</f>
        <v>-248.83500769999989</v>
      </c>
      <c r="AP7">
        <f>Feuil1!AP19-Feuil1!AP13</f>
        <v>-262.03799329999993</v>
      </c>
      <c r="AQ7">
        <f>Feuil1!AQ19-Feuil1!AQ13</f>
        <v>-275.12984109999991</v>
      </c>
      <c r="AR7">
        <f>Feuil1!AR19-Feuil1!AR13</f>
        <v>-312.56932289999997</v>
      </c>
      <c r="AS7">
        <f>Feuil1!AS19-Feuil1!AS13</f>
        <v>-328.32622070000002</v>
      </c>
      <c r="AT7">
        <f>Feuil1!AT19-Feuil1!AT13</f>
        <v>-343.50724259999993</v>
      </c>
      <c r="AU7">
        <f>Feuil1!AU19-Feuil1!AU13</f>
        <v>-363.53191900000013</v>
      </c>
      <c r="AV7">
        <f>Feuil1!AV19-Feuil1!AV13</f>
        <v>-377.7751859</v>
      </c>
    </row>
    <row r="8" spans="1:49" x14ac:dyDescent="0.25">
      <c r="A8" t="s">
        <v>11</v>
      </c>
      <c r="B8">
        <f>B2-Feuil1!B2</f>
        <v>0</v>
      </c>
      <c r="C8">
        <f>C2-Feuil1!C2</f>
        <v>0</v>
      </c>
      <c r="D8">
        <f>D2-Feuil1!D2</f>
        <v>0</v>
      </c>
      <c r="E8">
        <f>E2-Feuil1!E2</f>
        <v>0</v>
      </c>
      <c r="F8">
        <f>F2-Feuil1!F2</f>
        <v>0</v>
      </c>
      <c r="G8">
        <f>G2-Feuil1!G2</f>
        <v>0</v>
      </c>
      <c r="H8">
        <f>H2-Feuil1!H2</f>
        <v>0</v>
      </c>
      <c r="I8">
        <f>I2-Feuil1!I2</f>
        <v>0</v>
      </c>
      <c r="J8">
        <f>J2-Feuil1!J2</f>
        <v>0</v>
      </c>
      <c r="K8">
        <f>K2-Feuil1!K2</f>
        <v>0</v>
      </c>
      <c r="L8">
        <f>L2-Feuil1!L2</f>
        <v>0</v>
      </c>
      <c r="M8">
        <f>M2-Feuil1!M2</f>
        <v>0</v>
      </c>
      <c r="N8">
        <f>N2-Feuil1!N2</f>
        <v>0</v>
      </c>
      <c r="O8">
        <f>O2-Feuil1!O2</f>
        <v>0</v>
      </c>
      <c r="P8">
        <f>P2-Feuil1!P2</f>
        <v>0</v>
      </c>
      <c r="Q8">
        <f>Q2-Feuil1!Q2</f>
        <v>0</v>
      </c>
      <c r="R8">
        <f>R2-Feuil1!R2</f>
        <v>0</v>
      </c>
      <c r="S8">
        <f>S2-Feuil1!S2</f>
        <v>0</v>
      </c>
      <c r="T8">
        <f>T2-Feuil1!T2</f>
        <v>0</v>
      </c>
      <c r="U8">
        <f>U2-Feuil1!U2</f>
        <v>1.8499999990262417E-8</v>
      </c>
      <c r="V8">
        <f>V2-Feuil1!V2</f>
        <v>-111.93291399999976</v>
      </c>
      <c r="W8">
        <f>W2-Feuil1!W2</f>
        <v>-189.71313299999974</v>
      </c>
      <c r="X8">
        <f>X2-Feuil1!X2</f>
        <v>-193.00465980000001</v>
      </c>
      <c r="Y8">
        <f>Y2-Feuil1!Y2</f>
        <v>-216.79537689999995</v>
      </c>
      <c r="Z8">
        <f>Z2-Feuil1!Z2</f>
        <v>-229.93629110000006</v>
      </c>
      <c r="AA8">
        <f>AA2-Feuil1!AA2</f>
        <v>-244.07088419999991</v>
      </c>
      <c r="AB8">
        <f>AB2-Feuil1!AB2</f>
        <v>-243.57215530000008</v>
      </c>
      <c r="AC8">
        <f>AC2-Feuil1!AC2</f>
        <v>-264.49580289999994</v>
      </c>
      <c r="AD8">
        <f>AD2-Feuil1!AD2</f>
        <v>-270.53257429999996</v>
      </c>
      <c r="AE8">
        <f>AE2-Feuil1!AE2</f>
        <v>-274.28759460000003</v>
      </c>
      <c r="AF8">
        <f>AF2-Feuil1!AF2</f>
        <v>-277.2465122000001</v>
      </c>
      <c r="AG8">
        <f>AG2-Feuil1!AG2</f>
        <v>-282.27465699999993</v>
      </c>
      <c r="AH8">
        <f>AH2-Feuil1!AH2</f>
        <v>-298.48150529999998</v>
      </c>
      <c r="AI8">
        <f>AI2-Feuil1!AI2</f>
        <v>-300.00553690000004</v>
      </c>
      <c r="AJ8">
        <f>AJ2-Feuil1!AJ2</f>
        <v>-303.01085920000014</v>
      </c>
      <c r="AK8">
        <f>AK2-Feuil1!AK2</f>
        <v>-306.75476700000002</v>
      </c>
      <c r="AL8">
        <f>AL2-Feuil1!AL2</f>
        <v>-310.67957349999995</v>
      </c>
      <c r="AM8">
        <f>AM2-Feuil1!AM2</f>
        <v>-280.40031340000007</v>
      </c>
      <c r="AN8">
        <f>AN2-Feuil1!AN2</f>
        <v>-273.35881270000004</v>
      </c>
      <c r="AO8">
        <f>AO2-Feuil1!AO2</f>
        <v>-272.44339500000001</v>
      </c>
      <c r="AP8">
        <f>AP2-Feuil1!AP2</f>
        <v>-272.32959679999999</v>
      </c>
      <c r="AQ8">
        <f>AQ2-Feuil1!AQ2</f>
        <v>-271.82226379999997</v>
      </c>
      <c r="AR8">
        <f>AR2-Feuil1!AR2</f>
        <v>-266.39315759999999</v>
      </c>
      <c r="AS8">
        <f>AS2-Feuil1!AS2</f>
        <v>-265.2150433999999</v>
      </c>
      <c r="AT8">
        <f>AT2-Feuil1!AT2</f>
        <v>-263.34954459999994</v>
      </c>
      <c r="AU8">
        <f>AU2-Feuil1!AU2</f>
        <v>-265.77095959999997</v>
      </c>
      <c r="AV8">
        <f>AV2-Feuil1!AV2</f>
        <v>-262.70799729999999</v>
      </c>
    </row>
    <row r="9" spans="1:49" s="5" customFormat="1" x14ac:dyDescent="0.25">
      <c r="A9" s="5" t="s">
        <v>12</v>
      </c>
      <c r="B9" s="5">
        <f>B3-Feuil1!B3</f>
        <v>0</v>
      </c>
      <c r="C9" s="5">
        <f>C3-Feuil1!C3</f>
        <v>0</v>
      </c>
      <c r="D9" s="5">
        <f>D3-Feuil1!D3</f>
        <v>0</v>
      </c>
      <c r="E9" s="5">
        <f>E3-Feuil1!E3</f>
        <v>0</v>
      </c>
      <c r="F9" s="5">
        <f>F3-Feuil1!F3</f>
        <v>0</v>
      </c>
      <c r="G9" s="5">
        <f>G3-Feuil1!G3</f>
        <v>0</v>
      </c>
      <c r="H9" s="5">
        <f>H3-Feuil1!H3</f>
        <v>0</v>
      </c>
      <c r="I9" s="5">
        <f>I3-Feuil1!I3</f>
        <v>0</v>
      </c>
      <c r="J9" s="5">
        <f>J3-Feuil1!J3</f>
        <v>0</v>
      </c>
      <c r="K9" s="5">
        <f>K3-Feuil1!K3</f>
        <v>0</v>
      </c>
      <c r="L9" s="5">
        <f>L3-Feuil1!L3</f>
        <v>0</v>
      </c>
      <c r="M9" s="5">
        <f>M3-Feuil1!M3</f>
        <v>0</v>
      </c>
      <c r="N9" s="5">
        <f>N3-Feuil1!N3</f>
        <v>0</v>
      </c>
      <c r="O9" s="5">
        <f>O3-Feuil1!O3</f>
        <v>0</v>
      </c>
      <c r="P9" s="5">
        <f>P3-Feuil1!P3</f>
        <v>0</v>
      </c>
      <c r="Q9" s="5">
        <f>Q3-Feuil1!Q3</f>
        <v>0</v>
      </c>
      <c r="R9" s="5">
        <f>R3-Feuil1!R3</f>
        <v>0</v>
      </c>
      <c r="S9" s="5">
        <f>S3-Feuil1!S3</f>
        <v>0</v>
      </c>
      <c r="T9" s="5">
        <f>T3-Feuil1!T3</f>
        <v>0</v>
      </c>
      <c r="U9" s="5">
        <f>U3-Feuil1!U3</f>
        <v>-32.239287157299941</v>
      </c>
      <c r="V9" s="5">
        <f>V3-Feuil1!V3</f>
        <v>-57.818764057300086</v>
      </c>
      <c r="W9" s="5">
        <f>W3-Feuil1!W3</f>
        <v>-69.567793057299923</v>
      </c>
      <c r="X9" s="5">
        <f>X3-Feuil1!X3</f>
        <v>-67.931422457299959</v>
      </c>
      <c r="Y9" s="5">
        <f>Y3-Feuil1!Y3</f>
        <v>-73.743531757300161</v>
      </c>
      <c r="Z9" s="5">
        <f>Z3-Feuil1!Z3</f>
        <v>-79.135261457299976</v>
      </c>
      <c r="AA9" s="5">
        <f>AA3-Feuil1!AA3</f>
        <v>-86.084413557299968</v>
      </c>
      <c r="AB9" s="5">
        <f>AB3-Feuil1!AB3</f>
        <v>-89.951321557300162</v>
      </c>
      <c r="AC9" s="5">
        <f>AC3-Feuil1!AC3</f>
        <v>-99.339583557299875</v>
      </c>
      <c r="AD9" s="5">
        <f>AD3-Feuil1!AD3</f>
        <v>-106.34846945729987</v>
      </c>
      <c r="AE9" s="5">
        <f>AE3-Feuil1!AE3</f>
        <v>-112.82722615730017</v>
      </c>
      <c r="AF9" s="5">
        <f>AF3-Feuil1!AF3</f>
        <v>-119.06719125730001</v>
      </c>
      <c r="AG9" s="5">
        <f>AG3-Feuil1!AG3</f>
        <v>-125.74435635729992</v>
      </c>
      <c r="AH9" s="5">
        <f>AH3-Feuil1!AH3</f>
        <v>-129.72458025729998</v>
      </c>
      <c r="AI9" s="5">
        <f>AI3-Feuil1!AI3</f>
        <v>-134.97413255729998</v>
      </c>
      <c r="AJ9" s="5">
        <f>AJ3-Feuil1!AJ3</f>
        <v>-141.60625235730004</v>
      </c>
      <c r="AK9" s="5">
        <f>AK3-Feuil1!AK3</f>
        <v>-147.66106655730005</v>
      </c>
      <c r="AL9" s="5">
        <f>AL3-Feuil1!AL3</f>
        <v>-154.01207255730003</v>
      </c>
      <c r="AM9" s="5">
        <f>AM3-Feuil1!AM3</f>
        <v>-155.9919191573</v>
      </c>
      <c r="AN9" s="5">
        <f>AN3-Feuil1!AN3</f>
        <v>-160.05104665729993</v>
      </c>
      <c r="AO9" s="5">
        <f>AO3-Feuil1!AO3</f>
        <v>-166.52463615730005</v>
      </c>
      <c r="AP9" s="5">
        <f>AP3-Feuil1!AP3</f>
        <v>-172.54616215729993</v>
      </c>
      <c r="AQ9" s="5">
        <f>AQ3-Feuil1!AQ3</f>
        <v>-178.65056705730012</v>
      </c>
      <c r="AR9" s="5">
        <f>AR3-Feuil1!AR3</f>
        <v>-179.83611025729988</v>
      </c>
      <c r="AS9" s="5">
        <f>AS3-Feuil1!AS3</f>
        <v>-185.04790855730005</v>
      </c>
      <c r="AT9" s="5">
        <f>AT3-Feuil1!AT3</f>
        <v>-189.96500955729994</v>
      </c>
      <c r="AU9" s="5">
        <f>AU3-Feuil1!AU3</f>
        <v>-196.64279555729991</v>
      </c>
      <c r="AV9" s="5">
        <f>AV3-Feuil1!AV3</f>
        <v>-200.97902985729991</v>
      </c>
      <c r="AW9" s="5">
        <f>SUM(G9:AV9)</f>
        <v>-3614.0119111043996</v>
      </c>
    </row>
    <row r="10" spans="1:49" s="5" customFormat="1" x14ac:dyDescent="0.25">
      <c r="A10" s="5" t="s">
        <v>13</v>
      </c>
      <c r="B10" s="5">
        <f>B4-Feuil1!B4</f>
        <v>0</v>
      </c>
      <c r="C10" s="5">
        <f>C4-Feuil1!C4</f>
        <v>0</v>
      </c>
      <c r="D10" s="5">
        <f>D4-Feuil1!D4</f>
        <v>0</v>
      </c>
      <c r="E10" s="5">
        <f>E4-Feuil1!E4</f>
        <v>0</v>
      </c>
      <c r="F10" s="5">
        <f>F4-Feuil1!F4</f>
        <v>0</v>
      </c>
      <c r="G10" s="5">
        <f>G4-Feuil1!G4</f>
        <v>0</v>
      </c>
      <c r="H10" s="5">
        <f>H4-Feuil1!H4</f>
        <v>0</v>
      </c>
      <c r="I10" s="5">
        <f>I4-Feuil1!I4</f>
        <v>0</v>
      </c>
      <c r="J10" s="5">
        <f>J4-Feuil1!J4</f>
        <v>0</v>
      </c>
      <c r="K10" s="5">
        <f>K4-Feuil1!K4</f>
        <v>0</v>
      </c>
      <c r="L10" s="5">
        <f>L4-Feuil1!L4</f>
        <v>0</v>
      </c>
      <c r="M10" s="5">
        <f>M4-Feuil1!M4</f>
        <v>0</v>
      </c>
      <c r="N10" s="5">
        <f>N4-Feuil1!N4</f>
        <v>0</v>
      </c>
      <c r="O10" s="5">
        <f>O4-Feuil1!O4</f>
        <v>0</v>
      </c>
      <c r="P10" s="5">
        <f>P4-Feuil1!P4</f>
        <v>0</v>
      </c>
      <c r="Q10" s="5">
        <f>Q4-Feuil1!Q4</f>
        <v>0</v>
      </c>
      <c r="R10" s="5">
        <f>R4-Feuil1!R4</f>
        <v>0</v>
      </c>
      <c r="S10" s="5">
        <f>S4-Feuil1!S4</f>
        <v>0</v>
      </c>
      <c r="T10" s="5">
        <f>T4-Feuil1!T4</f>
        <v>0</v>
      </c>
      <c r="U10" s="5">
        <f>U4-Feuil1!U4</f>
        <v>-3.5075975153980323</v>
      </c>
      <c r="V10" s="5">
        <f>V4-Feuil1!V4</f>
        <v>-161.58086279839799</v>
      </c>
      <c r="W10" s="5">
        <f>W4-Feuil1!W4</f>
        <v>-161.58086266529801</v>
      </c>
      <c r="X10" s="5">
        <f>X4-Feuil1!X4</f>
        <v>8.3007200116020101</v>
      </c>
      <c r="Y10" s="5">
        <f>Y4-Feuil1!Y4</f>
        <v>-1.87395794539799</v>
      </c>
      <c r="Z10" s="5">
        <f>Z4-Feuil1!Z4</f>
        <v>-6.5716451453979801</v>
      </c>
      <c r="AA10" s="5">
        <f>AA4-Feuil1!AA4</f>
        <v>-9.7027728053979843</v>
      </c>
      <c r="AB10" s="5">
        <f>AB4-Feuil1!AB4</f>
        <v>-11.810477985397995</v>
      </c>
      <c r="AC10" s="5">
        <f>AC4-Feuil1!AC4</f>
        <v>-12.966181715397994</v>
      </c>
      <c r="AD10" s="5">
        <f>AD4-Feuil1!AD4</f>
        <v>-16.473670865397992</v>
      </c>
      <c r="AE10" s="5">
        <f>AE4-Feuil1!AE4</f>
        <v>-19.64740583539799</v>
      </c>
      <c r="AF10" s="5">
        <f>AF4-Feuil1!AF4</f>
        <v>-22.558691095398018</v>
      </c>
      <c r="AG10" s="5">
        <f>AG4-Feuil1!AG4</f>
        <v>-25.445585505398014</v>
      </c>
      <c r="AH10" s="5">
        <f>AH4-Feuil1!AH4</f>
        <v>-28.485136415398017</v>
      </c>
      <c r="AI10" s="5">
        <f>AI4-Feuil1!AI4</f>
        <v>-31.370612115397989</v>
      </c>
      <c r="AJ10" s="5">
        <f>AJ4-Feuil1!AJ4</f>
        <v>-33.940148215397997</v>
      </c>
      <c r="AK10" s="5">
        <f>AK4-Feuil1!AK4</f>
        <v>-36.715163715397992</v>
      </c>
      <c r="AL10" s="5">
        <f>AL4-Feuil1!AL4</f>
        <v>-39.498894915397997</v>
      </c>
      <c r="AM10" s="5">
        <f>AM4-Feuil1!AM4</f>
        <v>-42.080770615397981</v>
      </c>
      <c r="AN10" s="5">
        <f>AN4-Feuil1!AN4</f>
        <v>-43.888992915398006</v>
      </c>
      <c r="AO10" s="5">
        <f>AO4-Feuil1!AO4</f>
        <v>-46.342262315398003</v>
      </c>
      <c r="AP10" s="5">
        <f>AP4-Feuil1!AP4</f>
        <v>-48.854117015398003</v>
      </c>
      <c r="AQ10" s="5">
        <f>AQ4-Feuil1!AQ4</f>
        <v>-51.460548915397993</v>
      </c>
      <c r="AR10" s="5">
        <f>AR4-Feuil1!AR4</f>
        <v>-53.22272991539802</v>
      </c>
      <c r="AS10" s="5">
        <f>AS4-Feuil1!AS4</f>
        <v>-55.471296915397986</v>
      </c>
      <c r="AT10" s="5">
        <f>AT4-Feuil1!AT4</f>
        <v>-57.713326215397998</v>
      </c>
      <c r="AU10" s="5">
        <f>AU4-Feuil1!AU4</f>
        <v>-60.467632215397998</v>
      </c>
      <c r="AV10" s="5">
        <f>AV4-Feuil1!AV4</f>
        <v>-62.457403015398</v>
      </c>
      <c r="AW10" s="5">
        <f t="shared" ref="AW10:AW13" si="0">SUM(G10:AV10)</f>
        <v>-1137.3880272970443</v>
      </c>
    </row>
    <row r="11" spans="1:49" s="5" customFormat="1" x14ac:dyDescent="0.25">
      <c r="A11" s="5" t="s">
        <v>14</v>
      </c>
      <c r="B11" s="5">
        <f>B5-Feuil1!B5</f>
        <v>0</v>
      </c>
      <c r="C11" s="5">
        <f>C5-Feuil1!C5</f>
        <v>0</v>
      </c>
      <c r="D11" s="5">
        <f>D5-Feuil1!D5</f>
        <v>0</v>
      </c>
      <c r="E11" s="5">
        <f>E5-Feuil1!E5</f>
        <v>0</v>
      </c>
      <c r="F11" s="5">
        <f>F5-Feuil1!F5</f>
        <v>0</v>
      </c>
      <c r="G11" s="5">
        <f>G5-Feuil1!G5</f>
        <v>0</v>
      </c>
      <c r="H11" s="5">
        <f>H5-Feuil1!H5</f>
        <v>0</v>
      </c>
      <c r="I11" s="5">
        <f>I5-Feuil1!I5</f>
        <v>0</v>
      </c>
      <c r="J11" s="5">
        <f>J5-Feuil1!J5</f>
        <v>0</v>
      </c>
      <c r="K11" s="5">
        <f>K5-Feuil1!K5</f>
        <v>0</v>
      </c>
      <c r="L11" s="5">
        <f>L5-Feuil1!L5</f>
        <v>0</v>
      </c>
      <c r="M11" s="5">
        <f>M5-Feuil1!M5</f>
        <v>0</v>
      </c>
      <c r="N11" s="5">
        <f>N5-Feuil1!N5</f>
        <v>0</v>
      </c>
      <c r="O11" s="5">
        <f>O5-Feuil1!O5</f>
        <v>0</v>
      </c>
      <c r="P11" s="5">
        <f>P5-Feuil1!P5</f>
        <v>0</v>
      </c>
      <c r="Q11" s="5">
        <f>Q5-Feuil1!Q5</f>
        <v>0</v>
      </c>
      <c r="R11" s="5">
        <f>R5-Feuil1!R5</f>
        <v>0</v>
      </c>
      <c r="S11" s="5">
        <f>S5-Feuil1!S5</f>
        <v>0</v>
      </c>
      <c r="T11" s="5">
        <f>T5-Feuil1!T5</f>
        <v>0</v>
      </c>
      <c r="U11" s="5">
        <f>U5-Feuil1!U5</f>
        <v>-1.3867142805153918</v>
      </c>
      <c r="V11" s="5">
        <f>V5-Feuil1!V5</f>
        <v>-35.189531063515403</v>
      </c>
      <c r="W11" s="5">
        <f>W5-Feuil1!W5</f>
        <v>-35.189530930415401</v>
      </c>
      <c r="X11" s="5">
        <f>X5-Feuil1!X5</f>
        <v>-12.253380430515406</v>
      </c>
      <c r="Y11" s="5">
        <f>Y5-Feuil1!Y5</f>
        <v>-15.3681845305154</v>
      </c>
      <c r="Z11" s="5">
        <f>Z5-Feuil1!Z5</f>
        <v>-17.402197670515406</v>
      </c>
      <c r="AA11" s="5">
        <f>AA5-Feuil1!AA5</f>
        <v>-19.313708720515407</v>
      </c>
      <c r="AB11" s="5">
        <f>AB5-Feuil1!AB5</f>
        <v>-20.441514610515398</v>
      </c>
      <c r="AC11" s="5">
        <f>AC5-Feuil1!AC5</f>
        <v>-22.375657570515408</v>
      </c>
      <c r="AD11" s="5">
        <f>AD5-Feuil1!AD5</f>
        <v>-23.770200740515399</v>
      </c>
      <c r="AE11" s="5">
        <f>AE5-Feuil1!AE5</f>
        <v>-25.059237150515401</v>
      </c>
      <c r="AF11" s="5">
        <f>AF5-Feuil1!AF5</f>
        <v>-26.282774940515402</v>
      </c>
      <c r="AG11" s="5">
        <f>AG5-Feuil1!AG5</f>
        <v>-27.587680630515401</v>
      </c>
      <c r="AH11" s="5">
        <f>AH5-Feuil1!AH5</f>
        <v>-29.233116150515507</v>
      </c>
      <c r="AI11" s="5">
        <f>AI5-Feuil1!AI5</f>
        <v>-30.306246630515403</v>
      </c>
      <c r="AJ11" s="5">
        <f>AJ5-Feuil1!AJ5</f>
        <v>-31.512278060515406</v>
      </c>
      <c r="AK11" s="5">
        <f>AK5-Feuil1!AK5</f>
        <v>-32.763953500515406</v>
      </c>
      <c r="AL11" s="5">
        <f>AL5-Feuil1!AL5</f>
        <v>-34.032821460515393</v>
      </c>
      <c r="AM11" s="5">
        <f>AM5-Feuil1!AM5</f>
        <v>-34.088204870515398</v>
      </c>
      <c r="AN11" s="5">
        <f>AN5-Feuil1!AN5</f>
        <v>-34.798647170515402</v>
      </c>
      <c r="AO11" s="5">
        <f>AO5-Feuil1!AO5</f>
        <v>-35.979654880515405</v>
      </c>
      <c r="AP11" s="5">
        <f>AP5-Feuil1!AP5</f>
        <v>-37.171732750515403</v>
      </c>
      <c r="AQ11" s="5">
        <f>AQ5-Feuil1!AQ5</f>
        <v>-38.376336810515404</v>
      </c>
      <c r="AR11" s="5">
        <f>AR5-Feuil1!AR5</f>
        <v>-39.776134040515402</v>
      </c>
      <c r="AS11" s="5">
        <f>AS5-Feuil1!AS5</f>
        <v>-40.935013720515407</v>
      </c>
      <c r="AT11" s="5">
        <f>AT5-Feuil1!AT5</f>
        <v>-42.072196440515398</v>
      </c>
      <c r="AU11" s="5">
        <f>AU5-Feuil1!AU5</f>
        <v>-43.565855830515403</v>
      </c>
      <c r="AV11" s="5">
        <f>AV5-Feuil1!AV5</f>
        <v>-44.571781290515403</v>
      </c>
      <c r="AW11" s="5">
        <f t="shared" si="0"/>
        <v>-830.80428687733149</v>
      </c>
    </row>
    <row r="12" spans="1:49" s="5" customFormat="1" x14ac:dyDescent="0.25">
      <c r="A12" s="5" t="s">
        <v>15</v>
      </c>
      <c r="B12" s="5">
        <f>B6-Feuil1!B6</f>
        <v>0</v>
      </c>
      <c r="C12" s="5">
        <f>C6-Feuil1!C6</f>
        <v>0</v>
      </c>
      <c r="D12" s="5">
        <f>D6-Feuil1!D6</f>
        <v>0</v>
      </c>
      <c r="E12" s="5">
        <f>E6-Feuil1!E6</f>
        <v>0</v>
      </c>
      <c r="F12" s="5">
        <f>F6-Feuil1!F6</f>
        <v>0</v>
      </c>
      <c r="G12" s="5">
        <f>G6-Feuil1!G6</f>
        <v>0</v>
      </c>
      <c r="H12" s="5">
        <f>H6-Feuil1!H6</f>
        <v>0</v>
      </c>
      <c r="I12" s="5">
        <f>I6-Feuil1!I6</f>
        <v>0</v>
      </c>
      <c r="J12" s="5">
        <f>J6-Feuil1!J6</f>
        <v>0</v>
      </c>
      <c r="K12" s="5">
        <f>K6-Feuil1!K6</f>
        <v>0</v>
      </c>
      <c r="L12" s="5">
        <f>L6-Feuil1!L6</f>
        <v>0</v>
      </c>
      <c r="M12" s="5">
        <f>M6-Feuil1!M6</f>
        <v>0</v>
      </c>
      <c r="N12" s="5">
        <f>N6-Feuil1!N6</f>
        <v>0</v>
      </c>
      <c r="O12" s="5">
        <f>O6-Feuil1!O6</f>
        <v>0</v>
      </c>
      <c r="P12" s="5">
        <f>P6-Feuil1!P6</f>
        <v>0</v>
      </c>
      <c r="Q12" s="5">
        <f>Q6-Feuil1!Q6</f>
        <v>0</v>
      </c>
      <c r="R12" s="5">
        <f>R6-Feuil1!R6</f>
        <v>0</v>
      </c>
      <c r="S12" s="5">
        <f>S6-Feuil1!S6</f>
        <v>0</v>
      </c>
      <c r="T12" s="5">
        <f>T6-Feuil1!T6</f>
        <v>0</v>
      </c>
      <c r="U12" s="5">
        <f>U6-Feuil1!U6</f>
        <v>-9.672384187549028</v>
      </c>
      <c r="V12" s="5">
        <f>V6-Feuil1!V6</f>
        <v>-250.47176277054899</v>
      </c>
      <c r="W12" s="5">
        <f>W6-Feuil1!W6</f>
        <v>-250.47176263744902</v>
      </c>
      <c r="X12" s="5">
        <f>X6-Feuil1!X6</f>
        <v>-16.008976947548973</v>
      </c>
      <c r="Y12" s="5">
        <f>Y6-Feuil1!Y6</f>
        <v>-26.560980187549035</v>
      </c>
      <c r="Z12" s="5">
        <f>Z6-Feuil1!Z6</f>
        <v>-31.76922501754899</v>
      </c>
      <c r="AA12" s="5">
        <f>AA6-Feuil1!AA6</f>
        <v>-35.859860267548981</v>
      </c>
      <c r="AB12" s="5">
        <f>AB6-Feuil1!AB6</f>
        <v>-38.864112867548982</v>
      </c>
      <c r="AC12" s="5">
        <f>AC6-Feuil1!AC6</f>
        <v>-44.365592807549035</v>
      </c>
      <c r="AD12" s="5">
        <f>AD6-Feuil1!AD6</f>
        <v>-47.619883027549008</v>
      </c>
      <c r="AE12" s="5">
        <f>AE6-Feuil1!AE6</f>
        <v>-50.929679127549008</v>
      </c>
      <c r="AF12" s="5">
        <f>AF6-Feuil1!AF6</f>
        <v>-54.071048007548995</v>
      </c>
      <c r="AG12" s="5">
        <f>AG6-Feuil1!AG6</f>
        <v>-57.260683767549011</v>
      </c>
      <c r="AH12" s="5">
        <f>AH6-Feuil1!AH6</f>
        <v>-61.023587797548998</v>
      </c>
      <c r="AI12" s="5">
        <f>AI6-Feuil1!AI6</f>
        <v>-64.020729687549021</v>
      </c>
      <c r="AJ12" s="5">
        <f>AJ6-Feuil1!AJ6</f>
        <v>-67.197122047548987</v>
      </c>
      <c r="AK12" s="5">
        <f>AK6-Feuil1!AK6</f>
        <v>-70.510703957549026</v>
      </c>
      <c r="AL12" s="5">
        <f>AL6-Feuil1!AL6</f>
        <v>-73.890634977548984</v>
      </c>
      <c r="AM12" s="5">
        <f>AM6-Feuil1!AM6</f>
        <v>-76.258513577549024</v>
      </c>
      <c r="AN12" s="5">
        <f>AN6-Feuil1!AN6</f>
        <v>-78.856530737549008</v>
      </c>
      <c r="AO12" s="5">
        <f>AO6-Feuil1!AO6</f>
        <v>-82.378258447549001</v>
      </c>
      <c r="AP12" s="5">
        <f>AP6-Feuil1!AP6</f>
        <v>-85.85773860754901</v>
      </c>
      <c r="AQ12" s="5">
        <f>AQ6-Feuil1!AQ6</f>
        <v>-89.488239687549026</v>
      </c>
      <c r="AR12" s="5">
        <f>AR6-Feuil1!AR6</f>
        <v>-92.562635297549008</v>
      </c>
      <c r="AS12" s="5">
        <f>AS6-Feuil1!AS6</f>
        <v>-95.932064497548993</v>
      </c>
      <c r="AT12" s="5">
        <f>AT6-Feuil1!AT6</f>
        <v>-99.346277237549003</v>
      </c>
      <c r="AU12" s="5">
        <f>AU6-Feuil1!AU6</f>
        <v>-103.41358232754899</v>
      </c>
      <c r="AV12" s="5">
        <f>AV6-Feuil1!AV6</f>
        <v>-106.48252009754901</v>
      </c>
      <c r="AW12" s="5">
        <f t="shared" si="0"/>
        <v>-2161.1450906042719</v>
      </c>
    </row>
    <row r="13" spans="1:49" s="5" customFormat="1" x14ac:dyDescent="0.25">
      <c r="A13" s="5" t="s">
        <v>16</v>
      </c>
      <c r="B13" s="5">
        <f>B7-Feuil1!B7</f>
        <v>0</v>
      </c>
      <c r="C13" s="5">
        <f>C7-Feuil1!C7</f>
        <v>0</v>
      </c>
      <c r="D13" s="5">
        <f>D7-Feuil1!D7</f>
        <v>0</v>
      </c>
      <c r="E13" s="5">
        <f>E7-Feuil1!E7</f>
        <v>0</v>
      </c>
      <c r="F13" s="5">
        <f>F7-Feuil1!F7</f>
        <v>0</v>
      </c>
      <c r="G13" s="5">
        <f>G7-Feuil1!G7</f>
        <v>0</v>
      </c>
      <c r="H13" s="5">
        <f>H7-Feuil1!H7</f>
        <v>0</v>
      </c>
      <c r="I13" s="5">
        <f>I7-Feuil1!I7</f>
        <v>0</v>
      </c>
      <c r="J13" s="5">
        <f>J7-Feuil1!J7</f>
        <v>0</v>
      </c>
      <c r="K13" s="5">
        <f>K7-Feuil1!K7</f>
        <v>0</v>
      </c>
      <c r="L13" s="5">
        <f>L7-Feuil1!L7</f>
        <v>0</v>
      </c>
      <c r="M13" s="5">
        <f>M7-Feuil1!M7</f>
        <v>0</v>
      </c>
      <c r="N13" s="5">
        <f>N7-Feuil1!N7</f>
        <v>0</v>
      </c>
      <c r="O13" s="5">
        <f>O7-Feuil1!O7</f>
        <v>0</v>
      </c>
      <c r="P13" s="5">
        <f>P7-Feuil1!P7</f>
        <v>0</v>
      </c>
      <c r="Q13" s="5">
        <f>Q7-Feuil1!Q7</f>
        <v>0</v>
      </c>
      <c r="R13" s="5">
        <f>R7-Feuil1!R7</f>
        <v>0</v>
      </c>
      <c r="S13" s="5">
        <f>S7-Feuil1!S7</f>
        <v>0</v>
      </c>
      <c r="T13" s="5">
        <f>T7-Feuil1!T7</f>
        <v>0</v>
      </c>
      <c r="U13" s="5">
        <f>U7-Feuil1!U7</f>
        <v>2.0820427985483292</v>
      </c>
      <c r="V13" s="5">
        <f>V7-Feuil1!V7</f>
        <v>-123.80597308445201</v>
      </c>
      <c r="W13" s="5">
        <f>W7-Feuil1!W7</f>
        <v>-123.805972951352</v>
      </c>
      <c r="X13" s="5">
        <f>X7-Feuil1!X7</f>
        <v>-109.87720930145197</v>
      </c>
      <c r="Y13" s="5">
        <f>Y7-Feuil1!Y7</f>
        <v>-135.26280320145207</v>
      </c>
      <c r="Z13" s="5">
        <f>Z7-Feuil1!Z7</f>
        <v>-157.05549020145196</v>
      </c>
      <c r="AA13" s="5">
        <f>AA7-Feuil1!AA7</f>
        <v>-181.36089020145192</v>
      </c>
      <c r="AB13" s="5">
        <f>AB7-Feuil1!AB7</f>
        <v>-198.28357620145204</v>
      </c>
      <c r="AC13" s="5">
        <f>AC7-Feuil1!AC7</f>
        <v>-218.03236920145201</v>
      </c>
      <c r="AD13" s="5">
        <f>AD7-Feuil1!AD7</f>
        <v>-236.99575220145204</v>
      </c>
      <c r="AE13" s="5">
        <f>AE7-Feuil1!AE7</f>
        <v>-254.95404820145205</v>
      </c>
      <c r="AF13" s="5">
        <f>AF7-Feuil1!AF7</f>
        <v>-274.38667820145207</v>
      </c>
      <c r="AG13" s="5">
        <f>AG7-Feuil1!AG7</f>
        <v>-293.98899020145183</v>
      </c>
      <c r="AH13" s="5">
        <f>AH7-Feuil1!AH7</f>
        <v>-296.06169880145211</v>
      </c>
      <c r="AI13" s="5">
        <f>AI7-Feuil1!AI7</f>
        <v>-308.66352950145205</v>
      </c>
      <c r="AJ13" s="5">
        <f>AJ7-Feuil1!AJ7</f>
        <v>-323.11906980145199</v>
      </c>
      <c r="AK13" s="5">
        <f>AK7-Feuil1!AK7</f>
        <v>-339.25922050145203</v>
      </c>
      <c r="AL13" s="5">
        <f>AL7-Feuil1!AL7</f>
        <v>-354.73843830145205</v>
      </c>
      <c r="AM13" s="5">
        <f>AM7-Feuil1!AM7</f>
        <v>-352.13683000145187</v>
      </c>
      <c r="AN13" s="5">
        <f>AN7-Feuil1!AN7</f>
        <v>-359.69656760145205</v>
      </c>
      <c r="AO13" s="5">
        <f>AO7-Feuil1!AO7</f>
        <v>-372.64098090145188</v>
      </c>
      <c r="AP13" s="5">
        <f>AP7-Feuil1!AP7</f>
        <v>-385.84396650145192</v>
      </c>
      <c r="AQ13" s="5">
        <f>AQ7-Feuil1!AQ7</f>
        <v>-398.9358143014519</v>
      </c>
      <c r="AR13" s="5">
        <f>AR7-Feuil1!AR7</f>
        <v>-436.37529610145197</v>
      </c>
      <c r="AS13" s="5">
        <f>AS7-Feuil1!AS7</f>
        <v>-452.13219390145201</v>
      </c>
      <c r="AT13" s="5">
        <f>AT7-Feuil1!AT7</f>
        <v>-467.31321580145192</v>
      </c>
      <c r="AU13" s="5">
        <f>AU7-Feuil1!AU7</f>
        <v>-487.33789220145212</v>
      </c>
      <c r="AV13" s="5">
        <f>AV7-Feuil1!AV7</f>
        <v>-501.58115910145199</v>
      </c>
      <c r="AW13" s="5">
        <f t="shared" si="0"/>
        <v>-8141.5635836735555</v>
      </c>
    </row>
    <row r="14" spans="1:49" x14ac:dyDescent="0.25">
      <c r="A14" t="s">
        <v>59</v>
      </c>
      <c r="G14">
        <f>SUM(Feuil1!G3:G7)-G8</f>
        <v>0</v>
      </c>
      <c r="H14">
        <f>SUM(Feuil1!H3:H7)-H8</f>
        <v>0</v>
      </c>
      <c r="I14">
        <f>SUM(Feuil1!I3:I7)-I8</f>
        <v>0</v>
      </c>
      <c r="J14">
        <f>SUM(Feuil1!J3:J7)-J8</f>
        <v>0</v>
      </c>
      <c r="K14">
        <f>SUM(Feuil1!K3:K7)-K8</f>
        <v>0</v>
      </c>
      <c r="L14">
        <f>SUM(Feuil1!L3:L7)-L8</f>
        <v>0</v>
      </c>
      <c r="M14">
        <f>SUM(Feuil1!M3:M7)-M8</f>
        <v>0</v>
      </c>
      <c r="N14">
        <f>SUM(Feuil1!N3:N7)-N8</f>
        <v>0</v>
      </c>
      <c r="O14">
        <f>SUM(Feuil1!O3:O7)-O8</f>
        <v>0</v>
      </c>
      <c r="P14">
        <f>SUM(Feuil1!P3:P7)-P8</f>
        <v>0</v>
      </c>
      <c r="Q14">
        <f>SUM(Feuil1!Q3:Q7)-Q8</f>
        <v>0</v>
      </c>
      <c r="R14">
        <f>SUM(Feuil1!R3:R7)-R8</f>
        <v>0</v>
      </c>
      <c r="S14">
        <f>SUM(Feuil1!S3:S7)-S8</f>
        <v>0</v>
      </c>
      <c r="T14">
        <f>SUM(Feuil1!T3:T7)-T8</f>
        <v>0</v>
      </c>
      <c r="U14">
        <f>SUM(Feuil1!U3:U7)-U8</f>
        <v>1703.1362862237143</v>
      </c>
      <c r="V14">
        <f>SUM(Feuil1!V3:V7)-V8</f>
        <v>1815.069200242214</v>
      </c>
      <c r="W14">
        <f>SUM(Feuil1!W3:W7)-W8</f>
        <v>1892.849419242214</v>
      </c>
      <c r="X14">
        <f>SUM(Feuil1!X3:X7)-X8</f>
        <v>1896.1409460422142</v>
      </c>
      <c r="Y14">
        <f>SUM(Feuil1!Y3:Y7)-Y8</f>
        <v>1919.9316631422143</v>
      </c>
      <c r="Z14">
        <f>SUM(Feuil1!Z3:Z7)-Z8</f>
        <v>1933.0725773422143</v>
      </c>
      <c r="AA14">
        <f>SUM(Feuil1!AA3:AA7)-AA8</f>
        <v>1947.2071704422142</v>
      </c>
      <c r="AB14">
        <f>SUM(Feuil1!AB3:AB7)-AB8</f>
        <v>1946.7084415422144</v>
      </c>
      <c r="AC14">
        <f>SUM(Feuil1!AC3:AC7)-AC8</f>
        <v>1967.6320891422142</v>
      </c>
      <c r="AD14">
        <f>SUM(Feuil1!AD3:AD7)-AD8</f>
        <v>1973.6688605422141</v>
      </c>
      <c r="AE14">
        <f>SUM(Feuil1!AE3:AE7)-AE8</f>
        <v>1977.4238808422142</v>
      </c>
      <c r="AF14">
        <f>SUM(Feuil1!AF3:AF7)-AF8</f>
        <v>1980.3827984422144</v>
      </c>
      <c r="AG14">
        <f>SUM(Feuil1!AG3:AG7)-AG8</f>
        <v>1985.4109432422142</v>
      </c>
      <c r="AH14">
        <f>SUM(Feuil1!AH3:AH7)-AH8</f>
        <v>2001.6177915422143</v>
      </c>
      <c r="AI14">
        <f>SUM(Feuil1!AI3:AI7)-AI8</f>
        <v>2003.1418231422144</v>
      </c>
      <c r="AJ14">
        <f>SUM(Feuil1!AJ3:AJ7)-AJ8</f>
        <v>2006.1471454422144</v>
      </c>
      <c r="AK14">
        <f>SUM(Feuil1!AK3:AK7)-AK8</f>
        <v>2009.8910532422142</v>
      </c>
      <c r="AL14">
        <f>SUM(Feuil1!AL3:AL7)-AL8</f>
        <v>2013.8158597422143</v>
      </c>
      <c r="AM14">
        <f>SUM(Feuil1!AM3:AM7)-AM8</f>
        <v>1983.5365996422142</v>
      </c>
      <c r="AN14">
        <f>SUM(Feuil1!AN3:AN7)-AN8</f>
        <v>1976.4950989422143</v>
      </c>
      <c r="AO14">
        <f>SUM(Feuil1!AO3:AO7)-AO8</f>
        <v>1975.5796812422143</v>
      </c>
      <c r="AP14">
        <f>SUM(Feuil1!AP3:AP7)-AP8</f>
        <v>1975.4658830422143</v>
      </c>
      <c r="AQ14">
        <f>SUM(Feuil1!AQ3:AQ7)-AQ8</f>
        <v>1974.9585500422143</v>
      </c>
      <c r="AR14">
        <f>SUM(Feuil1!AR3:AR7)-AR8</f>
        <v>1969.5294438422143</v>
      </c>
      <c r="AS14">
        <f>SUM(Feuil1!AS3:AS7)-AS8</f>
        <v>1968.3513296422143</v>
      </c>
      <c r="AT14">
        <f>SUM(Feuil1!AT3:AT7)-AT8</f>
        <v>1966.4858308422142</v>
      </c>
      <c r="AU14">
        <f>SUM(Feuil1!AU3:AU7)-AU8</f>
        <v>1968.9072458422143</v>
      </c>
      <c r="AV14">
        <f>SUM(Feuil1!AV3:AV7)-AV8</f>
        <v>1965.8442835422143</v>
      </c>
    </row>
    <row r="15" spans="1:49" x14ac:dyDescent="0.25">
      <c r="A15" s="5"/>
    </row>
    <row r="16" spans="1:49" x14ac:dyDescent="0.25">
      <c r="A16" s="5" t="s">
        <v>12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-32.016310257299892</v>
      </c>
      <c r="V16">
        <v>-57.617838957300137</v>
      </c>
      <c r="W16">
        <v>-69.452964957299855</v>
      </c>
      <c r="X16">
        <v>-67.937954157300055</v>
      </c>
      <c r="Y16">
        <v>-73.807155957300211</v>
      </c>
      <c r="Z16">
        <v>-79.24574195729997</v>
      </c>
      <c r="AA16">
        <v>-86.221871557299892</v>
      </c>
      <c r="AB16">
        <v>-90.122449957300205</v>
      </c>
      <c r="AC16">
        <v>-99.53201255730005</v>
      </c>
      <c r="AD16">
        <v>-106.55810495729997</v>
      </c>
      <c r="AE16">
        <v>-113.05716055729999</v>
      </c>
      <c r="AF16">
        <v>-119.31835535730011</v>
      </c>
      <c r="AG16">
        <v>-126.01530345729998</v>
      </c>
      <c r="AH16">
        <v>-129.99040415729996</v>
      </c>
      <c r="AI16">
        <v>-135.2503325573</v>
      </c>
      <c r="AJ16">
        <v>-141.89064865730006</v>
      </c>
      <c r="AK16">
        <v>-147.95963975730001</v>
      </c>
      <c r="AL16">
        <v>-154.3240025573001</v>
      </c>
      <c r="AM16">
        <v>-156.30016545730007</v>
      </c>
      <c r="AN16">
        <v>-160.36578305730018</v>
      </c>
      <c r="AO16">
        <v>-166.84880015730005</v>
      </c>
      <c r="AP16">
        <v>-172.88235145729993</v>
      </c>
      <c r="AQ16">
        <v>-178.99940825730005</v>
      </c>
      <c r="AR16">
        <v>-180.18798905730011</v>
      </c>
      <c r="AS16">
        <v>-185.4103930573001</v>
      </c>
      <c r="AT16">
        <v>-190.3390593572999</v>
      </c>
      <c r="AU16">
        <v>-197.0286333572999</v>
      </c>
      <c r="AV16">
        <v>-201.37583955729997</v>
      </c>
      <c r="AW16">
        <v>-3620.0566751044003</v>
      </c>
    </row>
    <row r="17" spans="1:49" x14ac:dyDescent="0.25">
      <c r="A17" s="5" t="s">
        <v>13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-3.5864036153979839</v>
      </c>
      <c r="V17">
        <v>-161.58086279869801</v>
      </c>
      <c r="W17">
        <v>-161.58086266639799</v>
      </c>
      <c r="X17">
        <v>7.9373725046019956</v>
      </c>
      <c r="Y17">
        <v>-2.254788835398017</v>
      </c>
      <c r="Z17">
        <v>-6.9709726753980021</v>
      </c>
      <c r="AA17">
        <v>-10.126307075397989</v>
      </c>
      <c r="AB17">
        <v>-12.252584065397997</v>
      </c>
      <c r="AC17">
        <v>-13.557539735397995</v>
      </c>
      <c r="AD17">
        <v>-17.106036845397995</v>
      </c>
      <c r="AE17">
        <v>-20.317210595397995</v>
      </c>
      <c r="AF17">
        <v>-23.268272155398023</v>
      </c>
      <c r="AG17">
        <v>-26.196293615397991</v>
      </c>
      <c r="AH17">
        <v>-29.305885615398012</v>
      </c>
      <c r="AI17">
        <v>-32.229836215398024</v>
      </c>
      <c r="AJ17">
        <v>-34.848902515397995</v>
      </c>
      <c r="AK17">
        <v>-37.675184115398011</v>
      </c>
      <c r="AL17">
        <v>-40.508699215397996</v>
      </c>
      <c r="AM17">
        <v>-43.053459015398005</v>
      </c>
      <c r="AN17">
        <v>-44.893980915398004</v>
      </c>
      <c r="AO17">
        <v>-47.391849215397997</v>
      </c>
      <c r="AP17">
        <v>-49.947213415397997</v>
      </c>
      <c r="AQ17">
        <v>-52.596526615398005</v>
      </c>
      <c r="AR17">
        <v>-54.351543915398011</v>
      </c>
      <c r="AS17">
        <v>-56.638645015397998</v>
      </c>
      <c r="AT17">
        <v>-58.918521815397995</v>
      </c>
      <c r="AU17">
        <v>-61.719093115397996</v>
      </c>
      <c r="AV17">
        <v>-63.746422315398007</v>
      </c>
      <c r="AW17">
        <v>-1158.6865252054438</v>
      </c>
    </row>
    <row r="18" spans="1:49" x14ac:dyDescent="0.25">
      <c r="A18" s="5" t="s">
        <v>14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-1.471186180515403</v>
      </c>
      <c r="V18">
        <v>-35.189531063815402</v>
      </c>
      <c r="W18">
        <v>-35.189530931515399</v>
      </c>
      <c r="X18">
        <v>-12.526717750515402</v>
      </c>
      <c r="Y18">
        <v>-15.6540253905154</v>
      </c>
      <c r="Z18">
        <v>-17.705626190515403</v>
      </c>
      <c r="AA18">
        <v>-19.637513760515404</v>
      </c>
      <c r="AB18">
        <v>-20.777092540515397</v>
      </c>
      <c r="AC18">
        <v>-22.732447190515408</v>
      </c>
      <c r="AD18">
        <v>-24.144838450515401</v>
      </c>
      <c r="AE18">
        <v>-25.449642140515401</v>
      </c>
      <c r="AF18">
        <v>-26.688502160515398</v>
      </c>
      <c r="AG18">
        <v>-28.010385650515403</v>
      </c>
      <c r="AH18">
        <v>-29.677869550515396</v>
      </c>
      <c r="AI18">
        <v>-30.764830930515394</v>
      </c>
      <c r="AJ18">
        <v>-31.987307520515408</v>
      </c>
      <c r="AK18">
        <v>-33.256120170515402</v>
      </c>
      <c r="AL18">
        <v>-34.542554760515408</v>
      </c>
      <c r="AM18">
        <v>-34.594405700515402</v>
      </c>
      <c r="AN18">
        <v>-35.314143920515399</v>
      </c>
      <c r="AO18">
        <v>-36.511431180515402</v>
      </c>
      <c r="AP18">
        <v>-37.720112020515408</v>
      </c>
      <c r="AQ18">
        <v>-38.941692440515396</v>
      </c>
      <c r="AR18">
        <v>-40.362912220515405</v>
      </c>
      <c r="AS18">
        <v>-41.538006360515404</v>
      </c>
      <c r="AT18">
        <v>-42.691393040515401</v>
      </c>
      <c r="AU18">
        <v>-44.206143890515399</v>
      </c>
      <c r="AV18">
        <v>-45.226461010515401</v>
      </c>
      <c r="AW18">
        <v>-842.51242411873136</v>
      </c>
    </row>
    <row r="19" spans="1:49" x14ac:dyDescent="0.25">
      <c r="A19" s="5" t="s">
        <v>15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-9.8161492875490239</v>
      </c>
      <c r="V19">
        <v>-250.47176277084901</v>
      </c>
      <c r="W19">
        <v>-250.471762638549</v>
      </c>
      <c r="X19">
        <v>-16.662933697548993</v>
      </c>
      <c r="Y19">
        <v>-27.229685857548986</v>
      </c>
      <c r="Z19">
        <v>-32.511813087549029</v>
      </c>
      <c r="AA19">
        <v>-36.688566007549014</v>
      </c>
      <c r="AB19">
        <v>-39.762575517549038</v>
      </c>
      <c r="AC19">
        <v>-45.330743077549016</v>
      </c>
      <c r="AD19">
        <v>-48.664417037549015</v>
      </c>
      <c r="AE19">
        <v>-52.050033517549025</v>
      </c>
      <c r="AF19">
        <v>-55.265316747548979</v>
      </c>
      <c r="AG19">
        <v>-58.530683277548974</v>
      </c>
      <c r="AH19">
        <v>-62.379303907549001</v>
      </c>
      <c r="AI19">
        <v>-65.445378547549012</v>
      </c>
      <c r="AJ19">
        <v>-68.694737477549012</v>
      </c>
      <c r="AK19">
        <v>-72.084380957549001</v>
      </c>
      <c r="AL19">
        <v>-75.540881897549014</v>
      </c>
      <c r="AM19">
        <v>-77.944714377549019</v>
      </c>
      <c r="AN19">
        <v>-80.601010257549007</v>
      </c>
      <c r="AO19">
        <v>-84.199699197548995</v>
      </c>
      <c r="AP19">
        <v>-87.756679387549013</v>
      </c>
      <c r="AQ19">
        <v>-91.468346097549016</v>
      </c>
      <c r="AR19">
        <v>-94.617049227549018</v>
      </c>
      <c r="AS19">
        <v>-98.063026857549005</v>
      </c>
      <c r="AT19">
        <v>-101.55471589754899</v>
      </c>
      <c r="AU19">
        <v>-105.71248719754902</v>
      </c>
      <c r="AV19">
        <v>-108.85133840754901</v>
      </c>
      <c r="AW19">
        <v>-2198.370192215672</v>
      </c>
    </row>
    <row r="20" spans="1:49" x14ac:dyDescent="0.25">
      <c r="A20" t="s">
        <v>16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1.6272187985479576</v>
      </c>
      <c r="V20">
        <v>-123.80597308475201</v>
      </c>
      <c r="W20">
        <v>-123.80597295245201</v>
      </c>
      <c r="X20">
        <v>-112.18731820145202</v>
      </c>
      <c r="Y20">
        <v>-137.85459420145213</v>
      </c>
      <c r="Z20">
        <v>-159.95056620145198</v>
      </c>
      <c r="AA20">
        <v>-184.61628620145217</v>
      </c>
      <c r="AB20">
        <v>-201.79505320145205</v>
      </c>
      <c r="AC20">
        <v>-221.826908201452</v>
      </c>
      <c r="AD20">
        <v>-241.09105420145198</v>
      </c>
      <c r="AE20">
        <v>-259.33264220145207</v>
      </c>
      <c r="AF20">
        <v>-279.08024420145199</v>
      </c>
      <c r="AG20">
        <v>-298.99968620145188</v>
      </c>
      <c r="AH20">
        <v>-301.06387910145207</v>
      </c>
      <c r="AI20">
        <v>-313.87014360145196</v>
      </c>
      <c r="AJ20">
        <v>-328.55490830145203</v>
      </c>
      <c r="AK20">
        <v>-344.95860450145193</v>
      </c>
      <c r="AL20">
        <v>-360.68870420145191</v>
      </c>
      <c r="AM20">
        <v>-358.01875180145197</v>
      </c>
      <c r="AN20">
        <v>-365.69647480145198</v>
      </c>
      <c r="AO20">
        <v>-378.84497280145189</v>
      </c>
      <c r="AP20">
        <v>-392.26068340145201</v>
      </c>
      <c r="AQ20">
        <v>-405.56404440145189</v>
      </c>
      <c r="AR20">
        <v>-443.65245380145205</v>
      </c>
      <c r="AS20">
        <v>-459.66390250145201</v>
      </c>
      <c r="AT20">
        <v>-475.09369070145209</v>
      </c>
      <c r="AU20">
        <v>-495.44036410145208</v>
      </c>
      <c r="AV20">
        <v>-509.91598820145197</v>
      </c>
      <c r="AW20">
        <v>-8276.0066464749561</v>
      </c>
    </row>
    <row r="21" spans="1:49" x14ac:dyDescent="0.25">
      <c r="A21" t="s">
        <v>59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1703.1362862239143</v>
      </c>
      <c r="V21">
        <v>1815.7049152422142</v>
      </c>
      <c r="W21">
        <v>1893.5788562422144</v>
      </c>
      <c r="X21">
        <v>1896.7333328422142</v>
      </c>
      <c r="Y21">
        <v>1920.4091255422143</v>
      </c>
      <c r="Z21">
        <v>1933.4591474422143</v>
      </c>
      <c r="AA21">
        <v>1947.5138715422142</v>
      </c>
      <c r="AB21">
        <v>1946.9640253422144</v>
      </c>
      <c r="AC21">
        <v>1967.8658485422143</v>
      </c>
      <c r="AD21">
        <v>1973.8692168422144</v>
      </c>
      <c r="AE21">
        <v>1977.5896644422141</v>
      </c>
      <c r="AF21">
        <v>1980.5156922422143</v>
      </c>
      <c r="AG21">
        <v>1985.5157658422143</v>
      </c>
      <c r="AH21">
        <v>2001.7122847422143</v>
      </c>
      <c r="AI21">
        <v>2003.2119964422141</v>
      </c>
      <c r="AJ21">
        <v>2006.2057660422142</v>
      </c>
      <c r="AK21">
        <v>2009.9350363422143</v>
      </c>
      <c r="AL21">
        <v>2013.8492289422143</v>
      </c>
      <c r="AM21">
        <v>1983.5234827422141</v>
      </c>
      <c r="AN21">
        <v>1976.4695255422143</v>
      </c>
      <c r="AO21">
        <v>1975.5504753422142</v>
      </c>
      <c r="AP21">
        <v>1975.4305228422143</v>
      </c>
      <c r="AQ21">
        <v>1974.9146488422143</v>
      </c>
      <c r="AR21">
        <v>1969.4806196422144</v>
      </c>
      <c r="AS21">
        <v>1968.2886115422143</v>
      </c>
      <c r="AT21">
        <v>1966.4121634422143</v>
      </c>
      <c r="AU21">
        <v>1968.8228531422142</v>
      </c>
      <c r="AV21">
        <v>1965.7563609422143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Feuil2</vt:lpstr>
    </vt:vector>
  </TitlesOfParts>
  <Company>ADEME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CALLONNEC Gaël</dc:creator>
  <cp:lastModifiedBy>CALLONNEC Gaël</cp:lastModifiedBy>
  <dcterms:created xsi:type="dcterms:W3CDTF">2024-10-29T14:34:49Z</dcterms:created>
  <dcterms:modified xsi:type="dcterms:W3CDTF">2025-02-01T13:28:32Z</dcterms:modified>
</cp:coreProperties>
</file>