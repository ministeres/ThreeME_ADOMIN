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L:\4_Inventaires d'émissions, prospective et évaluation\42_Prospective\421_Scénarios prospectifs DGEC\4215_Scénarios 2023\12-Bâtiments\45_Hypothèses AMS run 3\0_Résidentiel\"/>
    </mc:Choice>
  </mc:AlternateContent>
  <xr:revisionPtr revIDLastSave="0" documentId="13_ncr:1_{5FD64FE4-052B-42C2-AA5D-19168FA4C69D}" xr6:coauthVersionLast="47" xr6:coauthVersionMax="47" xr10:uidLastSave="{00000000-0000-0000-0000-000000000000}"/>
  <bookViews>
    <workbookView xWindow="-28920" yWindow="-11115" windowWidth="29040" windowHeight="15840" tabRatio="738" firstSheet="1" activeTab="5" xr2:uid="{00000000-000D-0000-FFFF-FFFF00000000}"/>
  </bookViews>
  <sheets>
    <sheet name="Totaux" sheetId="1" r:id="rId1"/>
    <sheet name="R_ECS" sheetId="2" r:id="rId2"/>
    <sheet name="Mix chauffage Res irf" sheetId="6" r:id="rId3"/>
    <sheet name="R_cuisson" sheetId="3" r:id="rId4"/>
    <sheet name="R_Elec spé" sheetId="4" r:id="rId5"/>
    <sheet name="R_climatisation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0" i="5" l="1"/>
  <c r="P18" i="4"/>
  <c r="Q18" i="4"/>
  <c r="R18" i="4"/>
  <c r="S18" i="4"/>
  <c r="T18" i="4"/>
  <c r="U18" i="4"/>
  <c r="O18" i="4"/>
  <c r="Q16" i="4"/>
  <c r="R16" i="4" s="1"/>
  <c r="S16" i="4" s="1"/>
  <c r="T16" i="4" s="1"/>
  <c r="P16" i="4"/>
  <c r="U16" i="4"/>
  <c r="O16" i="4"/>
  <c r="V12" i="4"/>
  <c r="P15" i="4"/>
  <c r="Q15" i="4"/>
  <c r="R15" i="4"/>
  <c r="S15" i="4"/>
  <c r="T15" i="4"/>
  <c r="U15" i="4"/>
  <c r="O15" i="4"/>
  <c r="Z19" i="2" l="1"/>
  <c r="AD20" i="2"/>
  <c r="AD19" i="2"/>
  <c r="AD17" i="2"/>
  <c r="Z20" i="2"/>
  <c r="Z21" i="2"/>
  <c r="Z22" i="2"/>
  <c r="Z23" i="2"/>
  <c r="Z17" i="2"/>
  <c r="AG23" i="2"/>
  <c r="AG17" i="2"/>
  <c r="AB23" i="2"/>
  <c r="AB17" i="2"/>
  <c r="Z18" i="2"/>
  <c r="S30" i="5"/>
  <c r="C20" i="1" s="1"/>
  <c r="I25" i="5" l="1"/>
  <c r="H25" i="5"/>
  <c r="G25" i="5"/>
  <c r="F25" i="5"/>
  <c r="G31" i="5"/>
  <c r="G30" i="5"/>
  <c r="F30" i="5" l="1"/>
  <c r="D12" i="5"/>
  <c r="E12" i="5"/>
  <c r="D13" i="5"/>
  <c r="E13" i="5"/>
  <c r="D14" i="5"/>
  <c r="E14" i="5"/>
  <c r="D15" i="5"/>
  <c r="E15" i="5"/>
  <c r="D16" i="5"/>
  <c r="E16" i="5"/>
  <c r="D17" i="5"/>
  <c r="E17" i="5"/>
  <c r="D18" i="5"/>
  <c r="E18" i="5"/>
  <c r="D19" i="5"/>
  <c r="E19" i="5"/>
  <c r="D20" i="5"/>
  <c r="E20" i="5"/>
  <c r="D21" i="5"/>
  <c r="E21" i="5"/>
  <c r="D22" i="5"/>
  <c r="E22" i="5"/>
  <c r="D23" i="5"/>
  <c r="E23" i="5"/>
  <c r="D24" i="5"/>
  <c r="E24" i="5"/>
  <c r="V31" i="5" l="1"/>
  <c r="U31" i="5"/>
  <c r="T31" i="5"/>
  <c r="S31" i="5"/>
  <c r="I31" i="5"/>
  <c r="H31" i="5"/>
  <c r="F31" i="5"/>
  <c r="U30" i="5"/>
  <c r="T30" i="5"/>
  <c r="I30" i="5"/>
  <c r="I9" i="1" s="1"/>
  <c r="H30" i="5"/>
  <c r="G9" i="1" s="1"/>
  <c r="E9" i="1"/>
  <c r="S24" i="4"/>
  <c r="R24" i="4"/>
  <c r="Q24" i="4"/>
  <c r="P24" i="4"/>
  <c r="O24" i="4"/>
  <c r="F21" i="4"/>
  <c r="E21" i="4"/>
  <c r="D21" i="4"/>
  <c r="C21" i="4"/>
  <c r="B21" i="4"/>
  <c r="G19" i="1"/>
  <c r="E19" i="1"/>
  <c r="H15" i="4"/>
  <c r="I8" i="1" s="1"/>
  <c r="G15" i="4"/>
  <c r="F15" i="4"/>
  <c r="G8" i="1" s="1"/>
  <c r="E15" i="4"/>
  <c r="D15" i="4"/>
  <c r="E8" i="1" s="1"/>
  <c r="C15" i="4"/>
  <c r="B15" i="4"/>
  <c r="Q11" i="4"/>
  <c r="R11" i="4" s="1"/>
  <c r="S11" i="4" s="1"/>
  <c r="T11" i="4" s="1"/>
  <c r="U11" i="4" s="1"/>
  <c r="P11" i="4"/>
  <c r="D11" i="4"/>
  <c r="E11" i="4" s="1"/>
  <c r="F11" i="4" s="1"/>
  <c r="G11" i="4" s="1"/>
  <c r="H11" i="4" s="1"/>
  <c r="C11" i="4"/>
  <c r="S40" i="3"/>
  <c r="R40" i="3"/>
  <c r="Q40" i="3"/>
  <c r="P40" i="3"/>
  <c r="O40" i="3"/>
  <c r="F40" i="3"/>
  <c r="I7" i="1" s="1"/>
  <c r="E40" i="3"/>
  <c r="D40" i="3"/>
  <c r="C40" i="3"/>
  <c r="B40" i="3"/>
  <c r="H30" i="3"/>
  <c r="G30" i="3"/>
  <c r="O27" i="3"/>
  <c r="O28" i="3" s="1"/>
  <c r="O29" i="3" s="1"/>
  <c r="O30" i="3" s="1"/>
  <c r="O31" i="3" s="1"/>
  <c r="O32" i="3" s="1"/>
  <c r="C27" i="3"/>
  <c r="B27" i="3"/>
  <c r="B28" i="3" s="1"/>
  <c r="B29" i="3" s="1"/>
  <c r="B30" i="3" s="1"/>
  <c r="B31" i="3" s="1"/>
  <c r="B32" i="3" s="1"/>
  <c r="E26" i="3"/>
  <c r="O19" i="3"/>
  <c r="O20" i="3" s="1"/>
  <c r="O21" i="3" s="1"/>
  <c r="O22" i="3" s="1"/>
  <c r="O23" i="3" s="1"/>
  <c r="O24" i="3" s="1"/>
  <c r="B19" i="3"/>
  <c r="B20" i="3" s="1"/>
  <c r="B21" i="3" s="1"/>
  <c r="B22" i="3" s="1"/>
  <c r="B23" i="3" s="1"/>
  <c r="B24" i="3" s="1"/>
  <c r="U14" i="3"/>
  <c r="T32" i="3" s="1"/>
  <c r="T14" i="3"/>
  <c r="T31" i="3" s="1"/>
  <c r="S14" i="3"/>
  <c r="P30" i="3" s="1"/>
  <c r="R14" i="3"/>
  <c r="U29" i="3" s="1"/>
  <c r="Q14" i="3"/>
  <c r="U28" i="3" s="1"/>
  <c r="P14" i="3"/>
  <c r="U27" i="3" s="1"/>
  <c r="O14" i="3"/>
  <c r="U26" i="3" s="1"/>
  <c r="H14" i="3"/>
  <c r="G32" i="3" s="1"/>
  <c r="G14" i="3"/>
  <c r="F31" i="3" s="1"/>
  <c r="F14" i="3"/>
  <c r="E14" i="3"/>
  <c r="D29" i="3" s="1"/>
  <c r="D14" i="3"/>
  <c r="H28" i="3" s="1"/>
  <c r="C14" i="3"/>
  <c r="D27" i="3" s="1"/>
  <c r="B14" i="3"/>
  <c r="C26" i="3" s="1"/>
  <c r="P10" i="3"/>
  <c r="Q10" i="3" s="1"/>
  <c r="R10" i="3" s="1"/>
  <c r="S10" i="3" s="1"/>
  <c r="T10" i="3" s="1"/>
  <c r="U10" i="3" s="1"/>
  <c r="C10" i="3"/>
  <c r="D10" i="3" s="1"/>
  <c r="E10" i="3" s="1"/>
  <c r="F10" i="3" s="1"/>
  <c r="G10" i="3" s="1"/>
  <c r="H10" i="3" s="1"/>
  <c r="S43" i="2"/>
  <c r="R43" i="2"/>
  <c r="Q43" i="2"/>
  <c r="P43" i="2"/>
  <c r="O43" i="2"/>
  <c r="F43" i="2"/>
  <c r="E43" i="2"/>
  <c r="D43" i="2"/>
  <c r="C43" i="2"/>
  <c r="B43" i="2"/>
  <c r="V42" i="2"/>
  <c r="H28" i="2"/>
  <c r="O27" i="2"/>
  <c r="O28" i="2" s="1"/>
  <c r="O29" i="2" s="1"/>
  <c r="O30" i="2" s="1"/>
  <c r="O31" i="2" s="1"/>
  <c r="O26" i="2"/>
  <c r="B26" i="2"/>
  <c r="B27" i="2" s="1"/>
  <c r="B28" i="2" s="1"/>
  <c r="B29" i="2" s="1"/>
  <c r="B30" i="2" s="1"/>
  <c r="B31" i="2" s="1"/>
  <c r="O18" i="2"/>
  <c r="O19" i="2" s="1"/>
  <c r="O20" i="2" s="1"/>
  <c r="O21" i="2" s="1"/>
  <c r="O22" i="2" s="1"/>
  <c r="O23" i="2" s="1"/>
  <c r="B18" i="2"/>
  <c r="B19" i="2" s="1"/>
  <c r="B20" i="2" s="1"/>
  <c r="B21" i="2" s="1"/>
  <c r="B22" i="2" s="1"/>
  <c r="B23" i="2" s="1"/>
  <c r="U14" i="2"/>
  <c r="R31" i="2" s="1"/>
  <c r="T14" i="2"/>
  <c r="X30" i="2" s="1"/>
  <c r="S14" i="2"/>
  <c r="V29" i="2" s="1"/>
  <c r="R14" i="2"/>
  <c r="R28" i="2" s="1"/>
  <c r="Q14" i="2"/>
  <c r="X27" i="2" s="1"/>
  <c r="P14" i="2"/>
  <c r="V26" i="2" s="1"/>
  <c r="O14" i="2"/>
  <c r="R25" i="2" s="1"/>
  <c r="H14" i="2"/>
  <c r="E31" i="2" s="1"/>
  <c r="G14" i="2"/>
  <c r="K30" i="2" s="1"/>
  <c r="F14" i="2"/>
  <c r="E14" i="2"/>
  <c r="F28" i="2" s="1"/>
  <c r="D14" i="2"/>
  <c r="D27" i="2" s="1"/>
  <c r="C14" i="2"/>
  <c r="G26" i="2" s="1"/>
  <c r="B14" i="2"/>
  <c r="P10" i="2"/>
  <c r="Q10" i="2" s="1"/>
  <c r="R10" i="2" s="1"/>
  <c r="S10" i="2" s="1"/>
  <c r="T10" i="2" s="1"/>
  <c r="U10" i="2" s="1"/>
  <c r="C10" i="2"/>
  <c r="D10" i="2" s="1"/>
  <c r="E10" i="2" s="1"/>
  <c r="F10" i="2" s="1"/>
  <c r="G10" i="2" s="1"/>
  <c r="H10" i="2" s="1"/>
  <c r="U18" i="1"/>
  <c r="T18" i="1"/>
  <c r="S18" i="1"/>
  <c r="R18" i="1"/>
  <c r="Q18" i="1"/>
  <c r="U17" i="1"/>
  <c r="T17" i="1"/>
  <c r="S17" i="1"/>
  <c r="R17" i="1"/>
  <c r="Q17" i="1"/>
  <c r="U16" i="1"/>
  <c r="T16" i="1"/>
  <c r="S16" i="1"/>
  <c r="R16" i="1"/>
  <c r="Q16" i="1"/>
  <c r="U15" i="1"/>
  <c r="T15" i="1"/>
  <c r="S15" i="1"/>
  <c r="R15" i="1"/>
  <c r="Q15" i="1"/>
  <c r="U11" i="1"/>
  <c r="T11" i="1"/>
  <c r="S11" i="1"/>
  <c r="R11" i="1"/>
  <c r="Q11" i="1"/>
  <c r="U10" i="1"/>
  <c r="T10" i="1"/>
  <c r="S10" i="1"/>
  <c r="R10" i="1"/>
  <c r="Q10" i="1"/>
  <c r="C19" i="1"/>
  <c r="U9" i="1"/>
  <c r="T9" i="1"/>
  <c r="S9" i="1"/>
  <c r="R9" i="1"/>
  <c r="Q9" i="1"/>
  <c r="U8" i="1"/>
  <c r="T8" i="1"/>
  <c r="S8" i="1"/>
  <c r="R8" i="1"/>
  <c r="Q8" i="1"/>
  <c r="U7" i="1"/>
  <c r="T7" i="1"/>
  <c r="S7" i="1"/>
  <c r="R7" i="1"/>
  <c r="Q7" i="1"/>
  <c r="U6" i="1"/>
  <c r="T6" i="1"/>
  <c r="S6" i="1"/>
  <c r="R6" i="1"/>
  <c r="Q6" i="1"/>
  <c r="D15" i="1"/>
  <c r="E15" i="1" s="1"/>
  <c r="F15" i="1" s="1"/>
  <c r="G15" i="1" s="1"/>
  <c r="H15" i="1" s="1"/>
  <c r="I15" i="1" s="1"/>
  <c r="C9" i="1"/>
  <c r="E7" i="1"/>
  <c r="D4" i="1"/>
  <c r="E4" i="1" s="1"/>
  <c r="F4" i="1" s="1"/>
  <c r="G4" i="1" s="1"/>
  <c r="H4" i="1" s="1"/>
  <c r="I4" i="1" s="1"/>
  <c r="P29" i="3" l="1"/>
  <c r="T30" i="3"/>
  <c r="U30" i="3"/>
  <c r="G18" i="1"/>
  <c r="E20" i="1"/>
  <c r="G20" i="1"/>
  <c r="I20" i="1"/>
  <c r="D9" i="1"/>
  <c r="T19" i="1"/>
  <c r="S19" i="1"/>
  <c r="S12" i="1"/>
  <c r="Q12" i="1"/>
  <c r="R12" i="1"/>
  <c r="T27" i="2"/>
  <c r="U27" i="2"/>
  <c r="T12" i="1"/>
  <c r="E18" i="1"/>
  <c r="F18" i="1" s="1"/>
  <c r="G17" i="1"/>
  <c r="K25" i="2"/>
  <c r="C25" i="2"/>
  <c r="E30" i="2"/>
  <c r="G31" i="3"/>
  <c r="H31" i="3"/>
  <c r="U12" i="1"/>
  <c r="U19" i="1"/>
  <c r="Q19" i="1"/>
  <c r="C8" i="1"/>
  <c r="D8" i="1" s="1"/>
  <c r="R19" i="1"/>
  <c r="T29" i="3"/>
  <c r="I19" i="1"/>
  <c r="H19" i="1" s="1"/>
  <c r="Q29" i="2"/>
  <c r="T25" i="2"/>
  <c r="U25" i="2"/>
  <c r="X29" i="2"/>
  <c r="P30" i="2"/>
  <c r="Q30" i="2"/>
  <c r="R30" i="2"/>
  <c r="R27" i="2"/>
  <c r="I17" i="1"/>
  <c r="U31" i="2"/>
  <c r="V31" i="2"/>
  <c r="X31" i="2"/>
  <c r="F9" i="1"/>
  <c r="D20" i="1"/>
  <c r="H9" i="1"/>
  <c r="F8" i="1"/>
  <c r="C18" i="1"/>
  <c r="P28" i="3"/>
  <c r="F29" i="3"/>
  <c r="E29" i="3"/>
  <c r="G29" i="3"/>
  <c r="H32" i="3"/>
  <c r="U28" i="2"/>
  <c r="V28" i="2"/>
  <c r="T30" i="2"/>
  <c r="P26" i="2"/>
  <c r="U30" i="2"/>
  <c r="T28" i="2"/>
  <c r="X26" i="2"/>
  <c r="P27" i="2"/>
  <c r="X28" i="2"/>
  <c r="E17" i="1"/>
  <c r="Q27" i="2"/>
  <c r="P29" i="2"/>
  <c r="T31" i="2"/>
  <c r="D31" i="2"/>
  <c r="F31" i="2"/>
  <c r="H25" i="2"/>
  <c r="I25" i="2"/>
  <c r="H26" i="2"/>
  <c r="D25" i="2"/>
  <c r="I26" i="2"/>
  <c r="C6" i="1"/>
  <c r="F25" i="2"/>
  <c r="K26" i="2"/>
  <c r="E25" i="2"/>
  <c r="J26" i="2"/>
  <c r="G25" i="2"/>
  <c r="D30" i="2"/>
  <c r="F19" i="1"/>
  <c r="G29" i="2"/>
  <c r="F29" i="2"/>
  <c r="E29" i="2"/>
  <c r="D29" i="2"/>
  <c r="G6" i="1"/>
  <c r="C29" i="2"/>
  <c r="K29" i="2"/>
  <c r="H27" i="3"/>
  <c r="F27" i="3"/>
  <c r="E27" i="3"/>
  <c r="G27" i="3"/>
  <c r="U31" i="3"/>
  <c r="P31" i="3"/>
  <c r="C28" i="2"/>
  <c r="I28" i="2"/>
  <c r="J28" i="2"/>
  <c r="K28" i="2"/>
  <c r="G28" i="2"/>
  <c r="D19" i="1"/>
  <c r="C31" i="2"/>
  <c r="I6" i="1"/>
  <c r="I10" i="1" s="1"/>
  <c r="I31" i="2"/>
  <c r="K31" i="2"/>
  <c r="J31" i="2"/>
  <c r="G31" i="2"/>
  <c r="H31" i="2"/>
  <c r="C28" i="3"/>
  <c r="G28" i="3"/>
  <c r="H29" i="2"/>
  <c r="I18" i="1"/>
  <c r="H18" i="1" s="1"/>
  <c r="I29" i="2"/>
  <c r="E30" i="3"/>
  <c r="D30" i="3"/>
  <c r="C30" i="3"/>
  <c r="G7" i="1"/>
  <c r="H7" i="1" s="1"/>
  <c r="D28" i="3"/>
  <c r="F30" i="3"/>
  <c r="P32" i="3"/>
  <c r="C7" i="1"/>
  <c r="D7" i="1" s="1"/>
  <c r="F26" i="3"/>
  <c r="H26" i="3"/>
  <c r="G26" i="3"/>
  <c r="D26" i="3"/>
  <c r="D28" i="2"/>
  <c r="J29" i="2"/>
  <c r="E28" i="3"/>
  <c r="U32" i="3"/>
  <c r="K27" i="2"/>
  <c r="J27" i="2"/>
  <c r="F27" i="2"/>
  <c r="E27" i="2"/>
  <c r="I27" i="2"/>
  <c r="H27" i="2"/>
  <c r="G27" i="2"/>
  <c r="E6" i="1"/>
  <c r="C27" i="2"/>
  <c r="H8" i="1"/>
  <c r="E28" i="2"/>
  <c r="F28" i="3"/>
  <c r="V25" i="2"/>
  <c r="C30" i="2"/>
  <c r="H29" i="3"/>
  <c r="Q26" i="2"/>
  <c r="F30" i="2"/>
  <c r="J25" i="2"/>
  <c r="C26" i="2"/>
  <c r="R26" i="2"/>
  <c r="V27" i="2"/>
  <c r="R29" i="2"/>
  <c r="G30" i="2"/>
  <c r="V30" i="2"/>
  <c r="P27" i="3"/>
  <c r="T28" i="3"/>
  <c r="C32" i="3"/>
  <c r="C17" i="1"/>
  <c r="D26" i="2"/>
  <c r="H30" i="2"/>
  <c r="P26" i="3"/>
  <c r="T27" i="3"/>
  <c r="C31" i="3"/>
  <c r="D32" i="3"/>
  <c r="X25" i="2"/>
  <c r="P25" i="2"/>
  <c r="E26" i="2"/>
  <c r="T26" i="2"/>
  <c r="P28" i="2"/>
  <c r="T29" i="2"/>
  <c r="I30" i="2"/>
  <c r="P31" i="2"/>
  <c r="T26" i="3"/>
  <c r="D31" i="3"/>
  <c r="E32" i="3"/>
  <c r="Q25" i="2"/>
  <c r="F26" i="2"/>
  <c r="U26" i="2"/>
  <c r="Q28" i="2"/>
  <c r="U29" i="2"/>
  <c r="J30" i="2"/>
  <c r="Q31" i="2"/>
  <c r="C29" i="3"/>
  <c r="E31" i="3"/>
  <c r="F32" i="3"/>
  <c r="F20" i="1" l="1"/>
  <c r="H20" i="1"/>
  <c r="G21" i="1"/>
  <c r="V37" i="2"/>
  <c r="D18" i="1"/>
  <c r="H17" i="1"/>
  <c r="F17" i="1"/>
  <c r="E21" i="1"/>
  <c r="V36" i="2"/>
  <c r="C10" i="1"/>
  <c r="V41" i="2"/>
  <c r="V40" i="2"/>
  <c r="V39" i="2"/>
  <c r="V38" i="2"/>
  <c r="E10" i="1"/>
  <c r="F6" i="1"/>
  <c r="D17" i="1"/>
  <c r="D21" i="1" s="1"/>
  <c r="C21" i="1"/>
  <c r="V35" i="2"/>
  <c r="F7" i="1"/>
  <c r="I21" i="1"/>
  <c r="D6" i="1"/>
  <c r="D10" i="1" s="1"/>
  <c r="H6" i="1"/>
  <c r="H10" i="1" s="1"/>
  <c r="G10" i="1"/>
  <c r="H21" i="1" l="1"/>
  <c r="F21" i="1"/>
  <c r="F10" i="1"/>
</calcChain>
</file>

<file path=xl/sharedStrings.xml><?xml version="1.0" encoding="utf-8"?>
<sst xmlns="http://schemas.openxmlformats.org/spreadsheetml/2006/main" count="262" uniqueCount="100">
  <si>
    <t>AME 23</t>
  </si>
  <si>
    <t>TWh</t>
  </si>
  <si>
    <t>ECS</t>
  </si>
  <si>
    <t xml:space="preserve">Cuisson </t>
  </si>
  <si>
    <t>Elec spé</t>
  </si>
  <si>
    <t>Clim</t>
  </si>
  <si>
    <t>AMS</t>
  </si>
  <si>
    <t>Mtep</t>
  </si>
  <si>
    <t>Chauffage</t>
  </si>
  <si>
    <t>Eau chaude</t>
  </si>
  <si>
    <t>Cuisson</t>
  </si>
  <si>
    <t>Eclairage</t>
  </si>
  <si>
    <t>Electricité specifique</t>
  </si>
  <si>
    <t>Climatisation</t>
  </si>
  <si>
    <t>Total Hors chauffage</t>
  </si>
  <si>
    <t>Autres usages thermiques</t>
  </si>
  <si>
    <t>Total hors chauffage</t>
  </si>
  <si>
    <t xml:space="preserve">Périmètre géographique : </t>
  </si>
  <si>
    <t>FR métropole</t>
  </si>
  <si>
    <t xml:space="preserve">Périmètre sectoriel : </t>
  </si>
  <si>
    <t>Résidentiel (résidences principales, secondaires et logements vacants)</t>
  </si>
  <si>
    <t xml:space="preserve">Unités : </t>
  </si>
  <si>
    <t xml:space="preserve">Gaz (PCI/PCS, réseau/naturel/vert) : </t>
  </si>
  <si>
    <t>N.A.</t>
  </si>
  <si>
    <t xml:space="preserve">Données historiques : </t>
  </si>
  <si>
    <t>CEREN</t>
  </si>
  <si>
    <t>AME</t>
  </si>
  <si>
    <t>1. Résidences principales</t>
  </si>
  <si>
    <t>ECS (kWh/hab/an)</t>
  </si>
  <si>
    <t>Population métropolitaine (Mhab)</t>
  </si>
  <si>
    <t>Conso (TWh ef)</t>
  </si>
  <si>
    <t>Électricité</t>
  </si>
  <si>
    <t>PAC/CET</t>
  </si>
  <si>
    <t>Réseau de chaleur</t>
  </si>
  <si>
    <t>Charbon</t>
  </si>
  <si>
    <t>Pétrole/GPL</t>
  </si>
  <si>
    <t>Gaz naturel</t>
  </si>
  <si>
    <t>Biomasse</t>
  </si>
  <si>
    <t>Biogaz</t>
  </si>
  <si>
    <t>Renouvelables thermiques</t>
  </si>
  <si>
    <t>Chaleur Environnement</t>
  </si>
  <si>
    <t>Mix ECS</t>
  </si>
  <si>
    <t>Conso ECS (TWh Ef)</t>
  </si>
  <si>
    <t>AMS 2030</t>
  </si>
  <si>
    <t>AMS 2050</t>
  </si>
  <si>
    <t>2. Résidences secondaires</t>
  </si>
  <si>
    <t>MWh</t>
  </si>
  <si>
    <t>2015*</t>
  </si>
  <si>
    <t>Bois</t>
  </si>
  <si>
    <t>Fuel domestique</t>
  </si>
  <si>
    <t>GPL</t>
  </si>
  <si>
    <t>Total (TWh)</t>
  </si>
  <si>
    <t>3. Logements vacants : conso nulle</t>
  </si>
  <si>
    <t>Cuisson (kWh/hab/an)</t>
  </si>
  <si>
    <t>Gaz réseau</t>
  </si>
  <si>
    <t>Mix cuisson</t>
  </si>
  <si>
    <t>Conso cuisson (TWh Ef)</t>
  </si>
  <si>
    <t>Résidentiel (résidences principales)</t>
  </si>
  <si>
    <t>Elec spécifique (kWh/hab/an)</t>
  </si>
  <si>
    <t>Électricité (MWh)</t>
  </si>
  <si>
    <t>TWh par zone climatique</t>
  </si>
  <si>
    <t>H1A</t>
  </si>
  <si>
    <t>H1B</t>
  </si>
  <si>
    <t>H1C</t>
  </si>
  <si>
    <t>H2A</t>
  </si>
  <si>
    <t>H2B</t>
  </si>
  <si>
    <t>H2C</t>
  </si>
  <si>
    <t>H2D</t>
  </si>
  <si>
    <t>H3</t>
  </si>
  <si>
    <t>Martinique</t>
  </si>
  <si>
    <t>Guadeloupe</t>
  </si>
  <si>
    <t>Guyane</t>
  </si>
  <si>
    <t>Mayotte</t>
  </si>
  <si>
    <t>La Réunion</t>
  </si>
  <si>
    <t>Total en TWh</t>
  </si>
  <si>
    <t>Métropole</t>
  </si>
  <si>
    <t>DROM</t>
  </si>
  <si>
    <t>AMS 2023</t>
  </si>
  <si>
    <t>Sortie MICO / Scénario S3</t>
  </si>
  <si>
    <t>Sortie MICO / Scénario TEND</t>
  </si>
  <si>
    <t>Total en TWh avant CC</t>
  </si>
  <si>
    <t>dont gaz - chaudière</t>
  </si>
  <si>
    <t xml:space="preserve">dont gaz - PAC hybride </t>
  </si>
  <si>
    <t xml:space="preserve">dont chauffage principal </t>
  </si>
  <si>
    <t>dont chauffage secondaire</t>
  </si>
  <si>
    <t>dont PAC géothermique</t>
  </si>
  <si>
    <t>dont PAC hybride</t>
  </si>
  <si>
    <t>Consommation (incluant  CC)</t>
  </si>
  <si>
    <t xml:space="preserve">Chauffage urbain </t>
  </si>
  <si>
    <t>Gaz</t>
  </si>
  <si>
    <t>Fioul</t>
  </si>
  <si>
    <t>Electricité (pompe à chaleur)</t>
  </si>
  <si>
    <t>dont PAC air/air</t>
  </si>
  <si>
    <t>dont PAC air/eau</t>
  </si>
  <si>
    <t>Electricité (joule)</t>
  </si>
  <si>
    <t>Mix chauff</t>
  </si>
  <si>
    <t>plus de cuisson gaz en 2050, plus de GPL</t>
  </si>
  <si>
    <t>Terminaux perso - TWh/an</t>
  </si>
  <si>
    <t>Terminaux perso - kWh/hab</t>
  </si>
  <si>
    <t>Le reste (-40%)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</si>
</sst>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_-* #,##0.00\ _€_-;\-* #,##0.00\ _€_-;_-* \-??\ _€_-;_-@_-"/>
    <numFmt numFmtId="165" formatCode="0\ %"/>
    <numFmt numFmtId="166" formatCode="0.0"/>
    <numFmt numFmtId="167" formatCode="0.0%"/>
    <numFmt numFmtId="168" formatCode="0.00\ %"/>
    <numFmt numFmtId="169" formatCode="_-* #,##0.0\ _€_-;\-* #,##0.0\ _€_-;_-* \-??\ _€_-;_-@_-"/>
    <numFmt numFmtId="171" formatCode="_-* #,##0.0\ _€_-;\-* #,##0.0\ _€_-;_-* &quot;-&quot;??\ _€_-;_-@_-"/>
    <numFmt numFmtId="172" formatCode="_-* #,##0\ _€_-;\-* #,##0\ _€_-;_-* &quot;-&quot;??\ _€_-;_-@_-"/>
    <numFmt numFmtId="173" formatCode="#,##0.00&quot;    &quot;;#,##0.00&quot;    &quot;;&quot;-&quot;#&quot;    &quot;;@&quot; &quot;"/>
    <numFmt numFmtId="174" formatCode="_-* #,##0.0_-;\-* #,##0.0_-;_-* &quot;-&quot;??_-;_-@_-"/>
    <numFmt numFmtId="179" formatCode="_-* #,##0_-;\-* #,##0_-;_-* &quot;-&quot;??_-;_-@_-"/>
    <numFmt numFmtId="184" formatCode="_-* #,##0.00_-;\-* #,##0.00_-;_-* &quot;-&quot;??_-;_-@_-"/>
    <numFmt numFmtId="185" formatCode="_-* #,##0.00\ _€_-;\-* #,##0.00\ _€_-;_-* &quot;-&quot;??\ _€_-;_-@_-"/>
    <numFmt numFmtId="190" formatCode="_-* #,##0.00&quot; €&quot;_-;\-* #,##0.00&quot; €&quot;_-;_-* \-??&quot; €&quot;_-;_-@_-"/>
    <numFmt numFmtId="191" formatCode="#,##0.00\ [$€-40C];[Red]\-#,##0.00\ [$€-40C]"/>
  </numFmts>
  <fonts count="27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i/>
      <sz val="11"/>
      <color rgb="FF7F7F7F"/>
      <name val="Calibri"/>
      <family val="2"/>
      <charset val="1"/>
    </font>
    <font>
      <b/>
      <sz val="10"/>
      <name val="Calibri"/>
      <family val="2"/>
      <charset val="1"/>
    </font>
    <font>
      <sz val="10"/>
      <name val="Calibri"/>
      <family val="2"/>
      <charset val="1"/>
    </font>
    <font>
      <b/>
      <sz val="16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8"/>
      <color theme="0"/>
      <name val="Arial"/>
      <family val="2"/>
    </font>
    <font>
      <sz val="11"/>
      <color rgb="FF000000"/>
      <name val="Calibri"/>
      <family val="2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</font>
    <font>
      <b/>
      <i/>
      <sz val="16"/>
      <name val="Arial"/>
      <family val="2"/>
    </font>
    <font>
      <b/>
      <i/>
      <u/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ED7D31"/>
        <bgColor rgb="FFFF8080"/>
      </patternFill>
    </fill>
    <fill>
      <patternFill patternType="solid">
        <fgColor rgb="FFFBE5D6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DAE3F3"/>
        <bgColor rgb="FFDEEBF7"/>
      </patternFill>
    </fill>
    <fill>
      <patternFill patternType="solid">
        <fgColor rgb="FFDEEBF7"/>
        <bgColor rgb="FFDAE3F3"/>
      </patternFill>
    </fill>
    <fill>
      <patternFill patternType="solid">
        <fgColor rgb="FF002060"/>
        <bgColor rgb="FF000080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36">
    <xf numFmtId="0" fontId="0" fillId="0" borderId="0"/>
    <xf numFmtId="165" fontId="14" fillId="0" borderId="0" applyBorder="0" applyProtection="0"/>
    <xf numFmtId="164" fontId="2" fillId="0" borderId="0" applyBorder="0" applyProtection="0"/>
    <xf numFmtId="0" fontId="3" fillId="0" borderId="0"/>
    <xf numFmtId="0" fontId="2" fillId="0" borderId="0"/>
    <xf numFmtId="0" fontId="14" fillId="0" borderId="0"/>
    <xf numFmtId="0" fontId="2" fillId="0" borderId="0"/>
    <xf numFmtId="165" fontId="14" fillId="0" borderId="0" applyBorder="0" applyProtection="0"/>
    <xf numFmtId="165" fontId="2" fillId="0" borderId="0" applyBorder="0" applyProtection="0"/>
    <xf numFmtId="0" fontId="2" fillId="0" borderId="0">
      <alignment wrapText="1"/>
    </xf>
    <xf numFmtId="0" fontId="4" fillId="0" borderId="0" applyBorder="0" applyProtection="0"/>
    <xf numFmtId="173" fontId="19" fillId="0" borderId="0"/>
    <xf numFmtId="43" fontId="14" fillId="0" borderId="0" applyFont="0" applyFill="0" applyBorder="0" applyAlignment="0" applyProtection="0"/>
    <xf numFmtId="0" fontId="1" fillId="0" borderId="0"/>
    <xf numFmtId="18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>
      <alignment vertical="top"/>
    </xf>
    <xf numFmtId="184" fontId="1" fillId="0" borderId="0" applyFont="0" applyFill="0" applyBorder="0" applyAlignment="0" applyProtection="0"/>
    <xf numFmtId="0" fontId="24" fillId="0" borderId="0"/>
    <xf numFmtId="185" fontId="1" fillId="0" borderId="0" applyFont="0" applyFill="0" applyBorder="0" applyAlignment="0" applyProtection="0"/>
    <xf numFmtId="0" fontId="23" fillId="0" borderId="0"/>
    <xf numFmtId="0" fontId="23" fillId="0" borderId="0"/>
    <xf numFmtId="0" fontId="25" fillId="0" borderId="0" applyNumberFormat="0" applyFill="0" applyBorder="0" applyProtection="0">
      <alignment horizontal="center"/>
    </xf>
    <xf numFmtId="190" fontId="23" fillId="0" borderId="0" applyFill="0" applyBorder="0" applyAlignment="0" applyProtection="0"/>
    <xf numFmtId="0" fontId="26" fillId="0" borderId="0" applyNumberFormat="0" applyFill="0" applyBorder="0" applyAlignment="0" applyProtection="0"/>
    <xf numFmtId="191" fontId="26" fillId="0" borderId="0" applyFill="0" applyBorder="0" applyAlignment="0" applyProtection="0"/>
    <xf numFmtId="0" fontId="25" fillId="0" borderId="0" applyNumberFormat="0" applyFill="0" applyBorder="0" applyProtection="0">
      <alignment horizontal="center" textRotation="90"/>
    </xf>
    <xf numFmtId="0" fontId="23" fillId="0" borderId="0"/>
    <xf numFmtId="190" fontId="23" fillId="0" borderId="0" applyFill="0" applyBorder="0" applyAlignment="0" applyProtection="0"/>
    <xf numFmtId="0" fontId="23" fillId="0" borderId="0"/>
    <xf numFmtId="190" fontId="23" fillId="0" borderId="0" applyFill="0" applyBorder="0" applyAlignment="0" applyProtection="0"/>
    <xf numFmtId="0" fontId="23" fillId="0" borderId="0"/>
    <xf numFmtId="190" fontId="23" fillId="0" borderId="0" applyFill="0" applyBorder="0" applyAlignment="0" applyProtection="0"/>
    <xf numFmtId="0" fontId="20" fillId="13" borderId="0" applyNumberFormat="0" applyBorder="0" applyAlignment="0" applyProtection="0"/>
    <xf numFmtId="184" fontId="1" fillId="0" borderId="0" applyFont="0" applyFill="0" applyBorder="0" applyAlignment="0" applyProtection="0"/>
    <xf numFmtId="0" fontId="23" fillId="0" borderId="0"/>
  </cellStyleXfs>
  <cellXfs count="105">
    <xf numFmtId="0" fontId="0" fillId="0" borderId="0" xfId="0"/>
    <xf numFmtId="0" fontId="2" fillId="0" borderId="1" xfId="0" applyFont="1" applyBorder="1"/>
    <xf numFmtId="1" fontId="0" fillId="0" borderId="0" xfId="0" applyNumberFormat="1"/>
    <xf numFmtId="0" fontId="5" fillId="2" borderId="2" xfId="10" applyFont="1" applyFill="1" applyBorder="1" applyAlignment="1" applyProtection="1">
      <alignment horizontal="center"/>
    </xf>
    <xf numFmtId="0" fontId="6" fillId="2" borderId="3" xfId="10" applyFont="1" applyFill="1" applyBorder="1" applyAlignment="1" applyProtection="1"/>
    <xf numFmtId="166" fontId="6" fillId="2" borderId="0" xfId="10" applyNumberFormat="1" applyFont="1" applyFill="1" applyBorder="1" applyAlignment="1" applyProtection="1">
      <alignment horizontal="center"/>
    </xf>
    <xf numFmtId="2" fontId="6" fillId="2" borderId="0" xfId="10" applyNumberFormat="1" applyFont="1" applyFill="1" applyBorder="1" applyAlignment="1" applyProtection="1">
      <alignment horizontal="center"/>
    </xf>
    <xf numFmtId="166" fontId="0" fillId="0" borderId="0" xfId="0" applyNumberFormat="1"/>
    <xf numFmtId="0" fontId="6" fillId="2" borderId="0" xfId="10" applyFont="1" applyFill="1" applyBorder="1" applyAlignment="1" applyProtection="1"/>
    <xf numFmtId="166" fontId="3" fillId="2" borderId="0" xfId="10" applyNumberFormat="1" applyFont="1" applyFill="1" applyBorder="1" applyAlignment="1" applyProtection="1">
      <alignment horizontal="center"/>
    </xf>
    <xf numFmtId="2" fontId="3" fillId="2" borderId="0" xfId="10" applyNumberFormat="1" applyFont="1" applyFill="1" applyBorder="1" applyAlignment="1" applyProtection="1">
      <alignment horizontal="center"/>
    </xf>
    <xf numFmtId="0" fontId="0" fillId="0" borderId="1" xfId="0" applyBorder="1"/>
    <xf numFmtId="1" fontId="0" fillId="0" borderId="1" xfId="0" applyNumberFormat="1" applyBorder="1"/>
    <xf numFmtId="0" fontId="0" fillId="0" borderId="4" xfId="0" applyFont="1" applyBorder="1"/>
    <xf numFmtId="166" fontId="0" fillId="0" borderId="5" xfId="0" applyNumberFormat="1" applyBorder="1"/>
    <xf numFmtId="0" fontId="8" fillId="0" borderId="5" xfId="0" applyFont="1" applyBorder="1"/>
    <xf numFmtId="1" fontId="8" fillId="0" borderId="5" xfId="0" applyNumberFormat="1" applyFont="1" applyBorder="1"/>
    <xf numFmtId="0" fontId="9" fillId="0" borderId="1" xfId="0" applyFont="1" applyBorder="1"/>
    <xf numFmtId="167" fontId="0" fillId="0" borderId="1" xfId="0" applyNumberFormat="1" applyBorder="1"/>
    <xf numFmtId="168" fontId="0" fillId="0" borderId="1" xfId="0" applyNumberFormat="1" applyBorder="1"/>
    <xf numFmtId="2" fontId="0" fillId="0" borderId="0" xfId="0" applyNumberFormat="1"/>
    <xf numFmtId="0" fontId="10" fillId="0" borderId="5" xfId="5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4" borderId="5" xfId="5" applyFont="1" applyFill="1" applyBorder="1" applyAlignment="1">
      <alignment vertical="center"/>
    </xf>
    <xf numFmtId="3" fontId="11" fillId="4" borderId="5" xfId="5" applyNumberFormat="1" applyFont="1" applyFill="1" applyBorder="1" applyAlignment="1">
      <alignment horizontal="right" vertical="center"/>
    </xf>
    <xf numFmtId="3" fontId="11" fillId="4" borderId="5" xfId="5" applyNumberFormat="1" applyFont="1" applyFill="1" applyBorder="1"/>
    <xf numFmtId="0" fontId="11" fillId="4" borderId="5" xfId="0" applyFont="1" applyFill="1" applyBorder="1" applyAlignment="1">
      <alignment vertical="center"/>
    </xf>
    <xf numFmtId="3" fontId="11" fillId="4" borderId="5" xfId="0" applyNumberFormat="1" applyFont="1" applyFill="1" applyBorder="1" applyAlignment="1">
      <alignment horizontal="right" vertical="center"/>
    </xf>
    <xf numFmtId="3" fontId="11" fillId="4" borderId="5" xfId="0" applyNumberFormat="1" applyFont="1" applyFill="1" applyBorder="1"/>
    <xf numFmtId="0" fontId="11" fillId="4" borderId="6" xfId="5" applyFont="1" applyFill="1" applyBorder="1" applyAlignment="1">
      <alignment vertical="center"/>
    </xf>
    <xf numFmtId="167" fontId="0" fillId="0" borderId="0" xfId="1" applyNumberFormat="1" applyFont="1" applyBorder="1" applyAlignment="1" applyProtection="1"/>
    <xf numFmtId="0" fontId="11" fillId="5" borderId="5" xfId="0" applyFont="1" applyFill="1" applyBorder="1" applyAlignment="1">
      <alignment vertical="center"/>
    </xf>
    <xf numFmtId="3" fontId="11" fillId="5" borderId="5" xfId="0" applyNumberFormat="1" applyFont="1" applyFill="1" applyBorder="1" applyAlignment="1">
      <alignment horizontal="right" vertical="center"/>
    </xf>
    <xf numFmtId="3" fontId="11" fillId="5" borderId="5" xfId="0" applyNumberFormat="1" applyFont="1" applyFill="1" applyBorder="1"/>
    <xf numFmtId="0" fontId="11" fillId="5" borderId="0" xfId="0" applyFont="1" applyFill="1" applyBorder="1" applyAlignment="1">
      <alignment vertical="center"/>
    </xf>
    <xf numFmtId="0" fontId="0" fillId="0" borderId="5" xfId="0" applyBorder="1"/>
    <xf numFmtId="0" fontId="0" fillId="0" borderId="7" xfId="0" applyBorder="1"/>
    <xf numFmtId="0" fontId="0" fillId="0" borderId="8" xfId="0" applyFont="1" applyBorder="1"/>
    <xf numFmtId="1" fontId="0" fillId="0" borderId="5" xfId="0" applyNumberFormat="1" applyBorder="1"/>
    <xf numFmtId="0" fontId="11" fillId="6" borderId="5" xfId="0" applyFont="1" applyFill="1" applyBorder="1" applyAlignment="1">
      <alignment vertical="center"/>
    </xf>
    <xf numFmtId="3" fontId="11" fillId="6" borderId="5" xfId="0" applyNumberFormat="1" applyFont="1" applyFill="1" applyBorder="1" applyAlignment="1">
      <alignment horizontal="right" vertical="center"/>
    </xf>
    <xf numFmtId="3" fontId="11" fillId="7" borderId="5" xfId="0" applyNumberFormat="1" applyFont="1" applyFill="1" applyBorder="1"/>
    <xf numFmtId="0" fontId="12" fillId="8" borderId="9" xfId="0" applyFont="1" applyFill="1" applyBorder="1"/>
    <xf numFmtId="0" fontId="0" fillId="8" borderId="10" xfId="0" applyFill="1" applyBorder="1"/>
    <xf numFmtId="0" fontId="13" fillId="8" borderId="10" xfId="0" applyFont="1" applyFill="1" applyBorder="1"/>
    <xf numFmtId="0" fontId="13" fillId="8" borderId="11" xfId="0" applyFont="1" applyFill="1" applyBorder="1"/>
    <xf numFmtId="0" fontId="15" fillId="10" borderId="9" xfId="0" applyFont="1" applyFill="1" applyBorder="1"/>
    <xf numFmtId="0" fontId="0" fillId="10" borderId="10" xfId="0" applyFill="1" applyBorder="1"/>
    <xf numFmtId="0" fontId="16" fillId="10" borderId="10" xfId="0" applyFont="1" applyFill="1" applyBorder="1"/>
    <xf numFmtId="0" fontId="16" fillId="10" borderId="11" xfId="0" applyFont="1" applyFill="1" applyBorder="1"/>
    <xf numFmtId="0" fontId="0" fillId="11" borderId="12" xfId="0" applyFill="1" applyBorder="1"/>
    <xf numFmtId="0" fontId="0" fillId="11" borderId="0" xfId="0" applyFill="1" applyBorder="1"/>
    <xf numFmtId="171" fontId="0" fillId="11" borderId="0" xfId="1" applyNumberFormat="1" applyFont="1" applyFill="1" applyBorder="1"/>
    <xf numFmtId="171" fontId="0" fillId="11" borderId="13" xfId="1" applyNumberFormat="1" applyFont="1" applyFill="1" applyBorder="1"/>
    <xf numFmtId="0" fontId="0" fillId="12" borderId="12" xfId="0" applyFill="1" applyBorder="1"/>
    <xf numFmtId="0" fontId="0" fillId="12" borderId="0" xfId="0" applyFill="1" applyBorder="1"/>
    <xf numFmtId="171" fontId="0" fillId="12" borderId="0" xfId="1" applyNumberFormat="1" applyFont="1" applyFill="1" applyBorder="1"/>
    <xf numFmtId="171" fontId="0" fillId="12" borderId="13" xfId="1" applyNumberFormat="1" applyFont="1" applyFill="1" applyBorder="1"/>
    <xf numFmtId="0" fontId="0" fillId="11" borderId="14" xfId="0" applyFill="1" applyBorder="1"/>
    <xf numFmtId="0" fontId="0" fillId="11" borderId="15" xfId="0" applyFill="1" applyBorder="1"/>
    <xf numFmtId="171" fontId="0" fillId="11" borderId="15" xfId="1" applyNumberFormat="1" applyFont="1" applyFill="1" applyBorder="1"/>
    <xf numFmtId="171" fontId="0" fillId="11" borderId="16" xfId="1" applyNumberFormat="1" applyFont="1" applyFill="1" applyBorder="1"/>
    <xf numFmtId="172" fontId="18" fillId="10" borderId="15" xfId="0" applyNumberFormat="1" applyFont="1" applyFill="1" applyBorder="1" applyAlignment="1">
      <alignment horizontal="left"/>
    </xf>
    <xf numFmtId="171" fontId="18" fillId="10" borderId="15" xfId="0" applyNumberFormat="1" applyFont="1" applyFill="1" applyBorder="1" applyAlignment="1">
      <alignment horizontal="left"/>
    </xf>
    <xf numFmtId="174" fontId="0" fillId="0" borderId="0" xfId="12" applyNumberFormat="1" applyFont="1"/>
    <xf numFmtId="0" fontId="17" fillId="0" borderId="0" xfId="0" applyFont="1" applyAlignment="1">
      <alignment wrapText="1"/>
    </xf>
    <xf numFmtId="174" fontId="17" fillId="0" borderId="0" xfId="12" applyNumberFormat="1" applyFont="1"/>
    <xf numFmtId="169" fontId="0" fillId="0" borderId="5" xfId="0" applyNumberFormat="1" applyBorder="1"/>
    <xf numFmtId="0" fontId="17" fillId="9" borderId="0" xfId="0" applyFont="1" applyFill="1" applyAlignment="1">
      <alignment horizontal="center"/>
    </xf>
    <xf numFmtId="0" fontId="7" fillId="3" borderId="0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3" fillId="8" borderId="14" xfId="0" applyFont="1" applyFill="1" applyBorder="1" applyAlignment="1">
      <alignment horizontal="center"/>
    </xf>
    <xf numFmtId="0" fontId="0" fillId="12" borderId="12" xfId="0" applyFill="1" applyBorder="1"/>
    <xf numFmtId="0" fontId="0" fillId="12" borderId="0" xfId="0" applyFill="1" applyBorder="1"/>
    <xf numFmtId="0" fontId="16" fillId="10" borderId="17" xfId="0" applyFont="1" applyFill="1" applyBorder="1" applyAlignment="1">
      <alignment horizontal="center"/>
    </xf>
    <xf numFmtId="0" fontId="16" fillId="10" borderId="2" xfId="0" applyFont="1" applyFill="1" applyBorder="1" applyAlignment="1">
      <alignment horizontal="center"/>
    </xf>
    <xf numFmtId="0" fontId="21" fillId="14" borderId="0" xfId="0" applyFont="1" applyFill="1"/>
    <xf numFmtId="0" fontId="21" fillId="0" borderId="0" xfId="0" applyFont="1"/>
    <xf numFmtId="174" fontId="21" fillId="0" borderId="0" xfId="12" applyNumberFormat="1" applyFont="1"/>
    <xf numFmtId="0" fontId="22" fillId="15" borderId="0" xfId="0" applyFont="1" applyFill="1" applyAlignment="1">
      <alignment horizontal="right"/>
    </xf>
    <xf numFmtId="0" fontId="0" fillId="15" borderId="0" xfId="0" applyFill="1"/>
    <xf numFmtId="174" fontId="22" fillId="15" borderId="0" xfId="12" applyNumberFormat="1" applyFont="1" applyFill="1"/>
    <xf numFmtId="0" fontId="22" fillId="15" borderId="0" xfId="0" applyFont="1" applyFill="1"/>
    <xf numFmtId="165" fontId="14" fillId="0" borderId="0" xfId="1"/>
    <xf numFmtId="167" fontId="0" fillId="0" borderId="0" xfId="0" applyNumberFormat="1"/>
    <xf numFmtId="165" fontId="14" fillId="0" borderId="1" xfId="1" applyBorder="1"/>
    <xf numFmtId="0" fontId="0" fillId="0" borderId="0" xfId="0" applyFill="1" applyBorder="1"/>
    <xf numFmtId="179" fontId="0" fillId="0" borderId="0" xfId="12" applyNumberFormat="1" applyFont="1"/>
    <xf numFmtId="0" fontId="1" fillId="11" borderId="0" xfId="13" applyFill="1"/>
    <xf numFmtId="0" fontId="1" fillId="11" borderId="12" xfId="13" applyFill="1" applyBorder="1"/>
    <xf numFmtId="0" fontId="1" fillId="11" borderId="14" xfId="13" applyFill="1" applyBorder="1"/>
    <xf numFmtId="0" fontId="1" fillId="12" borderId="12" xfId="13" applyFill="1" applyBorder="1"/>
    <xf numFmtId="0" fontId="1" fillId="12" borderId="0" xfId="13" applyFill="1"/>
    <xf numFmtId="0" fontId="1" fillId="11" borderId="15" xfId="13" applyFill="1" applyBorder="1"/>
    <xf numFmtId="172" fontId="18" fillId="10" borderId="15" xfId="13" applyNumberFormat="1" applyFont="1" applyFill="1" applyBorder="1" applyAlignment="1">
      <alignment horizontal="left"/>
    </xf>
    <xf numFmtId="171" fontId="18" fillId="10" borderId="15" xfId="13" applyNumberFormat="1" applyFont="1" applyFill="1" applyBorder="1" applyAlignment="1">
      <alignment horizontal="left"/>
    </xf>
    <xf numFmtId="171" fontId="18" fillId="10" borderId="16" xfId="13" applyNumberFormat="1" applyFont="1" applyFill="1" applyBorder="1" applyAlignment="1">
      <alignment horizontal="left"/>
    </xf>
    <xf numFmtId="171" fontId="1" fillId="11" borderId="0" xfId="15" applyNumberFormat="1" applyFont="1" applyFill="1" applyBorder="1"/>
    <xf numFmtId="171" fontId="1" fillId="12" borderId="0" xfId="15" applyNumberFormat="1" applyFont="1" applyFill="1" applyBorder="1"/>
    <xf numFmtId="171" fontId="1" fillId="11" borderId="15" xfId="15" applyNumberFormat="1" applyFont="1" applyFill="1" applyBorder="1"/>
    <xf numFmtId="171" fontId="1" fillId="11" borderId="13" xfId="15" applyNumberFormat="1" applyFont="1" applyFill="1" applyBorder="1"/>
    <xf numFmtId="171" fontId="1" fillId="12" borderId="13" xfId="15" applyNumberFormat="1" applyFont="1" applyFill="1" applyBorder="1"/>
    <xf numFmtId="171" fontId="1" fillId="11" borderId="16" xfId="15" applyNumberFormat="1" applyFont="1" applyFill="1" applyBorder="1"/>
    <xf numFmtId="0" fontId="16" fillId="10" borderId="14" xfId="13" applyFont="1" applyFill="1" applyBorder="1" applyAlignment="1">
      <alignment horizontal="center"/>
    </xf>
    <xf numFmtId="0" fontId="16" fillId="10" borderId="15" xfId="13" applyFont="1" applyFill="1" applyBorder="1" applyAlignment="1">
      <alignment horizontal="center"/>
    </xf>
  </cellXfs>
  <cellStyles count="36">
    <cellStyle name="En-tête" xfId="22" xr:uid="{E4F43AE6-CF72-4C14-AEBD-ADA1FF5DE720}"/>
    <cellStyle name="Euro" xfId="23" xr:uid="{3CBE14A1-F315-4299-BD7B-E5C6C61708A3}"/>
    <cellStyle name="Euro 2" xfId="30" xr:uid="{983147BD-85C6-4496-8C63-3D769839EEB1}"/>
    <cellStyle name="Euro 3" xfId="32" xr:uid="{7486E198-8F9A-4372-95CA-B1C592B147C9}"/>
    <cellStyle name="Euro 4" xfId="28" xr:uid="{C4CBC994-A908-4F83-84AC-4B320D038406}"/>
    <cellStyle name="Excel Built-in Explanatory Text" xfId="10" xr:uid="{00000000-0005-0000-0000-000000000000}"/>
    <cellStyle name="Excel_BuiltIn_Comma" xfId="11" xr:uid="{00000000-0005-0000-0000-000001000000}"/>
    <cellStyle name="Milliers" xfId="12" builtinId="3"/>
    <cellStyle name="Milliers 2" xfId="2" xr:uid="{00000000-0005-0000-0000-000002000000}"/>
    <cellStyle name="Milliers 2 2" xfId="19" xr:uid="{E27E52E7-4BB3-4D41-B47D-B6DBBEEFA024}"/>
    <cellStyle name="Milliers 3" xfId="17" xr:uid="{DEF364A6-6B42-41C1-9DE4-38142D0996FB}"/>
    <cellStyle name="Milliers 4" xfId="34" xr:uid="{3E280BFD-A2CA-431C-9BDF-7787B3566E85}"/>
    <cellStyle name="Milliers 5" xfId="14" xr:uid="{BD79BD4C-E5E6-4DDE-A6F5-962DF5B297E8}"/>
    <cellStyle name="Neutre 2" xfId="33" xr:uid="{DCB6160A-1A64-4724-BC7E-77851FE289B0}"/>
    <cellStyle name="Normal" xfId="0" builtinId="0"/>
    <cellStyle name="Normal 2" xfId="3" xr:uid="{00000000-0005-0000-0000-000004000000}"/>
    <cellStyle name="Normal 2 2" xfId="4" xr:uid="{00000000-0005-0000-0000-000005000000}"/>
    <cellStyle name="Normal 2 2 2" xfId="20" xr:uid="{4B76D4C0-A204-49FF-B8F7-4A1926EF0925}"/>
    <cellStyle name="Normal 2 2 2 2 4" xfId="35" xr:uid="{FDBDA373-78AE-41BB-BFB3-C57AC87DE3C5}"/>
    <cellStyle name="Normal 2 3" xfId="18" xr:uid="{F4923E96-7D86-47E4-AFAE-398BC35B63E5}"/>
    <cellStyle name="Normal 3" xfId="5" xr:uid="{00000000-0005-0000-0000-000006000000}"/>
    <cellStyle name="Normal 3 2" xfId="6" xr:uid="{00000000-0005-0000-0000-000007000000}"/>
    <cellStyle name="Normal 3 2 2" xfId="29" xr:uid="{DF105880-1265-433F-A806-EE4B15C2B480}"/>
    <cellStyle name="Normal 3 3" xfId="31" xr:uid="{D7989F50-CF09-455E-AF0B-F6D882AAE6C1}"/>
    <cellStyle name="Normal 3 4" xfId="27" xr:uid="{505C4D76-DEA1-420F-9F26-B148DAB283CE}"/>
    <cellStyle name="Normal 3 5" xfId="21" xr:uid="{F6F0DC49-4AFC-48CB-BB7D-D54D5455451C}"/>
    <cellStyle name="Normal 4" xfId="13" xr:uid="{98E9FE14-41E5-4A2D-B2F2-0A46717B3180}"/>
    <cellStyle name="Pourcentage" xfId="1" builtinId="5"/>
    <cellStyle name="Pourcentage 2" xfId="7" xr:uid="{00000000-0005-0000-0000-000009000000}"/>
    <cellStyle name="Pourcentage 2 2" xfId="8" xr:uid="{00000000-0005-0000-0000-00000A000000}"/>
    <cellStyle name="Pourcentage 3" xfId="15" xr:uid="{F6374608-2CBD-444D-91FE-683742DCC64C}"/>
    <cellStyle name="Résultat" xfId="24" xr:uid="{71A642A2-7F09-45E9-AC11-1BD1C9D09472}"/>
    <cellStyle name="Résultat2" xfId="25" xr:uid="{2E587164-FE35-4CC7-A66E-5164D788A987}"/>
    <cellStyle name="Standard_Mappe1" xfId="16" xr:uid="{514E4887-BF33-47A0-950A-E9B1125F71B7}"/>
    <cellStyle name="TableStyleLight1" xfId="9" xr:uid="{00000000-0005-0000-0000-00000B000000}"/>
    <cellStyle name="Titre1" xfId="26" xr:uid="{067142CE-5204-485A-AC88-493508081CE8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ED7D31"/>
      <rgbColor rgb="FF666699"/>
      <rgbColor rgb="FF7F7F7F"/>
      <rgbColor rgb="FF002060"/>
      <rgbColor rgb="FF339966"/>
      <rgbColor rgb="FF003300"/>
      <rgbColor rgb="FF333300"/>
      <rgbColor rgb="FFCE18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0"/>
  <sheetViews>
    <sheetView zoomScaleNormal="100" workbookViewId="0">
      <selection activeCell="G9" sqref="G9"/>
    </sheetView>
  </sheetViews>
  <sheetFormatPr baseColWidth="10" defaultColWidth="8.7109375" defaultRowHeight="15" x14ac:dyDescent="0.25"/>
  <cols>
    <col min="1" max="1" width="10.42578125" customWidth="1"/>
    <col min="2" max="2" width="14.140625" customWidth="1"/>
    <col min="3" max="1025" width="10.42578125" customWidth="1"/>
  </cols>
  <sheetData>
    <row r="2" spans="2:27" x14ac:dyDescent="0.25">
      <c r="B2" s="68" t="s">
        <v>0</v>
      </c>
      <c r="C2" s="68"/>
      <c r="D2" s="68"/>
      <c r="E2" s="68"/>
      <c r="F2" s="68"/>
      <c r="G2" s="68"/>
      <c r="H2" s="68"/>
      <c r="I2" s="68"/>
    </row>
    <row r="4" spans="2:27" ht="15.75" thickBot="1" x14ac:dyDescent="0.3">
      <c r="B4" t="s">
        <v>1</v>
      </c>
      <c r="C4" s="1">
        <v>2020</v>
      </c>
      <c r="D4" s="1">
        <f t="shared" ref="D4:I4" si="0">C4+5</f>
        <v>2025</v>
      </c>
      <c r="E4" s="1">
        <f t="shared" si="0"/>
        <v>2030</v>
      </c>
      <c r="F4" s="1">
        <f t="shared" si="0"/>
        <v>2035</v>
      </c>
      <c r="G4" s="1">
        <f t="shared" si="0"/>
        <v>2040</v>
      </c>
      <c r="H4" s="1">
        <f t="shared" si="0"/>
        <v>2045</v>
      </c>
      <c r="I4" s="1">
        <f t="shared" si="0"/>
        <v>2050</v>
      </c>
      <c r="W4" t="s">
        <v>7</v>
      </c>
    </row>
    <row r="5" spans="2:27" ht="15.75" thickBot="1" x14ac:dyDescent="0.3">
      <c r="P5" t="s">
        <v>1</v>
      </c>
      <c r="Q5" s="3">
        <v>2015</v>
      </c>
      <c r="R5" s="3">
        <v>2020</v>
      </c>
      <c r="S5" s="3">
        <v>2025</v>
      </c>
      <c r="T5" s="3">
        <v>2030</v>
      </c>
      <c r="U5" s="3">
        <v>2050</v>
      </c>
      <c r="W5" s="3">
        <v>2015</v>
      </c>
      <c r="X5" s="3">
        <v>2020</v>
      </c>
      <c r="Y5" s="3">
        <v>2025</v>
      </c>
      <c r="Z5" s="3">
        <v>2030</v>
      </c>
      <c r="AA5" s="3">
        <v>2050</v>
      </c>
    </row>
    <row r="6" spans="2:27" x14ac:dyDescent="0.25">
      <c r="B6" t="s">
        <v>2</v>
      </c>
      <c r="C6" s="64">
        <f>R_ECS!B14+R_ECS!C43</f>
        <v>49.129384947802933</v>
      </c>
      <c r="D6" s="64">
        <f>(C6+E6)/2</f>
        <v>49.454600078059457</v>
      </c>
      <c r="E6" s="64">
        <f>R_ECS!D14+R_ECS!D43</f>
        <v>49.779815208315988</v>
      </c>
      <c r="F6" s="64">
        <f>(E6+G6)/2</f>
        <v>49.620370928321634</v>
      </c>
      <c r="G6" s="64">
        <f>R_ECS!F14+R_ECS!E43</f>
        <v>49.46092664832728</v>
      </c>
      <c r="H6" s="64">
        <f>(G6+I6)/2</f>
        <v>49.055332493369377</v>
      </c>
      <c r="I6" s="64">
        <f>R_ECS!H14+R_ECS!F43</f>
        <v>48.649738338411474</v>
      </c>
      <c r="P6" s="4" t="s">
        <v>8</v>
      </c>
      <c r="Q6" s="5">
        <f t="shared" ref="Q6:U11" si="1">W6*11.628</f>
        <v>321.53813685567354</v>
      </c>
      <c r="R6" s="5">
        <f t="shared" si="1"/>
        <v>307.72005225118107</v>
      </c>
      <c r="S6" s="5">
        <f t="shared" si="1"/>
        <v>285.54398481101197</v>
      </c>
      <c r="T6" s="5">
        <f t="shared" si="1"/>
        <v>261.63779914447753</v>
      </c>
      <c r="U6" s="5">
        <f t="shared" si="1"/>
        <v>155.05819192125475</v>
      </c>
      <c r="W6" s="5">
        <v>27.652058553119499</v>
      </c>
      <c r="X6" s="5">
        <v>26.4637127838993</v>
      </c>
      <c r="Y6" s="5">
        <v>24.556586241057101</v>
      </c>
      <c r="Z6" s="5">
        <v>22.500670721059301</v>
      </c>
      <c r="AA6" s="5">
        <v>13.334897826045299</v>
      </c>
    </row>
    <row r="7" spans="2:27" x14ac:dyDescent="0.25">
      <c r="B7" t="s">
        <v>3</v>
      </c>
      <c r="C7" s="64">
        <f>R_cuisson!B14+R_cuisson!C40</f>
        <v>24.099359944376971</v>
      </c>
      <c r="D7" s="64">
        <f>(C7+E7)/2</f>
        <v>23.146467528555689</v>
      </c>
      <c r="E7" s="64">
        <f>R_cuisson!D14+R_cuisson!D40</f>
        <v>22.193575112734404</v>
      </c>
      <c r="F7" s="64">
        <f>(E7+G7)/2</f>
        <v>21.637578437379645</v>
      </c>
      <c r="G7" s="64">
        <f>R_cuisson!F14+R_cuisson!E40</f>
        <v>21.081581762024889</v>
      </c>
      <c r="H7" s="64">
        <f>(G7+I7)/2</f>
        <v>20.41309748339847</v>
      </c>
      <c r="I7" s="64">
        <f>R_cuisson!H14+R_cuisson!F40</f>
        <v>19.744613204772051</v>
      </c>
      <c r="P7" s="4" t="s">
        <v>9</v>
      </c>
      <c r="Q7" s="5">
        <f t="shared" si="1"/>
        <v>52.025481987526987</v>
      </c>
      <c r="R7" s="5">
        <f t="shared" si="1"/>
        <v>48.056086744052109</v>
      </c>
      <c r="S7" s="5">
        <f t="shared" si="1"/>
        <v>42.443622209108163</v>
      </c>
      <c r="T7" s="5">
        <f t="shared" si="1"/>
        <v>37.55053751478853</v>
      </c>
      <c r="U7" s="5">
        <f t="shared" si="1"/>
        <v>35.904142139174148</v>
      </c>
      <c r="W7" s="5">
        <v>4.4741556576820596</v>
      </c>
      <c r="X7" s="5">
        <v>4.1327903976652998</v>
      </c>
      <c r="Y7" s="5">
        <v>3.6501223090048298</v>
      </c>
      <c r="Z7" s="5">
        <v>3.2293203917086801</v>
      </c>
      <c r="AA7" s="5">
        <v>3.0877315221167998</v>
      </c>
    </row>
    <row r="8" spans="2:27" x14ac:dyDescent="0.25">
      <c r="B8" t="s">
        <v>4</v>
      </c>
      <c r="C8" s="64">
        <f>'R_Elec spé'!B15+'R_Elec spé'!C21</f>
        <v>73.620614237413292</v>
      </c>
      <c r="D8" s="64">
        <f>(C8+E8)/2</f>
        <v>74.87696669881143</v>
      </c>
      <c r="E8" s="64">
        <f>'R_Elec spé'!D15+'R_Elec spé'!D21</f>
        <v>76.133319160209567</v>
      </c>
      <c r="F8" s="64">
        <f>(E8+G8)/2</f>
        <v>77.447125743528062</v>
      </c>
      <c r="G8" s="64">
        <f>'R_Elec spé'!F15+'R_Elec spé'!E21</f>
        <v>78.760932326846557</v>
      </c>
      <c r="H8" s="64">
        <f>(G8+I8)/2</f>
        <v>79.695606454473136</v>
      </c>
      <c r="I8" s="64">
        <f>'R_Elec spé'!H15+'R_Elec spé'!F21</f>
        <v>80.630280582099701</v>
      </c>
      <c r="P8" s="4" t="s">
        <v>10</v>
      </c>
      <c r="Q8" s="5">
        <f t="shared" si="1"/>
        <v>31.247030048068847</v>
      </c>
      <c r="R8" s="5">
        <f t="shared" si="1"/>
        <v>31.225948177235228</v>
      </c>
      <c r="S8" s="5">
        <f t="shared" si="1"/>
        <v>30.981910647349682</v>
      </c>
      <c r="T8" s="5">
        <f t="shared" si="1"/>
        <v>30.60261211230323</v>
      </c>
      <c r="U8" s="5">
        <f t="shared" si="1"/>
        <v>28.394067872185193</v>
      </c>
      <c r="W8" s="5">
        <v>2.6872230863492299</v>
      </c>
      <c r="X8" s="5">
        <v>2.6854100599617499</v>
      </c>
      <c r="Y8" s="5">
        <v>2.6644230002880702</v>
      </c>
      <c r="Z8" s="5">
        <v>2.6318035872293799</v>
      </c>
      <c r="AA8" s="5">
        <v>2.4418703020455101</v>
      </c>
    </row>
    <row r="9" spans="2:27" x14ac:dyDescent="0.25">
      <c r="B9" t="s">
        <v>5</v>
      </c>
      <c r="C9" s="64">
        <f>R_climatisation!F30</f>
        <v>4.6932107824276308</v>
      </c>
      <c r="D9" s="64">
        <f>(C9+E9)/2</f>
        <v>5.7932544363504546</v>
      </c>
      <c r="E9" s="64">
        <f>R_climatisation!G30</f>
        <v>6.8932980902732783</v>
      </c>
      <c r="F9" s="64">
        <f>(E9+G9)/2</f>
        <v>8.2388141272086273</v>
      </c>
      <c r="G9" s="64">
        <f>R_climatisation!H30</f>
        <v>9.584330164143978</v>
      </c>
      <c r="H9" s="64">
        <f>(G9+I9)/2</f>
        <v>10.438395815511663</v>
      </c>
      <c r="I9" s="64">
        <f>R_climatisation!I30</f>
        <v>11.292461466879349</v>
      </c>
      <c r="P9" s="4" t="s">
        <v>11</v>
      </c>
      <c r="Q9" s="5">
        <f t="shared" si="1"/>
        <v>8.1568281687635142</v>
      </c>
      <c r="R9" s="5">
        <f t="shared" si="1"/>
        <v>6.826820464557513</v>
      </c>
      <c r="S9" s="5">
        <f t="shared" si="1"/>
        <v>5.370508701766358</v>
      </c>
      <c r="T9" s="5">
        <f t="shared" si="1"/>
        <v>3.7984819899452842</v>
      </c>
      <c r="U9" s="5">
        <f t="shared" si="1"/>
        <v>2.8562628392303213</v>
      </c>
      <c r="W9" s="5">
        <v>0.70148161066077697</v>
      </c>
      <c r="X9" s="5">
        <v>0.58710186313704105</v>
      </c>
      <c r="Y9" s="5">
        <v>0.46186005347147902</v>
      </c>
      <c r="Z9" s="5">
        <v>0.32666683780059202</v>
      </c>
      <c r="AA9" s="5">
        <v>0.245636639080695</v>
      </c>
    </row>
    <row r="10" spans="2:27" ht="30" x14ac:dyDescent="0.25">
      <c r="B10" s="65" t="s">
        <v>16</v>
      </c>
      <c r="C10" s="66">
        <f t="shared" ref="C10:I10" si="2">SUM(C6:C9)</f>
        <v>151.54256991202084</v>
      </c>
      <c r="D10" s="66">
        <f t="shared" si="2"/>
        <v>153.27128874177703</v>
      </c>
      <c r="E10" s="66">
        <f t="shared" si="2"/>
        <v>155.00000757153322</v>
      </c>
      <c r="F10" s="66">
        <f t="shared" si="2"/>
        <v>156.94388923643797</v>
      </c>
      <c r="G10" s="66">
        <f t="shared" si="2"/>
        <v>158.88777090134272</v>
      </c>
      <c r="H10" s="66">
        <f t="shared" si="2"/>
        <v>159.60243224675264</v>
      </c>
      <c r="I10" s="66">
        <f t="shared" si="2"/>
        <v>160.31709359216259</v>
      </c>
      <c r="P10" s="4" t="s">
        <v>12</v>
      </c>
      <c r="Q10" s="5">
        <f t="shared" si="1"/>
        <v>63.780201331620034</v>
      </c>
      <c r="R10" s="5">
        <f t="shared" si="1"/>
        <v>60.66878689470483</v>
      </c>
      <c r="S10" s="5">
        <f t="shared" si="1"/>
        <v>57.223129982172146</v>
      </c>
      <c r="T10" s="5">
        <f t="shared" si="1"/>
        <v>53.545028048070321</v>
      </c>
      <c r="U10" s="5">
        <f t="shared" si="1"/>
        <v>49.969382962286268</v>
      </c>
      <c r="W10" s="6">
        <v>5.4850534340918502</v>
      </c>
      <c r="X10" s="6">
        <v>5.2174739331531503</v>
      </c>
      <c r="Y10" s="6">
        <v>4.9211498092683303</v>
      </c>
      <c r="Z10" s="6">
        <v>4.6048355734494599</v>
      </c>
      <c r="AA10" s="6">
        <v>4.2973325560961699</v>
      </c>
    </row>
    <row r="11" spans="2:27" x14ac:dyDescent="0.25">
      <c r="P11" s="4" t="s">
        <v>13</v>
      </c>
      <c r="Q11" s="5">
        <f t="shared" si="1"/>
        <v>0.57198350579394786</v>
      </c>
      <c r="R11" s="5">
        <f t="shared" si="1"/>
        <v>0.7193407318000995</v>
      </c>
      <c r="S11" s="5">
        <f t="shared" si="1"/>
        <v>1.1045287353276236</v>
      </c>
      <c r="T11" s="5">
        <f t="shared" si="1"/>
        <v>1.3798449867549683</v>
      </c>
      <c r="U11" s="5">
        <f t="shared" si="1"/>
        <v>2.9858980232043222</v>
      </c>
      <c r="W11" s="5">
        <v>4.9190187976775698E-2</v>
      </c>
      <c r="X11" s="5">
        <v>6.1862808032344299E-2</v>
      </c>
      <c r="Y11" s="5">
        <v>9.4988711328485007E-2</v>
      </c>
      <c r="Z11" s="5">
        <v>0.11866571953517099</v>
      </c>
      <c r="AA11" s="5">
        <v>0.25678517571416598</v>
      </c>
    </row>
    <row r="12" spans="2:27" x14ac:dyDescent="0.25">
      <c r="P12" s="4" t="s">
        <v>14</v>
      </c>
      <c r="Q12" s="7">
        <f>SUM(Q7:Q11)</f>
        <v>155.78152504177334</v>
      </c>
      <c r="R12" s="7">
        <f>SUM(R7:R11)</f>
        <v>147.49698301234977</v>
      </c>
      <c r="S12" s="7">
        <f>SUM(S7:S11)</f>
        <v>137.12370027572396</v>
      </c>
      <c r="T12" s="7">
        <f>SUM(T7:T11)</f>
        <v>126.87650465186235</v>
      </c>
      <c r="U12" s="7">
        <f>SUM(U7:U11)</f>
        <v>120.10975383608027</v>
      </c>
    </row>
    <row r="13" spans="2:27" ht="15.75" thickBot="1" x14ac:dyDescent="0.3">
      <c r="B13" s="68" t="s">
        <v>77</v>
      </c>
      <c r="C13" s="68"/>
      <c r="D13" s="68"/>
      <c r="E13" s="68"/>
      <c r="F13" s="68"/>
      <c r="G13" s="68"/>
      <c r="H13" s="68"/>
      <c r="I13" s="68"/>
      <c r="W13" t="s">
        <v>7</v>
      </c>
    </row>
    <row r="14" spans="2:27" ht="15.75" thickBot="1" x14ac:dyDescent="0.3">
      <c r="P14" s="8" t="s">
        <v>1</v>
      </c>
      <c r="Q14" s="3">
        <v>2015</v>
      </c>
      <c r="R14" s="3">
        <v>2020</v>
      </c>
      <c r="S14" s="3">
        <v>2025</v>
      </c>
      <c r="T14" s="3">
        <v>2030</v>
      </c>
      <c r="U14" s="3">
        <v>2050</v>
      </c>
      <c r="W14" s="3">
        <v>2015</v>
      </c>
      <c r="X14" s="3">
        <v>2020</v>
      </c>
      <c r="Y14" s="3">
        <v>2025</v>
      </c>
      <c r="Z14" s="3">
        <v>2030</v>
      </c>
      <c r="AA14" s="3">
        <v>2050</v>
      </c>
    </row>
    <row r="15" spans="2:27" x14ac:dyDescent="0.25">
      <c r="B15" t="s">
        <v>1</v>
      </c>
      <c r="C15" s="1">
        <v>2020</v>
      </c>
      <c r="D15" s="1">
        <f t="shared" ref="D15:I15" si="3">C15+5</f>
        <v>2025</v>
      </c>
      <c r="E15" s="1">
        <f t="shared" si="3"/>
        <v>2030</v>
      </c>
      <c r="F15" s="1">
        <f t="shared" si="3"/>
        <v>2035</v>
      </c>
      <c r="G15" s="1">
        <f t="shared" si="3"/>
        <v>2040</v>
      </c>
      <c r="H15" s="1">
        <f t="shared" si="3"/>
        <v>2045</v>
      </c>
      <c r="I15" s="1">
        <f t="shared" si="3"/>
        <v>2050</v>
      </c>
      <c r="P15" s="8" t="s">
        <v>8</v>
      </c>
      <c r="Q15" s="9">
        <f t="shared" ref="Q15:U18" si="4">W15*11.628</f>
        <v>113.91610435154982</v>
      </c>
      <c r="R15" s="9">
        <f t="shared" si="4"/>
        <v>102.45604593371988</v>
      </c>
      <c r="S15" s="9">
        <f t="shared" si="4"/>
        <v>90.24480576692784</v>
      </c>
      <c r="T15" s="9">
        <f t="shared" si="4"/>
        <v>77.473450592107412</v>
      </c>
      <c r="U15" s="9">
        <f t="shared" si="4"/>
        <v>53.354951793253733</v>
      </c>
      <c r="W15" s="9">
        <v>9.7967066005804799</v>
      </c>
      <c r="X15" s="9">
        <v>8.81114946110422</v>
      </c>
      <c r="Y15" s="9">
        <v>7.7609912080261303</v>
      </c>
      <c r="Z15" s="9">
        <v>6.6626634496136399</v>
      </c>
      <c r="AA15" s="9">
        <v>4.5884891463066504</v>
      </c>
    </row>
    <row r="16" spans="2:27" x14ac:dyDescent="0.25">
      <c r="P16" s="4" t="s">
        <v>15</v>
      </c>
      <c r="Q16" s="9">
        <f t="shared" si="4"/>
        <v>37.252441814382003</v>
      </c>
      <c r="R16" s="9">
        <f t="shared" si="4"/>
        <v>39.756032806384596</v>
      </c>
      <c r="S16" s="9">
        <f t="shared" si="4"/>
        <v>39.615201803367093</v>
      </c>
      <c r="T16" s="9">
        <f t="shared" si="4"/>
        <v>38.396926691819523</v>
      </c>
      <c r="U16" s="9">
        <f t="shared" si="4"/>
        <v>30.030317650545328</v>
      </c>
      <c r="W16" s="5">
        <v>3.2036843665619199</v>
      </c>
      <c r="X16" s="5">
        <v>3.4189914694173198</v>
      </c>
      <c r="Y16" s="5">
        <v>3.4068801000487698</v>
      </c>
      <c r="Z16" s="5">
        <v>3.3021092786222499</v>
      </c>
      <c r="AA16" s="5">
        <v>2.58258665725364</v>
      </c>
    </row>
    <row r="17" spans="2:27" x14ac:dyDescent="0.25">
      <c r="B17" t="s">
        <v>2</v>
      </c>
      <c r="C17" s="64">
        <f>R_ECS!O14+R_ECS!P43</f>
        <v>49.25390073966237</v>
      </c>
      <c r="D17" s="64">
        <f>(C17+E17)/2</f>
        <v>48.569651516597382</v>
      </c>
      <c r="E17" s="64">
        <f>R_ECS!Q14+R_ECS!Q43</f>
        <v>47.885402293532394</v>
      </c>
      <c r="F17" s="64">
        <f>(E17+G17)/2</f>
        <v>43.85707320675516</v>
      </c>
      <c r="G17" s="64">
        <f>R_ECS!S14+R_ECS!R43</f>
        <v>39.828744119977934</v>
      </c>
      <c r="H17" s="64">
        <f>(G17+I17)/2</f>
        <v>35.588765162469087</v>
      </c>
      <c r="I17" s="64">
        <f>R_ECS!U14+R_ECS!S43</f>
        <v>31.348786204960245</v>
      </c>
      <c r="P17" s="4" t="s">
        <v>13</v>
      </c>
      <c r="Q17" s="9">
        <f t="shared" si="4"/>
        <v>5.9104759462063718</v>
      </c>
      <c r="R17" s="9">
        <f t="shared" si="4"/>
        <v>6.1456086236009515</v>
      </c>
      <c r="S17" s="9">
        <f t="shared" si="4"/>
        <v>6.0011118065669891</v>
      </c>
      <c r="T17" s="9">
        <f t="shared" si="4"/>
        <v>6.0843137410850945</v>
      </c>
      <c r="U17" s="9">
        <f t="shared" si="4"/>
        <v>6.3618763371243423</v>
      </c>
      <c r="W17" s="10">
        <v>0.50829686499882798</v>
      </c>
      <c r="X17" s="10">
        <v>0.52851811348477395</v>
      </c>
      <c r="Y17" s="10">
        <v>0.51609148663286797</v>
      </c>
      <c r="Z17" s="10">
        <v>0.52324679575895205</v>
      </c>
      <c r="AA17" s="10">
        <v>0.54711698805678899</v>
      </c>
    </row>
    <row r="18" spans="2:27" x14ac:dyDescent="0.25">
      <c r="B18" t="s">
        <v>3</v>
      </c>
      <c r="C18" s="64">
        <f>R_cuisson!O14+R_cuisson!P40</f>
        <v>24.16008690843956</v>
      </c>
      <c r="D18" s="64">
        <f>(C18+E18)/2</f>
        <v>23.105870108340664</v>
      </c>
      <c r="E18" s="64">
        <f>R_cuisson!Q14+R_cuisson!Q40</f>
        <v>22.051653308241768</v>
      </c>
      <c r="F18" s="64">
        <f>(E18+G18)/2</f>
        <v>20.93991720532285</v>
      </c>
      <c r="G18" s="64">
        <f>R_cuisson!S14+R_cuisson!R40</f>
        <v>19.828181102403935</v>
      </c>
      <c r="H18" s="64">
        <f>(G18+I18)/2</f>
        <v>18.615003907683615</v>
      </c>
      <c r="I18" s="64">
        <f>R_cuisson!U14+R_cuisson!S40</f>
        <v>17.401826712963299</v>
      </c>
      <c r="P18" s="4" t="s">
        <v>12</v>
      </c>
      <c r="Q18" s="9">
        <f t="shared" si="4"/>
        <v>98.270281098669301</v>
      </c>
      <c r="R18" s="9">
        <f t="shared" si="4"/>
        <v>97.609226505713124</v>
      </c>
      <c r="S18" s="9">
        <f t="shared" si="4"/>
        <v>91.138060756250241</v>
      </c>
      <c r="T18" s="9">
        <f t="shared" si="4"/>
        <v>84.19657286660312</v>
      </c>
      <c r="U18" s="9">
        <f t="shared" si="4"/>
        <v>71.413665603785788</v>
      </c>
      <c r="W18" s="9">
        <v>8.4511765650730393</v>
      </c>
      <c r="X18" s="9">
        <v>8.3943263248807298</v>
      </c>
      <c r="Y18" s="9">
        <v>7.8378105225533403</v>
      </c>
      <c r="Z18" s="9">
        <v>7.2408473397491502</v>
      </c>
      <c r="AA18" s="9">
        <v>6.1415261097167004</v>
      </c>
    </row>
    <row r="19" spans="2:27" x14ac:dyDescent="0.25">
      <c r="B19" t="s">
        <v>4</v>
      </c>
      <c r="C19" s="64">
        <f>'R_Elec spé'!O18+'R_Elec spé'!P24</f>
        <v>73.806027096876107</v>
      </c>
      <c r="D19" s="64">
        <f>(C19+E19)/2</f>
        <v>70.009397805101941</v>
      </c>
      <c r="E19" s="64">
        <f>'R_Elec spé'!Q18+'R_Elec spé'!Q24</f>
        <v>66.212768513327759</v>
      </c>
      <c r="F19" s="64">
        <f>(E19+G19)/2</f>
        <v>62.617859976420789</v>
      </c>
      <c r="G19" s="64">
        <f>'R_Elec spé'!S18+'R_Elec spé'!R24</f>
        <v>59.022951439513811</v>
      </c>
      <c r="H19" s="64">
        <f>(G19+I19)/2</f>
        <v>55.199373987206037</v>
      </c>
      <c r="I19" s="64">
        <f>'R_Elec spé'!U18+'R_Elec spé'!S24</f>
        <v>51.375796534898264</v>
      </c>
      <c r="P19" s="8" t="s">
        <v>16</v>
      </c>
      <c r="Q19" s="7">
        <f>SUM(Q16:Q18)</f>
        <v>141.43319885925769</v>
      </c>
      <c r="R19" s="7">
        <f>SUM(R16:R18)</f>
        <v>143.51086793569868</v>
      </c>
      <c r="S19" s="7">
        <f>SUM(S16:S18)</f>
        <v>136.75437436618432</v>
      </c>
      <c r="T19" s="7">
        <f>SUM(T16:T18)</f>
        <v>128.67781329950773</v>
      </c>
      <c r="U19" s="7">
        <f>SUM(U16:U18)</f>
        <v>107.80585959145546</v>
      </c>
    </row>
    <row r="20" spans="2:27" x14ac:dyDescent="0.25">
      <c r="B20" t="s">
        <v>5</v>
      </c>
      <c r="C20" s="64">
        <f>R_climatisation!S40</f>
        <v>0</v>
      </c>
      <c r="D20" s="64">
        <f>(C20+E20)/2</f>
        <v>0</v>
      </c>
      <c r="E20" s="64">
        <f>R_climatisation!T40</f>
        <v>0</v>
      </c>
      <c r="F20" s="64">
        <f>(E20+G20)/2</f>
        <v>0</v>
      </c>
      <c r="G20" s="64">
        <f>R_climatisation!U40</f>
        <v>0</v>
      </c>
      <c r="H20" s="64">
        <f>(G20+I20)/2</f>
        <v>0</v>
      </c>
      <c r="I20" s="64">
        <f>R_climatisation!V40</f>
        <v>0</v>
      </c>
    </row>
    <row r="21" spans="2:27" ht="30" x14ac:dyDescent="0.25">
      <c r="B21" s="65" t="s">
        <v>16</v>
      </c>
      <c r="C21" s="66">
        <f t="shared" ref="C21:I21" si="5">SUM(C17:C20)</f>
        <v>147.22001474497804</v>
      </c>
      <c r="D21" s="66">
        <f t="shared" si="5"/>
        <v>141.68491943004</v>
      </c>
      <c r="E21" s="66">
        <f t="shared" si="5"/>
        <v>136.14982411510192</v>
      </c>
      <c r="F21" s="66">
        <f t="shared" si="5"/>
        <v>127.41485038849879</v>
      </c>
      <c r="G21" s="66">
        <f t="shared" si="5"/>
        <v>118.67987666189569</v>
      </c>
      <c r="H21" s="66">
        <f t="shared" si="5"/>
        <v>109.40314305735873</v>
      </c>
      <c r="I21" s="66">
        <f t="shared" si="5"/>
        <v>100.1264094528218</v>
      </c>
    </row>
    <row r="23" spans="2:27" x14ac:dyDescent="0.25">
      <c r="C23" s="2"/>
      <c r="D23" s="2"/>
      <c r="E23" s="2"/>
      <c r="F23" s="2"/>
      <c r="G23" s="2"/>
      <c r="H23" s="2"/>
      <c r="I23" s="2"/>
    </row>
    <row r="24" spans="2:27" x14ac:dyDescent="0.25">
      <c r="C24" s="2"/>
      <c r="D24" s="2"/>
      <c r="E24" s="2"/>
      <c r="F24" s="2"/>
      <c r="G24" s="2"/>
      <c r="H24" s="2"/>
      <c r="I24" s="2"/>
    </row>
    <row r="25" spans="2:27" x14ac:dyDescent="0.25">
      <c r="C25" s="2"/>
      <c r="D25" s="2"/>
      <c r="E25" s="2"/>
      <c r="F25" s="2"/>
      <c r="G25" s="2"/>
      <c r="H25" s="2"/>
      <c r="I25" s="2"/>
    </row>
    <row r="28" spans="2:27" x14ac:dyDescent="0.25">
      <c r="C28" s="2"/>
      <c r="D28" s="2"/>
      <c r="E28" s="2"/>
      <c r="F28" s="2"/>
      <c r="G28" s="2"/>
      <c r="H28" s="2"/>
      <c r="I28" s="2"/>
    </row>
    <row r="30" spans="2:27" x14ac:dyDescent="0.25">
      <c r="C30" s="2"/>
      <c r="D30" s="2"/>
      <c r="E30" s="2"/>
      <c r="F30" s="2"/>
      <c r="G30" s="2"/>
      <c r="H30" s="2"/>
      <c r="I30" s="2"/>
    </row>
  </sheetData>
  <mergeCells count="2">
    <mergeCell ref="B2:I2"/>
    <mergeCell ref="B13:I13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5"/>
  <sheetViews>
    <sheetView topLeftCell="M4" zoomScaleNormal="100" workbookViewId="0">
      <selection activeCell="O12" sqref="O12:U12"/>
    </sheetView>
  </sheetViews>
  <sheetFormatPr baseColWidth="10" defaultColWidth="8.7109375" defaultRowHeight="15" x14ac:dyDescent="0.25"/>
  <cols>
    <col min="1" max="1" width="22.7109375" customWidth="1"/>
    <col min="2" max="13" width="10.42578125" customWidth="1"/>
    <col min="14" max="14" width="20.42578125" customWidth="1"/>
    <col min="15" max="1025" width="10.42578125" customWidth="1"/>
  </cols>
  <sheetData>
    <row r="1" spans="1:37" x14ac:dyDescent="0.25">
      <c r="A1" t="s">
        <v>17</v>
      </c>
      <c r="B1" t="s">
        <v>18</v>
      </c>
    </row>
    <row r="2" spans="1:37" x14ac:dyDescent="0.25">
      <c r="A2" t="s">
        <v>19</v>
      </c>
      <c r="B2" t="s">
        <v>20</v>
      </c>
    </row>
    <row r="3" spans="1:37" x14ac:dyDescent="0.25">
      <c r="A3" t="s">
        <v>21</v>
      </c>
      <c r="B3" t="s">
        <v>1</v>
      </c>
    </row>
    <row r="4" spans="1:37" x14ac:dyDescent="0.25">
      <c r="A4" t="s">
        <v>22</v>
      </c>
      <c r="B4" t="s">
        <v>23</v>
      </c>
    </row>
    <row r="5" spans="1:37" x14ac:dyDescent="0.25">
      <c r="A5" t="s">
        <v>24</v>
      </c>
      <c r="B5" t="s">
        <v>25</v>
      </c>
    </row>
    <row r="7" spans="1:37" ht="21" x14ac:dyDescent="0.35">
      <c r="B7" s="69" t="s">
        <v>26</v>
      </c>
      <c r="C7" s="69"/>
      <c r="O7" s="69" t="s">
        <v>6</v>
      </c>
      <c r="P7" s="69"/>
    </row>
    <row r="9" spans="1:37" x14ac:dyDescent="0.25">
      <c r="A9" t="s">
        <v>27</v>
      </c>
    </row>
    <row r="10" spans="1:37" x14ac:dyDescent="0.25">
      <c r="B10" s="11">
        <v>2020</v>
      </c>
      <c r="C10" s="11">
        <f t="shared" ref="C10:H10" si="0">B10+5</f>
        <v>2025</v>
      </c>
      <c r="D10" s="11">
        <f t="shared" si="0"/>
        <v>2030</v>
      </c>
      <c r="E10" s="11">
        <f t="shared" si="0"/>
        <v>2035</v>
      </c>
      <c r="F10" s="11">
        <f t="shared" si="0"/>
        <v>2040</v>
      </c>
      <c r="G10" s="11">
        <f t="shared" si="0"/>
        <v>2045</v>
      </c>
      <c r="H10" s="11">
        <f t="shared" si="0"/>
        <v>2050</v>
      </c>
      <c r="O10" s="11">
        <v>2020</v>
      </c>
      <c r="P10" s="11">
        <f t="shared" ref="P10:U10" si="1">O10+5</f>
        <v>2025</v>
      </c>
      <c r="Q10" s="11">
        <f t="shared" si="1"/>
        <v>2030</v>
      </c>
      <c r="R10" s="11">
        <f t="shared" si="1"/>
        <v>2035</v>
      </c>
      <c r="S10" s="11">
        <f t="shared" si="1"/>
        <v>2040</v>
      </c>
      <c r="T10" s="11">
        <f t="shared" si="1"/>
        <v>2045</v>
      </c>
      <c r="U10" s="11">
        <f t="shared" si="1"/>
        <v>2050</v>
      </c>
    </row>
    <row r="11" spans="1:37" x14ac:dyDescent="0.25">
      <c r="A11" s="11" t="s">
        <v>28</v>
      </c>
      <c r="B11" s="11">
        <v>732</v>
      </c>
      <c r="C11" s="12">
        <v>728.5</v>
      </c>
      <c r="D11" s="12">
        <v>725</v>
      </c>
      <c r="E11" s="12">
        <v>718.75</v>
      </c>
      <c r="F11" s="12">
        <v>712.5</v>
      </c>
      <c r="G11" s="12">
        <v>706.25</v>
      </c>
      <c r="H11" s="12">
        <v>700</v>
      </c>
      <c r="N11" s="11" t="s">
        <v>28</v>
      </c>
      <c r="O11" s="12">
        <v>732</v>
      </c>
      <c r="P11" s="12">
        <v>716</v>
      </c>
      <c r="Q11" s="12">
        <v>700</v>
      </c>
      <c r="R11" s="12">
        <v>637.5</v>
      </c>
      <c r="S11" s="12">
        <v>575</v>
      </c>
      <c r="T11" s="12">
        <v>512.5</v>
      </c>
      <c r="U11" s="12">
        <v>450</v>
      </c>
    </row>
    <row r="12" spans="1:37" x14ac:dyDescent="0.25">
      <c r="A12" s="13" t="s">
        <v>29</v>
      </c>
      <c r="B12" s="14">
        <v>65.150087834546284</v>
      </c>
      <c r="C12" s="14">
        <v>65.818451644818211</v>
      </c>
      <c r="D12" s="14">
        <v>66.381694954194302</v>
      </c>
      <c r="E12" s="14">
        <v>66.745840130505712</v>
      </c>
      <c r="F12" s="14">
        <v>66.908551375631674</v>
      </c>
      <c r="G12" s="14">
        <v>66.968284938374765</v>
      </c>
      <c r="H12" s="14">
        <v>66.828310881977941</v>
      </c>
      <c r="N12" s="13" t="s">
        <v>29</v>
      </c>
      <c r="O12" s="14">
        <v>65.320191375337856</v>
      </c>
      <c r="P12" s="14">
        <v>65.867326732673263</v>
      </c>
      <c r="Q12" s="14">
        <v>66.451350457818847</v>
      </c>
      <c r="R12" s="14">
        <v>66.835909090909098</v>
      </c>
      <c r="S12" s="14">
        <v>67.022387828850242</v>
      </c>
      <c r="T12" s="14">
        <v>67.109410500460541</v>
      </c>
      <c r="U12" s="14">
        <v>66.999160784749634</v>
      </c>
    </row>
    <row r="14" spans="1:37" x14ac:dyDescent="0.25">
      <c r="A14" s="15" t="s">
        <v>30</v>
      </c>
      <c r="B14" s="16">
        <f t="shared" ref="B14:H14" si="2">B12*B11/1000</f>
        <v>47.689864294887876</v>
      </c>
      <c r="C14" s="16">
        <f t="shared" si="2"/>
        <v>47.94874202325007</v>
      </c>
      <c r="D14" s="16">
        <f t="shared" si="2"/>
        <v>48.126728841790872</v>
      </c>
      <c r="E14" s="16">
        <f t="shared" si="2"/>
        <v>47.973572593800981</v>
      </c>
      <c r="F14" s="16">
        <f t="shared" si="2"/>
        <v>47.672342855137572</v>
      </c>
      <c r="G14" s="16">
        <f t="shared" si="2"/>
        <v>47.29635123772718</v>
      </c>
      <c r="H14" s="16">
        <f t="shared" si="2"/>
        <v>46.779817617384559</v>
      </c>
      <c r="N14" s="15" t="s">
        <v>30</v>
      </c>
      <c r="O14" s="16">
        <f t="shared" ref="O14:U14" si="3">O12*O11/1000</f>
        <v>47.814380086747313</v>
      </c>
      <c r="P14" s="16">
        <f t="shared" si="3"/>
        <v>47.161005940594059</v>
      </c>
      <c r="Q14" s="16">
        <f t="shared" si="3"/>
        <v>46.515945320473193</v>
      </c>
      <c r="R14" s="16">
        <f t="shared" si="3"/>
        <v>42.607892045454548</v>
      </c>
      <c r="S14" s="16">
        <f t="shared" si="3"/>
        <v>38.537873001588885</v>
      </c>
      <c r="T14" s="16">
        <f t="shared" si="3"/>
        <v>34.39357288148603</v>
      </c>
      <c r="U14" s="16">
        <f t="shared" si="3"/>
        <v>30.149622353137335</v>
      </c>
    </row>
    <row r="15" spans="1:37" x14ac:dyDescent="0.25">
      <c r="AB15" t="s">
        <v>95</v>
      </c>
    </row>
    <row r="16" spans="1:37" x14ac:dyDescent="0.25">
      <c r="A16" s="11"/>
      <c r="B16" s="17" t="s">
        <v>26</v>
      </c>
      <c r="C16" s="11" t="s">
        <v>31</v>
      </c>
      <c r="D16" s="11" t="s">
        <v>32</v>
      </c>
      <c r="E16" s="11" t="s">
        <v>33</v>
      </c>
      <c r="F16" s="11" t="s">
        <v>34</v>
      </c>
      <c r="G16" s="11" t="s">
        <v>35</v>
      </c>
      <c r="H16" s="11" t="s">
        <v>36</v>
      </c>
      <c r="I16" s="11" t="s">
        <v>37</v>
      </c>
      <c r="J16" s="11" t="s">
        <v>38</v>
      </c>
      <c r="K16" s="11" t="s">
        <v>39</v>
      </c>
      <c r="L16" s="11" t="s">
        <v>40</v>
      </c>
      <c r="N16" s="11"/>
      <c r="O16" s="17" t="s">
        <v>6</v>
      </c>
      <c r="P16" s="11" t="s">
        <v>31</v>
      </c>
      <c r="Q16" s="11" t="s">
        <v>32</v>
      </c>
      <c r="R16" s="11" t="s">
        <v>33</v>
      </c>
      <c r="S16" s="11" t="s">
        <v>34</v>
      </c>
      <c r="T16" s="11" t="s">
        <v>35</v>
      </c>
      <c r="U16" s="11" t="s">
        <v>36</v>
      </c>
      <c r="V16" s="11" t="s">
        <v>37</v>
      </c>
      <c r="W16" s="11" t="s">
        <v>38</v>
      </c>
      <c r="X16" s="11" t="s">
        <v>39</v>
      </c>
      <c r="Y16" s="11" t="s">
        <v>40</v>
      </c>
      <c r="AB16" s="11" t="s">
        <v>31</v>
      </c>
      <c r="AC16" s="11" t="s">
        <v>32</v>
      </c>
      <c r="AD16" s="11" t="s">
        <v>33</v>
      </c>
      <c r="AE16" s="11" t="s">
        <v>34</v>
      </c>
      <c r="AF16" s="11" t="s">
        <v>35</v>
      </c>
      <c r="AG16" s="11" t="s">
        <v>36</v>
      </c>
      <c r="AH16" s="11" t="s">
        <v>37</v>
      </c>
      <c r="AI16" s="11" t="s">
        <v>38</v>
      </c>
      <c r="AJ16" s="11" t="s">
        <v>39</v>
      </c>
      <c r="AK16" s="11" t="s">
        <v>40</v>
      </c>
    </row>
    <row r="17" spans="1:33" ht="14.45" customHeight="1" x14ac:dyDescent="0.25">
      <c r="A17" s="70" t="s">
        <v>41</v>
      </c>
      <c r="B17" s="1">
        <v>2020</v>
      </c>
      <c r="C17" s="18">
        <v>0.41599999999999998</v>
      </c>
      <c r="D17" s="18">
        <v>0.04</v>
      </c>
      <c r="E17" s="18">
        <v>8.0399999999999999E-2</v>
      </c>
      <c r="F17" s="18"/>
      <c r="G17" s="18">
        <v>0.1176</v>
      </c>
      <c r="H17" s="18">
        <v>0.32869999999999999</v>
      </c>
      <c r="I17" s="18">
        <v>1.47E-2</v>
      </c>
      <c r="J17" s="18"/>
      <c r="K17" s="18">
        <v>3.0000000000000001E-3</v>
      </c>
      <c r="L17" s="18"/>
      <c r="N17" s="70" t="s">
        <v>41</v>
      </c>
      <c r="O17" s="1">
        <v>2020</v>
      </c>
      <c r="P17" s="18">
        <v>0.41599999999999998</v>
      </c>
      <c r="Q17" s="19">
        <v>0.04</v>
      </c>
      <c r="R17" s="18">
        <v>8.0399999999999999E-2</v>
      </c>
      <c r="S17" s="11"/>
      <c r="T17" s="19">
        <v>0.1176</v>
      </c>
      <c r="U17" s="18">
        <v>0.32800000000000001</v>
      </c>
      <c r="V17" s="18">
        <v>1.4999999999999999E-2</v>
      </c>
      <c r="W17" s="11"/>
      <c r="X17" s="18">
        <v>3.0000000000000001E-3</v>
      </c>
      <c r="Y17" s="19"/>
      <c r="Z17" s="84">
        <f>SUM(P17:Y17)</f>
        <v>1</v>
      </c>
      <c r="AB17" s="83">
        <f>'Mix chauffage Res irf'!E15/SUM('Mix chauffage Res irf'!E2,'Mix chauffage Res irf'!E3,'Mix chauffage Res irf'!E6,'Mix chauffage Res irf'!E7,'Mix chauffage Res irf'!E10,'Mix chauffage Res irf'!E15)</f>
        <v>0.16869665672222023</v>
      </c>
      <c r="AD17" s="83">
        <f>'Mix chauffage Res irf'!E2/SUM('Mix chauffage Res irf'!E2,'Mix chauffage Res irf'!E3,'Mix chauffage Res irf'!E6,'Mix chauffage Res irf'!E7,'Mix chauffage Res irf'!E10,'Mix chauffage Res irf'!E15)</f>
        <v>4.4017176980010467E-2</v>
      </c>
      <c r="AG17" s="83">
        <f>'Mix chauffage Res irf'!E3/SUM('Mix chauffage Res irf'!E2,'Mix chauffage Res irf'!E3,'Mix chauffage Res irf'!E6,'Mix chauffage Res irf'!E7,'Mix chauffage Res irf'!E10,'Mix chauffage Res irf'!E15)</f>
        <v>0.34986741067499832</v>
      </c>
    </row>
    <row r="18" spans="1:33" x14ac:dyDescent="0.25">
      <c r="A18" s="70"/>
      <c r="B18" s="11">
        <f t="shared" ref="B18:B23" si="4">B17+5</f>
        <v>2025</v>
      </c>
      <c r="C18" s="18">
        <v>0.42799999999999999</v>
      </c>
      <c r="D18" s="18">
        <v>0.04</v>
      </c>
      <c r="E18" s="18">
        <v>8.5199999999999998E-2</v>
      </c>
      <c r="F18" s="18"/>
      <c r="G18" s="18">
        <v>8.3799999999999999E-2</v>
      </c>
      <c r="H18" s="18">
        <v>0.33934999999999998</v>
      </c>
      <c r="I18" s="18">
        <v>1.235E-2</v>
      </c>
      <c r="J18" s="18"/>
      <c r="K18" s="18">
        <v>1.15E-2</v>
      </c>
      <c r="L18" s="18"/>
      <c r="N18" s="70"/>
      <c r="O18" s="11">
        <f t="shared" ref="O18:O23" si="5">O17+5</f>
        <v>2025</v>
      </c>
      <c r="P18" s="19">
        <v>0.44500000000000001</v>
      </c>
      <c r="Q18" s="19">
        <v>0.06</v>
      </c>
      <c r="R18" s="19">
        <v>9.5000000000000001E-2</v>
      </c>
      <c r="S18" s="11"/>
      <c r="T18" s="19">
        <v>6.5000000000000002E-2</v>
      </c>
      <c r="U18" s="19">
        <v>0.3</v>
      </c>
      <c r="V18" s="18">
        <v>2.5000000000000001E-2</v>
      </c>
      <c r="W18" s="11"/>
      <c r="X18" s="19">
        <v>0.01</v>
      </c>
      <c r="Y18" s="19"/>
      <c r="Z18" s="84">
        <f t="shared" ref="Z18:Z23" si="6">SUM(P18:Y18)</f>
        <v>1</v>
      </c>
    </row>
    <row r="19" spans="1:33" x14ac:dyDescent="0.25">
      <c r="A19" s="70"/>
      <c r="B19" s="11">
        <f t="shared" si="4"/>
        <v>2030</v>
      </c>
      <c r="C19" s="18">
        <v>0.44</v>
      </c>
      <c r="D19" s="18">
        <v>0.04</v>
      </c>
      <c r="E19" s="18">
        <v>0.09</v>
      </c>
      <c r="F19" s="18"/>
      <c r="G19" s="18">
        <v>0.05</v>
      </c>
      <c r="H19" s="18">
        <v>0.35</v>
      </c>
      <c r="I19" s="18">
        <v>0.01</v>
      </c>
      <c r="J19" s="18"/>
      <c r="K19" s="18">
        <v>0.02</v>
      </c>
      <c r="L19" s="18"/>
      <c r="N19" s="70"/>
      <c r="O19" s="11">
        <f t="shared" si="5"/>
        <v>2030</v>
      </c>
      <c r="P19" s="19">
        <v>0.49</v>
      </c>
      <c r="Q19" s="19">
        <v>8.5000000000000006E-2</v>
      </c>
      <c r="R19" s="19">
        <v>0.12</v>
      </c>
      <c r="S19" s="11"/>
      <c r="T19" s="19">
        <v>0.01</v>
      </c>
      <c r="U19" s="19">
        <v>0.24</v>
      </c>
      <c r="V19" s="18">
        <v>3.5000000000000003E-2</v>
      </c>
      <c r="W19" s="11"/>
      <c r="X19" s="19">
        <v>0.02</v>
      </c>
      <c r="Y19" s="19"/>
      <c r="Z19" s="84">
        <f t="shared" si="6"/>
        <v>1</v>
      </c>
      <c r="AD19" s="83">
        <f>'Mix chauffage Res irf'!L2/SUM('Mix chauffage Res irf'!L2,'Mix chauffage Res irf'!L3,'Mix chauffage Res irf'!L6,'Mix chauffage Res irf'!L7,'Mix chauffage Res irf'!L10,'Mix chauffage Res irf'!L15)</f>
        <v>0.11369617678120571</v>
      </c>
    </row>
    <row r="20" spans="1:33" x14ac:dyDescent="0.25">
      <c r="A20" s="70"/>
      <c r="B20" s="11">
        <f t="shared" si="4"/>
        <v>2035</v>
      </c>
      <c r="C20" s="18">
        <v>0.44124999999999998</v>
      </c>
      <c r="D20" s="18">
        <v>0.04</v>
      </c>
      <c r="E20" s="18">
        <v>9.2499999999999999E-2</v>
      </c>
      <c r="F20" s="18"/>
      <c r="G20" s="18">
        <v>0.04</v>
      </c>
      <c r="H20" s="18">
        <v>0.35749999999999998</v>
      </c>
      <c r="I20" s="18">
        <v>8.7500000000000008E-3</v>
      </c>
      <c r="J20" s="18"/>
      <c r="K20" s="18">
        <v>0.02</v>
      </c>
      <c r="L20" s="18"/>
      <c r="N20" s="70"/>
      <c r="O20" s="11">
        <f t="shared" si="5"/>
        <v>2035</v>
      </c>
      <c r="P20" s="19">
        <v>0.44</v>
      </c>
      <c r="Q20" s="19">
        <v>0.125</v>
      </c>
      <c r="R20" s="19">
        <v>0.14499999999999999</v>
      </c>
      <c r="S20" s="11"/>
      <c r="T20" s="19">
        <v>5.0000000000000001E-3</v>
      </c>
      <c r="U20" s="85">
        <v>0.21</v>
      </c>
      <c r="V20" s="18">
        <v>0.04</v>
      </c>
      <c r="W20" s="11"/>
      <c r="X20" s="19">
        <v>3.5000000000000003E-2</v>
      </c>
      <c r="Y20" s="19"/>
      <c r="Z20" s="84">
        <f t="shared" si="6"/>
        <v>1</v>
      </c>
      <c r="AD20" s="83">
        <f>'Mix chauffage Res irf'!Q2/SUM('Mix chauffage Res irf'!Q2,'Mix chauffage Res irf'!Q3,'Mix chauffage Res irf'!Q7,'Mix chauffage Res irf'!Q10,'Mix chauffage Res irf'!Q15)</f>
        <v>0.19820475680091848</v>
      </c>
    </row>
    <row r="21" spans="1:33" x14ac:dyDescent="0.25">
      <c r="A21" s="70"/>
      <c r="B21" s="11">
        <f t="shared" si="4"/>
        <v>2040</v>
      </c>
      <c r="C21" s="18">
        <v>0.4425</v>
      </c>
      <c r="D21" s="18">
        <v>0.04</v>
      </c>
      <c r="E21" s="18">
        <v>9.5000000000000001E-2</v>
      </c>
      <c r="F21" s="18"/>
      <c r="G21" s="18">
        <v>0.03</v>
      </c>
      <c r="H21" s="18">
        <v>0.36499999999999999</v>
      </c>
      <c r="I21" s="18">
        <v>7.4999999999999997E-3</v>
      </c>
      <c r="J21" s="18"/>
      <c r="K21" s="18">
        <v>0.02</v>
      </c>
      <c r="L21" s="18"/>
      <c r="N21" s="70"/>
      <c r="O21" s="11">
        <f t="shared" si="5"/>
        <v>2040</v>
      </c>
      <c r="P21" s="19">
        <v>0.38500000000000001</v>
      </c>
      <c r="Q21" s="19">
        <v>0.19</v>
      </c>
      <c r="R21" s="19">
        <v>0.15</v>
      </c>
      <c r="S21" s="11"/>
      <c r="T21" s="19">
        <v>0</v>
      </c>
      <c r="U21" s="19">
        <v>0.18</v>
      </c>
      <c r="V21" s="18">
        <v>4.4999999999999998E-2</v>
      </c>
      <c r="W21" s="11"/>
      <c r="X21" s="19">
        <v>0.05</v>
      </c>
      <c r="Y21" s="19"/>
      <c r="Z21" s="84">
        <f t="shared" si="6"/>
        <v>1</v>
      </c>
    </row>
    <row r="22" spans="1:33" x14ac:dyDescent="0.25">
      <c r="A22" s="70"/>
      <c r="B22" s="11">
        <f t="shared" si="4"/>
        <v>2045</v>
      </c>
      <c r="C22" s="18">
        <v>0.44374999999999998</v>
      </c>
      <c r="D22" s="18">
        <v>0.04</v>
      </c>
      <c r="E22" s="18">
        <v>9.7500000000000003E-2</v>
      </c>
      <c r="F22" s="18"/>
      <c r="G22" s="18">
        <v>0.02</v>
      </c>
      <c r="H22" s="18">
        <v>0.3725</v>
      </c>
      <c r="I22" s="18">
        <v>6.2500000000000003E-3</v>
      </c>
      <c r="J22" s="18"/>
      <c r="K22" s="18">
        <v>0.02</v>
      </c>
      <c r="L22" s="18"/>
      <c r="N22" s="70"/>
      <c r="O22" s="11">
        <f t="shared" si="5"/>
        <v>2045</v>
      </c>
      <c r="P22" s="19">
        <v>0.30499999999999999</v>
      </c>
      <c r="Q22" s="19">
        <v>0.28000000000000003</v>
      </c>
      <c r="R22" s="19">
        <v>0.15</v>
      </c>
      <c r="S22" s="11"/>
      <c r="T22" s="19">
        <v>0</v>
      </c>
      <c r="U22" s="19">
        <v>0.15</v>
      </c>
      <c r="V22" s="18">
        <v>0.05</v>
      </c>
      <c r="W22" s="11"/>
      <c r="X22" s="19">
        <v>6.5000000000000002E-2</v>
      </c>
      <c r="Y22" s="19"/>
      <c r="Z22" s="84">
        <f t="shared" si="6"/>
        <v>1</v>
      </c>
    </row>
    <row r="23" spans="1:33" x14ac:dyDescent="0.25">
      <c r="A23" s="70"/>
      <c r="B23" s="11">
        <f t="shared" si="4"/>
        <v>2050</v>
      </c>
      <c r="C23" s="18">
        <v>0.44500000000000001</v>
      </c>
      <c r="D23" s="18">
        <v>0.04</v>
      </c>
      <c r="E23" s="18">
        <v>0.1</v>
      </c>
      <c r="F23" s="18"/>
      <c r="G23" s="18">
        <v>0.01</v>
      </c>
      <c r="H23" s="18">
        <v>0.38</v>
      </c>
      <c r="I23" s="18">
        <v>5.0000000000000001E-3</v>
      </c>
      <c r="J23" s="18"/>
      <c r="K23" s="18">
        <v>0.02</v>
      </c>
      <c r="L23" s="18"/>
      <c r="N23" s="70"/>
      <c r="O23" s="11">
        <f t="shared" si="5"/>
        <v>2050</v>
      </c>
      <c r="P23" s="19">
        <v>0.245</v>
      </c>
      <c r="Q23" s="19">
        <v>0.37</v>
      </c>
      <c r="R23" s="19">
        <v>0.15</v>
      </c>
      <c r="S23" s="11"/>
      <c r="T23" s="19">
        <v>0</v>
      </c>
      <c r="U23" s="19">
        <v>0.1</v>
      </c>
      <c r="V23" s="18">
        <v>5.5E-2</v>
      </c>
      <c r="W23" s="11"/>
      <c r="X23" s="19">
        <v>0.08</v>
      </c>
      <c r="Y23" s="19"/>
      <c r="Z23" s="84">
        <f t="shared" si="6"/>
        <v>1</v>
      </c>
      <c r="AB23" s="83">
        <f>'Mix chauffage Res irf'!AF15/SUM('Mix chauffage Res irf'!AF2,'Mix chauffage Res irf'!AF3,'Mix chauffage Res irf'!AF7,'Mix chauffage Res irf'!AF10,'Mix chauffage Res irf'!AF15)</f>
        <v>3.4650104449900555E-2</v>
      </c>
      <c r="AG23" s="83">
        <f>'Mix chauffage Res irf'!AF3/SUM('Mix chauffage Res irf'!AF2,'Mix chauffage Res irf'!AF3,'Mix chauffage Res irf'!AF7,'Mix chauffage Res irf'!AF10,'Mix chauffage Res irf'!AF15)</f>
        <v>0.12510622833952534</v>
      </c>
    </row>
    <row r="25" spans="1:33" ht="13.7" customHeight="1" x14ac:dyDescent="0.25">
      <c r="A25" s="70" t="s">
        <v>42</v>
      </c>
      <c r="B25" s="1">
        <v>2020</v>
      </c>
      <c r="C25" s="20">
        <f>$B14*C17</f>
        <v>19.838983546673354</v>
      </c>
      <c r="D25" s="20">
        <f t="shared" ref="D25:K25" si="7">$B14*D17</f>
        <v>1.9075945717955152</v>
      </c>
      <c r="E25" s="20">
        <f t="shared" si="7"/>
        <v>3.8342650893089854</v>
      </c>
      <c r="F25" s="20">
        <f t="shared" si="7"/>
        <v>0</v>
      </c>
      <c r="G25" s="20">
        <f t="shared" si="7"/>
        <v>5.6083280410788143</v>
      </c>
      <c r="H25" s="20">
        <f t="shared" si="7"/>
        <v>15.675658393729645</v>
      </c>
      <c r="I25" s="20">
        <f t="shared" si="7"/>
        <v>0.70104100513485179</v>
      </c>
      <c r="J25" s="20">
        <f t="shared" si="7"/>
        <v>0</v>
      </c>
      <c r="K25" s="20">
        <f t="shared" si="7"/>
        <v>0.14306959288466364</v>
      </c>
      <c r="N25" s="70" t="s">
        <v>42</v>
      </c>
      <c r="O25" s="1">
        <v>2020</v>
      </c>
      <c r="P25" s="20">
        <f t="shared" ref="P25:X25" si="8">$O14*P17</f>
        <v>19.890782116086882</v>
      </c>
      <c r="Q25" s="20">
        <f t="shared" si="8"/>
        <v>1.9125752034698926</v>
      </c>
      <c r="R25" s="20">
        <f t="shared" si="8"/>
        <v>3.844276158974484</v>
      </c>
      <c r="S25" s="20"/>
      <c r="T25" s="20">
        <f t="shared" si="8"/>
        <v>5.622971098201484</v>
      </c>
      <c r="U25" s="20">
        <f t="shared" si="8"/>
        <v>15.683116668453119</v>
      </c>
      <c r="V25" s="20">
        <f t="shared" si="8"/>
        <v>0.71721570130120971</v>
      </c>
      <c r="W25" s="20"/>
      <c r="X25" s="20">
        <f t="shared" si="8"/>
        <v>0.14344314026024194</v>
      </c>
      <c r="Y25">
        <v>2020</v>
      </c>
    </row>
    <row r="26" spans="1:33" x14ac:dyDescent="0.25">
      <c r="A26" s="70"/>
      <c r="B26" s="11">
        <f t="shared" ref="B26:B31" si="9">B25+5</f>
        <v>2025</v>
      </c>
      <c r="C26" s="20">
        <f t="shared" ref="C26:K26" si="10">$C14*C18</f>
        <v>20.522061585951029</v>
      </c>
      <c r="D26" s="20">
        <f t="shared" si="10"/>
        <v>1.9179496809300027</v>
      </c>
      <c r="E26" s="20">
        <f t="shared" si="10"/>
        <v>4.0852328203809058</v>
      </c>
      <c r="F26" s="20">
        <f t="shared" si="10"/>
        <v>0</v>
      </c>
      <c r="G26" s="20">
        <f t="shared" si="10"/>
        <v>4.0181045815483554</v>
      </c>
      <c r="H26" s="20">
        <f t="shared" si="10"/>
        <v>16.271405605589912</v>
      </c>
      <c r="I26" s="20">
        <f t="shared" si="10"/>
        <v>0.59216696398713831</v>
      </c>
      <c r="J26" s="20">
        <f t="shared" si="10"/>
        <v>0</v>
      </c>
      <c r="K26" s="20">
        <f t="shared" si="10"/>
        <v>0.55141053326737577</v>
      </c>
      <c r="N26" s="70"/>
      <c r="O26" s="11">
        <f t="shared" ref="O26:O31" si="11">O25+5</f>
        <v>2025</v>
      </c>
      <c r="P26" s="20">
        <f t="shared" ref="P26:X26" si="12">$P14*P18</f>
        <v>20.986647643564357</v>
      </c>
      <c r="Q26" s="20">
        <f t="shared" si="12"/>
        <v>2.8296603564356433</v>
      </c>
      <c r="R26" s="20">
        <f t="shared" si="12"/>
        <v>4.4802955643564353</v>
      </c>
      <c r="S26" s="20"/>
      <c r="T26" s="20">
        <f t="shared" si="12"/>
        <v>3.0654653861386141</v>
      </c>
      <c r="U26" s="20">
        <f t="shared" si="12"/>
        <v>14.148301782178217</v>
      </c>
      <c r="V26" s="20">
        <f t="shared" si="12"/>
        <v>1.1790251485148515</v>
      </c>
      <c r="W26" s="20"/>
      <c r="X26" s="20">
        <f t="shared" si="12"/>
        <v>0.47161005940594058</v>
      </c>
    </row>
    <row r="27" spans="1:33" x14ac:dyDescent="0.25">
      <c r="A27" s="70"/>
      <c r="B27" s="11">
        <f t="shared" si="9"/>
        <v>2030</v>
      </c>
      <c r="C27" s="20">
        <f t="shared" ref="C27:K27" si="13">$D14*C19</f>
        <v>21.175760690387985</v>
      </c>
      <c r="D27" s="20">
        <f t="shared" si="13"/>
        <v>1.9250691536716349</v>
      </c>
      <c r="E27" s="20">
        <f t="shared" si="13"/>
        <v>4.3314055957611783</v>
      </c>
      <c r="F27" s="20">
        <f t="shared" si="13"/>
        <v>0</v>
      </c>
      <c r="G27" s="20">
        <f t="shared" si="13"/>
        <v>2.4063364420895437</v>
      </c>
      <c r="H27" s="20">
        <f t="shared" si="13"/>
        <v>16.844355094626803</v>
      </c>
      <c r="I27" s="20">
        <f t="shared" si="13"/>
        <v>0.48126728841790872</v>
      </c>
      <c r="J27" s="20">
        <f t="shared" si="13"/>
        <v>0</v>
      </c>
      <c r="K27" s="20">
        <f t="shared" si="13"/>
        <v>0.96253457683581745</v>
      </c>
      <c r="N27" s="70"/>
      <c r="O27" s="11">
        <f t="shared" si="11"/>
        <v>2030</v>
      </c>
      <c r="P27" s="20">
        <f t="shared" ref="P27:X27" si="14">$Q14*P19</f>
        <v>22.792813207031863</v>
      </c>
      <c r="Q27" s="20">
        <f t="shared" si="14"/>
        <v>3.9538553522402218</v>
      </c>
      <c r="R27" s="20">
        <f t="shared" si="14"/>
        <v>5.581913438456783</v>
      </c>
      <c r="S27" s="20"/>
      <c r="T27" s="20">
        <f t="shared" si="14"/>
        <v>0.46515945320473195</v>
      </c>
      <c r="U27" s="20">
        <f t="shared" si="14"/>
        <v>11.163826876913566</v>
      </c>
      <c r="V27" s="20">
        <f t="shared" si="14"/>
        <v>1.6280580862165619</v>
      </c>
      <c r="W27" s="20"/>
      <c r="X27" s="20">
        <f t="shared" si="14"/>
        <v>0.93031890640946391</v>
      </c>
      <c r="Y27" t="s">
        <v>43</v>
      </c>
    </row>
    <row r="28" spans="1:33" x14ac:dyDescent="0.25">
      <c r="A28" s="70"/>
      <c r="B28" s="11">
        <f t="shared" si="9"/>
        <v>2035</v>
      </c>
      <c r="C28" s="20">
        <f t="shared" ref="C28:K28" si="15">$E14*C20</f>
        <v>21.168338907014682</v>
      </c>
      <c r="D28" s="20">
        <f t="shared" si="15"/>
        <v>1.9189429037520394</v>
      </c>
      <c r="E28" s="20">
        <f t="shared" si="15"/>
        <v>4.4375554649265903</v>
      </c>
      <c r="F28" s="20">
        <f t="shared" si="15"/>
        <v>0</v>
      </c>
      <c r="G28" s="20">
        <f t="shared" si="15"/>
        <v>1.9189429037520394</v>
      </c>
      <c r="H28" s="20">
        <f t="shared" si="15"/>
        <v>17.150552202283851</v>
      </c>
      <c r="I28" s="20">
        <f t="shared" si="15"/>
        <v>0.41976876019575859</v>
      </c>
      <c r="J28" s="20">
        <f t="shared" si="15"/>
        <v>0</v>
      </c>
      <c r="K28" s="20">
        <f t="shared" si="15"/>
        <v>0.95947145187601968</v>
      </c>
      <c r="N28" s="70"/>
      <c r="O28" s="11">
        <f t="shared" si="11"/>
        <v>2035</v>
      </c>
      <c r="P28" s="20">
        <f t="shared" ref="P28:X28" si="16">$R14*P20</f>
        <v>18.747472500000001</v>
      </c>
      <c r="Q28" s="20">
        <f t="shared" si="16"/>
        <v>5.3259865056818185</v>
      </c>
      <c r="R28" s="20">
        <f t="shared" si="16"/>
        <v>6.1781443465909094</v>
      </c>
      <c r="S28" s="20"/>
      <c r="T28" s="20">
        <f t="shared" si="16"/>
        <v>0.21303946022727274</v>
      </c>
      <c r="U28" s="20">
        <f t="shared" si="16"/>
        <v>8.9476573295454553</v>
      </c>
      <c r="V28" s="20">
        <f t="shared" si="16"/>
        <v>1.7043156818181819</v>
      </c>
      <c r="W28" s="20"/>
      <c r="X28" s="20">
        <f t="shared" si="16"/>
        <v>1.4912762215909092</v>
      </c>
    </row>
    <row r="29" spans="1:33" x14ac:dyDescent="0.25">
      <c r="A29" s="70"/>
      <c r="B29" s="11">
        <f t="shared" si="9"/>
        <v>2040</v>
      </c>
      <c r="C29" s="20">
        <f t="shared" ref="C29:K29" si="17">$F14*C21</f>
        <v>21.095011713398375</v>
      </c>
      <c r="D29" s="20">
        <f t="shared" si="17"/>
        <v>1.9068937142055029</v>
      </c>
      <c r="E29" s="20">
        <f t="shared" si="17"/>
        <v>4.5288725712380691</v>
      </c>
      <c r="F29" s="20">
        <f t="shared" si="17"/>
        <v>0</v>
      </c>
      <c r="G29" s="20">
        <f t="shared" si="17"/>
        <v>1.4301702856541272</v>
      </c>
      <c r="H29" s="20">
        <f t="shared" si="17"/>
        <v>17.400405142125212</v>
      </c>
      <c r="I29" s="20">
        <f t="shared" si="17"/>
        <v>0.3575425714135318</v>
      </c>
      <c r="J29" s="20">
        <f t="shared" si="17"/>
        <v>0</v>
      </c>
      <c r="K29" s="20">
        <f t="shared" si="17"/>
        <v>0.95344685710275145</v>
      </c>
      <c r="N29" s="70"/>
      <c r="O29" s="11">
        <f t="shared" si="11"/>
        <v>2040</v>
      </c>
      <c r="P29" s="20">
        <f t="shared" ref="P29:X29" si="18">$S14*P21</f>
        <v>14.837081105611722</v>
      </c>
      <c r="Q29" s="20">
        <f t="shared" si="18"/>
        <v>7.3221958703018881</v>
      </c>
      <c r="R29" s="20">
        <f t="shared" si="18"/>
        <v>5.7806809502383327</v>
      </c>
      <c r="S29" s="20"/>
      <c r="T29" s="20">
        <f t="shared" si="18"/>
        <v>0</v>
      </c>
      <c r="U29" s="20">
        <f t="shared" si="18"/>
        <v>6.9368171402859993</v>
      </c>
      <c r="V29" s="20">
        <f t="shared" si="18"/>
        <v>1.7342042850714998</v>
      </c>
      <c r="W29" s="20"/>
      <c r="X29" s="20">
        <f t="shared" si="18"/>
        <v>1.9268936500794442</v>
      </c>
    </row>
    <row r="30" spans="1:33" x14ac:dyDescent="0.25">
      <c r="A30" s="70"/>
      <c r="B30" s="11">
        <f t="shared" si="9"/>
        <v>2045</v>
      </c>
      <c r="C30" s="20">
        <f t="shared" ref="C30:K30" si="19">$G14*C22</f>
        <v>20.987755861741434</v>
      </c>
      <c r="D30" s="20">
        <f t="shared" si="19"/>
        <v>1.8918540495090872</v>
      </c>
      <c r="E30" s="20">
        <f t="shared" si="19"/>
        <v>4.6113942456784001</v>
      </c>
      <c r="F30" s="20">
        <f t="shared" si="19"/>
        <v>0</v>
      </c>
      <c r="G30" s="20">
        <f t="shared" si="19"/>
        <v>0.9459270247545436</v>
      </c>
      <c r="H30" s="20">
        <f t="shared" si="19"/>
        <v>17.617890836053373</v>
      </c>
      <c r="I30" s="20">
        <f t="shared" si="19"/>
        <v>0.2956021952357949</v>
      </c>
      <c r="J30" s="20">
        <f t="shared" si="19"/>
        <v>0</v>
      </c>
      <c r="K30" s="20">
        <f t="shared" si="19"/>
        <v>0.9459270247545436</v>
      </c>
      <c r="N30" s="70"/>
      <c r="O30" s="11">
        <f t="shared" si="11"/>
        <v>2045</v>
      </c>
      <c r="P30" s="20">
        <f t="shared" ref="P30:X30" si="20">$T14*P22</f>
        <v>10.490039728853239</v>
      </c>
      <c r="Q30" s="20">
        <f t="shared" si="20"/>
        <v>9.6302004068160887</v>
      </c>
      <c r="R30" s="20">
        <f t="shared" si="20"/>
        <v>5.1590359322229045</v>
      </c>
      <c r="S30" s="20"/>
      <c r="T30" s="20">
        <f t="shared" si="20"/>
        <v>0</v>
      </c>
      <c r="U30" s="20">
        <f t="shared" si="20"/>
        <v>5.1590359322229045</v>
      </c>
      <c r="V30" s="20">
        <f t="shared" si="20"/>
        <v>1.7196786440743015</v>
      </c>
      <c r="W30" s="20"/>
      <c r="X30" s="20">
        <f t="shared" si="20"/>
        <v>2.2355822372965921</v>
      </c>
    </row>
    <row r="31" spans="1:33" x14ac:dyDescent="0.25">
      <c r="A31" s="70"/>
      <c r="B31" s="11">
        <f t="shared" si="9"/>
        <v>2050</v>
      </c>
      <c r="C31" s="20">
        <f t="shared" ref="C31:K31" si="21">$H14*C23</f>
        <v>20.817018839736129</v>
      </c>
      <c r="D31" s="20">
        <f t="shared" si="21"/>
        <v>1.8711927046953825</v>
      </c>
      <c r="E31" s="20">
        <f t="shared" si="21"/>
        <v>4.6779817617384563</v>
      </c>
      <c r="F31" s="20">
        <f t="shared" si="21"/>
        <v>0</v>
      </c>
      <c r="G31" s="20">
        <f t="shared" si="21"/>
        <v>0.46779817617384561</v>
      </c>
      <c r="H31" s="20">
        <f t="shared" si="21"/>
        <v>17.776330694606134</v>
      </c>
      <c r="I31" s="20">
        <f t="shared" si="21"/>
        <v>0.23389908808692281</v>
      </c>
      <c r="J31" s="20">
        <f t="shared" si="21"/>
        <v>0</v>
      </c>
      <c r="K31" s="20">
        <f t="shared" si="21"/>
        <v>0.93559635234769123</v>
      </c>
      <c r="N31" s="70"/>
      <c r="O31" s="11">
        <f t="shared" si="11"/>
        <v>2050</v>
      </c>
      <c r="P31" s="20">
        <f t="shared" ref="P31:X31" si="22">$U14*P23</f>
        <v>7.3866574765186472</v>
      </c>
      <c r="Q31" s="20">
        <f t="shared" si="22"/>
        <v>11.155360270660815</v>
      </c>
      <c r="R31" s="20">
        <f t="shared" si="22"/>
        <v>4.5224433529706003</v>
      </c>
      <c r="S31" s="20"/>
      <c r="T31" s="20">
        <f t="shared" si="22"/>
        <v>0</v>
      </c>
      <c r="U31" s="20">
        <f t="shared" si="22"/>
        <v>3.0149622353137335</v>
      </c>
      <c r="V31" s="20">
        <f t="shared" si="22"/>
        <v>1.6582292294225534</v>
      </c>
      <c r="W31" s="20"/>
      <c r="X31" s="20">
        <f t="shared" si="22"/>
        <v>2.4119697882509867</v>
      </c>
      <c r="Y31" t="s">
        <v>44</v>
      </c>
    </row>
    <row r="34" spans="1:22" x14ac:dyDescent="0.25">
      <c r="A34" t="s">
        <v>45</v>
      </c>
    </row>
    <row r="35" spans="1:22" x14ac:dyDescent="0.25">
      <c r="V35">
        <f t="shared" ref="V35:V42" si="23">SUM(P25:X25)</f>
        <v>47.814380086747306</v>
      </c>
    </row>
    <row r="36" spans="1:22" x14ac:dyDescent="0.25">
      <c r="A36" t="s">
        <v>46</v>
      </c>
      <c r="B36" s="21" t="s">
        <v>47</v>
      </c>
      <c r="C36" s="21">
        <v>2020</v>
      </c>
      <c r="D36" s="21">
        <v>2030</v>
      </c>
      <c r="E36" s="21">
        <v>2040</v>
      </c>
      <c r="F36" s="21">
        <v>2050</v>
      </c>
      <c r="N36" t="s">
        <v>46</v>
      </c>
      <c r="O36" s="22" t="s">
        <v>47</v>
      </c>
      <c r="P36" s="22">
        <v>2020</v>
      </c>
      <c r="Q36" s="22">
        <v>2030</v>
      </c>
      <c r="R36" s="22">
        <v>2040</v>
      </c>
      <c r="S36" s="22">
        <v>2050</v>
      </c>
      <c r="V36">
        <f t="shared" si="23"/>
        <v>47.161005940594059</v>
      </c>
    </row>
    <row r="37" spans="1:22" x14ac:dyDescent="0.25">
      <c r="A37" s="23" t="s">
        <v>48</v>
      </c>
      <c r="B37" s="24">
        <v>0</v>
      </c>
      <c r="C37" s="25">
        <v>0</v>
      </c>
      <c r="D37" s="25">
        <v>0</v>
      </c>
      <c r="E37" s="25">
        <v>0</v>
      </c>
      <c r="F37" s="25">
        <v>0</v>
      </c>
      <c r="N37" s="26" t="s">
        <v>48</v>
      </c>
      <c r="O37" s="27">
        <v>0</v>
      </c>
      <c r="P37" s="28">
        <v>0</v>
      </c>
      <c r="Q37" s="28">
        <v>0</v>
      </c>
      <c r="R37" s="28">
        <v>0</v>
      </c>
      <c r="S37" s="28">
        <v>0</v>
      </c>
      <c r="V37">
        <f t="shared" si="23"/>
        <v>46.515945320473193</v>
      </c>
    </row>
    <row r="38" spans="1:22" x14ac:dyDescent="0.25">
      <c r="A38" s="23" t="s">
        <v>34</v>
      </c>
      <c r="B38" s="24">
        <v>0</v>
      </c>
      <c r="C38" s="25">
        <v>0</v>
      </c>
      <c r="D38" s="25">
        <v>0</v>
      </c>
      <c r="E38" s="25">
        <v>0</v>
      </c>
      <c r="F38" s="25">
        <v>0</v>
      </c>
      <c r="N38" s="26" t="s">
        <v>34</v>
      </c>
      <c r="O38" s="27">
        <v>0</v>
      </c>
      <c r="P38" s="28">
        <v>0</v>
      </c>
      <c r="Q38" s="28">
        <v>0</v>
      </c>
      <c r="R38" s="28">
        <v>0</v>
      </c>
      <c r="S38" s="28">
        <v>0</v>
      </c>
      <c r="V38">
        <f t="shared" si="23"/>
        <v>42.607892045454541</v>
      </c>
    </row>
    <row r="39" spans="1:22" x14ac:dyDescent="0.25">
      <c r="A39" s="23" t="s">
        <v>49</v>
      </c>
      <c r="B39" s="24">
        <v>0</v>
      </c>
      <c r="C39" s="25">
        <v>0</v>
      </c>
      <c r="D39" s="25">
        <v>0</v>
      </c>
      <c r="E39" s="25">
        <v>0</v>
      </c>
      <c r="F39" s="25">
        <v>0</v>
      </c>
      <c r="N39" s="26" t="s">
        <v>49</v>
      </c>
      <c r="O39" s="27">
        <v>0</v>
      </c>
      <c r="P39" s="28">
        <v>0</v>
      </c>
      <c r="Q39" s="28">
        <v>0</v>
      </c>
      <c r="R39" s="28">
        <v>0</v>
      </c>
      <c r="S39" s="28">
        <v>0</v>
      </c>
      <c r="V39">
        <f t="shared" si="23"/>
        <v>38.537873001588885</v>
      </c>
    </row>
    <row r="40" spans="1:22" x14ac:dyDescent="0.25">
      <c r="A40" s="23" t="s">
        <v>36</v>
      </c>
      <c r="B40" s="24">
        <v>39</v>
      </c>
      <c r="C40" s="25">
        <v>11.9055899968477</v>
      </c>
      <c r="D40" s="25">
        <v>14.2105857005433</v>
      </c>
      <c r="E40" s="25">
        <v>15.4014327520505</v>
      </c>
      <c r="F40" s="25">
        <v>16.129157138664301</v>
      </c>
      <c r="N40" s="26" t="s">
        <v>36</v>
      </c>
      <c r="O40" s="27">
        <v>39</v>
      </c>
      <c r="P40" s="28">
        <v>11.9055899968477</v>
      </c>
      <c r="Q40" s="28">
        <v>7.5012741162543897</v>
      </c>
      <c r="R40" s="28">
        <v>3.5176080279514301</v>
      </c>
      <c r="S40" s="28">
        <v>0</v>
      </c>
      <c r="V40">
        <f t="shared" si="23"/>
        <v>34.39357288148603</v>
      </c>
    </row>
    <row r="41" spans="1:22" x14ac:dyDescent="0.25">
      <c r="A41" s="23" t="s">
        <v>50</v>
      </c>
      <c r="B41" s="24">
        <v>35</v>
      </c>
      <c r="C41" s="25">
        <v>97.546726755218202</v>
      </c>
      <c r="D41" s="25">
        <v>59.879507196995398</v>
      </c>
      <c r="E41" s="25">
        <v>43.264939848570798</v>
      </c>
      <c r="F41" s="25">
        <v>22.654613523522599</v>
      </c>
      <c r="N41" s="26" t="s">
        <v>50</v>
      </c>
      <c r="O41" s="27">
        <v>35</v>
      </c>
      <c r="P41" s="28">
        <v>97.546726755218202</v>
      </c>
      <c r="Q41" s="28">
        <v>29.483936808883101</v>
      </c>
      <c r="R41" s="28">
        <v>0</v>
      </c>
      <c r="S41" s="28">
        <v>0</v>
      </c>
      <c r="V41">
        <f t="shared" si="23"/>
        <v>30.149622353137332</v>
      </c>
    </row>
    <row r="42" spans="1:22" x14ac:dyDescent="0.25">
      <c r="A42" s="23" t="s">
        <v>31</v>
      </c>
      <c r="B42" s="24">
        <v>801</v>
      </c>
      <c r="C42" s="25">
        <v>1330.0683361629899</v>
      </c>
      <c r="D42" s="25">
        <v>1578.99627362758</v>
      </c>
      <c r="E42" s="25">
        <v>1729.9174205890899</v>
      </c>
      <c r="F42" s="25">
        <v>1831.13695036473</v>
      </c>
      <c r="N42" s="26" t="s">
        <v>31</v>
      </c>
      <c r="O42" s="27">
        <v>801</v>
      </c>
      <c r="P42" s="28">
        <v>1330.0683361629899</v>
      </c>
      <c r="Q42" s="28">
        <v>1332.4717621340601</v>
      </c>
      <c r="R42" s="28">
        <v>1287.3535103611</v>
      </c>
      <c r="S42" s="28">
        <v>1199.1638518229099</v>
      </c>
      <c r="V42">
        <f t="shared" si="23"/>
        <v>0</v>
      </c>
    </row>
    <row r="43" spans="1:22" x14ac:dyDescent="0.25">
      <c r="A43" s="29" t="s">
        <v>51</v>
      </c>
      <c r="B43">
        <f>SUM(B37:B42)/1000</f>
        <v>0.875</v>
      </c>
      <c r="C43">
        <f>SUM(C37:C42)/1000</f>
        <v>1.4395206529150557</v>
      </c>
      <c r="D43">
        <f>SUM(D37:D42)/1000</f>
        <v>1.6530863665251185</v>
      </c>
      <c r="E43">
        <f>SUM(E37:E42)/1000</f>
        <v>1.7885837931897113</v>
      </c>
      <c r="F43">
        <f>SUM(F37:F42)/1000</f>
        <v>1.8699207210269169</v>
      </c>
      <c r="N43" s="29" t="s">
        <v>51</v>
      </c>
      <c r="O43">
        <f>SUM(O37:O42)/1000</f>
        <v>0.875</v>
      </c>
      <c r="P43">
        <f>SUM(P37:P42)/1000</f>
        <v>1.4395206529150557</v>
      </c>
      <c r="Q43">
        <f>SUM(Q37:Q42)/1000</f>
        <v>1.3694569730591974</v>
      </c>
      <c r="R43">
        <f>SUM(R37:R42)/1000</f>
        <v>1.2908711183890513</v>
      </c>
      <c r="S43">
        <f>SUM(S37:S42)/1000</f>
        <v>1.19916385182291</v>
      </c>
    </row>
    <row r="45" spans="1:22" x14ac:dyDescent="0.25">
      <c r="A45" t="s">
        <v>52</v>
      </c>
    </row>
  </sheetData>
  <mergeCells count="6">
    <mergeCell ref="B7:C7"/>
    <mergeCell ref="O7:P7"/>
    <mergeCell ref="A17:A23"/>
    <mergeCell ref="N17:N23"/>
    <mergeCell ref="A25:A31"/>
    <mergeCell ref="N25:N3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218C-8C0B-4E0F-8E6F-3E531F6FD834}">
  <dimension ref="A1:AF15"/>
  <sheetViews>
    <sheetView workbookViewId="0">
      <selection activeCell="D1" sqref="D1:AF1"/>
    </sheetView>
  </sheetViews>
  <sheetFormatPr baseColWidth="10" defaultRowHeight="15" x14ac:dyDescent="0.25"/>
  <cols>
    <col min="1" max="1" width="27" bestFit="1" customWidth="1"/>
  </cols>
  <sheetData>
    <row r="1" spans="1:32" x14ac:dyDescent="0.25">
      <c r="A1" s="76" t="s">
        <v>87</v>
      </c>
      <c r="D1" s="77">
        <v>2022</v>
      </c>
      <c r="E1" s="77">
        <v>2023</v>
      </c>
      <c r="F1" s="77">
        <v>2024</v>
      </c>
      <c r="G1" s="77">
        <v>2025</v>
      </c>
      <c r="H1" s="77">
        <v>2026</v>
      </c>
      <c r="I1" s="77">
        <v>2027</v>
      </c>
      <c r="J1" s="77">
        <v>2028</v>
      </c>
      <c r="K1" s="77">
        <v>2029</v>
      </c>
      <c r="L1" s="77">
        <v>2030</v>
      </c>
      <c r="M1" s="77">
        <v>2031</v>
      </c>
      <c r="N1" s="77">
        <v>2032</v>
      </c>
      <c r="O1" s="77">
        <v>2033</v>
      </c>
      <c r="P1" s="77">
        <v>2034</v>
      </c>
      <c r="Q1" s="77">
        <v>2035</v>
      </c>
      <c r="R1" s="77">
        <v>2036</v>
      </c>
      <c r="S1" s="77">
        <v>2037</v>
      </c>
      <c r="T1" s="77">
        <v>2038</v>
      </c>
      <c r="U1" s="77">
        <v>2039</v>
      </c>
      <c r="V1" s="77">
        <v>2040</v>
      </c>
      <c r="W1" s="77">
        <v>2041</v>
      </c>
      <c r="X1" s="77">
        <v>2042</v>
      </c>
      <c r="Y1" s="77">
        <v>2043</v>
      </c>
      <c r="Z1" s="77">
        <v>2044</v>
      </c>
      <c r="AA1" s="77">
        <v>2045</v>
      </c>
      <c r="AB1" s="77">
        <v>2046</v>
      </c>
      <c r="AC1" s="77">
        <v>2047</v>
      </c>
      <c r="AD1" s="77">
        <v>2048</v>
      </c>
      <c r="AE1" s="77">
        <v>2049</v>
      </c>
      <c r="AF1" s="77">
        <v>2050</v>
      </c>
    </row>
    <row r="2" spans="1:32" x14ac:dyDescent="0.25">
      <c r="A2" t="s">
        <v>88</v>
      </c>
      <c r="D2" s="64"/>
      <c r="E2" s="64">
        <v>11.11426</v>
      </c>
      <c r="F2" s="64">
        <v>11.896851199999999</v>
      </c>
      <c r="G2" s="64">
        <v>11.806213666666666</v>
      </c>
      <c r="H2" s="64">
        <v>13.045150800000002</v>
      </c>
      <c r="I2" s="64">
        <v>13.744730400000002</v>
      </c>
      <c r="J2" s="64">
        <v>15.360335333333335</v>
      </c>
      <c r="K2" s="64">
        <v>17.952825800000006</v>
      </c>
      <c r="L2" s="64">
        <v>21.350910000000006</v>
      </c>
      <c r="M2" s="64">
        <v>23.218501358750007</v>
      </c>
      <c r="N2" s="64">
        <v>26.013978113333341</v>
      </c>
      <c r="O2" s="64">
        <v>28.319513941250012</v>
      </c>
      <c r="P2" s="64">
        <v>30.085085333333343</v>
      </c>
      <c r="Q2" s="64">
        <v>31.392362302083342</v>
      </c>
      <c r="R2" s="64">
        <v>32.279719805000006</v>
      </c>
      <c r="S2" s="64">
        <v>32.534263973750008</v>
      </c>
      <c r="T2" s="64">
        <v>32.518218773333338</v>
      </c>
      <c r="U2" s="64">
        <v>32.246104848750008</v>
      </c>
      <c r="V2" s="64">
        <v>31.597601875000009</v>
      </c>
      <c r="W2" s="64">
        <v>31.085381430833344</v>
      </c>
      <c r="X2" s="64">
        <v>30.577574480000006</v>
      </c>
      <c r="Y2" s="64">
        <v>30.10156120500001</v>
      </c>
      <c r="Z2" s="64">
        <v>29.621409171666674</v>
      </c>
      <c r="AA2" s="64">
        <v>29.156136875000005</v>
      </c>
      <c r="AB2" s="64">
        <v>28.705580520000005</v>
      </c>
      <c r="AC2" s="64">
        <v>28.267130065416673</v>
      </c>
      <c r="AD2" s="64">
        <v>27.841467885000011</v>
      </c>
      <c r="AE2" s="64">
        <v>27.428453923750009</v>
      </c>
      <c r="AF2" s="64">
        <v>26.995762000000006</v>
      </c>
    </row>
    <row r="3" spans="1:32" s="77" customFormat="1" x14ac:dyDescent="0.25">
      <c r="A3" s="77" t="s">
        <v>89</v>
      </c>
      <c r="D3" s="78"/>
      <c r="E3" s="78">
        <v>88.340907676441859</v>
      </c>
      <c r="F3" s="78">
        <v>85.338439092877664</v>
      </c>
      <c r="G3" s="78">
        <v>82.225277476175251</v>
      </c>
      <c r="H3" s="78">
        <v>78.09319184793523</v>
      </c>
      <c r="I3" s="78">
        <v>72.95778184181556</v>
      </c>
      <c r="J3" s="78">
        <v>68.620408299760058</v>
      </c>
      <c r="K3" s="78">
        <v>63.983824078402925</v>
      </c>
      <c r="L3" s="78">
        <v>58.99344724120531</v>
      </c>
      <c r="M3" s="78">
        <v>54.954987611822418</v>
      </c>
      <c r="N3" s="78">
        <v>50.617157365136059</v>
      </c>
      <c r="O3" s="78">
        <v>46.619218201860839</v>
      </c>
      <c r="P3" s="78">
        <v>42.956516549752187</v>
      </c>
      <c r="Q3" s="78">
        <v>39.560148519476677</v>
      </c>
      <c r="R3" s="78">
        <v>36.099290239551266</v>
      </c>
      <c r="S3" s="78">
        <v>32.832975629774502</v>
      </c>
      <c r="T3" s="78">
        <v>29.841816081225389</v>
      </c>
      <c r="U3" s="78">
        <v>27.560753109639538</v>
      </c>
      <c r="V3" s="78">
        <v>21.996156373010141</v>
      </c>
      <c r="W3" s="78">
        <v>22.86966547729573</v>
      </c>
      <c r="X3" s="78">
        <v>21.191731105537762</v>
      </c>
      <c r="Y3" s="78">
        <v>19.813433106290599</v>
      </c>
      <c r="Z3" s="78">
        <v>18.707896129857964</v>
      </c>
      <c r="AA3" s="78">
        <v>17.848872458937215</v>
      </c>
      <c r="AB3" s="78">
        <v>16.814954173837929</v>
      </c>
      <c r="AC3" s="78">
        <v>16.028003855276264</v>
      </c>
      <c r="AD3" s="78">
        <v>15.229694095780305</v>
      </c>
      <c r="AE3" s="78">
        <v>14.408334273834454</v>
      </c>
      <c r="AF3" s="78">
        <v>13.573543165396442</v>
      </c>
    </row>
    <row r="4" spans="1:32" x14ac:dyDescent="0.25">
      <c r="A4" s="79" t="s">
        <v>81</v>
      </c>
      <c r="B4" s="80"/>
      <c r="C4" s="80"/>
      <c r="D4" s="81"/>
      <c r="E4" s="81">
        <v>88.27</v>
      </c>
      <c r="F4" s="81">
        <v>85.2441824</v>
      </c>
      <c r="G4" s="81">
        <v>82.110324000000006</v>
      </c>
      <c r="H4" s="81">
        <v>77.957292600000002</v>
      </c>
      <c r="I4" s="81">
        <v>72.80146640000001</v>
      </c>
      <c r="J4" s="81">
        <v>68.444366000000016</v>
      </c>
      <c r="K4" s="81">
        <v>63.788670400000022</v>
      </c>
      <c r="L4" s="81">
        <v>58.778730000000017</v>
      </c>
      <c r="M4" s="81">
        <v>54.612358787916683</v>
      </c>
      <c r="N4" s="81">
        <v>50.147406690000018</v>
      </c>
      <c r="O4" s="81">
        <v>46.024090735000009</v>
      </c>
      <c r="P4" s="81">
        <v>42.238336746666675</v>
      </c>
      <c r="Q4" s="81">
        <v>38.721576187500013</v>
      </c>
      <c r="R4" s="81">
        <v>35.133194625000009</v>
      </c>
      <c r="S4" s="81">
        <v>31.744717404583344</v>
      </c>
      <c r="T4" s="81">
        <v>28.634470773333344</v>
      </c>
      <c r="U4" s="81">
        <v>26.239419472500007</v>
      </c>
      <c r="V4" s="81">
        <v>20.561875833333339</v>
      </c>
      <c r="W4" s="81">
        <v>21.32648507208334</v>
      </c>
      <c r="X4" s="81">
        <v>19.543225280000005</v>
      </c>
      <c r="Y4" s="81">
        <v>18.063261680833339</v>
      </c>
      <c r="Z4" s="81">
        <v>16.85542748333334</v>
      </c>
      <c r="AA4" s="81">
        <v>15.895641406250006</v>
      </c>
      <c r="AB4" s="81">
        <v>14.76366586666667</v>
      </c>
      <c r="AC4" s="81">
        <v>13.881128966250003</v>
      </c>
      <c r="AD4" s="81">
        <v>12.989816070000003</v>
      </c>
      <c r="AE4" s="81">
        <v>12.077799149166671</v>
      </c>
      <c r="AF4" s="81">
        <v>11.155094000000002</v>
      </c>
    </row>
    <row r="5" spans="1:32" x14ac:dyDescent="0.25">
      <c r="A5" s="79" t="s">
        <v>82</v>
      </c>
      <c r="B5" s="80"/>
      <c r="C5" s="80"/>
      <c r="D5" s="81"/>
      <c r="E5" s="81">
        <v>7.090767644185994E-2</v>
      </c>
      <c r="F5" s="81">
        <v>9.4256692877668705E-2</v>
      </c>
      <c r="G5" s="81">
        <v>0.11495347617524786</v>
      </c>
      <c r="H5" s="81">
        <v>0.13589924793522268</v>
      </c>
      <c r="I5" s="81">
        <v>0.15631544181554813</v>
      </c>
      <c r="J5" s="81">
        <v>0.17604229976004585</v>
      </c>
      <c r="K5" s="81">
        <v>0.19515367840290387</v>
      </c>
      <c r="L5" s="81">
        <v>0.21471724120529059</v>
      </c>
      <c r="M5" s="81">
        <v>0.34262882390573463</v>
      </c>
      <c r="N5" s="81">
        <v>0.46975067513603985</v>
      </c>
      <c r="O5" s="81">
        <v>0.59512746686083107</v>
      </c>
      <c r="P5" s="81">
        <v>0.71817980308550933</v>
      </c>
      <c r="Q5" s="81">
        <v>0.8385723319766637</v>
      </c>
      <c r="R5" s="81">
        <v>0.96609561455125781</v>
      </c>
      <c r="S5" s="81">
        <v>1.0882582251911597</v>
      </c>
      <c r="T5" s="81">
        <v>1.207345307892044</v>
      </c>
      <c r="U5" s="81">
        <v>1.3213336371395326</v>
      </c>
      <c r="V5" s="81">
        <v>1.4342805396768008</v>
      </c>
      <c r="W5" s="81">
        <v>1.5431804052123879</v>
      </c>
      <c r="X5" s="81">
        <v>1.6485058255377576</v>
      </c>
      <c r="Y5" s="81">
        <v>1.7501714254572607</v>
      </c>
      <c r="Z5" s="81">
        <v>1.8524686465246225</v>
      </c>
      <c r="AA5" s="81">
        <v>1.953231052687209</v>
      </c>
      <c r="AB5" s="81">
        <v>2.0512883071712591</v>
      </c>
      <c r="AC5" s="81">
        <v>2.1468748890262623</v>
      </c>
      <c r="AD5" s="81">
        <v>2.239878025780301</v>
      </c>
      <c r="AE5" s="81">
        <v>2.3305351246677835</v>
      </c>
      <c r="AF5" s="81">
        <v>2.4184491653964408</v>
      </c>
    </row>
    <row r="6" spans="1:32" x14ac:dyDescent="0.25">
      <c r="A6" t="s">
        <v>90</v>
      </c>
      <c r="D6" s="64"/>
      <c r="E6" s="64">
        <v>30.07</v>
      </c>
      <c r="F6" s="64">
        <v>26.6832384</v>
      </c>
      <c r="G6" s="64">
        <v>23.473708333333335</v>
      </c>
      <c r="H6" s="64">
        <v>20.3345406</v>
      </c>
      <c r="I6" s="64">
        <v>16.964588800000005</v>
      </c>
      <c r="J6" s="64">
        <v>14.207790000000003</v>
      </c>
      <c r="K6" s="64">
        <v>11.669203000000005</v>
      </c>
      <c r="L6" s="64">
        <v>9.3174000000000028</v>
      </c>
      <c r="M6" s="64">
        <v>7.1644861141666683</v>
      </c>
      <c r="N6" s="64">
        <v>5.141446833333335</v>
      </c>
      <c r="O6" s="64">
        <v>3.2892943212500008</v>
      </c>
      <c r="P6" s="64">
        <v>1.5817886933333336</v>
      </c>
      <c r="Q6" s="64">
        <v>0</v>
      </c>
      <c r="R6" s="64">
        <v>0</v>
      </c>
      <c r="S6" s="64">
        <v>0</v>
      </c>
      <c r="T6" s="64">
        <v>0</v>
      </c>
      <c r="U6" s="64">
        <v>0</v>
      </c>
      <c r="V6" s="64">
        <v>0</v>
      </c>
      <c r="W6" s="64">
        <v>0</v>
      </c>
      <c r="X6" s="64">
        <v>0</v>
      </c>
      <c r="Y6" s="64">
        <v>0</v>
      </c>
      <c r="Z6" s="64">
        <v>0</v>
      </c>
      <c r="AA6" s="64">
        <v>0</v>
      </c>
      <c r="AB6" s="64">
        <v>0</v>
      </c>
      <c r="AC6" s="64">
        <v>0</v>
      </c>
      <c r="AD6" s="64">
        <v>0</v>
      </c>
      <c r="AE6" s="64">
        <v>0</v>
      </c>
      <c r="AF6" s="64">
        <v>0</v>
      </c>
    </row>
    <row r="7" spans="1:32" x14ac:dyDescent="0.25">
      <c r="A7" t="s">
        <v>48</v>
      </c>
      <c r="D7" s="64"/>
      <c r="E7" s="64">
        <v>73.819909999999993</v>
      </c>
      <c r="F7" s="64">
        <v>71.334224000000006</v>
      </c>
      <c r="G7" s="64">
        <v>68.897103333333334</v>
      </c>
      <c r="H7" s="64">
        <v>66.214051200000014</v>
      </c>
      <c r="I7" s="64">
        <v>63.233651200000018</v>
      </c>
      <c r="J7" s="64">
        <v>60.666042000000012</v>
      </c>
      <c r="K7" s="64">
        <v>58.09987820000002</v>
      </c>
      <c r="L7" s="64">
        <v>55.390185000000017</v>
      </c>
      <c r="M7" s="64">
        <v>53.345926903333343</v>
      </c>
      <c r="N7" s="64">
        <v>51.268067813333353</v>
      </c>
      <c r="O7" s="64">
        <v>49.34982672375002</v>
      </c>
      <c r="P7" s="64">
        <v>47.579789226666676</v>
      </c>
      <c r="Q7" s="64">
        <v>45.932091385416683</v>
      </c>
      <c r="R7" s="64">
        <v>44.660477750000013</v>
      </c>
      <c r="S7" s="64">
        <v>43.425061304166682</v>
      </c>
      <c r="T7" s="64">
        <v>42.279796533333347</v>
      </c>
      <c r="U7" s="64">
        <v>41.300504797500011</v>
      </c>
      <c r="V7" s="64">
        <v>39.406335208333346</v>
      </c>
      <c r="W7" s="64">
        <v>39.164598229166678</v>
      </c>
      <c r="X7" s="64">
        <v>38.264921160000007</v>
      </c>
      <c r="Y7" s="64">
        <v>37.437633511250013</v>
      </c>
      <c r="Z7" s="64">
        <v>36.714907123333347</v>
      </c>
      <c r="AA7" s="64">
        <v>36.046031250000006</v>
      </c>
      <c r="AB7" s="64">
        <v>35.358242386666674</v>
      </c>
      <c r="AC7" s="64">
        <v>34.724436489166678</v>
      </c>
      <c r="AD7" s="64">
        <v>34.099282140000014</v>
      </c>
      <c r="AE7" s="64">
        <v>33.479478179583339</v>
      </c>
      <c r="AF7" s="64">
        <v>32.84327466666668</v>
      </c>
    </row>
    <row r="8" spans="1:32" s="82" customFormat="1" x14ac:dyDescent="0.25">
      <c r="A8" s="79" t="s">
        <v>83</v>
      </c>
      <c r="D8" s="81"/>
      <c r="E8" s="81">
        <v>41.916315490665596</v>
      </c>
      <c r="F8" s="81">
        <v>41.028219736687426</v>
      </c>
      <c r="G8" s="81">
        <v>40.135617141092879</v>
      </c>
      <c r="H8" s="81">
        <v>39.253308385439738</v>
      </c>
      <c r="I8" s="81">
        <v>38.391559346473258</v>
      </c>
      <c r="J8" s="81">
        <v>37.57442557923634</v>
      </c>
      <c r="K8" s="81">
        <v>36.790029444379101</v>
      </c>
      <c r="L8" s="81">
        <v>35.917795402006305</v>
      </c>
      <c r="M8" s="81">
        <v>35.406467941715803</v>
      </c>
      <c r="N8" s="81">
        <v>34.9151497025263</v>
      </c>
      <c r="O8" s="81">
        <v>34.444031923374965</v>
      </c>
      <c r="P8" s="81">
        <v>33.989989999255982</v>
      </c>
      <c r="Q8" s="81">
        <v>33.551141323080657</v>
      </c>
      <c r="R8" s="81">
        <v>33.086688934071702</v>
      </c>
      <c r="S8" s="81">
        <v>32.606927689813752</v>
      </c>
      <c r="T8" s="81">
        <v>32.144931770551004</v>
      </c>
      <c r="U8" s="81">
        <v>31.682601896858738</v>
      </c>
      <c r="V8" s="81">
        <v>31.154757257586695</v>
      </c>
      <c r="W8" s="81">
        <v>30.636771159143748</v>
      </c>
      <c r="X8" s="81">
        <v>30.123433201961227</v>
      </c>
      <c r="Y8" s="81">
        <v>29.615337850543</v>
      </c>
      <c r="Z8" s="81">
        <v>29.178491995597565</v>
      </c>
      <c r="AA8" s="81">
        <v>28.752750279857999</v>
      </c>
      <c r="AB8" s="81">
        <v>28.345307672823161</v>
      </c>
      <c r="AC8" s="81">
        <v>27.93468183335747</v>
      </c>
      <c r="AD8" s="81">
        <v>27.534478346881279</v>
      </c>
      <c r="AE8" s="81">
        <v>27.143850186175129</v>
      </c>
      <c r="AF8" s="81">
        <v>26.740055320124565</v>
      </c>
    </row>
    <row r="9" spans="1:32" s="82" customFormat="1" x14ac:dyDescent="0.25">
      <c r="A9" s="79" t="s">
        <v>84</v>
      </c>
      <c r="D9" s="81"/>
      <c r="E9" s="81">
        <v>31.903594509334393</v>
      </c>
      <c r="F9" s="81">
        <v>30.30600426331258</v>
      </c>
      <c r="G9" s="81">
        <v>28.761486192240454</v>
      </c>
      <c r="H9" s="81">
        <v>26.960742814560273</v>
      </c>
      <c r="I9" s="81">
        <v>24.84209185352676</v>
      </c>
      <c r="J9" s="81">
        <v>23.091616420763671</v>
      </c>
      <c r="K9" s="81">
        <v>21.309848755620919</v>
      </c>
      <c r="L9" s="81">
        <v>19.472389597993715</v>
      </c>
      <c r="M9" s="81">
        <v>17.93945896161754</v>
      </c>
      <c r="N9" s="81">
        <v>16.352918110807053</v>
      </c>
      <c r="O9" s="81">
        <v>14.905794800375057</v>
      </c>
      <c r="P9" s="81">
        <v>13.58979922741069</v>
      </c>
      <c r="Q9" s="81">
        <v>12.380950062336026</v>
      </c>
      <c r="R9" s="81">
        <v>11.573788815928307</v>
      </c>
      <c r="S9" s="81">
        <v>10.818133614352931</v>
      </c>
      <c r="T9" s="81">
        <v>10.134864762782341</v>
      </c>
      <c r="U9" s="81">
        <v>9.6179029006412726</v>
      </c>
      <c r="V9" s="81">
        <v>8.2515779507466487</v>
      </c>
      <c r="W9" s="81">
        <v>8.5278270700229299</v>
      </c>
      <c r="X9" s="81">
        <v>8.1414879580387804</v>
      </c>
      <c r="Y9" s="81">
        <v>7.822295660707014</v>
      </c>
      <c r="Z9" s="81">
        <v>7.5364151277357827</v>
      </c>
      <c r="AA9" s="81">
        <v>7.2932809701420069</v>
      </c>
      <c r="AB9" s="81">
        <v>7.0129347138435145</v>
      </c>
      <c r="AC9" s="81">
        <v>6.7897546558092081</v>
      </c>
      <c r="AD9" s="81">
        <v>6.5648037931187364</v>
      </c>
      <c r="AE9" s="81">
        <v>6.3356279934082114</v>
      </c>
      <c r="AF9" s="81">
        <v>6.1032193465421152</v>
      </c>
    </row>
    <row r="10" spans="1:32" s="77" customFormat="1" x14ac:dyDescent="0.25">
      <c r="A10" s="77" t="s">
        <v>91</v>
      </c>
      <c r="D10" s="78"/>
      <c r="E10" s="78">
        <v>6.5575587478420374</v>
      </c>
      <c r="F10" s="78">
        <v>8.3720719776352741</v>
      </c>
      <c r="G10" s="78">
        <v>10.140781055808091</v>
      </c>
      <c r="H10" s="78">
        <v>11.841555082197804</v>
      </c>
      <c r="I10" s="78">
        <v>13.638991993687203</v>
      </c>
      <c r="J10" s="78">
        <v>15.276667751782551</v>
      </c>
      <c r="K10" s="78">
        <v>16.754087830295575</v>
      </c>
      <c r="L10" s="78">
        <v>18.017983866636236</v>
      </c>
      <c r="M10" s="78">
        <v>19.542506891236322</v>
      </c>
      <c r="N10" s="78">
        <v>20.941188822366612</v>
      </c>
      <c r="O10" s="78">
        <v>22.355498849287606</v>
      </c>
      <c r="P10" s="78">
        <v>23.791324294768522</v>
      </c>
      <c r="Q10" s="78">
        <v>25.24319453388491</v>
      </c>
      <c r="R10" s="78">
        <v>26.236196129985661</v>
      </c>
      <c r="S10" s="78">
        <v>27.228144442650354</v>
      </c>
      <c r="T10" s="78">
        <v>28.231025516005275</v>
      </c>
      <c r="U10" s="78">
        <v>29.055038271375007</v>
      </c>
      <c r="V10" s="78">
        <v>29.844301962799332</v>
      </c>
      <c r="W10" s="78">
        <v>30.434208512083533</v>
      </c>
      <c r="X10" s="78">
        <v>30.981487864789521</v>
      </c>
      <c r="Y10" s="78">
        <v>31.421078539595165</v>
      </c>
      <c r="Z10" s="78">
        <v>31.462107974372529</v>
      </c>
      <c r="AA10" s="78">
        <v>31.444611113574759</v>
      </c>
      <c r="AB10" s="78">
        <v>31.483585613014888</v>
      </c>
      <c r="AC10" s="78">
        <v>31.449328858391763</v>
      </c>
      <c r="AD10" s="78">
        <v>31.411053389032993</v>
      </c>
      <c r="AE10" s="78">
        <v>31.373588102165847</v>
      </c>
      <c r="AF10" s="78">
        <v>31.324159904022942</v>
      </c>
    </row>
    <row r="11" spans="1:32" s="82" customFormat="1" x14ac:dyDescent="0.25">
      <c r="A11" s="79" t="s">
        <v>92</v>
      </c>
      <c r="D11" s="81"/>
      <c r="E11" s="81">
        <v>1.3550899999999999</v>
      </c>
      <c r="F11" s="81">
        <v>2.2733567999999997</v>
      </c>
      <c r="G11" s="81">
        <v>3.3386926666666663</v>
      </c>
      <c r="H11" s="81">
        <v>4.3338042000000003</v>
      </c>
      <c r="I11" s="81">
        <v>5.3743832000000014</v>
      </c>
      <c r="J11" s="81">
        <v>6.3209060000000017</v>
      </c>
      <c r="K11" s="81">
        <v>7.1736392000000029</v>
      </c>
      <c r="L11" s="81">
        <v>7.928580000000002</v>
      </c>
      <c r="M11" s="81">
        <v>8.8273890725000026</v>
      </c>
      <c r="N11" s="81">
        <v>9.6511057083333363</v>
      </c>
      <c r="O11" s="81">
        <v>10.479582382500002</v>
      </c>
      <c r="P11" s="81">
        <v>11.315274880000002</v>
      </c>
      <c r="Q11" s="81">
        <v>12.15457357291667</v>
      </c>
      <c r="R11" s="81">
        <v>12.763562040000004</v>
      </c>
      <c r="S11" s="81">
        <v>13.37198579291667</v>
      </c>
      <c r="T11" s="81">
        <v>13.983190613333338</v>
      </c>
      <c r="U11" s="81">
        <v>14.500731813750004</v>
      </c>
      <c r="V11" s="81">
        <v>15.00909229166667</v>
      </c>
      <c r="W11" s="81">
        <v>15.411164685000005</v>
      </c>
      <c r="X11" s="81">
        <v>15.789211240000006</v>
      </c>
      <c r="Y11" s="81">
        <v>16.110297100833339</v>
      </c>
      <c r="Z11" s="81">
        <v>16.242878598333338</v>
      </c>
      <c r="AA11" s="81">
        <v>16.266800312500003</v>
      </c>
      <c r="AB11" s="81">
        <v>16.327696840000002</v>
      </c>
      <c r="AC11" s="81">
        <v>16.351658353333335</v>
      </c>
      <c r="AD11" s="81">
        <v>16.378146015000006</v>
      </c>
      <c r="AE11" s="81">
        <v>16.410351915833338</v>
      </c>
      <c r="AF11" s="81">
        <v>16.440144666666672</v>
      </c>
    </row>
    <row r="12" spans="1:32" s="82" customFormat="1" x14ac:dyDescent="0.25">
      <c r="A12" s="79" t="s">
        <v>93</v>
      </c>
      <c r="D12" s="81"/>
      <c r="E12" s="81">
        <v>4.5265646951877434</v>
      </c>
      <c r="F12" s="81">
        <v>5.2750894476731398</v>
      </c>
      <c r="G12" s="81">
        <v>5.8325782058682432</v>
      </c>
      <c r="H12" s="81">
        <v>6.3921837692307708</v>
      </c>
      <c r="I12" s="81">
        <v>7.0033515940366984</v>
      </c>
      <c r="J12" s="81">
        <v>7.54929197419579</v>
      </c>
      <c r="K12" s="81">
        <v>8.0291926224137988</v>
      </c>
      <c r="L12" s="81">
        <v>8.3930483967239358</v>
      </c>
      <c r="M12" s="81">
        <v>8.7444426438432856</v>
      </c>
      <c r="N12" s="81">
        <v>9.0456352877299651</v>
      </c>
      <c r="O12" s="81">
        <v>9.3589048063356426</v>
      </c>
      <c r="P12" s="81">
        <v>9.6880840898633025</v>
      </c>
      <c r="Q12" s="81">
        <v>10.031544442314765</v>
      </c>
      <c r="R12" s="81">
        <v>10.131189384766991</v>
      </c>
      <c r="S12" s="81">
        <v>10.234059140071254</v>
      </c>
      <c r="T12" s="81">
        <v>10.347211032398503</v>
      </c>
      <c r="U12" s="81">
        <v>10.378690175747346</v>
      </c>
      <c r="V12" s="81">
        <v>10.385322382611506</v>
      </c>
      <c r="W12" s="81">
        <v>10.301688948175245</v>
      </c>
      <c r="X12" s="81">
        <v>10.201930203478266</v>
      </c>
      <c r="Y12" s="81">
        <v>10.05397866314126</v>
      </c>
      <c r="Z12" s="81">
        <v>9.6955327168766772</v>
      </c>
      <c r="AA12" s="81">
        <v>9.3882834374449544</v>
      </c>
      <c r="AB12" s="81">
        <v>9.1024045860284488</v>
      </c>
      <c r="AC12" s="81">
        <v>8.7819409502344357</v>
      </c>
      <c r="AD12" s="81">
        <v>8.4567220253215858</v>
      </c>
      <c r="AE12" s="81">
        <v>8.1282201637141789</v>
      </c>
      <c r="AF12" s="81">
        <v>7.7920686800764436</v>
      </c>
    </row>
    <row r="13" spans="1:32" s="82" customFormat="1" x14ac:dyDescent="0.25">
      <c r="A13" s="79" t="s">
        <v>85</v>
      </c>
      <c r="D13" s="81"/>
      <c r="E13" s="81">
        <v>0.62678571428571417</v>
      </c>
      <c r="F13" s="81">
        <v>0.75833333333333319</v>
      </c>
      <c r="G13" s="81">
        <v>0.88988095238095222</v>
      </c>
      <c r="H13" s="81">
        <v>1.0214285714285711</v>
      </c>
      <c r="I13" s="81">
        <v>1.1529761904761904</v>
      </c>
      <c r="J13" s="81">
        <v>1.2845238095238094</v>
      </c>
      <c r="K13" s="81">
        <v>1.4160714285714282</v>
      </c>
      <c r="L13" s="81">
        <v>1.5476190476190474</v>
      </c>
      <c r="M13" s="81">
        <v>1.7333333333333332</v>
      </c>
      <c r="N13" s="81">
        <v>1.9190476190476187</v>
      </c>
      <c r="O13" s="81">
        <v>2.1047619047619044</v>
      </c>
      <c r="P13" s="81">
        <v>2.2904761904761903</v>
      </c>
      <c r="Q13" s="81">
        <v>2.4761904761904763</v>
      </c>
      <c r="R13" s="81">
        <v>2.6722222222222221</v>
      </c>
      <c r="S13" s="81">
        <v>2.8682539682539678</v>
      </c>
      <c r="T13" s="81">
        <v>3.0642857142857141</v>
      </c>
      <c r="U13" s="81">
        <v>3.2603174603174598</v>
      </c>
      <c r="V13" s="81">
        <v>3.4563492063492056</v>
      </c>
      <c r="W13" s="81">
        <v>3.6523809523809514</v>
      </c>
      <c r="X13" s="81">
        <v>3.8484126984126976</v>
      </c>
      <c r="Y13" s="81">
        <v>4.0444444444444425</v>
      </c>
      <c r="Z13" s="81">
        <v>4.2404761904761887</v>
      </c>
      <c r="AA13" s="81">
        <v>4.436507936507935</v>
      </c>
      <c r="AB13" s="81">
        <v>4.6325396825396803</v>
      </c>
      <c r="AC13" s="81">
        <v>4.8285714285714265</v>
      </c>
      <c r="AD13" s="81">
        <v>5.0246031746031727</v>
      </c>
      <c r="AE13" s="81">
        <v>5.220634920634919</v>
      </c>
      <c r="AF13" s="81">
        <v>5.4166666666666661</v>
      </c>
    </row>
    <row r="14" spans="1:32" s="82" customFormat="1" x14ac:dyDescent="0.25">
      <c r="A14" s="79" t="s">
        <v>86</v>
      </c>
      <c r="D14" s="81"/>
      <c r="E14" s="81">
        <v>4.911833836858006E-2</v>
      </c>
      <c r="F14" s="81">
        <v>6.5292396628801749E-2</v>
      </c>
      <c r="G14" s="81">
        <v>7.9629230892228967E-2</v>
      </c>
      <c r="H14" s="81">
        <v>9.4138541538461545E-2</v>
      </c>
      <c r="I14" s="81">
        <v>0.10828100917431197</v>
      </c>
      <c r="J14" s="81">
        <v>0.12194596806294841</v>
      </c>
      <c r="K14" s="81">
        <v>0.13518457931034486</v>
      </c>
      <c r="L14" s="81">
        <v>0.14873642229324816</v>
      </c>
      <c r="M14" s="81">
        <v>0.23734184155970156</v>
      </c>
      <c r="N14" s="81">
        <v>0.32540020725569424</v>
      </c>
      <c r="O14" s="81">
        <v>0.41224975569005479</v>
      </c>
      <c r="P14" s="81">
        <v>0.49748913442902454</v>
      </c>
      <c r="Q14" s="81">
        <v>0.58088604246300135</v>
      </c>
      <c r="R14" s="81">
        <v>0.66922248299644416</v>
      </c>
      <c r="S14" s="81">
        <v>0.7538455414084595</v>
      </c>
      <c r="T14" s="81">
        <v>0.83633815598771766</v>
      </c>
      <c r="U14" s="81">
        <v>0.91529882156019693</v>
      </c>
      <c r="V14" s="81">
        <v>0.9935380821719505</v>
      </c>
      <c r="W14" s="81">
        <v>1.068973926527331</v>
      </c>
      <c r="X14" s="81">
        <v>1.1419337228985509</v>
      </c>
      <c r="Y14" s="81">
        <v>1.212358331176123</v>
      </c>
      <c r="Z14" s="81">
        <v>1.2832204686863269</v>
      </c>
      <c r="AA14" s="81">
        <v>1.3530194271218687</v>
      </c>
      <c r="AB14" s="81">
        <v>1.4209445044467572</v>
      </c>
      <c r="AC14" s="81">
        <v>1.4871581262525668</v>
      </c>
      <c r="AD14" s="81">
        <v>1.5515821741082292</v>
      </c>
      <c r="AE14" s="81">
        <v>1.6143811019834124</v>
      </c>
      <c r="AF14" s="81">
        <v>1.6752798906131594</v>
      </c>
    </row>
    <row r="15" spans="1:32" x14ac:dyDescent="0.25">
      <c r="A15" t="s">
        <v>94</v>
      </c>
      <c r="D15" s="64"/>
      <c r="E15" s="64">
        <v>42.595609999999994</v>
      </c>
      <c r="F15" s="64">
        <v>39.055619200000002</v>
      </c>
      <c r="G15" s="64">
        <v>36.195278666666667</v>
      </c>
      <c r="H15" s="64">
        <v>33.634675800000004</v>
      </c>
      <c r="I15" s="64">
        <v>31.284654400000008</v>
      </c>
      <c r="J15" s="64">
        <v>29.052465333333338</v>
      </c>
      <c r="K15" s="64">
        <v>26.906497800000007</v>
      </c>
      <c r="L15" s="64">
        <v>24.719238000000008</v>
      </c>
      <c r="M15" s="64">
        <v>22.892922463750004</v>
      </c>
      <c r="N15" s="64">
        <v>21.092132060000008</v>
      </c>
      <c r="O15" s="64">
        <v>19.388702427500007</v>
      </c>
      <c r="P15" s="64">
        <v>17.778924800000002</v>
      </c>
      <c r="Q15" s="64">
        <v>16.25569923958334</v>
      </c>
      <c r="R15" s="64">
        <v>14.750375240000006</v>
      </c>
      <c r="S15" s="64">
        <v>13.253468543333337</v>
      </c>
      <c r="T15" s="64">
        <v>11.860075040000003</v>
      </c>
      <c r="U15" s="64">
        <v>10.535153118750003</v>
      </c>
      <c r="V15" s="64">
        <v>9.2602489583333369</v>
      </c>
      <c r="W15" s="64">
        <v>8.0381672729166702</v>
      </c>
      <c r="X15" s="64">
        <v>6.8925065600000011</v>
      </c>
      <c r="Y15" s="64">
        <v>5.8148856095833352</v>
      </c>
      <c r="Z15" s="64">
        <v>5.4625142133333346</v>
      </c>
      <c r="AA15" s="64">
        <v>5.0744253125000016</v>
      </c>
      <c r="AB15" s="64">
        <v>4.7641907333333346</v>
      </c>
      <c r="AC15" s="64">
        <v>4.4435272700000015</v>
      </c>
      <c r="AD15" s="64">
        <v>4.1718761700000009</v>
      </c>
      <c r="AE15" s="64">
        <v>3.9486045270833343</v>
      </c>
      <c r="AF15" s="64">
        <v>3.7594026666666673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2"/>
  <sheetViews>
    <sheetView topLeftCell="M4" zoomScale="115" zoomScaleNormal="115" workbookViewId="0">
      <selection activeCell="O12" sqref="O12:U12"/>
    </sheetView>
  </sheetViews>
  <sheetFormatPr baseColWidth="10" defaultColWidth="8.7109375" defaultRowHeight="15" x14ac:dyDescent="0.25"/>
  <cols>
    <col min="1" max="1" width="22.28515625" customWidth="1"/>
    <col min="2" max="13" width="10.42578125" customWidth="1"/>
    <col min="14" max="14" width="17.7109375" customWidth="1"/>
    <col min="15" max="1025" width="10.42578125" customWidth="1"/>
  </cols>
  <sheetData>
    <row r="1" spans="1:21" x14ac:dyDescent="0.25">
      <c r="A1" t="s">
        <v>17</v>
      </c>
      <c r="B1" t="s">
        <v>18</v>
      </c>
    </row>
    <row r="2" spans="1:21" x14ac:dyDescent="0.25">
      <c r="A2" t="s">
        <v>19</v>
      </c>
      <c r="B2" t="s">
        <v>20</v>
      </c>
    </row>
    <row r="3" spans="1:21" x14ac:dyDescent="0.25">
      <c r="A3" t="s">
        <v>21</v>
      </c>
      <c r="B3" t="s">
        <v>1</v>
      </c>
    </row>
    <row r="4" spans="1:21" x14ac:dyDescent="0.25">
      <c r="A4" t="s">
        <v>22</v>
      </c>
      <c r="B4" t="s">
        <v>23</v>
      </c>
    </row>
    <row r="5" spans="1:21" x14ac:dyDescent="0.25">
      <c r="A5" t="s">
        <v>24</v>
      </c>
      <c r="B5" t="s">
        <v>25</v>
      </c>
    </row>
    <row r="7" spans="1:21" ht="21" x14ac:dyDescent="0.35">
      <c r="B7" s="69" t="s">
        <v>26</v>
      </c>
      <c r="C7" s="69"/>
      <c r="O7" s="69" t="s">
        <v>6</v>
      </c>
      <c r="P7" s="69"/>
    </row>
    <row r="9" spans="1:21" x14ac:dyDescent="0.25">
      <c r="A9" t="s">
        <v>27</v>
      </c>
    </row>
    <row r="10" spans="1:21" x14ac:dyDescent="0.25">
      <c r="B10" s="11">
        <v>2020</v>
      </c>
      <c r="C10" s="11">
        <f t="shared" ref="C10:H10" si="0">B10+5</f>
        <v>2025</v>
      </c>
      <c r="D10" s="11">
        <f t="shared" si="0"/>
        <v>2030</v>
      </c>
      <c r="E10" s="11">
        <f t="shared" si="0"/>
        <v>2035</v>
      </c>
      <c r="F10" s="11">
        <f t="shared" si="0"/>
        <v>2040</v>
      </c>
      <c r="G10" s="11">
        <f t="shared" si="0"/>
        <v>2045</v>
      </c>
      <c r="H10" s="11">
        <f t="shared" si="0"/>
        <v>2050</v>
      </c>
      <c r="O10" s="11">
        <v>2020</v>
      </c>
      <c r="P10" s="11">
        <f t="shared" ref="P10:U10" si="1">O10+5</f>
        <v>2025</v>
      </c>
      <c r="Q10" s="11">
        <f t="shared" si="1"/>
        <v>2030</v>
      </c>
      <c r="R10" s="11">
        <f t="shared" si="1"/>
        <v>2035</v>
      </c>
      <c r="S10" s="11">
        <f t="shared" si="1"/>
        <v>2040</v>
      </c>
      <c r="T10" s="11">
        <f t="shared" si="1"/>
        <v>2045</v>
      </c>
      <c r="U10" s="11">
        <f t="shared" si="1"/>
        <v>2050</v>
      </c>
    </row>
    <row r="11" spans="1:21" x14ac:dyDescent="0.25">
      <c r="A11" s="11" t="s">
        <v>53</v>
      </c>
      <c r="B11" s="11">
        <v>357</v>
      </c>
      <c r="C11" s="12">
        <v>338.5</v>
      </c>
      <c r="D11" s="12">
        <v>320</v>
      </c>
      <c r="E11" s="12">
        <v>310</v>
      </c>
      <c r="F11" s="12">
        <v>300</v>
      </c>
      <c r="G11" s="12">
        <v>290</v>
      </c>
      <c r="H11" s="12">
        <v>280</v>
      </c>
      <c r="N11" s="11" t="s">
        <v>53</v>
      </c>
      <c r="O11" s="12">
        <v>357</v>
      </c>
      <c r="P11" s="12">
        <v>338.5</v>
      </c>
      <c r="Q11" s="12">
        <v>320</v>
      </c>
      <c r="R11" s="12">
        <v>302.47500000000002</v>
      </c>
      <c r="S11" s="12">
        <v>284.95</v>
      </c>
      <c r="T11" s="12">
        <v>267.42500000000001</v>
      </c>
      <c r="U11" s="12">
        <v>249.9</v>
      </c>
    </row>
    <row r="12" spans="1:21" x14ac:dyDescent="0.25">
      <c r="A12" s="13" t="s">
        <v>29</v>
      </c>
      <c r="B12" s="14">
        <v>65.150087834546284</v>
      </c>
      <c r="C12" s="14">
        <v>65.818451644818211</v>
      </c>
      <c r="D12" s="14">
        <v>66.381694954194302</v>
      </c>
      <c r="E12" s="14">
        <v>66.745840130505712</v>
      </c>
      <c r="F12" s="14">
        <v>66.908551375631674</v>
      </c>
      <c r="G12" s="14">
        <v>66.968284938374765</v>
      </c>
      <c r="H12" s="14">
        <v>66.828310881977941</v>
      </c>
      <c r="N12" s="13" t="s">
        <v>29</v>
      </c>
      <c r="O12" s="14">
        <v>65.320191375337856</v>
      </c>
      <c r="P12" s="14">
        <v>65.867326732673263</v>
      </c>
      <c r="Q12" s="14">
        <v>66.451350457818847</v>
      </c>
      <c r="R12" s="14">
        <v>66.835909090909098</v>
      </c>
      <c r="S12" s="14">
        <v>67.022387828850242</v>
      </c>
      <c r="T12" s="14">
        <v>67.109410500460541</v>
      </c>
      <c r="U12" s="14">
        <v>66.999160784749634</v>
      </c>
    </row>
    <row r="14" spans="1:21" x14ac:dyDescent="0.25">
      <c r="A14" s="15" t="s">
        <v>30</v>
      </c>
      <c r="B14" s="16">
        <f t="shared" ref="B14:H14" si="2">B12*B11/1000</f>
        <v>23.258581356933025</v>
      </c>
      <c r="C14" s="16">
        <f t="shared" si="2"/>
        <v>22.279545881770964</v>
      </c>
      <c r="D14" s="16">
        <f t="shared" si="2"/>
        <v>21.242142385342177</v>
      </c>
      <c r="E14" s="16">
        <f t="shared" si="2"/>
        <v>20.691210440456771</v>
      </c>
      <c r="F14" s="16">
        <f t="shared" si="2"/>
        <v>20.072565412689503</v>
      </c>
      <c r="G14" s="16">
        <f t="shared" si="2"/>
        <v>19.42080263212868</v>
      </c>
      <c r="H14" s="16">
        <f t="shared" si="2"/>
        <v>18.711927046953825</v>
      </c>
      <c r="N14" s="15" t="s">
        <v>30</v>
      </c>
      <c r="O14" s="16">
        <f t="shared" ref="O14:U14" si="3">O12*O11/1000</f>
        <v>23.319308320995614</v>
      </c>
      <c r="P14" s="16">
        <f t="shared" si="3"/>
        <v>22.296090099009898</v>
      </c>
      <c r="Q14" s="16">
        <f t="shared" si="3"/>
        <v>21.264432146502035</v>
      </c>
      <c r="R14" s="16">
        <f t="shared" si="3"/>
        <v>20.21619160227273</v>
      </c>
      <c r="S14" s="16">
        <f t="shared" si="3"/>
        <v>19.098029411830876</v>
      </c>
      <c r="T14" s="16">
        <f t="shared" si="3"/>
        <v>17.946734103085664</v>
      </c>
      <c r="U14" s="16">
        <f t="shared" si="3"/>
        <v>16.743090280108934</v>
      </c>
    </row>
    <row r="17" spans="1:26" x14ac:dyDescent="0.25">
      <c r="A17" s="11"/>
      <c r="B17" s="17" t="s">
        <v>26</v>
      </c>
      <c r="C17" s="11" t="s">
        <v>31</v>
      </c>
      <c r="D17" s="11" t="s">
        <v>32</v>
      </c>
      <c r="E17" s="11" t="s">
        <v>33</v>
      </c>
      <c r="F17" s="11" t="s">
        <v>34</v>
      </c>
      <c r="G17" s="11" t="s">
        <v>35</v>
      </c>
      <c r="H17" s="11" t="s">
        <v>54</v>
      </c>
      <c r="I17" s="11" t="s">
        <v>37</v>
      </c>
      <c r="J17" s="11" t="s">
        <v>38</v>
      </c>
      <c r="K17" s="11" t="s">
        <v>39</v>
      </c>
      <c r="L17" s="11" t="s">
        <v>40</v>
      </c>
      <c r="N17" s="11"/>
      <c r="O17" s="17" t="s">
        <v>6</v>
      </c>
      <c r="P17" s="11" t="s">
        <v>31</v>
      </c>
      <c r="Q17" s="11" t="s">
        <v>32</v>
      </c>
      <c r="R17" s="11" t="s">
        <v>33</v>
      </c>
      <c r="S17" s="11" t="s">
        <v>34</v>
      </c>
      <c r="T17" s="11" t="s">
        <v>35</v>
      </c>
      <c r="U17" s="11" t="s">
        <v>54</v>
      </c>
      <c r="V17" s="11" t="s">
        <v>37</v>
      </c>
      <c r="W17" s="11" t="s">
        <v>38</v>
      </c>
      <c r="X17" s="11" t="s">
        <v>39</v>
      </c>
      <c r="Y17" s="11" t="s">
        <v>40</v>
      </c>
    </row>
    <row r="18" spans="1:26" ht="14.45" customHeight="1" x14ac:dyDescent="0.25">
      <c r="A18" s="70" t="s">
        <v>55</v>
      </c>
      <c r="B18" s="1">
        <v>2020</v>
      </c>
      <c r="C18" s="18">
        <v>0.45519999999999999</v>
      </c>
      <c r="D18" s="18"/>
      <c r="E18" s="18"/>
      <c r="F18" s="18"/>
      <c r="G18" s="18">
        <v>0.18329999999999999</v>
      </c>
      <c r="H18" s="18">
        <v>0.36149999999999999</v>
      </c>
      <c r="I18" s="18"/>
      <c r="J18" s="18"/>
      <c r="K18" s="18"/>
      <c r="L18" s="18"/>
      <c r="N18" s="70" t="s">
        <v>55</v>
      </c>
      <c r="O18" s="1">
        <v>2020</v>
      </c>
      <c r="P18" s="30">
        <v>0.45519999999999999</v>
      </c>
      <c r="Q18" s="30"/>
      <c r="R18" s="30"/>
      <c r="S18" s="30"/>
      <c r="T18" s="30">
        <v>0.18329999999999999</v>
      </c>
      <c r="U18" s="30">
        <v>0.36149999999999999</v>
      </c>
    </row>
    <row r="19" spans="1:26" x14ac:dyDescent="0.25">
      <c r="A19" s="70"/>
      <c r="B19" s="11">
        <f t="shared" ref="B19:B24" si="4">B18+5</f>
        <v>2025</v>
      </c>
      <c r="C19" s="18">
        <v>0.50260000000000005</v>
      </c>
      <c r="D19" s="18"/>
      <c r="E19" s="18"/>
      <c r="F19" s="18"/>
      <c r="G19" s="18">
        <v>0.14165</v>
      </c>
      <c r="H19" s="18">
        <v>0.35575000000000001</v>
      </c>
      <c r="I19" s="18"/>
      <c r="J19" s="18"/>
      <c r="K19" s="18"/>
      <c r="L19" s="18"/>
      <c r="N19" s="70"/>
      <c r="O19" s="11">
        <f t="shared" ref="O19:O24" si="5">O18+5</f>
        <v>2025</v>
      </c>
      <c r="P19" s="30">
        <v>0.61009999999999998</v>
      </c>
      <c r="Q19" s="30"/>
      <c r="R19" s="30"/>
      <c r="S19" s="30"/>
      <c r="T19" s="30">
        <v>0.1091</v>
      </c>
      <c r="U19" s="30">
        <v>0.28075</v>
      </c>
    </row>
    <row r="20" spans="1:26" x14ac:dyDescent="0.25">
      <c r="A20" s="70"/>
      <c r="B20" s="11">
        <f t="shared" si="4"/>
        <v>2030</v>
      </c>
      <c r="C20" s="18">
        <v>0.55000000000000004</v>
      </c>
      <c r="D20" s="18"/>
      <c r="E20" s="18"/>
      <c r="F20" s="18"/>
      <c r="G20" s="18">
        <v>0.1</v>
      </c>
      <c r="H20" s="18">
        <v>0.35</v>
      </c>
      <c r="I20" s="18"/>
      <c r="J20" s="18"/>
      <c r="K20" s="18"/>
      <c r="L20" s="18"/>
      <c r="N20" s="70"/>
      <c r="O20" s="11">
        <f t="shared" si="5"/>
        <v>2030</v>
      </c>
      <c r="P20" s="30">
        <v>0.76500000000000001</v>
      </c>
      <c r="Q20" s="30"/>
      <c r="R20" s="30"/>
      <c r="S20" s="30"/>
      <c r="T20" s="30">
        <v>3.5000000000000003E-2</v>
      </c>
      <c r="U20" s="30">
        <v>0.2</v>
      </c>
    </row>
    <row r="21" spans="1:26" x14ac:dyDescent="0.25">
      <c r="A21" s="70"/>
      <c r="B21" s="11">
        <f t="shared" si="4"/>
        <v>2035</v>
      </c>
      <c r="C21" s="18">
        <v>0.57750000000000001</v>
      </c>
      <c r="D21" s="18"/>
      <c r="E21" s="18"/>
      <c r="F21" s="18"/>
      <c r="G21" s="18">
        <v>8.7499999999999994E-2</v>
      </c>
      <c r="H21" s="18">
        <v>0.33500000000000002</v>
      </c>
      <c r="I21" s="18"/>
      <c r="J21" s="18"/>
      <c r="K21" s="18"/>
      <c r="L21" s="18"/>
      <c r="N21" s="70"/>
      <c r="O21" s="11">
        <f t="shared" si="5"/>
        <v>2035</v>
      </c>
      <c r="P21" s="30">
        <v>0.82499999999999996</v>
      </c>
      <c r="Q21" s="30"/>
      <c r="R21" s="30"/>
      <c r="S21" s="30"/>
      <c r="T21" s="30">
        <v>2.5000000000000001E-2</v>
      </c>
      <c r="U21" s="30">
        <v>0.15</v>
      </c>
    </row>
    <row r="22" spans="1:26" x14ac:dyDescent="0.25">
      <c r="A22" s="70"/>
      <c r="B22" s="11">
        <f t="shared" si="4"/>
        <v>2040</v>
      </c>
      <c r="C22" s="18">
        <v>0.60499999999999998</v>
      </c>
      <c r="D22" s="18"/>
      <c r="E22" s="18"/>
      <c r="F22" s="18"/>
      <c r="G22" s="18">
        <v>7.4999999999999997E-2</v>
      </c>
      <c r="H22" s="18">
        <v>0.32</v>
      </c>
      <c r="I22" s="18"/>
      <c r="J22" s="18"/>
      <c r="K22" s="18"/>
      <c r="L22" s="18"/>
      <c r="N22" s="70"/>
      <c r="O22" s="11">
        <f t="shared" si="5"/>
        <v>2040</v>
      </c>
      <c r="P22" s="30">
        <v>0.88500000000000001</v>
      </c>
      <c r="Q22" s="30"/>
      <c r="R22" s="30"/>
      <c r="S22" s="30"/>
      <c r="T22" s="30">
        <v>1.4999999999999999E-2</v>
      </c>
      <c r="U22" s="30">
        <v>0.1</v>
      </c>
    </row>
    <row r="23" spans="1:26" x14ac:dyDescent="0.25">
      <c r="A23" s="70"/>
      <c r="B23" s="11">
        <f t="shared" si="4"/>
        <v>2045</v>
      </c>
      <c r="C23" s="18">
        <v>0.63249999999999995</v>
      </c>
      <c r="D23" s="18"/>
      <c r="E23" s="18"/>
      <c r="F23" s="18"/>
      <c r="G23" s="18">
        <v>6.25E-2</v>
      </c>
      <c r="H23" s="18">
        <v>0.30499999999999999</v>
      </c>
      <c r="I23" s="18"/>
      <c r="J23" s="18"/>
      <c r="K23" s="18"/>
      <c r="L23" s="18"/>
      <c r="N23" s="70"/>
      <c r="O23" s="11">
        <f t="shared" si="5"/>
        <v>2045</v>
      </c>
      <c r="P23" s="30">
        <v>0.94499999999999995</v>
      </c>
      <c r="Q23" s="30"/>
      <c r="R23" s="30"/>
      <c r="S23" s="30"/>
      <c r="T23" s="30">
        <v>5.0000000000000001E-3</v>
      </c>
      <c r="U23" s="30">
        <v>0.05</v>
      </c>
    </row>
    <row r="24" spans="1:26" x14ac:dyDescent="0.25">
      <c r="A24" s="70"/>
      <c r="B24" s="11">
        <f t="shared" si="4"/>
        <v>2050</v>
      </c>
      <c r="C24" s="18">
        <v>0.66</v>
      </c>
      <c r="D24" s="18"/>
      <c r="E24" s="18"/>
      <c r="F24" s="18"/>
      <c r="G24" s="18">
        <v>0.05</v>
      </c>
      <c r="H24" s="18">
        <v>0.28999999999999998</v>
      </c>
      <c r="I24" s="18"/>
      <c r="J24" s="18"/>
      <c r="K24" s="18"/>
      <c r="L24" s="18"/>
      <c r="N24" s="70"/>
      <c r="O24" s="11">
        <f t="shared" si="5"/>
        <v>2050</v>
      </c>
      <c r="P24" s="30">
        <v>0.99</v>
      </c>
      <c r="Q24" s="30"/>
      <c r="R24" s="30"/>
      <c r="S24" s="30"/>
      <c r="T24" s="30">
        <v>0</v>
      </c>
      <c r="U24" s="30">
        <v>0.01</v>
      </c>
      <c r="Z24" t="s">
        <v>96</v>
      </c>
    </row>
    <row r="26" spans="1:26" ht="14.45" customHeight="1" x14ac:dyDescent="0.25">
      <c r="A26" s="70" t="s">
        <v>56</v>
      </c>
      <c r="B26" s="1">
        <v>2020</v>
      </c>
      <c r="C26" s="20">
        <f t="shared" ref="C26:H26" si="6">$B14*C18</f>
        <v>10.587306233675912</v>
      </c>
      <c r="D26" s="20">
        <f t="shared" si="6"/>
        <v>0</v>
      </c>
      <c r="E26" s="20">
        <f t="shared" si="6"/>
        <v>0</v>
      </c>
      <c r="F26" s="20">
        <f t="shared" si="6"/>
        <v>0</v>
      </c>
      <c r="G26" s="20">
        <f t="shared" si="6"/>
        <v>4.2632979627258232</v>
      </c>
      <c r="H26" s="20">
        <f t="shared" si="6"/>
        <v>8.4079771605312885</v>
      </c>
      <c r="N26" s="70" t="s">
        <v>56</v>
      </c>
      <c r="O26" s="1">
        <v>2020</v>
      </c>
      <c r="P26" s="20">
        <f>$O14*P18</f>
        <v>10.614949147717203</v>
      </c>
      <c r="Q26" s="20"/>
      <c r="R26" s="20"/>
      <c r="S26" s="20"/>
      <c r="T26" s="20">
        <f>$O14*T18</f>
        <v>4.2744292152384959</v>
      </c>
      <c r="U26" s="20">
        <f>$O14*U18</f>
        <v>8.4299299580399136</v>
      </c>
    </row>
    <row r="27" spans="1:26" x14ac:dyDescent="0.25">
      <c r="A27" s="70"/>
      <c r="B27" s="11">
        <f t="shared" ref="B27:B32" si="7">B26+5</f>
        <v>2025</v>
      </c>
      <c r="C27" s="20">
        <f t="shared" ref="C27:H27" si="8">$C14*C19</f>
        <v>11.197699760178088</v>
      </c>
      <c r="D27" s="20">
        <f t="shared" si="8"/>
        <v>0</v>
      </c>
      <c r="E27" s="20">
        <f t="shared" si="8"/>
        <v>0</v>
      </c>
      <c r="F27" s="20">
        <f t="shared" si="8"/>
        <v>0</v>
      </c>
      <c r="G27" s="20">
        <f t="shared" si="8"/>
        <v>3.155897674152857</v>
      </c>
      <c r="H27" s="20">
        <f t="shared" si="8"/>
        <v>7.925948447440021</v>
      </c>
      <c r="N27" s="70"/>
      <c r="O27" s="11">
        <f t="shared" ref="O27:O32" si="9">O26+5</f>
        <v>2025</v>
      </c>
      <c r="P27" s="20">
        <f>$P14*P19</f>
        <v>13.602844569405939</v>
      </c>
      <c r="Q27" s="20"/>
      <c r="R27" s="20"/>
      <c r="S27" s="20"/>
      <c r="T27" s="20">
        <f>$P14*T19</f>
        <v>2.4325034298019799</v>
      </c>
      <c r="U27" s="20">
        <f>$P14*U19</f>
        <v>6.2596272952970287</v>
      </c>
    </row>
    <row r="28" spans="1:26" x14ac:dyDescent="0.25">
      <c r="A28" s="70"/>
      <c r="B28" s="11">
        <f t="shared" si="7"/>
        <v>2030</v>
      </c>
      <c r="C28" s="20">
        <f t="shared" ref="C28:H28" si="10">$D14*C20</f>
        <v>11.683178311938198</v>
      </c>
      <c r="D28" s="20">
        <f t="shared" si="10"/>
        <v>0</v>
      </c>
      <c r="E28" s="20">
        <f t="shared" si="10"/>
        <v>0</v>
      </c>
      <c r="F28" s="20">
        <f t="shared" si="10"/>
        <v>0</v>
      </c>
      <c r="G28" s="20">
        <f t="shared" si="10"/>
        <v>2.124214238534218</v>
      </c>
      <c r="H28" s="20">
        <f t="shared" si="10"/>
        <v>7.4347498348697618</v>
      </c>
      <c r="N28" s="70"/>
      <c r="O28" s="11">
        <f t="shared" si="9"/>
        <v>2030</v>
      </c>
      <c r="P28" s="20">
        <f>$Q14*P20</f>
        <v>16.267290592074058</v>
      </c>
      <c r="Q28" s="20"/>
      <c r="R28" s="20"/>
      <c r="S28" s="20"/>
      <c r="T28" s="20">
        <f>$Q14*T20</f>
        <v>0.7442551251275713</v>
      </c>
      <c r="U28" s="20">
        <f>$Q14*U20</f>
        <v>4.2528864293004069</v>
      </c>
    </row>
    <row r="29" spans="1:26" x14ac:dyDescent="0.25">
      <c r="A29" s="70"/>
      <c r="B29" s="11">
        <f t="shared" si="7"/>
        <v>2035</v>
      </c>
      <c r="C29" s="20">
        <f t="shared" ref="C29:H29" si="11">$E14*C21</f>
        <v>11.949174029363785</v>
      </c>
      <c r="D29" s="20">
        <f t="shared" si="11"/>
        <v>0</v>
      </c>
      <c r="E29" s="20">
        <f t="shared" si="11"/>
        <v>0</v>
      </c>
      <c r="F29" s="20">
        <f t="shared" si="11"/>
        <v>0</v>
      </c>
      <c r="G29" s="20">
        <f t="shared" si="11"/>
        <v>1.8104809135399673</v>
      </c>
      <c r="H29" s="20">
        <f t="shared" si="11"/>
        <v>6.9315554975530187</v>
      </c>
      <c r="N29" s="70"/>
      <c r="O29" s="11">
        <f t="shared" si="9"/>
        <v>2035</v>
      </c>
      <c r="P29" s="20">
        <f>$R14*P21</f>
        <v>16.678358071875</v>
      </c>
      <c r="Q29" s="20"/>
      <c r="R29" s="20"/>
      <c r="S29" s="20"/>
      <c r="T29" s="20">
        <f>$R14*T21</f>
        <v>0.50540479005681826</v>
      </c>
      <c r="U29" s="20">
        <f>$R14*U21</f>
        <v>3.0324287403409094</v>
      </c>
    </row>
    <row r="30" spans="1:26" x14ac:dyDescent="0.25">
      <c r="A30" s="70"/>
      <c r="B30" s="11">
        <f t="shared" si="7"/>
        <v>2040</v>
      </c>
      <c r="C30" s="20">
        <f t="shared" ref="C30:H30" si="12">$F14*C22</f>
        <v>12.143902074677149</v>
      </c>
      <c r="D30" s="20">
        <f t="shared" si="12"/>
        <v>0</v>
      </c>
      <c r="E30" s="20">
        <f t="shared" si="12"/>
        <v>0</v>
      </c>
      <c r="F30" s="20">
        <f t="shared" si="12"/>
        <v>0</v>
      </c>
      <c r="G30" s="20">
        <f t="shared" si="12"/>
        <v>1.5054424059517126</v>
      </c>
      <c r="H30" s="20">
        <f t="shared" si="12"/>
        <v>6.4232209320606408</v>
      </c>
      <c r="N30" s="70"/>
      <c r="O30" s="11">
        <f t="shared" si="9"/>
        <v>2040</v>
      </c>
      <c r="P30" s="20">
        <f>$S14*P22</f>
        <v>16.901756029470324</v>
      </c>
      <c r="Q30" s="20"/>
      <c r="R30" s="20"/>
      <c r="S30" s="20"/>
      <c r="T30" s="20">
        <f>$S14*T22</f>
        <v>0.28647044117746312</v>
      </c>
      <c r="U30" s="20">
        <f>$S14*U22</f>
        <v>1.9098029411830877</v>
      </c>
    </row>
    <row r="31" spans="1:26" x14ac:dyDescent="0.25">
      <c r="A31" s="70"/>
      <c r="B31" s="11">
        <f t="shared" si="7"/>
        <v>2045</v>
      </c>
      <c r="C31" s="20">
        <f t="shared" ref="C31:H31" si="13">$G14*C23</f>
        <v>12.283657664821389</v>
      </c>
      <c r="D31" s="20">
        <f t="shared" si="13"/>
        <v>0</v>
      </c>
      <c r="E31" s="20">
        <f t="shared" si="13"/>
        <v>0</v>
      </c>
      <c r="F31" s="20">
        <f t="shared" si="13"/>
        <v>0</v>
      </c>
      <c r="G31" s="20">
        <f t="shared" si="13"/>
        <v>1.2138001645080425</v>
      </c>
      <c r="H31" s="20">
        <f t="shared" si="13"/>
        <v>5.9233448027992477</v>
      </c>
      <c r="N31" s="70"/>
      <c r="O31" s="11">
        <f t="shared" si="9"/>
        <v>2045</v>
      </c>
      <c r="P31" s="20">
        <f>$T14*P23</f>
        <v>16.959663727415951</v>
      </c>
      <c r="Q31" s="20"/>
      <c r="R31" s="20"/>
      <c r="S31" s="20"/>
      <c r="T31" s="20">
        <f>$T14*T23</f>
        <v>8.9733670515428327E-2</v>
      </c>
      <c r="U31" s="20">
        <f>$T14*U23</f>
        <v>0.89733670515428321</v>
      </c>
    </row>
    <row r="32" spans="1:26" x14ac:dyDescent="0.25">
      <c r="A32" s="70"/>
      <c r="B32" s="11">
        <f t="shared" si="7"/>
        <v>2050</v>
      </c>
      <c r="C32" s="20">
        <f t="shared" ref="C32:H32" si="14">$H14*C24</f>
        <v>12.349871850989524</v>
      </c>
      <c r="D32" s="20">
        <f t="shared" si="14"/>
        <v>0</v>
      </c>
      <c r="E32" s="20">
        <f t="shared" si="14"/>
        <v>0</v>
      </c>
      <c r="F32" s="20">
        <f t="shared" si="14"/>
        <v>0</v>
      </c>
      <c r="G32" s="20">
        <f t="shared" si="14"/>
        <v>0.93559635234769134</v>
      </c>
      <c r="H32" s="20">
        <f t="shared" si="14"/>
        <v>5.4264588436166088</v>
      </c>
      <c r="N32" s="70"/>
      <c r="O32" s="11">
        <f t="shared" si="9"/>
        <v>2050</v>
      </c>
      <c r="P32" s="20">
        <f>$U14*P24</f>
        <v>16.575659377307844</v>
      </c>
      <c r="Q32" s="20"/>
      <c r="R32" s="20"/>
      <c r="S32" s="20"/>
      <c r="T32" s="20">
        <f>$U14*T24</f>
        <v>0</v>
      </c>
      <c r="U32" s="20">
        <f>$U14*U24</f>
        <v>0.16743090280108935</v>
      </c>
    </row>
    <row r="34" spans="1:19" x14ac:dyDescent="0.25">
      <c r="A34" t="s">
        <v>45</v>
      </c>
    </row>
    <row r="36" spans="1:19" x14ac:dyDescent="0.25">
      <c r="A36" t="s">
        <v>46</v>
      </c>
      <c r="B36" s="22" t="s">
        <v>47</v>
      </c>
      <c r="C36" s="22">
        <v>2020</v>
      </c>
      <c r="D36" s="22">
        <v>2030</v>
      </c>
      <c r="E36" s="22">
        <v>2040</v>
      </c>
      <c r="F36" s="22">
        <v>2050</v>
      </c>
      <c r="N36" t="s">
        <v>46</v>
      </c>
      <c r="O36" s="22" t="s">
        <v>47</v>
      </c>
      <c r="P36" s="22">
        <v>2020</v>
      </c>
      <c r="Q36" s="22">
        <v>2030</v>
      </c>
      <c r="R36" s="22">
        <v>2040</v>
      </c>
      <c r="S36" s="22">
        <v>2050</v>
      </c>
    </row>
    <row r="37" spans="1:19" x14ac:dyDescent="0.25">
      <c r="A37" s="31" t="s">
        <v>36</v>
      </c>
      <c r="B37" s="32">
        <v>179</v>
      </c>
      <c r="C37" s="33">
        <v>204.64994394618799</v>
      </c>
      <c r="D37" s="33">
        <v>218.82952730021199</v>
      </c>
      <c r="E37" s="33">
        <v>211.893433360431</v>
      </c>
      <c r="F37" s="33">
        <v>196.21036998546299</v>
      </c>
      <c r="N37" s="31" t="s">
        <v>36</v>
      </c>
      <c r="O37" s="32">
        <v>179</v>
      </c>
      <c r="P37" s="33">
        <v>204.64994394618799</v>
      </c>
      <c r="Q37" s="33">
        <v>133.82759749575499</v>
      </c>
      <c r="R37" s="33">
        <v>116.82427049169</v>
      </c>
      <c r="S37" s="33">
        <v>98.810464928154801</v>
      </c>
    </row>
    <row r="38" spans="1:19" x14ac:dyDescent="0.25">
      <c r="A38" s="31" t="s">
        <v>50</v>
      </c>
      <c r="B38" s="32">
        <v>286</v>
      </c>
      <c r="C38" s="33">
        <v>246.991311659193</v>
      </c>
      <c r="D38" s="33">
        <v>161.74356365667899</v>
      </c>
      <c r="E38" s="33">
        <v>90.811471440184704</v>
      </c>
      <c r="F38" s="33">
        <v>61.961169469093697</v>
      </c>
      <c r="N38" s="31" t="s">
        <v>50</v>
      </c>
      <c r="O38" s="32">
        <v>286</v>
      </c>
      <c r="P38" s="33">
        <v>246.991311659193</v>
      </c>
      <c r="Q38" s="33">
        <v>47.233269704384099</v>
      </c>
      <c r="R38" s="33">
        <v>21.9045507171918</v>
      </c>
      <c r="S38" s="33">
        <v>13.1747286570873</v>
      </c>
    </row>
    <row r="39" spans="1:19" x14ac:dyDescent="0.25">
      <c r="A39" s="31" t="s">
        <v>31</v>
      </c>
      <c r="B39" s="32">
        <v>371</v>
      </c>
      <c r="C39" s="33">
        <v>389.13733183856499</v>
      </c>
      <c r="D39" s="33">
        <v>570.85963643533705</v>
      </c>
      <c r="E39" s="33">
        <v>706.31144453476998</v>
      </c>
      <c r="F39" s="33">
        <v>774.51461836367105</v>
      </c>
      <c r="N39" s="31" t="s">
        <v>31</v>
      </c>
      <c r="O39" s="32">
        <v>371</v>
      </c>
      <c r="P39" s="33">
        <v>389.13733183856499</v>
      </c>
      <c r="Q39" s="33">
        <v>606.16029453959595</v>
      </c>
      <c r="R39" s="33">
        <v>591.42286936417895</v>
      </c>
      <c r="S39" s="33">
        <v>546.75123926912295</v>
      </c>
    </row>
    <row r="40" spans="1:19" x14ac:dyDescent="0.25">
      <c r="A40" s="34" t="s">
        <v>51</v>
      </c>
      <c r="B40">
        <f>SUM(B37:B39)/1000</f>
        <v>0.83599999999999997</v>
      </c>
      <c r="C40">
        <f>SUM(C37:C39)/1000</f>
        <v>0.84077858744394596</v>
      </c>
      <c r="D40">
        <f>SUM(D37:D39)/1000</f>
        <v>0.95143272739222795</v>
      </c>
      <c r="E40">
        <f>SUM(E37:E39)/1000</f>
        <v>1.0090163493353856</v>
      </c>
      <c r="F40">
        <f>SUM(F37:F39)/1000</f>
        <v>1.0326861578182276</v>
      </c>
      <c r="N40" s="34" t="s">
        <v>51</v>
      </c>
      <c r="O40">
        <f>SUM(O37:O39)/1000</f>
        <v>0.83599999999999997</v>
      </c>
      <c r="P40">
        <f>SUM(P37:P39)/1000</f>
        <v>0.84077858744394596</v>
      </c>
      <c r="Q40">
        <f>SUM(Q37:Q39)/1000</f>
        <v>0.78722116173973511</v>
      </c>
      <c r="R40">
        <f>SUM(R37:R39)/1000</f>
        <v>0.73015169057306073</v>
      </c>
      <c r="S40">
        <f>SUM(S37:S39)/1000</f>
        <v>0.65873643285436501</v>
      </c>
    </row>
    <row r="42" spans="1:19" x14ac:dyDescent="0.25">
      <c r="A42" t="s">
        <v>52</v>
      </c>
    </row>
  </sheetData>
  <mergeCells count="6">
    <mergeCell ref="B7:C7"/>
    <mergeCell ref="O7:P7"/>
    <mergeCell ref="A18:A24"/>
    <mergeCell ref="N18:N24"/>
    <mergeCell ref="A26:A32"/>
    <mergeCell ref="N26:N32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4"/>
  <sheetViews>
    <sheetView topLeftCell="M1" zoomScale="110" zoomScaleNormal="110" workbookViewId="0">
      <selection activeCell="V18" sqref="V18"/>
    </sheetView>
  </sheetViews>
  <sheetFormatPr baseColWidth="10" defaultColWidth="8.7109375" defaultRowHeight="15" x14ac:dyDescent="0.25"/>
  <cols>
    <col min="1" max="1" width="22.7109375" customWidth="1"/>
    <col min="2" max="1025" width="10.42578125" customWidth="1"/>
  </cols>
  <sheetData>
    <row r="1" spans="1:22" x14ac:dyDescent="0.25">
      <c r="A1" t="s">
        <v>17</v>
      </c>
      <c r="B1" t="s">
        <v>18</v>
      </c>
    </row>
    <row r="2" spans="1:22" x14ac:dyDescent="0.25">
      <c r="A2" t="s">
        <v>19</v>
      </c>
      <c r="B2" t="s">
        <v>57</v>
      </c>
    </row>
    <row r="3" spans="1:22" x14ac:dyDescent="0.25">
      <c r="A3" t="s">
        <v>21</v>
      </c>
      <c r="B3" t="s">
        <v>1</v>
      </c>
    </row>
    <row r="4" spans="1:22" x14ac:dyDescent="0.25">
      <c r="A4" t="s">
        <v>22</v>
      </c>
      <c r="B4" t="s">
        <v>23</v>
      </c>
    </row>
    <row r="5" spans="1:22" x14ac:dyDescent="0.25">
      <c r="A5" t="s">
        <v>24</v>
      </c>
      <c r="B5" t="s">
        <v>25</v>
      </c>
    </row>
    <row r="7" spans="1:22" ht="21" x14ac:dyDescent="0.35">
      <c r="B7" s="69" t="s">
        <v>26</v>
      </c>
      <c r="C7" s="69"/>
      <c r="O7" s="69" t="s">
        <v>6</v>
      </c>
      <c r="P7" s="69"/>
    </row>
    <row r="11" spans="1:22" x14ac:dyDescent="0.25">
      <c r="B11" s="35">
        <v>2020</v>
      </c>
      <c r="C11" s="35">
        <f t="shared" ref="C11:H11" si="0">B11+5</f>
        <v>2025</v>
      </c>
      <c r="D11" s="35">
        <f t="shared" si="0"/>
        <v>2030</v>
      </c>
      <c r="E11" s="35">
        <f t="shared" si="0"/>
        <v>2035</v>
      </c>
      <c r="F11" s="35">
        <f t="shared" si="0"/>
        <v>2040</v>
      </c>
      <c r="G11" s="35">
        <f t="shared" si="0"/>
        <v>2045</v>
      </c>
      <c r="H11" s="35">
        <f t="shared" si="0"/>
        <v>2050</v>
      </c>
      <c r="O11" s="36">
        <v>2020</v>
      </c>
      <c r="P11" s="36">
        <f t="shared" ref="P11:U11" si="1">O11+5</f>
        <v>2025</v>
      </c>
      <c r="Q11" s="36">
        <f t="shared" si="1"/>
        <v>2030</v>
      </c>
      <c r="R11" s="36">
        <f t="shared" si="1"/>
        <v>2035</v>
      </c>
      <c r="S11" s="36">
        <f t="shared" si="1"/>
        <v>2040</v>
      </c>
      <c r="T11" s="36">
        <f t="shared" si="1"/>
        <v>2045</v>
      </c>
      <c r="U11" s="36">
        <f t="shared" si="1"/>
        <v>2050</v>
      </c>
    </row>
    <row r="12" spans="1:22" x14ac:dyDescent="0.25">
      <c r="A12" s="37" t="s">
        <v>58</v>
      </c>
      <c r="B12" s="35">
        <v>1090</v>
      </c>
      <c r="C12" s="38">
        <v>1095</v>
      </c>
      <c r="D12" s="38">
        <v>1100</v>
      </c>
      <c r="E12" s="38">
        <v>1112.5</v>
      </c>
      <c r="F12" s="38">
        <v>1125</v>
      </c>
      <c r="G12" s="38">
        <v>1137.5</v>
      </c>
      <c r="H12" s="38">
        <v>1150</v>
      </c>
      <c r="N12" s="35" t="s">
        <v>58</v>
      </c>
      <c r="O12" s="38">
        <v>1090</v>
      </c>
      <c r="P12" s="38">
        <v>1025</v>
      </c>
      <c r="Q12" s="38">
        <v>960</v>
      </c>
      <c r="R12" s="38">
        <v>883.5</v>
      </c>
      <c r="S12" s="38">
        <v>807</v>
      </c>
      <c r="T12" s="38">
        <v>730.5</v>
      </c>
      <c r="U12" s="38">
        <v>654</v>
      </c>
      <c r="V12" s="83">
        <f>U12/O12-1</f>
        <v>-0.4</v>
      </c>
    </row>
    <row r="13" spans="1:22" x14ac:dyDescent="0.25">
      <c r="A13" s="13" t="s">
        <v>29</v>
      </c>
      <c r="B13" s="14">
        <v>65.150087834546284</v>
      </c>
      <c r="C13" s="14">
        <v>65.818451644818211</v>
      </c>
      <c r="D13" s="14">
        <v>66.381694954194302</v>
      </c>
      <c r="E13" s="14">
        <v>66.745840130505712</v>
      </c>
      <c r="F13" s="14">
        <v>66.908551375631674</v>
      </c>
      <c r="G13" s="14">
        <v>66.968284938374765</v>
      </c>
      <c r="H13" s="14">
        <v>66.828310881977941</v>
      </c>
      <c r="N13" s="35" t="s">
        <v>29</v>
      </c>
      <c r="O13" s="14">
        <v>65.320191375337856</v>
      </c>
      <c r="P13" s="14">
        <v>65.867326732673263</v>
      </c>
      <c r="Q13" s="14">
        <v>66.451350457818847</v>
      </c>
      <c r="R13" s="14">
        <v>66.835909090909098</v>
      </c>
      <c r="S13" s="14">
        <v>67.022387828850242</v>
      </c>
      <c r="T13" s="14">
        <v>67.109410500460541</v>
      </c>
      <c r="U13" s="14">
        <v>66.999160784749634</v>
      </c>
    </row>
    <row r="14" spans="1:22" x14ac:dyDescent="0.25">
      <c r="N14" t="s">
        <v>97</v>
      </c>
      <c r="O14" s="86">
        <v>18</v>
      </c>
      <c r="P14">
        <v>17.5</v>
      </c>
      <c r="Q14">
        <v>17</v>
      </c>
      <c r="R14">
        <v>17</v>
      </c>
      <c r="S14">
        <v>17</v>
      </c>
      <c r="T14">
        <v>17</v>
      </c>
      <c r="U14">
        <v>17</v>
      </c>
    </row>
    <row r="15" spans="1:22" x14ac:dyDescent="0.25">
      <c r="A15" s="15" t="s">
        <v>30</v>
      </c>
      <c r="B15" s="16">
        <f t="shared" ref="B15:H15" si="2">B13*B12/1000</f>
        <v>71.013595739655443</v>
      </c>
      <c r="C15" s="16">
        <f t="shared" si="2"/>
        <v>72.071204551075937</v>
      </c>
      <c r="D15" s="16">
        <f t="shared" si="2"/>
        <v>73.019864449613721</v>
      </c>
      <c r="E15" s="16">
        <f t="shared" si="2"/>
        <v>74.254747145187608</v>
      </c>
      <c r="F15" s="16">
        <f t="shared" si="2"/>
        <v>75.27212029758563</v>
      </c>
      <c r="G15" s="16">
        <f t="shared" si="2"/>
        <v>76.176424117401297</v>
      </c>
      <c r="H15" s="16">
        <f t="shared" si="2"/>
        <v>76.852557514274636</v>
      </c>
      <c r="N15" t="s">
        <v>98</v>
      </c>
      <c r="O15" s="2">
        <f>O14*10^12/(O13*10^6)/1000</f>
        <v>275.56563477546763</v>
      </c>
      <c r="P15" s="2">
        <f t="shared" ref="P15:U15" si="3">P14*10^12/(P13*10^6)/1000</f>
        <v>265.68559660884466</v>
      </c>
      <c r="Q15" s="2">
        <f t="shared" si="3"/>
        <v>255.82625308406705</v>
      </c>
      <c r="R15" s="2">
        <f t="shared" si="3"/>
        <v>254.35428695788187</v>
      </c>
      <c r="S15" s="2">
        <f t="shared" si="3"/>
        <v>253.64658811338612</v>
      </c>
      <c r="T15" s="2">
        <f t="shared" si="3"/>
        <v>253.31767740506882</v>
      </c>
      <c r="U15" s="2">
        <f t="shared" si="3"/>
        <v>253.73452146089485</v>
      </c>
    </row>
    <row r="16" spans="1:22" x14ac:dyDescent="0.25">
      <c r="N16" t="s">
        <v>99</v>
      </c>
      <c r="O16" s="2">
        <f>O12-O15</f>
        <v>814.43436522453237</v>
      </c>
      <c r="P16" s="87">
        <f>O16+($U$16-$O$16)/6</f>
        <v>760.13874087623026</v>
      </c>
      <c r="Q16" s="87">
        <f t="shared" ref="Q16:T16" si="4">P16+($U$16-$O$16)/6</f>
        <v>705.84311652792815</v>
      </c>
      <c r="R16" s="87">
        <f t="shared" si="4"/>
        <v>651.54749217962603</v>
      </c>
      <c r="S16" s="87">
        <f t="shared" si="4"/>
        <v>597.25186783132392</v>
      </c>
      <c r="T16" s="87">
        <f t="shared" si="4"/>
        <v>542.95624348302181</v>
      </c>
      <c r="U16" s="2">
        <f>O16*(1+V12)</f>
        <v>488.66061913471941</v>
      </c>
    </row>
    <row r="18" spans="1:21" x14ac:dyDescent="0.25">
      <c r="A18" t="s">
        <v>45</v>
      </c>
      <c r="N18" s="15" t="s">
        <v>30</v>
      </c>
      <c r="O18" s="16">
        <f>(O16+O15)*O13/1000</f>
        <v>71.199008599118258</v>
      </c>
      <c r="P18" s="16">
        <f t="shared" ref="P18:U18" si="5">(P16+P15)*P13/1000</f>
        <v>67.568306807457517</v>
      </c>
      <c r="Q18" s="16">
        <f t="shared" si="5"/>
        <v>63.904228304636419</v>
      </c>
      <c r="R18" s="16">
        <f t="shared" si="5"/>
        <v>60.546768955727288</v>
      </c>
      <c r="S18" s="16">
        <f t="shared" si="5"/>
        <v>57.029246317296192</v>
      </c>
      <c r="T18" s="16">
        <f t="shared" si="5"/>
        <v>53.437473427690115</v>
      </c>
      <c r="U18" s="16">
        <f t="shared" si="5"/>
        <v>49.739851390582373</v>
      </c>
    </row>
    <row r="19" spans="1:21" x14ac:dyDescent="0.25">
      <c r="B19" s="22" t="s">
        <v>47</v>
      </c>
      <c r="C19" s="22">
        <v>2020</v>
      </c>
      <c r="D19" s="22">
        <v>2030</v>
      </c>
      <c r="E19" s="22">
        <v>2040</v>
      </c>
      <c r="F19" s="22">
        <v>2050</v>
      </c>
    </row>
    <row r="20" spans="1:21" x14ac:dyDescent="0.25">
      <c r="A20" s="39" t="s">
        <v>59</v>
      </c>
      <c r="B20" s="40">
        <v>2553</v>
      </c>
      <c r="C20" s="41">
        <v>2607.0184977578501</v>
      </c>
      <c r="D20" s="41">
        <v>3113.45471059584</v>
      </c>
      <c r="E20" s="41">
        <v>3488.8120292609301</v>
      </c>
      <c r="F20" s="41">
        <v>3777.7230678250698</v>
      </c>
    </row>
    <row r="21" spans="1:21" x14ac:dyDescent="0.25">
      <c r="A21" t="s">
        <v>51</v>
      </c>
      <c r="B21">
        <f>B20/1000</f>
        <v>2.5529999999999999</v>
      </c>
      <c r="C21">
        <f>C20/1000</f>
        <v>2.6070184977578501</v>
      </c>
      <c r="D21">
        <f>D20/1000</f>
        <v>3.1134547105958399</v>
      </c>
      <c r="E21">
        <f>E20/1000</f>
        <v>3.4888120292609299</v>
      </c>
      <c r="F21">
        <f>F20/1000</f>
        <v>3.7777230678250699</v>
      </c>
    </row>
    <row r="22" spans="1:21" x14ac:dyDescent="0.25">
      <c r="O22" s="22" t="s">
        <v>47</v>
      </c>
      <c r="P22" s="22">
        <v>2020</v>
      </c>
      <c r="Q22" s="22">
        <v>2030</v>
      </c>
      <c r="R22" s="22">
        <v>2040</v>
      </c>
      <c r="S22" s="22">
        <v>2050</v>
      </c>
    </row>
    <row r="23" spans="1:21" x14ac:dyDescent="0.25">
      <c r="A23" t="s">
        <v>52</v>
      </c>
      <c r="N23" s="39" t="s">
        <v>59</v>
      </c>
      <c r="O23" s="40">
        <v>2553</v>
      </c>
      <c r="P23" s="41">
        <v>2607.0184977578501</v>
      </c>
      <c r="Q23" s="41">
        <v>2308.54020869134</v>
      </c>
      <c r="R23" s="41">
        <v>1993.7051222176201</v>
      </c>
      <c r="S23" s="41">
        <v>1635.94514431589</v>
      </c>
    </row>
    <row r="24" spans="1:21" x14ac:dyDescent="0.25">
      <c r="N24" t="s">
        <v>51</v>
      </c>
      <c r="O24">
        <f>O23/1000</f>
        <v>2.5529999999999999</v>
      </c>
      <c r="P24">
        <f>P23/1000</f>
        <v>2.6070184977578501</v>
      </c>
      <c r="Q24">
        <f>Q23/1000</f>
        <v>2.30854020869134</v>
      </c>
      <c r="R24">
        <f>R23/1000</f>
        <v>1.9937051222176201</v>
      </c>
      <c r="S24">
        <f>S23/1000</f>
        <v>1.6359451443158901</v>
      </c>
    </row>
  </sheetData>
  <mergeCells count="2">
    <mergeCell ref="B7:C7"/>
    <mergeCell ref="O7:P7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1"/>
  <sheetViews>
    <sheetView tabSelected="1" topLeftCell="J1" zoomScaleNormal="100" workbookViewId="0">
      <selection activeCell="W6" sqref="W6"/>
    </sheetView>
  </sheetViews>
  <sheetFormatPr baseColWidth="10" defaultColWidth="8.7109375" defaultRowHeight="15" x14ac:dyDescent="0.25"/>
  <cols>
    <col min="1" max="1" width="22.140625" customWidth="1"/>
    <col min="2" max="15" width="8.7109375" customWidth="1"/>
    <col min="16" max="16" width="13" customWidth="1"/>
    <col min="17" max="1025" width="8.7109375" customWidth="1"/>
  </cols>
  <sheetData>
    <row r="1" spans="1:22" x14ac:dyDescent="0.25">
      <c r="A1" t="s">
        <v>17</v>
      </c>
      <c r="B1" t="s">
        <v>18</v>
      </c>
    </row>
    <row r="2" spans="1:22" x14ac:dyDescent="0.25">
      <c r="A2" t="s">
        <v>19</v>
      </c>
      <c r="B2" t="s">
        <v>20</v>
      </c>
    </row>
    <row r="3" spans="1:22" x14ac:dyDescent="0.25">
      <c r="A3" t="s">
        <v>21</v>
      </c>
      <c r="B3" t="s">
        <v>1</v>
      </c>
    </row>
    <row r="4" spans="1:22" x14ac:dyDescent="0.25">
      <c r="A4" t="s">
        <v>22</v>
      </c>
      <c r="B4" t="s">
        <v>23</v>
      </c>
    </row>
    <row r="5" spans="1:22" x14ac:dyDescent="0.25">
      <c r="A5" t="s">
        <v>24</v>
      </c>
      <c r="B5" t="s">
        <v>25</v>
      </c>
    </row>
    <row r="7" spans="1:22" ht="21" x14ac:dyDescent="0.35">
      <c r="B7" s="69" t="s">
        <v>26</v>
      </c>
      <c r="C7" s="69"/>
      <c r="O7" s="69" t="s">
        <v>6</v>
      </c>
      <c r="P7" s="69"/>
    </row>
    <row r="9" spans="1:22" x14ac:dyDescent="0.25">
      <c r="B9" t="s">
        <v>79</v>
      </c>
      <c r="O9" t="s">
        <v>78</v>
      </c>
    </row>
    <row r="10" spans="1:22" ht="15.75" thickBot="1" x14ac:dyDescent="0.3"/>
    <row r="11" spans="1:22" x14ac:dyDescent="0.25">
      <c r="B11" s="46" t="s">
        <v>60</v>
      </c>
      <c r="C11" s="47"/>
      <c r="D11" s="48">
        <v>2006</v>
      </c>
      <c r="E11" s="48">
        <v>2015</v>
      </c>
      <c r="F11" s="48">
        <v>2020</v>
      </c>
      <c r="G11" s="48">
        <v>2030</v>
      </c>
      <c r="H11" s="48">
        <v>2040</v>
      </c>
      <c r="I11" s="49">
        <v>2050</v>
      </c>
      <c r="O11" s="42" t="s">
        <v>60</v>
      </c>
      <c r="P11" s="43"/>
      <c r="Q11" s="44">
        <v>2006</v>
      </c>
      <c r="R11" s="44">
        <v>2015</v>
      </c>
      <c r="S11" s="44">
        <v>2020</v>
      </c>
      <c r="T11" s="44">
        <v>2030</v>
      </c>
      <c r="U11" s="44">
        <v>2040</v>
      </c>
      <c r="V11" s="45">
        <v>2050</v>
      </c>
    </row>
    <row r="12" spans="1:22" x14ac:dyDescent="0.25">
      <c r="B12" s="50" t="s">
        <v>61</v>
      </c>
      <c r="C12" s="51"/>
      <c r="D12" s="52">
        <f t="shared" ref="D12:E12" si="0">AJ2/1000</f>
        <v>0</v>
      </c>
      <c r="E12" s="52">
        <f t="shared" si="0"/>
        <v>0</v>
      </c>
      <c r="F12" s="52">
        <v>0.48294132952860341</v>
      </c>
      <c r="G12" s="52">
        <v>0.86142404343059853</v>
      </c>
      <c r="H12" s="52">
        <v>1.1306026738842874</v>
      </c>
      <c r="I12" s="53">
        <v>1.7629826812711777</v>
      </c>
      <c r="O12" s="89" t="s">
        <v>61</v>
      </c>
      <c r="P12" s="88"/>
      <c r="Q12" s="97">
        <v>0</v>
      </c>
      <c r="R12" s="97">
        <v>0</v>
      </c>
      <c r="S12" s="97">
        <v>0.12134029168889195</v>
      </c>
      <c r="T12" s="97">
        <v>0.11410521043491346</v>
      </c>
      <c r="U12" s="97">
        <v>0.18983819783766936</v>
      </c>
      <c r="V12" s="100">
        <v>0.35185059961458731</v>
      </c>
    </row>
    <row r="13" spans="1:22" x14ac:dyDescent="0.25">
      <c r="B13" s="54" t="s">
        <v>62</v>
      </c>
      <c r="C13" s="55"/>
      <c r="D13" s="56">
        <f t="shared" ref="D13:E13" si="1">AT2/1000</f>
        <v>0</v>
      </c>
      <c r="E13" s="56">
        <f t="shared" si="1"/>
        <v>0</v>
      </c>
      <c r="F13" s="56">
        <v>0.41085983798514447</v>
      </c>
      <c r="G13" s="56">
        <v>0.60337132938810989</v>
      </c>
      <c r="H13" s="56">
        <v>0.90819796236953709</v>
      </c>
      <c r="I13" s="57">
        <v>1.1749086513299098</v>
      </c>
      <c r="O13" s="91" t="s">
        <v>62</v>
      </c>
      <c r="P13" s="92"/>
      <c r="Q13" s="98">
        <v>0</v>
      </c>
      <c r="R13" s="98">
        <v>0</v>
      </c>
      <c r="S13" s="98">
        <v>0.14736560700092211</v>
      </c>
      <c r="T13" s="98">
        <v>0.14029699224161232</v>
      </c>
      <c r="U13" s="98">
        <v>0.17991513004056808</v>
      </c>
      <c r="V13" s="101">
        <v>0.20851123814916342</v>
      </c>
    </row>
    <row r="14" spans="1:22" x14ac:dyDescent="0.25">
      <c r="B14" s="50" t="s">
        <v>63</v>
      </c>
      <c r="C14" s="51"/>
      <c r="D14" s="52">
        <f t="shared" ref="D14:E14" si="2">BD2/1000</f>
        <v>0</v>
      </c>
      <c r="E14" s="52">
        <f t="shared" si="2"/>
        <v>0</v>
      </c>
      <c r="F14" s="52">
        <v>0.62073348829482833</v>
      </c>
      <c r="G14" s="52">
        <v>0.96122312657914799</v>
      </c>
      <c r="H14" s="52">
        <v>1.4094932202770933</v>
      </c>
      <c r="I14" s="53">
        <v>1.6692495087037205</v>
      </c>
      <c r="O14" s="89" t="s">
        <v>63</v>
      </c>
      <c r="P14" s="88"/>
      <c r="Q14" s="97">
        <v>0</v>
      </c>
      <c r="R14" s="97">
        <v>0</v>
      </c>
      <c r="S14" s="97">
        <v>0.46487264225628144</v>
      </c>
      <c r="T14" s="97">
        <v>0.48954063491004662</v>
      </c>
      <c r="U14" s="97">
        <v>0.64953997806947106</v>
      </c>
      <c r="V14" s="100">
        <v>0.7031605720167412</v>
      </c>
    </row>
    <row r="15" spans="1:22" x14ac:dyDescent="0.25">
      <c r="B15" s="54" t="s">
        <v>64</v>
      </c>
      <c r="C15" s="55"/>
      <c r="D15" s="56">
        <f t="shared" ref="D15:E15" si="3">BN2/1000</f>
        <v>0</v>
      </c>
      <c r="E15" s="56">
        <f t="shared" si="3"/>
        <v>0</v>
      </c>
      <c r="F15" s="56">
        <v>2.6990958155614007E-2</v>
      </c>
      <c r="G15" s="56">
        <v>6.7652313230296648E-2</v>
      </c>
      <c r="H15" s="56">
        <v>0.10735410295056716</v>
      </c>
      <c r="I15" s="57">
        <v>0.17028903504952544</v>
      </c>
      <c r="O15" s="91" t="s">
        <v>64</v>
      </c>
      <c r="P15" s="92"/>
      <c r="Q15" s="98">
        <v>0</v>
      </c>
      <c r="R15" s="98">
        <v>0</v>
      </c>
      <c r="S15" s="98">
        <v>9.9080639011415728E-3</v>
      </c>
      <c r="T15" s="98">
        <v>1.4835248232737993E-2</v>
      </c>
      <c r="U15" s="98">
        <v>1.3741873421014756E-2</v>
      </c>
      <c r="V15" s="101">
        <v>2.4705066743107722E-2</v>
      </c>
    </row>
    <row r="16" spans="1:22" x14ac:dyDescent="0.25">
      <c r="B16" s="50" t="s">
        <v>65</v>
      </c>
      <c r="C16" s="51"/>
      <c r="D16" s="52">
        <f t="shared" ref="D16:E16" si="4">BX2/1000</f>
        <v>0</v>
      </c>
      <c r="E16" s="52">
        <f t="shared" si="4"/>
        <v>0</v>
      </c>
      <c r="F16" s="52">
        <v>0.37900844690878888</v>
      </c>
      <c r="G16" s="52">
        <v>0.59038645239515608</v>
      </c>
      <c r="H16" s="52">
        <v>0.90138331873719213</v>
      </c>
      <c r="I16" s="53">
        <v>1.2351724107612203</v>
      </c>
      <c r="O16" s="89" t="s">
        <v>65</v>
      </c>
      <c r="P16" s="88"/>
      <c r="Q16" s="97">
        <v>0</v>
      </c>
      <c r="R16" s="97">
        <v>0</v>
      </c>
      <c r="S16" s="97">
        <v>0.1054745839754344</v>
      </c>
      <c r="T16" s="97">
        <v>0.11576571140586669</v>
      </c>
      <c r="U16" s="97">
        <v>0.14821096653137</v>
      </c>
      <c r="V16" s="100">
        <v>0.2100379659645692</v>
      </c>
    </row>
    <row r="17" spans="2:22" x14ac:dyDescent="0.25">
      <c r="B17" s="54" t="s">
        <v>66</v>
      </c>
      <c r="C17" s="55"/>
      <c r="D17" s="56">
        <f t="shared" ref="D17:E17" si="5">CH2/1000</f>
        <v>0</v>
      </c>
      <c r="E17" s="56">
        <f t="shared" si="5"/>
        <v>0</v>
      </c>
      <c r="F17" s="56">
        <v>0.70910880235408547</v>
      </c>
      <c r="G17" s="56">
        <v>1.0308207256207031</v>
      </c>
      <c r="H17" s="56">
        <v>1.524106895503758</v>
      </c>
      <c r="I17" s="57">
        <v>1.7487495718637089</v>
      </c>
      <c r="O17" s="91" t="s">
        <v>66</v>
      </c>
      <c r="P17" s="92"/>
      <c r="Q17" s="98">
        <v>0</v>
      </c>
      <c r="R17" s="98">
        <v>0</v>
      </c>
      <c r="S17" s="98">
        <v>0.3779063457207274</v>
      </c>
      <c r="T17" s="98">
        <v>0.43066460622135466</v>
      </c>
      <c r="U17" s="98">
        <v>0.5384594565123485</v>
      </c>
      <c r="V17" s="101">
        <v>0.43611097518721309</v>
      </c>
    </row>
    <row r="18" spans="2:22" x14ac:dyDescent="0.25">
      <c r="B18" s="50" t="s">
        <v>67</v>
      </c>
      <c r="C18" s="51"/>
      <c r="D18" s="52">
        <f t="shared" ref="D18:E18" si="6">CR2/1000</f>
        <v>0</v>
      </c>
      <c r="E18" s="52">
        <f t="shared" si="6"/>
        <v>0</v>
      </c>
      <c r="F18" s="52">
        <v>0.24091928421018174</v>
      </c>
      <c r="G18" s="52">
        <v>0.33999875838018534</v>
      </c>
      <c r="H18" s="52">
        <v>0.4773402269456678</v>
      </c>
      <c r="I18" s="53">
        <v>0.47140699109281414</v>
      </c>
      <c r="O18" s="89" t="s">
        <v>67</v>
      </c>
      <c r="P18" s="88"/>
      <c r="Q18" s="97">
        <v>0</v>
      </c>
      <c r="R18" s="97">
        <v>0</v>
      </c>
      <c r="S18" s="97">
        <v>0.29312462125615379</v>
      </c>
      <c r="T18" s="97">
        <v>0.34062659449014732</v>
      </c>
      <c r="U18" s="97">
        <v>0.35834853667645905</v>
      </c>
      <c r="V18" s="100">
        <v>0.31379549331932788</v>
      </c>
    </row>
    <row r="19" spans="2:22" x14ac:dyDescent="0.25">
      <c r="B19" s="54" t="s">
        <v>68</v>
      </c>
      <c r="C19" s="55"/>
      <c r="D19" s="56">
        <f t="shared" ref="D19:E19" si="7">DB2/1000</f>
        <v>0</v>
      </c>
      <c r="E19" s="56">
        <f t="shared" si="7"/>
        <v>0</v>
      </c>
      <c r="F19" s="56">
        <v>1.8226486349903843</v>
      </c>
      <c r="G19" s="56">
        <v>2.4384213412490805</v>
      </c>
      <c r="H19" s="56">
        <v>3.1258517634758762</v>
      </c>
      <c r="I19" s="57">
        <v>3.0597026168072725</v>
      </c>
      <c r="O19" s="91" t="s">
        <v>68</v>
      </c>
      <c r="P19" s="92"/>
      <c r="Q19" s="98">
        <v>0</v>
      </c>
      <c r="R19" s="98">
        <v>0</v>
      </c>
      <c r="S19" s="98">
        <v>1.9773605862016643</v>
      </c>
      <c r="T19" s="98">
        <v>2.1081224018450921</v>
      </c>
      <c r="U19" s="98">
        <v>2.3323732348062745</v>
      </c>
      <c r="V19" s="101">
        <v>1.5751128470240618</v>
      </c>
    </row>
    <row r="20" spans="2:22" x14ac:dyDescent="0.25">
      <c r="B20" s="50" t="s">
        <v>69</v>
      </c>
      <c r="C20" s="51"/>
      <c r="D20" s="52">
        <f t="shared" ref="D20:E20" si="8">DL2/1000</f>
        <v>0</v>
      </c>
      <c r="E20" s="52">
        <f t="shared" si="8"/>
        <v>0</v>
      </c>
      <c r="F20" s="52">
        <v>6.6187722980568867E-2</v>
      </c>
      <c r="G20" s="52">
        <v>0.10811883270593377</v>
      </c>
      <c r="H20" s="52">
        <v>0.16558731860257597</v>
      </c>
      <c r="I20" s="53">
        <v>0.22360582853402944</v>
      </c>
      <c r="O20" s="89" t="s">
        <v>69</v>
      </c>
      <c r="P20" s="88"/>
      <c r="Q20" s="97">
        <v>0</v>
      </c>
      <c r="R20" s="97">
        <v>0</v>
      </c>
      <c r="S20" s="97">
        <v>8.5272441996814802E-2</v>
      </c>
      <c r="T20" s="97">
        <v>0.13683252894632836</v>
      </c>
      <c r="U20" s="97">
        <v>0.21337759789055774</v>
      </c>
      <c r="V20" s="100">
        <v>0.13784445966660869</v>
      </c>
    </row>
    <row r="21" spans="2:22" x14ac:dyDescent="0.25">
      <c r="B21" s="54" t="s">
        <v>70</v>
      </c>
      <c r="C21" s="55"/>
      <c r="D21" s="56">
        <f t="shared" ref="D21:E21" si="9">DV2/1000</f>
        <v>0</v>
      </c>
      <c r="E21" s="56">
        <f t="shared" si="9"/>
        <v>0</v>
      </c>
      <c r="F21" s="56">
        <v>0.13475879994419768</v>
      </c>
      <c r="G21" s="56">
        <v>0.16834006325926898</v>
      </c>
      <c r="H21" s="56">
        <v>0.21791997270406008</v>
      </c>
      <c r="I21" s="57">
        <v>0.23925073820026763</v>
      </c>
      <c r="O21" s="91" t="s">
        <v>70</v>
      </c>
      <c r="P21" s="92"/>
      <c r="Q21" s="98">
        <v>0</v>
      </c>
      <c r="R21" s="98">
        <v>0</v>
      </c>
      <c r="S21" s="98">
        <v>0.17465150371818758</v>
      </c>
      <c r="T21" s="98">
        <v>0.22765487215019753</v>
      </c>
      <c r="U21" s="98">
        <v>0.29862587423783382</v>
      </c>
      <c r="V21" s="101">
        <v>0.15368644838376919</v>
      </c>
    </row>
    <row r="22" spans="2:22" x14ac:dyDescent="0.25">
      <c r="B22" s="50" t="s">
        <v>71</v>
      </c>
      <c r="C22" s="51"/>
      <c r="D22" s="52">
        <f t="shared" ref="D22:E22" si="10">EF2/1000</f>
        <v>0</v>
      </c>
      <c r="E22" s="52">
        <f t="shared" si="10"/>
        <v>0</v>
      </c>
      <c r="F22" s="52">
        <v>5.5814016771382001E-2</v>
      </c>
      <c r="G22" s="52">
        <v>7.2932680939338551E-2</v>
      </c>
      <c r="H22" s="52">
        <v>0.10061683029111484</v>
      </c>
      <c r="I22" s="53">
        <v>0.11240335429667787</v>
      </c>
      <c r="O22" s="89" t="s">
        <v>71</v>
      </c>
      <c r="P22" s="88"/>
      <c r="Q22" s="97">
        <v>0</v>
      </c>
      <c r="R22" s="97">
        <v>0</v>
      </c>
      <c r="S22" s="97">
        <v>7.1950097479989941E-2</v>
      </c>
      <c r="T22" s="97">
        <v>9.6201354503800601E-2</v>
      </c>
      <c r="U22" s="97">
        <v>0.13388500520486762</v>
      </c>
      <c r="V22" s="100">
        <v>6.9397802119868013E-2</v>
      </c>
    </row>
    <row r="23" spans="2:22" x14ac:dyDescent="0.25">
      <c r="B23" s="54" t="s">
        <v>72</v>
      </c>
      <c r="C23" s="55"/>
      <c r="D23" s="56">
        <f t="shared" ref="D23:E23" si="11">EP2/1000</f>
        <v>0</v>
      </c>
      <c r="E23" s="56">
        <f t="shared" si="11"/>
        <v>0</v>
      </c>
      <c r="F23" s="56">
        <v>2.0197877207033782E-2</v>
      </c>
      <c r="G23" s="56">
        <v>4.0357834925045945E-2</v>
      </c>
      <c r="H23" s="56">
        <v>6.2645969583618302E-2</v>
      </c>
      <c r="I23" s="57">
        <v>9.1996316351300664E-2</v>
      </c>
      <c r="O23" s="91" t="s">
        <v>72</v>
      </c>
      <c r="P23" s="92"/>
      <c r="Q23" s="98">
        <v>0</v>
      </c>
      <c r="R23" s="98">
        <v>0</v>
      </c>
      <c r="S23" s="98">
        <v>2.62475045969917E-2</v>
      </c>
      <c r="T23" s="98">
        <v>5.0920679424789589E-2</v>
      </c>
      <c r="U23" s="98">
        <v>7.8880869803068757E-2</v>
      </c>
      <c r="V23" s="101">
        <v>5.6931495131413733E-2</v>
      </c>
    </row>
    <row r="24" spans="2:22" ht="15.75" thickBot="1" x14ac:dyDescent="0.3">
      <c r="B24" s="58" t="s">
        <v>73</v>
      </c>
      <c r="C24" s="59"/>
      <c r="D24" s="60">
        <f t="shared" ref="D24:E24" si="12">EZ2/1000</f>
        <v>0</v>
      </c>
      <c r="E24" s="60">
        <f t="shared" si="12"/>
        <v>0</v>
      </c>
      <c r="F24" s="60">
        <v>0.12600810937470047</v>
      </c>
      <c r="G24" s="60">
        <v>0.20265253196436089</v>
      </c>
      <c r="H24" s="60">
        <v>0.33001861509516528</v>
      </c>
      <c r="I24" s="61">
        <v>0.51102743391337213</v>
      </c>
      <c r="O24" s="90" t="s">
        <v>73</v>
      </c>
      <c r="P24" s="93"/>
      <c r="Q24" s="99">
        <v>0</v>
      </c>
      <c r="R24" s="99">
        <v>0</v>
      </c>
      <c r="S24" s="99">
        <v>0.15950386070657974</v>
      </c>
      <c r="T24" s="99">
        <v>0.27842283796310124</v>
      </c>
      <c r="U24" s="99">
        <v>0.51722727053440787</v>
      </c>
      <c r="V24" s="102">
        <v>0.44692287481324205</v>
      </c>
    </row>
    <row r="25" spans="2:22" ht="15.75" thickBot="1" x14ac:dyDescent="0.3">
      <c r="B25" s="74" t="s">
        <v>74</v>
      </c>
      <c r="C25" s="75"/>
      <c r="D25" s="62"/>
      <c r="E25" s="62"/>
      <c r="F25" s="63">
        <f>SUM(F12:F24)</f>
        <v>5.0961773087055136</v>
      </c>
      <c r="G25" s="63">
        <f>SUM(G12:G24)</f>
        <v>7.4857000340672259</v>
      </c>
      <c r="H25" s="63">
        <f>SUM(H12:H24)</f>
        <v>10.461118870420512</v>
      </c>
      <c r="I25" s="63">
        <f>SUM(I12:I24)</f>
        <v>12.470745138174996</v>
      </c>
      <c r="O25" s="103" t="s">
        <v>74</v>
      </c>
      <c r="P25" s="104"/>
      <c r="Q25" s="94"/>
      <c r="R25" s="94"/>
      <c r="S25" s="95">
        <v>4.0149781504997808</v>
      </c>
      <c r="T25" s="95">
        <v>4.5439896727699889</v>
      </c>
      <c r="U25" s="95">
        <v>5.6524239915659109</v>
      </c>
      <c r="V25" s="96">
        <v>4.6880678381336729</v>
      </c>
    </row>
    <row r="28" spans="2:22" ht="15.75" thickBot="1" x14ac:dyDescent="0.3"/>
    <row r="29" spans="2:22" ht="15.75" thickBot="1" x14ac:dyDescent="0.3">
      <c r="B29" s="71" t="s">
        <v>74</v>
      </c>
      <c r="C29" s="71"/>
      <c r="F29" s="44">
        <v>2020</v>
      </c>
      <c r="G29" s="44">
        <v>2030</v>
      </c>
      <c r="H29" s="44">
        <v>2040</v>
      </c>
      <c r="I29" s="45">
        <v>2050</v>
      </c>
      <c r="O29" s="71" t="s">
        <v>80</v>
      </c>
      <c r="P29" s="71"/>
      <c r="S29" s="44">
        <v>2020</v>
      </c>
      <c r="T29" s="44">
        <v>2030</v>
      </c>
      <c r="U29" s="44">
        <v>2040</v>
      </c>
      <c r="V29" s="45">
        <v>2050</v>
      </c>
    </row>
    <row r="30" spans="2:22" x14ac:dyDescent="0.25">
      <c r="B30" s="72" t="s">
        <v>75</v>
      </c>
      <c r="C30" s="73"/>
      <c r="D30" s="73"/>
      <c r="E30" s="73"/>
      <c r="F30" s="67">
        <f>SUM(F12:F19)</f>
        <v>4.6932107824276308</v>
      </c>
      <c r="G30" s="67">
        <f>SUM(G12:G19)</f>
        <v>6.8932980902732783</v>
      </c>
      <c r="H30" s="67">
        <f>SUM(H12:H19)</f>
        <v>9.584330164143978</v>
      </c>
      <c r="I30" s="67">
        <f>SUM(I12:I19)</f>
        <v>11.292461466879349</v>
      </c>
      <c r="O30" s="72" t="s">
        <v>75</v>
      </c>
      <c r="P30" s="73"/>
      <c r="Q30" s="73"/>
      <c r="R30" s="73"/>
      <c r="S30" s="67">
        <f>SUM(S12:S19)</f>
        <v>3.4973527420012172</v>
      </c>
      <c r="T30" s="67">
        <f>SUM(T12:T19)</f>
        <v>3.753957399781771</v>
      </c>
      <c r="U30" s="67">
        <f>SUM(U12:U19)</f>
        <v>4.4104273738951756</v>
      </c>
      <c r="V30" s="67">
        <f>SUM(V12:V19)</f>
        <v>3.8232847580187714</v>
      </c>
    </row>
    <row r="31" spans="2:22" x14ac:dyDescent="0.25">
      <c r="B31" s="72" t="s">
        <v>76</v>
      </c>
      <c r="C31" s="73"/>
      <c r="D31" s="73"/>
      <c r="E31" s="73"/>
      <c r="F31" s="67">
        <f>SUM(F20:F24)</f>
        <v>0.40296652627788282</v>
      </c>
      <c r="G31" s="67">
        <f>SUM(G20:G24)</f>
        <v>0.59240194379394806</v>
      </c>
      <c r="H31" s="67">
        <f>SUM(H20:H24)</f>
        <v>0.87678870627653449</v>
      </c>
      <c r="I31" s="67">
        <f>SUM(I20:I24)</f>
        <v>1.1782836712956479</v>
      </c>
      <c r="O31" s="72" t="s">
        <v>76</v>
      </c>
      <c r="P31" s="73"/>
      <c r="Q31" s="73"/>
      <c r="R31" s="73"/>
      <c r="S31" s="67">
        <f>SUM(S20:S24)</f>
        <v>0.51762540849856375</v>
      </c>
      <c r="T31" s="67">
        <f>SUM(T20:T24)</f>
        <v>0.79003227298821743</v>
      </c>
      <c r="U31" s="67">
        <f>SUM(U20:U24)</f>
        <v>1.2419966176707358</v>
      </c>
      <c r="V31" s="67">
        <f>SUM(V20:V24)</f>
        <v>0.86478308011490168</v>
      </c>
    </row>
  </sheetData>
  <mergeCells count="9">
    <mergeCell ref="B30:E30"/>
    <mergeCell ref="B31:E31"/>
    <mergeCell ref="O30:R30"/>
    <mergeCell ref="O31:R31"/>
    <mergeCell ref="B7:C7"/>
    <mergeCell ref="O7:P7"/>
    <mergeCell ref="B25:C25"/>
    <mergeCell ref="O29:P29"/>
    <mergeCell ref="B29:C29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Totaux</vt:lpstr>
      <vt:lpstr>R_ECS</vt:lpstr>
      <vt:lpstr>Mix chauffage Res irf</vt:lpstr>
      <vt:lpstr>R_cuisson</vt:lpstr>
      <vt:lpstr>R_Elec spé</vt:lpstr>
      <vt:lpstr>R_climatisation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NAGY Manon</cp:lastModifiedBy>
  <cp:revision>1</cp:revision>
  <dcterms:created xsi:type="dcterms:W3CDTF">2022-06-17T19:06:42Z</dcterms:created>
  <dcterms:modified xsi:type="dcterms:W3CDTF">2025-01-21T14:48:35Z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